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72F71410-B4F2-4DC8-904B-104253135F03}" xr6:coauthVersionLast="47" xr6:coauthVersionMax="47" xr10:uidLastSave="{00000000-0000-0000-0000-000000000000}"/>
  <bookViews>
    <workbookView xWindow="-120" yWindow="-120" windowWidth="21840" windowHeight="1302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" i="5" l="1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Q26" i="10"/>
  <c r="P26" i="10"/>
  <c r="O26" i="10"/>
  <c r="N26" i="10"/>
  <c r="M26" i="10"/>
  <c r="L26" i="10"/>
  <c r="K26" i="10"/>
  <c r="J26" i="10"/>
  <c r="I26" i="10"/>
  <c r="H26" i="10"/>
  <c r="G26" i="10"/>
  <c r="F26" i="10"/>
  <c r="C343" i="10"/>
  <c r="D343" i="10" s="1"/>
  <c r="C342" i="10"/>
  <c r="D342" i="10" s="1"/>
  <c r="C341" i="10"/>
  <c r="D341" i="10" s="1"/>
  <c r="C340" i="10"/>
  <c r="D340" i="10" s="1"/>
  <c r="C339" i="10"/>
  <c r="D339" i="10" s="1"/>
  <c r="C338" i="10"/>
  <c r="D338" i="10" s="1"/>
  <c r="C337" i="10"/>
  <c r="D337" i="10" s="1"/>
  <c r="C336" i="10"/>
  <c r="D336" i="10" s="1"/>
  <c r="C335" i="10"/>
  <c r="D335" i="10" s="1"/>
  <c r="C334" i="10"/>
  <c r="D334" i="10" s="1"/>
  <c r="C333" i="10"/>
  <c r="D333" i="10" s="1"/>
  <c r="C332" i="10"/>
  <c r="D332" i="10" s="1"/>
  <c r="C331" i="10"/>
  <c r="D331" i="10" s="1"/>
  <c r="C330" i="10"/>
  <c r="D330" i="10" s="1"/>
  <c r="C329" i="10"/>
  <c r="D329" i="10" s="1"/>
  <c r="C328" i="10"/>
  <c r="D328" i="10" s="1"/>
  <c r="C327" i="10"/>
  <c r="D327" i="10" s="1"/>
  <c r="C326" i="10"/>
  <c r="D326" i="10" s="1"/>
  <c r="C325" i="10"/>
  <c r="D325" i="10" s="1"/>
  <c r="C324" i="10"/>
  <c r="D324" i="10" s="1"/>
  <c r="C323" i="10"/>
  <c r="D323" i="10" s="1"/>
  <c r="C322" i="10"/>
  <c r="D322" i="10" s="1"/>
  <c r="C321" i="10"/>
  <c r="D321" i="10" s="1"/>
  <c r="C320" i="10"/>
  <c r="D320" i="10" s="1"/>
  <c r="C319" i="10"/>
  <c r="D319" i="10" s="1"/>
  <c r="C318" i="10"/>
  <c r="D318" i="10" s="1"/>
  <c r="C317" i="10"/>
  <c r="D317" i="10" s="1"/>
  <c r="C316" i="10"/>
  <c r="D316" i="10" s="1"/>
  <c r="C315" i="10"/>
  <c r="D315" i="10" s="1"/>
  <c r="C314" i="10"/>
  <c r="D314" i="10" s="1"/>
  <c r="C313" i="10"/>
  <c r="D313" i="10" s="1"/>
  <c r="C312" i="10"/>
  <c r="D312" i="10" s="1"/>
  <c r="C311" i="10"/>
  <c r="D311" i="10" s="1"/>
  <c r="C310" i="10"/>
  <c r="D310" i="10" s="1"/>
  <c r="C309" i="10"/>
  <c r="D309" i="10" s="1"/>
  <c r="C308" i="10"/>
  <c r="D308" i="10" s="1"/>
  <c r="C307" i="10"/>
  <c r="D307" i="10" s="1"/>
  <c r="C306" i="10"/>
  <c r="D306" i="10" s="1"/>
  <c r="C305" i="10"/>
  <c r="D305" i="10" s="1"/>
  <c r="C304" i="10"/>
  <c r="D304" i="10" s="1"/>
  <c r="C303" i="10"/>
  <c r="D303" i="10" s="1"/>
  <c r="C302" i="10"/>
  <c r="D302" i="10" s="1"/>
  <c r="C301" i="10"/>
  <c r="D301" i="10" s="1"/>
  <c r="C300" i="10"/>
  <c r="D300" i="10" s="1"/>
  <c r="C299" i="10"/>
  <c r="D299" i="10" s="1"/>
  <c r="C298" i="10"/>
  <c r="D298" i="10" s="1"/>
  <c r="C297" i="10"/>
  <c r="D297" i="10" s="1"/>
  <c r="C296" i="10"/>
  <c r="D296" i="10" s="1"/>
  <c r="C295" i="10"/>
  <c r="D295" i="10" s="1"/>
  <c r="C294" i="10"/>
  <c r="D294" i="10" s="1"/>
  <c r="C293" i="10"/>
  <c r="D293" i="10" s="1"/>
  <c r="C292" i="10"/>
  <c r="D292" i="10" s="1"/>
  <c r="C291" i="10"/>
  <c r="D291" i="10" s="1"/>
  <c r="C290" i="10"/>
  <c r="D290" i="10" s="1"/>
  <c r="C289" i="10"/>
  <c r="D289" i="10" s="1"/>
  <c r="C288" i="10"/>
  <c r="D288" i="10" s="1"/>
  <c r="C287" i="10"/>
  <c r="D287" i="10" s="1"/>
  <c r="C286" i="10"/>
  <c r="D286" i="10" s="1"/>
  <c r="C285" i="10"/>
  <c r="D285" i="10" s="1"/>
  <c r="C284" i="10"/>
  <c r="D284" i="10" s="1"/>
  <c r="C283" i="10"/>
  <c r="D283" i="10" s="1"/>
  <c r="C282" i="10"/>
  <c r="D282" i="10" s="1"/>
  <c r="C281" i="10"/>
  <c r="D281" i="10" s="1"/>
  <c r="C280" i="10"/>
  <c r="D280" i="10" s="1"/>
  <c r="C279" i="10"/>
  <c r="D279" i="10" s="1"/>
  <c r="C278" i="10"/>
  <c r="D278" i="10" s="1"/>
  <c r="C277" i="10"/>
  <c r="D277" i="10" s="1"/>
  <c r="C276" i="10"/>
  <c r="D276" i="10" s="1"/>
  <c r="C275" i="10"/>
  <c r="D275" i="10" s="1"/>
  <c r="C274" i="10"/>
  <c r="D274" i="10" s="1"/>
  <c r="C273" i="10"/>
  <c r="D273" i="10" s="1"/>
  <c r="C272" i="10"/>
  <c r="D272" i="10" s="1"/>
  <c r="C271" i="10"/>
  <c r="D271" i="10" s="1"/>
  <c r="C270" i="10"/>
  <c r="D270" i="10" s="1"/>
  <c r="C269" i="10"/>
  <c r="D269" i="10" s="1"/>
  <c r="C268" i="10"/>
  <c r="D268" i="10" s="1"/>
  <c r="C267" i="10"/>
  <c r="D267" i="10" s="1"/>
  <c r="C266" i="10"/>
  <c r="D266" i="10" s="1"/>
  <c r="C265" i="10"/>
  <c r="D265" i="10" s="1"/>
  <c r="C264" i="10"/>
  <c r="D264" i="10" s="1"/>
  <c r="C263" i="10"/>
  <c r="D263" i="10" s="1"/>
  <c r="C262" i="10"/>
  <c r="D262" i="10" s="1"/>
  <c r="C261" i="10"/>
  <c r="D261" i="10" s="1"/>
  <c r="C260" i="10"/>
  <c r="D260" i="10" s="1"/>
  <c r="C259" i="10"/>
  <c r="D259" i="10" s="1"/>
  <c r="C258" i="10"/>
  <c r="D258" i="10" s="1"/>
  <c r="C257" i="10"/>
  <c r="D257" i="10" s="1"/>
  <c r="C256" i="10"/>
  <c r="D256" i="10" s="1"/>
  <c r="C255" i="10"/>
  <c r="D255" i="10" s="1"/>
  <c r="C254" i="10"/>
  <c r="D254" i="10" s="1"/>
  <c r="C253" i="10"/>
  <c r="D253" i="10" s="1"/>
  <c r="C252" i="10"/>
  <c r="D252" i="10" s="1"/>
  <c r="C251" i="10"/>
  <c r="D251" i="10" s="1"/>
  <c r="C250" i="10"/>
  <c r="D250" i="10" s="1"/>
  <c r="C249" i="10"/>
  <c r="D249" i="10" s="1"/>
  <c r="C248" i="10"/>
  <c r="D248" i="10" s="1"/>
  <c r="C247" i="10"/>
  <c r="D247" i="10" s="1"/>
  <c r="C246" i="10"/>
  <c r="D246" i="10" s="1"/>
  <c r="C245" i="10"/>
  <c r="D245" i="10" s="1"/>
  <c r="C244" i="10"/>
  <c r="D244" i="10" s="1"/>
  <c r="C243" i="10"/>
  <c r="D243" i="10" s="1"/>
  <c r="C242" i="10"/>
  <c r="D242" i="10" s="1"/>
  <c r="C241" i="10"/>
  <c r="D241" i="10" s="1"/>
  <c r="C240" i="10"/>
  <c r="D240" i="10" s="1"/>
  <c r="C239" i="10"/>
  <c r="D239" i="10" s="1"/>
  <c r="C238" i="10"/>
  <c r="D238" i="10" s="1"/>
  <c r="C237" i="10"/>
  <c r="D237" i="10" s="1"/>
  <c r="C236" i="10"/>
  <c r="D236" i="10" s="1"/>
  <c r="C235" i="10"/>
  <c r="D235" i="10" s="1"/>
  <c r="C234" i="10"/>
  <c r="D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C226" i="10"/>
  <c r="D226" i="10" s="1"/>
  <c r="C225" i="10"/>
  <c r="D225" i="10" s="1"/>
  <c r="C224" i="10"/>
  <c r="D224" i="10" s="1"/>
  <c r="C223" i="10"/>
  <c r="D223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C211" i="10"/>
  <c r="D211" i="10" s="1"/>
  <c r="C210" i="10"/>
  <c r="D210" i="10" s="1"/>
  <c r="C209" i="10"/>
  <c r="D209" i="10" s="1"/>
  <c r="C208" i="10"/>
  <c r="D208" i="10" s="1"/>
  <c r="C207" i="10"/>
  <c r="D207" i="10" s="1"/>
  <c r="C206" i="10"/>
  <c r="D206" i="10" s="1"/>
  <c r="C205" i="10"/>
  <c r="D205" i="10" s="1"/>
  <c r="C204" i="10"/>
  <c r="D204" i="10" s="1"/>
  <c r="C203" i="10"/>
  <c r="D203" i="10" s="1"/>
  <c r="C202" i="10"/>
  <c r="D202" i="10" s="1"/>
  <c r="C201" i="10"/>
  <c r="D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5" i="10"/>
  <c r="D195" i="10" s="1"/>
  <c r="C194" i="10"/>
  <c r="D194" i="10" s="1"/>
  <c r="C193" i="10"/>
  <c r="D193" i="10" s="1"/>
  <c r="C192" i="10"/>
  <c r="D192" i="10" s="1"/>
  <c r="C191" i="10"/>
  <c r="D191" i="10" s="1"/>
  <c r="C190" i="10"/>
  <c r="D190" i="10" s="1"/>
  <c r="C189" i="10"/>
  <c r="D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C181" i="10"/>
  <c r="D181" i="10" s="1"/>
  <c r="C180" i="10"/>
  <c r="D180" i="10" s="1"/>
  <c r="C179" i="10"/>
  <c r="D179" i="10" s="1"/>
  <c r="C178" i="10"/>
  <c r="D178" i="10" s="1"/>
  <c r="C177" i="10"/>
  <c r="D177" i="10" s="1"/>
  <c r="C176" i="10"/>
  <c r="D176" i="10" s="1"/>
  <c r="C175" i="10"/>
  <c r="D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5" i="10"/>
  <c r="D165" i="10" s="1"/>
  <c r="C164" i="10"/>
  <c r="D164" i="10" s="1"/>
  <c r="C163" i="10"/>
  <c r="D163" i="10" s="1"/>
  <c r="C162" i="10"/>
  <c r="D162" i="10" s="1"/>
  <c r="C161" i="10"/>
  <c r="D161" i="10" s="1"/>
  <c r="C160" i="10"/>
  <c r="D160" i="10" s="1"/>
  <c r="C159" i="10"/>
  <c r="D159" i="10" s="1"/>
  <c r="C158" i="10"/>
  <c r="D158" i="10" s="1"/>
  <c r="C157" i="10"/>
  <c r="D157" i="10" s="1"/>
  <c r="C156" i="10"/>
  <c r="D156" i="10" s="1"/>
  <c r="C155" i="10"/>
  <c r="D155" i="10" s="1"/>
  <c r="C154" i="10"/>
  <c r="D154" i="10" s="1"/>
  <c r="C153" i="10"/>
  <c r="D153" i="10" s="1"/>
  <c r="C152" i="10"/>
  <c r="D152" i="10" s="1"/>
  <c r="C151" i="10"/>
  <c r="D151" i="10" s="1"/>
  <c r="C150" i="10"/>
  <c r="D150" i="10" s="1"/>
  <c r="C149" i="10"/>
  <c r="D149" i="10" s="1"/>
  <c r="C148" i="10"/>
  <c r="D148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5" i="10"/>
  <c r="D135" i="10" s="1"/>
  <c r="C134" i="10"/>
  <c r="D134" i="10" s="1"/>
  <c r="C133" i="10"/>
  <c r="D133" i="10" s="1"/>
  <c r="C132" i="10"/>
  <c r="D132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9" i="10"/>
  <c r="D119" i="10" s="1"/>
  <c r="C118" i="10"/>
  <c r="D118" i="10" s="1"/>
  <c r="C117" i="10"/>
  <c r="D117" i="10" s="1"/>
  <c r="C116" i="10"/>
  <c r="D116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103" i="10"/>
  <c r="D103" i="10" s="1"/>
  <c r="C102" i="10"/>
  <c r="D102" i="10" s="1"/>
  <c r="C101" i="10"/>
  <c r="D101" i="10" s="1"/>
  <c r="C100" i="10"/>
  <c r="D100" i="10" s="1"/>
  <c r="C99" i="10"/>
  <c r="D99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30" i="10"/>
  <c r="D30" i="10" s="1"/>
  <c r="S51" i="10" l="1"/>
  <c r="S17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N72" i="5" s="1"/>
  <c r="N72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N99" i="5" s="1"/>
  <c r="M97" i="5"/>
  <c r="M99" i="5" s="1"/>
  <c r="L97" i="5"/>
  <c r="L97" i="32" s="1"/>
  <c r="K97" i="5"/>
  <c r="J97" i="5"/>
  <c r="J97" i="32" s="1"/>
  <c r="I97" i="5"/>
  <c r="I97" i="32" s="1"/>
  <c r="H97" i="5"/>
  <c r="H97" i="32" s="1"/>
  <c r="G97" i="5"/>
  <c r="F97" i="5"/>
  <c r="F99" i="5" s="1"/>
  <c r="E97" i="5"/>
  <c r="D97" i="5"/>
  <c r="D99" i="5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M92" i="5"/>
  <c r="M92" i="32" s="1"/>
  <c r="L92" i="5"/>
  <c r="L92" i="32" s="1"/>
  <c r="L94" i="32" s="1"/>
  <c r="K92" i="5"/>
  <c r="K92" i="32" s="1"/>
  <c r="K94" i="32" s="1"/>
  <c r="J92" i="5"/>
  <c r="J94" i="5" s="1"/>
  <c r="I92" i="5"/>
  <c r="I92" i="32" s="1"/>
  <c r="H92" i="5"/>
  <c r="G92" i="5"/>
  <c r="F92" i="5"/>
  <c r="F92" i="32" s="1"/>
  <c r="E92" i="5"/>
  <c r="E92" i="32" s="1"/>
  <c r="E94" i="32" s="1"/>
  <c r="D92" i="5"/>
  <c r="D92" i="32" s="1"/>
  <c r="C92" i="5"/>
  <c r="C94" i="5" s="1"/>
  <c r="N88" i="5"/>
  <c r="N88" i="32" s="1"/>
  <c r="M88" i="5"/>
  <c r="M88" i="32" s="1"/>
  <c r="L88" i="5"/>
  <c r="K88" i="5"/>
  <c r="K88" i="32" s="1"/>
  <c r="J88" i="5"/>
  <c r="I88" i="5"/>
  <c r="I88" i="32" s="1"/>
  <c r="H88" i="5"/>
  <c r="H88" i="32" s="1"/>
  <c r="G88" i="5"/>
  <c r="G88" i="32" s="1"/>
  <c r="F88" i="5"/>
  <c r="F88" i="32" s="1"/>
  <c r="E88" i="5"/>
  <c r="E88" i="32" s="1"/>
  <c r="D88" i="5"/>
  <c r="C88" i="5"/>
  <c r="C88" i="32" s="1"/>
  <c r="N87" i="5"/>
  <c r="M87" i="5"/>
  <c r="M87" i="32" s="1"/>
  <c r="L87" i="5"/>
  <c r="L87" i="32" s="1"/>
  <c r="K87" i="5"/>
  <c r="J87" i="5"/>
  <c r="J87" i="32" s="1"/>
  <c r="I87" i="5"/>
  <c r="I87" i="32" s="1"/>
  <c r="I89" i="32" s="1"/>
  <c r="H87" i="5"/>
  <c r="G87" i="5"/>
  <c r="G87" i="32" s="1"/>
  <c r="F87" i="5"/>
  <c r="E87" i="5"/>
  <c r="E87" i="32" s="1"/>
  <c r="D87" i="5"/>
  <c r="D87" i="32" s="1"/>
  <c r="C87" i="5"/>
  <c r="C89" i="5" s="1"/>
  <c r="N74" i="5"/>
  <c r="N74" i="32" s="1"/>
  <c r="M74" i="5"/>
  <c r="M74" i="32" s="1"/>
  <c r="L74" i="5"/>
  <c r="K74" i="5"/>
  <c r="K74" i="32" s="1"/>
  <c r="J74" i="5"/>
  <c r="I74" i="5"/>
  <c r="I74" i="32" s="1"/>
  <c r="H74" i="5"/>
  <c r="H74" i="32" s="1"/>
  <c r="G74" i="5"/>
  <c r="F74" i="5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D68" i="5"/>
  <c r="D68" i="32" s="1"/>
  <c r="C68" i="5"/>
  <c r="C68" i="32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5" i="10"/>
  <c r="P5" i="10"/>
  <c r="O5" i="10"/>
  <c r="N5" i="10"/>
  <c r="M5" i="10"/>
  <c r="L5" i="10"/>
  <c r="K5" i="10"/>
  <c r="J5" i="10"/>
  <c r="I5" i="10"/>
  <c r="G5" i="10"/>
  <c r="R36" i="10"/>
  <c r="F5" i="10"/>
  <c r="R28" i="10"/>
  <c r="R27" i="10"/>
  <c r="C1" i="5"/>
  <c r="C1" i="32"/>
  <c r="R38" i="10"/>
  <c r="R37" i="10"/>
  <c r="R35" i="10"/>
  <c r="R25" i="10"/>
  <c r="O88" i="5" s="1"/>
  <c r="R24" i="10"/>
  <c r="O87" i="5"/>
  <c r="R23" i="10"/>
  <c r="R22" i="10"/>
  <c r="R21" i="10"/>
  <c r="R20" i="10"/>
  <c r="R19" i="10"/>
  <c r="O98" i="5" s="1"/>
  <c r="R18" i="10"/>
  <c r="R17" i="10"/>
  <c r="R16" i="10"/>
  <c r="R15" i="10"/>
  <c r="R14" i="10"/>
  <c r="R13" i="10"/>
  <c r="R12" i="10"/>
  <c r="R11" i="10"/>
  <c r="O93" i="5" s="1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8" i="32"/>
  <c r="J88" i="32"/>
  <c r="D97" i="32"/>
  <c r="D99" i="32" s="1"/>
  <c r="D4" i="32"/>
  <c r="E4" i="32"/>
  <c r="F4" i="32"/>
  <c r="G4" i="32"/>
  <c r="H4" i="32"/>
  <c r="I4" i="32"/>
  <c r="J4" i="32"/>
  <c r="K4" i="32"/>
  <c r="L4" i="32"/>
  <c r="M4" i="32"/>
  <c r="N4" i="32"/>
  <c r="O4" i="32"/>
  <c r="L88" i="32"/>
  <c r="L74" i="32"/>
  <c r="E68" i="32"/>
  <c r="G74" i="32"/>
  <c r="J74" i="32"/>
  <c r="C87" i="32"/>
  <c r="G89" i="5"/>
  <c r="K87" i="32"/>
  <c r="F74" i="32"/>
  <c r="E97" i="32"/>
  <c r="H5" i="10"/>
  <c r="R29" i="10"/>
  <c r="R26" i="10"/>
  <c r="F89" i="5" l="1"/>
  <c r="N94" i="5"/>
  <c r="L89" i="5"/>
  <c r="O89" i="5"/>
  <c r="M89" i="5"/>
  <c r="D89" i="5"/>
  <c r="O92" i="5"/>
  <c r="R5" i="10"/>
  <c r="J89" i="32"/>
  <c r="N89" i="5"/>
  <c r="O68" i="5"/>
  <c r="K89" i="5"/>
  <c r="C89" i="32"/>
  <c r="I89" i="5"/>
  <c r="D89" i="32"/>
  <c r="O74" i="5"/>
  <c r="O68" i="32"/>
  <c r="K89" i="32"/>
  <c r="J99" i="32"/>
  <c r="C99" i="32"/>
  <c r="O74" i="32"/>
  <c r="F87" i="32"/>
  <c r="N87" i="32"/>
  <c r="N89" i="32" s="1"/>
  <c r="E89" i="5"/>
  <c r="L89" i="32"/>
  <c r="O97" i="5"/>
  <c r="O99" i="5" s="1"/>
  <c r="H89" i="5"/>
  <c r="J89" i="5"/>
  <c r="M89" i="32"/>
  <c r="H87" i="32"/>
  <c r="H89" i="32" s="1"/>
  <c r="G89" i="32"/>
  <c r="J92" i="32"/>
  <c r="J94" i="32" s="1"/>
  <c r="C981" i="10"/>
  <c r="D981" i="10" s="1"/>
  <c r="C562" i="10"/>
  <c r="D562" i="10" s="1"/>
  <c r="C352" i="10"/>
  <c r="D352" i="10" s="1"/>
  <c r="C985" i="10"/>
  <c r="D985" i="10" s="1"/>
  <c r="C608" i="10"/>
  <c r="D608" i="10" s="1"/>
  <c r="C864" i="10"/>
  <c r="D864" i="10" s="1"/>
  <c r="F75" i="5"/>
  <c r="F75" i="32" s="1"/>
  <c r="C434" i="10"/>
  <c r="D434" i="10" s="1"/>
  <c r="C425" i="10"/>
  <c r="D425" i="10" s="1"/>
  <c r="C741" i="10"/>
  <c r="D741" i="10" s="1"/>
  <c r="C546" i="10"/>
  <c r="D546" i="10" s="1"/>
  <c r="C424" i="10"/>
  <c r="D424" i="10" s="1"/>
  <c r="C975" i="10"/>
  <c r="D975" i="10" s="1"/>
  <c r="L78" i="5"/>
  <c r="L78" i="32" s="1"/>
  <c r="C565" i="10"/>
  <c r="D565" i="10" s="1"/>
  <c r="C454" i="10"/>
  <c r="D454" i="10" s="1"/>
  <c r="C567" i="10"/>
  <c r="D567" i="10" s="1"/>
  <c r="C456" i="10"/>
  <c r="D456" i="10" s="1"/>
  <c r="I78" i="5"/>
  <c r="I78" i="32" s="1"/>
  <c r="C380" i="10"/>
  <c r="D380" i="10" s="1"/>
  <c r="C420" i="10"/>
  <c r="D420" i="10" s="1"/>
  <c r="J69" i="5"/>
  <c r="J69" i="32" s="1"/>
  <c r="C392" i="10"/>
  <c r="D392" i="10" s="1"/>
  <c r="C544" i="10"/>
  <c r="D544" i="10" s="1"/>
  <c r="N76" i="5"/>
  <c r="N76" i="32" s="1"/>
  <c r="C895" i="10"/>
  <c r="D895" i="10" s="1"/>
  <c r="C906" i="10"/>
  <c r="D906" i="10" s="1"/>
  <c r="C687" i="10"/>
  <c r="D687" i="10" s="1"/>
  <c r="C353" i="10"/>
  <c r="D353" i="10" s="1"/>
  <c r="C423" i="10"/>
  <c r="D423" i="10" s="1"/>
  <c r="C640" i="10"/>
  <c r="D640" i="10" s="1"/>
  <c r="C494" i="10"/>
  <c r="D494" i="10" s="1"/>
  <c r="C349" i="10"/>
  <c r="D349" i="10" s="1"/>
  <c r="C393" i="10"/>
  <c r="D393" i="10" s="1"/>
  <c r="D1" i="21"/>
  <c r="C987" i="10"/>
  <c r="D987" i="10" s="1"/>
  <c r="C814" i="10"/>
  <c r="D814" i="10" s="1"/>
  <c r="C794" i="10"/>
  <c r="D794" i="10" s="1"/>
  <c r="C391" i="10"/>
  <c r="D391" i="10" s="1"/>
  <c r="C911" i="10"/>
  <c r="D911" i="10" s="1"/>
  <c r="C676" i="10"/>
  <c r="D676" i="10" s="1"/>
  <c r="C446" i="10"/>
  <c r="D446" i="10" s="1"/>
  <c r="C982" i="10"/>
  <c r="D982" i="10" s="1"/>
  <c r="C936" i="10"/>
  <c r="D936" i="10" s="1"/>
  <c r="C808" i="10"/>
  <c r="D808" i="10" s="1"/>
  <c r="K78" i="5"/>
  <c r="K78" i="32" s="1"/>
  <c r="C376" i="10"/>
  <c r="D376" i="10" s="1"/>
  <c r="C771" i="10"/>
  <c r="D771" i="10" s="1"/>
  <c r="C410" i="10"/>
  <c r="D410" i="10" s="1"/>
  <c r="C630" i="10"/>
  <c r="D630" i="10" s="1"/>
  <c r="C507" i="10"/>
  <c r="D507" i="10" s="1"/>
  <c r="C508" i="10"/>
  <c r="D508" i="10" s="1"/>
  <c r="C363" i="10"/>
  <c r="D363" i="10" s="1"/>
  <c r="C543" i="10"/>
  <c r="D543" i="10" s="1"/>
  <c r="C394" i="10"/>
  <c r="D394" i="10" s="1"/>
  <c r="C879" i="10"/>
  <c r="D879" i="10" s="1"/>
  <c r="E75" i="5"/>
  <c r="E75" i="32" s="1"/>
  <c r="C354" i="10"/>
  <c r="D354" i="10" s="1"/>
  <c r="C694" i="10"/>
  <c r="D694" i="10" s="1"/>
  <c r="C421" i="10"/>
  <c r="D421" i="10" s="1"/>
  <c r="C711" i="10"/>
  <c r="D711" i="10" s="1"/>
  <c r="C733" i="10"/>
  <c r="D733" i="10" s="1"/>
  <c r="O88" i="32"/>
  <c r="E89" i="32"/>
  <c r="C988" i="10"/>
  <c r="D988" i="10" s="1"/>
  <c r="C875" i="10"/>
  <c r="D875" i="10" s="1"/>
  <c r="C924" i="10"/>
  <c r="D924" i="10" s="1"/>
  <c r="C761" i="10"/>
  <c r="D761" i="10" s="1"/>
  <c r="C76" i="5"/>
  <c r="C76" i="32" s="1"/>
  <c r="J78" i="5"/>
  <c r="J78" i="32" s="1"/>
  <c r="N75" i="5"/>
  <c r="N75" i="32" s="1"/>
  <c r="N70" i="5"/>
  <c r="N70" i="32" s="1"/>
  <c r="L72" i="5"/>
  <c r="L72" i="32" s="1"/>
  <c r="L76" i="5"/>
  <c r="L76" i="32" s="1"/>
  <c r="C673" i="10"/>
  <c r="D673" i="10" s="1"/>
  <c r="C986" i="10"/>
  <c r="D986" i="10" s="1"/>
  <c r="C992" i="10"/>
  <c r="D992" i="10" s="1"/>
  <c r="C810" i="10"/>
  <c r="D810" i="10" s="1"/>
  <c r="C629" i="10"/>
  <c r="D629" i="10" s="1"/>
  <c r="C405" i="10"/>
  <c r="D405" i="10" s="1"/>
  <c r="C574" i="10"/>
  <c r="D574" i="10" s="1"/>
  <c r="C788" i="10"/>
  <c r="D788" i="10" s="1"/>
  <c r="C740" i="10"/>
  <c r="D740" i="10" s="1"/>
  <c r="C549" i="10"/>
  <c r="D549" i="10" s="1"/>
  <c r="C462" i="10"/>
  <c r="D462" i="10" s="1"/>
  <c r="C350" i="10"/>
  <c r="D350" i="10" s="1"/>
  <c r="C684" i="10"/>
  <c r="D684" i="10" s="1"/>
  <c r="C644" i="10"/>
  <c r="D644" i="10" s="1"/>
  <c r="C591" i="10"/>
  <c r="D591" i="10" s="1"/>
  <c r="C426" i="10"/>
  <c r="D426" i="10" s="1"/>
  <c r="C401" i="10"/>
  <c r="D401" i="10" s="1"/>
  <c r="C70" i="5"/>
  <c r="C70" i="32" s="1"/>
  <c r="C518" i="10"/>
  <c r="D518" i="10" s="1"/>
  <c r="C657" i="10"/>
  <c r="D657" i="10" s="1"/>
  <c r="N97" i="32"/>
  <c r="N99" i="32" s="1"/>
  <c r="H77" i="5"/>
  <c r="H77" i="32" s="1"/>
  <c r="J76" i="5"/>
  <c r="J76" i="32" s="1"/>
  <c r="C75" i="5"/>
  <c r="C75" i="32" s="1"/>
  <c r="C72" i="5"/>
  <c r="C72" i="32" s="1"/>
  <c r="H76" i="5"/>
  <c r="H76" i="32" s="1"/>
  <c r="F70" i="5"/>
  <c r="F70" i="32" s="1"/>
  <c r="C997" i="10"/>
  <c r="D997" i="10" s="1"/>
  <c r="C800" i="10"/>
  <c r="D800" i="10" s="1"/>
  <c r="C956" i="10"/>
  <c r="D956" i="10" s="1"/>
  <c r="D77" i="5"/>
  <c r="D77" i="32" s="1"/>
  <c r="E78" i="5"/>
  <c r="E78" i="32" s="1"/>
  <c r="D69" i="5"/>
  <c r="D69" i="32" s="1"/>
  <c r="L71" i="5"/>
  <c r="L71" i="32" s="1"/>
  <c r="N77" i="5"/>
  <c r="N77" i="32" s="1"/>
  <c r="M77" i="5"/>
  <c r="M77" i="32" s="1"/>
  <c r="M72" i="5"/>
  <c r="M72" i="32" s="1"/>
  <c r="C783" i="10"/>
  <c r="D783" i="10" s="1"/>
  <c r="C576" i="10"/>
  <c r="D576" i="10" s="1"/>
  <c r="C938" i="10"/>
  <c r="D938" i="10" s="1"/>
  <c r="C837" i="10"/>
  <c r="D837" i="10" s="1"/>
  <c r="C779" i="10"/>
  <c r="D779" i="10" s="1"/>
  <c r="C621" i="10"/>
  <c r="D621" i="10" s="1"/>
  <c r="C433" i="10"/>
  <c r="D433" i="10" s="1"/>
  <c r="C606" i="10"/>
  <c r="D606" i="10" s="1"/>
  <c r="C373" i="10"/>
  <c r="D373" i="10" s="1"/>
  <c r="C581" i="10"/>
  <c r="D581" i="10" s="1"/>
  <c r="C593" i="10"/>
  <c r="D593" i="10" s="1"/>
  <c r="C689" i="10"/>
  <c r="D689" i="10" s="1"/>
  <c r="C537" i="10"/>
  <c r="D537" i="10" s="1"/>
  <c r="C358" i="10"/>
  <c r="D358" i="10" s="1"/>
  <c r="C754" i="10"/>
  <c r="D754" i="10" s="1"/>
  <c r="C960" i="10"/>
  <c r="D960" i="10" s="1"/>
  <c r="C551" i="10"/>
  <c r="D551" i="10" s="1"/>
  <c r="C756" i="10"/>
  <c r="D756" i="10" s="1"/>
  <c r="C749" i="10"/>
  <c r="D749" i="10" s="1"/>
  <c r="C600" i="10"/>
  <c r="D600" i="10" s="1"/>
  <c r="L70" i="5"/>
  <c r="L70" i="32" s="1"/>
  <c r="K69" i="5"/>
  <c r="K69" i="32" s="1"/>
  <c r="O76" i="5"/>
  <c r="E76" i="5"/>
  <c r="E76" i="32" s="1"/>
  <c r="G69" i="5"/>
  <c r="G69" i="32" s="1"/>
  <c r="D71" i="5"/>
  <c r="D71" i="32" s="1"/>
  <c r="M70" i="5"/>
  <c r="M70" i="32" s="1"/>
  <c r="N69" i="5"/>
  <c r="N69" i="32" s="1"/>
  <c r="D75" i="5"/>
  <c r="D75" i="32" s="1"/>
  <c r="L75" i="5"/>
  <c r="C78" i="5"/>
  <c r="C78" i="32" s="1"/>
  <c r="O77" i="5"/>
  <c r="N71" i="5"/>
  <c r="N71" i="32" s="1"/>
  <c r="D70" i="5"/>
  <c r="D70" i="32" s="1"/>
  <c r="H70" i="5"/>
  <c r="H70" i="32" s="1"/>
  <c r="G72" i="5"/>
  <c r="G72" i="32" s="1"/>
  <c r="M76" i="5"/>
  <c r="M76" i="32" s="1"/>
  <c r="N78" i="5"/>
  <c r="N78" i="32" s="1"/>
  <c r="I75" i="5"/>
  <c r="I75" i="32" s="1"/>
  <c r="H78" i="5"/>
  <c r="H78" i="32" s="1"/>
  <c r="K72" i="5"/>
  <c r="K72" i="32" s="1"/>
  <c r="K70" i="5"/>
  <c r="K70" i="32" s="1"/>
  <c r="F78" i="5"/>
  <c r="F78" i="32" s="1"/>
  <c r="M75" i="5"/>
  <c r="M75" i="32" s="1"/>
  <c r="F76" i="5"/>
  <c r="F76" i="32" s="1"/>
  <c r="C77" i="5"/>
  <c r="C77" i="32" s="1"/>
  <c r="G78" i="5"/>
  <c r="G78" i="32" s="1"/>
  <c r="O69" i="5"/>
  <c r="O78" i="5"/>
  <c r="D76" i="5"/>
  <c r="D76" i="32" s="1"/>
  <c r="H72" i="5"/>
  <c r="H72" i="32" s="1"/>
  <c r="O75" i="5"/>
  <c r="I72" i="5"/>
  <c r="I72" i="32" s="1"/>
  <c r="L69" i="5"/>
  <c r="L69" i="32" s="1"/>
  <c r="K76" i="5"/>
  <c r="K76" i="32" s="1"/>
  <c r="F69" i="5"/>
  <c r="F69" i="32" s="1"/>
  <c r="I77" i="5"/>
  <c r="I77" i="32" s="1"/>
  <c r="I69" i="5"/>
  <c r="I69" i="32" s="1"/>
  <c r="L77" i="5"/>
  <c r="L77" i="32" s="1"/>
  <c r="E77" i="5"/>
  <c r="E77" i="32" s="1"/>
  <c r="J70" i="5"/>
  <c r="J70" i="32" s="1"/>
  <c r="J75" i="5"/>
  <c r="J75" i="32" s="1"/>
  <c r="F77" i="5"/>
  <c r="F77" i="32" s="1"/>
  <c r="H75" i="5"/>
  <c r="H75" i="32" s="1"/>
  <c r="I76" i="5"/>
  <c r="I76" i="32" s="1"/>
  <c r="O72" i="5"/>
  <c r="N92" i="32"/>
  <c r="N94" i="32" s="1"/>
  <c r="J99" i="5"/>
  <c r="H69" i="5"/>
  <c r="H69" i="32" s="1"/>
  <c r="C69" i="5"/>
  <c r="C69" i="32" s="1"/>
  <c r="K75" i="5"/>
  <c r="K75" i="32" s="1"/>
  <c r="D72" i="5"/>
  <c r="D72" i="32" s="1"/>
  <c r="D78" i="5"/>
  <c r="D78" i="32" s="1"/>
  <c r="C71" i="5"/>
  <c r="C71" i="32" s="1"/>
  <c r="F71" i="5"/>
  <c r="F71" i="32" s="1"/>
  <c r="J72" i="5"/>
  <c r="J72" i="32" s="1"/>
  <c r="O70" i="5"/>
  <c r="J77" i="5"/>
  <c r="J77" i="32" s="1"/>
  <c r="M71" i="5"/>
  <c r="M71" i="32" s="1"/>
  <c r="G70" i="5"/>
  <c r="G70" i="32" s="1"/>
  <c r="G71" i="5"/>
  <c r="G71" i="32" s="1"/>
  <c r="G77" i="5"/>
  <c r="G77" i="32" s="1"/>
  <c r="K71" i="5"/>
  <c r="K71" i="32" s="1"/>
  <c r="H71" i="5"/>
  <c r="H71" i="32" s="1"/>
  <c r="G76" i="5"/>
  <c r="G76" i="32" s="1"/>
  <c r="E70" i="5"/>
  <c r="E70" i="32" s="1"/>
  <c r="I70" i="5"/>
  <c r="I70" i="32" s="1"/>
  <c r="F72" i="5"/>
  <c r="F72" i="32" s="1"/>
  <c r="M69" i="5"/>
  <c r="M69" i="32" s="1"/>
  <c r="E69" i="5"/>
  <c r="E69" i="32" s="1"/>
  <c r="O71" i="5"/>
  <c r="G75" i="5"/>
  <c r="G75" i="32" s="1"/>
  <c r="E71" i="5"/>
  <c r="E71" i="32" s="1"/>
  <c r="E72" i="5"/>
  <c r="E72" i="32" s="1"/>
  <c r="J71" i="5"/>
  <c r="J71" i="32" s="1"/>
  <c r="I71" i="5"/>
  <c r="I71" i="32" s="1"/>
  <c r="M78" i="5"/>
  <c r="M78" i="32" s="1"/>
  <c r="K77" i="5"/>
  <c r="K77" i="32" s="1"/>
  <c r="C685" i="10"/>
  <c r="D685" i="10" s="1"/>
  <c r="C905" i="10"/>
  <c r="D905" i="10" s="1"/>
  <c r="C361" i="10"/>
  <c r="D361" i="10" s="1"/>
  <c r="C463" i="10"/>
  <c r="D463" i="10" s="1"/>
  <c r="C409" i="10"/>
  <c r="D409" i="10" s="1"/>
  <c r="C718" i="10"/>
  <c r="D718" i="10" s="1"/>
  <c r="O94" i="5"/>
  <c r="G92" i="32"/>
  <c r="G94" i="32" s="1"/>
  <c r="G94" i="5"/>
  <c r="G97" i="32"/>
  <c r="G99" i="32" s="1"/>
  <c r="G99" i="5"/>
  <c r="C404" i="10"/>
  <c r="D404" i="10" s="1"/>
  <c r="C725" i="10"/>
  <c r="D725" i="10" s="1"/>
  <c r="C697" i="10"/>
  <c r="D697" i="10" s="1"/>
  <c r="C923" i="10"/>
  <c r="D923" i="10" s="1"/>
  <c r="C918" i="10"/>
  <c r="D918" i="10" s="1"/>
  <c r="C963" i="10"/>
  <c r="D963" i="10" s="1"/>
  <c r="C458" i="10"/>
  <c r="D458" i="10" s="1"/>
  <c r="C766" i="10"/>
  <c r="D766" i="10" s="1"/>
  <c r="C661" i="10"/>
  <c r="D661" i="10" s="1"/>
  <c r="C827" i="10"/>
  <c r="D827" i="10" s="1"/>
  <c r="C700" i="10"/>
  <c r="D700" i="10" s="1"/>
  <c r="C625" i="10"/>
  <c r="D625" i="10" s="1"/>
  <c r="C674" i="10"/>
  <c r="D674" i="10" s="1"/>
  <c r="C755" i="10"/>
  <c r="D755" i="10" s="1"/>
  <c r="C943" i="10"/>
  <c r="D943" i="10" s="1"/>
  <c r="C721" i="10"/>
  <c r="D721" i="10" s="1"/>
  <c r="C680" i="10"/>
  <c r="D680" i="10" s="1"/>
  <c r="C596" i="10"/>
  <c r="D596" i="10" s="1"/>
  <c r="C831" i="10"/>
  <c r="D831" i="10" s="1"/>
  <c r="C929" i="10"/>
  <c r="D929" i="10" s="1"/>
  <c r="C748" i="10"/>
  <c r="D748" i="10" s="1"/>
  <c r="C397" i="10"/>
  <c r="D397" i="10" s="1"/>
  <c r="C481" i="10"/>
  <c r="D481" i="10" s="1"/>
  <c r="C714" i="10"/>
  <c r="D714" i="10" s="1"/>
  <c r="C631" i="10"/>
  <c r="D631" i="10" s="1"/>
  <c r="C763" i="10"/>
  <c r="D763" i="10" s="1"/>
  <c r="C371" i="10"/>
  <c r="D371" i="10" s="1"/>
  <c r="C922" i="10"/>
  <c r="D922" i="10" s="1"/>
  <c r="C701" i="10"/>
  <c r="D701" i="10" s="1"/>
  <c r="C855" i="10"/>
  <c r="D855" i="10" s="1"/>
  <c r="C713" i="10"/>
  <c r="D713" i="10" s="1"/>
  <c r="C512" i="10"/>
  <c r="D512" i="10" s="1"/>
  <c r="C870" i="10"/>
  <c r="D870" i="10" s="1"/>
  <c r="C717" i="10"/>
  <c r="D717" i="10" s="1"/>
  <c r="C582" i="10"/>
  <c r="D582" i="10" s="1"/>
  <c r="C668" i="10"/>
  <c r="D668" i="10" s="1"/>
  <c r="C432" i="10"/>
  <c r="D432" i="10" s="1"/>
  <c r="C612" i="10"/>
  <c r="D612" i="10" s="1"/>
  <c r="C671" i="10"/>
  <c r="D671" i="10" s="1"/>
  <c r="C768" i="10"/>
  <c r="D768" i="10" s="1"/>
  <c r="C501" i="10"/>
  <c r="D501" i="10" s="1"/>
  <c r="C709" i="10"/>
  <c r="D709" i="10" s="1"/>
  <c r="C966" i="10"/>
  <c r="D966" i="10" s="1"/>
  <c r="C785" i="10"/>
  <c r="D785" i="10" s="1"/>
  <c r="C442" i="10"/>
  <c r="D442" i="10" s="1"/>
  <c r="C940" i="10"/>
  <c r="D940" i="10" s="1"/>
  <c r="C896" i="10"/>
  <c r="D896" i="10" s="1"/>
  <c r="C789" i="10"/>
  <c r="D789" i="10" s="1"/>
  <c r="C969" i="10"/>
  <c r="D969" i="10" s="1"/>
  <c r="C601" i="10"/>
  <c r="D601" i="10" s="1"/>
  <c r="C535" i="10"/>
  <c r="D535" i="10" s="1"/>
  <c r="C570" i="10"/>
  <c r="D570" i="10" s="1"/>
  <c r="C878" i="10"/>
  <c r="D878" i="10" s="1"/>
  <c r="C710" i="10"/>
  <c r="D710" i="10" s="1"/>
  <c r="C912" i="10"/>
  <c r="D912" i="10" s="1"/>
  <c r="C802" i="10"/>
  <c r="D802" i="10" s="1"/>
  <c r="C821" i="10"/>
  <c r="D821" i="10" s="1"/>
  <c r="C865" i="10"/>
  <c r="D865" i="10" s="1"/>
  <c r="C724" i="10"/>
  <c r="D724" i="10" s="1"/>
  <c r="C994" i="10"/>
  <c r="D994" i="10" s="1"/>
  <c r="C529" i="10"/>
  <c r="D529" i="10" s="1"/>
  <c r="C699" i="10"/>
  <c r="D699" i="10" s="1"/>
  <c r="C782" i="10"/>
  <c r="D782" i="10" s="1"/>
  <c r="C399" i="10"/>
  <c r="D399" i="10" s="1"/>
  <c r="C828" i="10"/>
  <c r="D828" i="10" s="1"/>
  <c r="C550" i="10"/>
  <c r="D550" i="10" s="1"/>
  <c r="C903" i="10"/>
  <c r="D903" i="10" s="1"/>
  <c r="C777" i="10"/>
  <c r="D777" i="10" s="1"/>
  <c r="C770" i="10"/>
  <c r="D770" i="10" s="1"/>
  <c r="C917" i="10"/>
  <c r="D917" i="10" s="1"/>
  <c r="C387" i="10"/>
  <c r="D387" i="10" s="1"/>
  <c r="C592" i="10"/>
  <c r="D592" i="10" s="1"/>
  <c r="C904" i="10"/>
  <c r="D904" i="10" s="1"/>
  <c r="C647" i="10"/>
  <c r="D647" i="10" s="1"/>
  <c r="C707" i="10"/>
  <c r="D707" i="10" s="1"/>
  <c r="C784" i="10"/>
  <c r="D784" i="10" s="1"/>
  <c r="C995" i="10"/>
  <c r="D995" i="10" s="1"/>
  <c r="C532" i="10"/>
  <c r="D532" i="10" s="1"/>
  <c r="C809" i="10"/>
  <c r="D809" i="10" s="1"/>
  <c r="C652" i="10"/>
  <c r="D652" i="10" s="1"/>
  <c r="C955" i="10"/>
  <c r="D955" i="10" s="1"/>
  <c r="C845" i="10"/>
  <c r="D845" i="10" s="1"/>
  <c r="C451" i="10"/>
  <c r="D451" i="10" s="1"/>
  <c r="C528" i="10"/>
  <c r="D528" i="10" s="1"/>
  <c r="C786" i="10"/>
  <c r="D786" i="10" s="1"/>
  <c r="C619" i="10"/>
  <c r="D619" i="10" s="1"/>
  <c r="C691" i="10"/>
  <c r="D691" i="10" s="1"/>
  <c r="C787" i="10"/>
  <c r="D787" i="10" s="1"/>
  <c r="C431" i="10"/>
  <c r="D431" i="10" s="1"/>
  <c r="C962" i="10"/>
  <c r="D962" i="10" s="1"/>
  <c r="C921" i="10"/>
  <c r="D921" i="10" s="1"/>
  <c r="C996" i="10"/>
  <c r="D996" i="10" s="1"/>
  <c r="C379" i="10"/>
  <c r="D379" i="10" s="1"/>
  <c r="C892" i="10"/>
  <c r="D892" i="10" s="1"/>
  <c r="C851" i="10"/>
  <c r="D851" i="10" s="1"/>
  <c r="C841" i="10"/>
  <c r="D841" i="10" s="1"/>
  <c r="C553" i="10"/>
  <c r="D553" i="10" s="1"/>
  <c r="C806" i="10"/>
  <c r="D806" i="10" s="1"/>
  <c r="C976" i="10"/>
  <c r="D976" i="10" s="1"/>
  <c r="C972" i="10"/>
  <c r="D972" i="10" s="1"/>
  <c r="C877" i="10"/>
  <c r="D877" i="10" s="1"/>
  <c r="C908" i="10"/>
  <c r="D908" i="10" s="1"/>
  <c r="C455" i="10"/>
  <c r="D455" i="10" s="1"/>
  <c r="C757" i="10"/>
  <c r="D757" i="10" s="1"/>
  <c r="C832" i="10"/>
  <c r="D832" i="10" s="1"/>
  <c r="C539" i="10"/>
  <c r="D539" i="10" s="1"/>
  <c r="C609" i="10"/>
  <c r="D609" i="10" s="1"/>
  <c r="C736" i="10"/>
  <c r="D736" i="10" s="1"/>
  <c r="C773" i="10"/>
  <c r="D773" i="10" s="1"/>
  <c r="C859" i="10"/>
  <c r="D859" i="10" s="1"/>
  <c r="C801" i="10"/>
  <c r="D801" i="10" s="1"/>
  <c r="C555" i="10"/>
  <c r="D555" i="10" s="1"/>
  <c r="C536" i="10"/>
  <c r="D536" i="10" s="1"/>
  <c r="C408" i="10"/>
  <c r="D408" i="10" s="1"/>
  <c r="C615" i="10"/>
  <c r="D615" i="10" s="1"/>
  <c r="C742" i="10"/>
  <c r="D742" i="10" s="1"/>
  <c r="C729" i="10"/>
  <c r="D729" i="10" s="1"/>
  <c r="C822" i="10"/>
  <c r="D822" i="10" s="1"/>
  <c r="C1000" i="10"/>
  <c r="D1000" i="10" s="1"/>
  <c r="C530" i="10"/>
  <c r="D530" i="10" s="1"/>
  <c r="C635" i="10"/>
  <c r="D635" i="10" s="1"/>
  <c r="C965" i="10"/>
  <c r="D965" i="10" s="1"/>
  <c r="C862" i="10"/>
  <c r="D862" i="10" s="1"/>
  <c r="C803" i="10"/>
  <c r="D803" i="10" s="1"/>
  <c r="C603" i="10"/>
  <c r="D603" i="10" s="1"/>
  <c r="C891" i="10"/>
  <c r="D891" i="10" s="1"/>
  <c r="C930" i="10"/>
  <c r="D930" i="10" s="1"/>
  <c r="C941" i="10"/>
  <c r="D941" i="10" s="1"/>
  <c r="C428" i="10"/>
  <c r="D428" i="10" s="1"/>
  <c r="C564" i="10"/>
  <c r="D564" i="10" s="1"/>
  <c r="C568" i="10"/>
  <c r="D568" i="10" s="1"/>
  <c r="C571" i="10"/>
  <c r="D571" i="10" s="1"/>
  <c r="C372" i="10"/>
  <c r="D372" i="10" s="1"/>
  <c r="C453" i="10"/>
  <c r="D453" i="10" s="1"/>
  <c r="C772" i="10"/>
  <c r="D772" i="10" s="1"/>
  <c r="C646" i="10"/>
  <c r="D646" i="10" s="1"/>
  <c r="C890" i="10"/>
  <c r="D890" i="10" s="1"/>
  <c r="C964" i="10"/>
  <c r="D964" i="10" s="1"/>
  <c r="C854" i="10"/>
  <c r="D854" i="10" s="1"/>
  <c r="C475" i="10"/>
  <c r="D475" i="10" s="1"/>
  <c r="C889" i="10"/>
  <c r="D889" i="10" s="1"/>
  <c r="C775" i="10"/>
  <c r="D775" i="10" s="1"/>
  <c r="C618" i="10"/>
  <c r="D618" i="10" s="1"/>
  <c r="C538" i="10"/>
  <c r="D538" i="10" s="1"/>
  <c r="C595" i="10"/>
  <c r="D595" i="10" s="1"/>
  <c r="C513" i="10"/>
  <c r="D513" i="10" s="1"/>
  <c r="C440" i="10"/>
  <c r="D440" i="10" s="1"/>
  <c r="C374" i="10"/>
  <c r="D374" i="10" s="1"/>
  <c r="C604" i="10"/>
  <c r="D604" i="10" s="1"/>
  <c r="C500" i="10"/>
  <c r="D500" i="10" s="1"/>
  <c r="C389" i="10"/>
  <c r="D389" i="10" s="1"/>
  <c r="C605" i="10"/>
  <c r="D605" i="10" s="1"/>
  <c r="C971" i="10"/>
  <c r="D971" i="10" s="1"/>
  <c r="C525" i="10"/>
  <c r="D525" i="10" s="1"/>
  <c r="C867" i="10"/>
  <c r="D867" i="10" s="1"/>
  <c r="C422" i="10"/>
  <c r="D422" i="10" s="1"/>
  <c r="C470" i="10"/>
  <c r="D470" i="10" s="1"/>
  <c r="C672" i="10"/>
  <c r="D672" i="10" s="1"/>
  <c r="C641" i="10"/>
  <c r="D641" i="10" s="1"/>
  <c r="C818" i="10"/>
  <c r="D818" i="10" s="1"/>
  <c r="C880" i="10"/>
  <c r="D880" i="10" s="1"/>
  <c r="C885" i="10"/>
  <c r="D885" i="10" s="1"/>
  <c r="C835" i="10"/>
  <c r="D835" i="10" s="1"/>
  <c r="C552" i="10"/>
  <c r="D552" i="10" s="1"/>
  <c r="C495" i="10"/>
  <c r="D495" i="10" s="1"/>
  <c r="C664" i="10"/>
  <c r="D664" i="10" s="1"/>
  <c r="C823" i="10"/>
  <c r="D823" i="10" s="1"/>
  <c r="C872" i="10"/>
  <c r="D872" i="10" s="1"/>
  <c r="C937" i="10"/>
  <c r="D937" i="10" s="1"/>
  <c r="C866" i="10"/>
  <c r="D866" i="10" s="1"/>
  <c r="C746" i="10"/>
  <c r="D746" i="10" s="1"/>
  <c r="C617" i="10"/>
  <c r="D617" i="10" s="1"/>
  <c r="C478" i="10"/>
  <c r="D478" i="10" s="1"/>
  <c r="C534" i="10"/>
  <c r="D534" i="10" s="1"/>
  <c r="C738" i="10"/>
  <c r="D738" i="10" s="1"/>
  <c r="C686" i="10"/>
  <c r="D686" i="10" s="1"/>
  <c r="C957" i="10"/>
  <c r="D957" i="10" s="1"/>
  <c r="C951" i="10"/>
  <c r="D951" i="10" s="1"/>
  <c r="C747" i="10"/>
  <c r="D747" i="10" s="1"/>
  <c r="C838" i="10"/>
  <c r="D838" i="10" s="1"/>
  <c r="C624" i="10"/>
  <c r="D624" i="10" s="1"/>
  <c r="C693" i="10"/>
  <c r="D693" i="10" s="1"/>
  <c r="C695" i="10"/>
  <c r="D695" i="10" s="1"/>
  <c r="C844" i="10"/>
  <c r="D844" i="10" s="1"/>
  <c r="C813" i="10"/>
  <c r="D813" i="10" s="1"/>
  <c r="C466" i="10"/>
  <c r="D466" i="10" s="1"/>
  <c r="C439" i="10"/>
  <c r="D439" i="10" s="1"/>
  <c r="C486" i="10"/>
  <c r="D486" i="10" s="1"/>
  <c r="C632" i="10"/>
  <c r="D632" i="10" s="1"/>
  <c r="C767" i="10"/>
  <c r="D767" i="10" s="1"/>
  <c r="C682" i="10"/>
  <c r="D682" i="10" s="1"/>
  <c r="C861" i="10"/>
  <c r="D861" i="10" s="1"/>
  <c r="C753" i="10"/>
  <c r="D753" i="10" s="1"/>
  <c r="C990" i="10"/>
  <c r="D990" i="10" s="1"/>
  <c r="C815" i="10"/>
  <c r="D815" i="10" s="1"/>
  <c r="C599" i="10"/>
  <c r="D599" i="10" s="1"/>
  <c r="C506" i="10"/>
  <c r="D506" i="10" s="1"/>
  <c r="C642" i="10"/>
  <c r="D642" i="10" s="1"/>
  <c r="C492" i="10"/>
  <c r="D492" i="10" s="1"/>
  <c r="C412" i="10"/>
  <c r="D412" i="10" s="1"/>
  <c r="C382" i="10"/>
  <c r="D382" i="10" s="1"/>
  <c r="C580" i="10"/>
  <c r="D580" i="10" s="1"/>
  <c r="C444" i="10"/>
  <c r="D444" i="10" s="1"/>
  <c r="C722" i="10"/>
  <c r="D722" i="10" s="1"/>
  <c r="C830" i="10"/>
  <c r="D830" i="10" s="1"/>
  <c r="C450" i="10"/>
  <c r="D450" i="10" s="1"/>
  <c r="C886" i="10"/>
  <c r="D886" i="10" s="1"/>
  <c r="C804" i="10"/>
  <c r="D804" i="10" s="1"/>
  <c r="C607" i="10"/>
  <c r="D607" i="10" s="1"/>
  <c r="C527" i="10"/>
  <c r="D527" i="10" s="1"/>
  <c r="C679" i="10"/>
  <c r="D679" i="10" s="1"/>
  <c r="C524" i="10"/>
  <c r="D524" i="10" s="1"/>
  <c r="C429" i="10"/>
  <c r="D429" i="10" s="1"/>
  <c r="C370" i="10"/>
  <c r="D370" i="10" s="1"/>
  <c r="C590" i="10"/>
  <c r="D590" i="10" s="1"/>
  <c r="C447" i="10"/>
  <c r="D447" i="10" s="1"/>
  <c r="C598" i="10"/>
  <c r="D598" i="10" s="1"/>
  <c r="C459" i="10"/>
  <c r="D459" i="10" s="1"/>
  <c r="C798" i="10"/>
  <c r="D798" i="10" s="1"/>
  <c r="C602" i="10"/>
  <c r="D602" i="10" s="1"/>
  <c r="C519" i="10"/>
  <c r="D519" i="10" s="1"/>
  <c r="C743" i="10"/>
  <c r="D743" i="10" s="1"/>
  <c r="C545" i="10"/>
  <c r="D545" i="10" s="1"/>
  <c r="C400" i="10"/>
  <c r="D400" i="10" s="1"/>
  <c r="C356" i="10"/>
  <c r="D356" i="10" s="1"/>
  <c r="C620" i="10"/>
  <c r="D620" i="10" s="1"/>
  <c r="C465" i="10"/>
  <c r="D465" i="10" s="1"/>
  <c r="C365" i="10"/>
  <c r="D365" i="10" s="1"/>
  <c r="C504" i="10"/>
  <c r="D504" i="10" s="1"/>
  <c r="C377" i="10"/>
  <c r="D377" i="10" s="1"/>
  <c r="C637" i="10"/>
  <c r="D637" i="10" s="1"/>
  <c r="C675" i="10"/>
  <c r="D675" i="10" s="1"/>
  <c r="C704" i="10"/>
  <c r="D704" i="10" s="1"/>
  <c r="C750" i="10"/>
  <c r="D750" i="10" s="1"/>
  <c r="C791" i="10"/>
  <c r="D791" i="10" s="1"/>
  <c r="C483" i="10"/>
  <c r="D483" i="10" s="1"/>
  <c r="C665" i="10"/>
  <c r="D665" i="10" s="1"/>
  <c r="C958" i="10"/>
  <c r="D958" i="10" s="1"/>
  <c r="C893" i="10"/>
  <c r="D893" i="10" s="1"/>
  <c r="C467" i="10"/>
  <c r="D467" i="10" s="1"/>
  <c r="C932" i="10"/>
  <c r="D932" i="10" s="1"/>
  <c r="C888" i="10"/>
  <c r="D888" i="10" s="1"/>
  <c r="C853" i="10"/>
  <c r="D853" i="10" s="1"/>
  <c r="C367" i="10"/>
  <c r="D367" i="10" s="1"/>
  <c r="C616" i="10"/>
  <c r="D616" i="10" s="1"/>
  <c r="C856" i="10"/>
  <c r="D856" i="10" s="1"/>
  <c r="C984" i="10"/>
  <c r="D984" i="10" s="1"/>
  <c r="C980" i="10"/>
  <c r="D980" i="10" s="1"/>
  <c r="C897" i="10"/>
  <c r="D897" i="10" s="1"/>
  <c r="C347" i="10"/>
  <c r="D347" i="10" s="1"/>
  <c r="C471" i="10"/>
  <c r="D471" i="10" s="1"/>
  <c r="C449" i="10"/>
  <c r="D449" i="10" s="1"/>
  <c r="C430" i="10"/>
  <c r="D430" i="10" s="1"/>
  <c r="C396" i="10"/>
  <c r="D396" i="10" s="1"/>
  <c r="C563" i="10"/>
  <c r="D563" i="10" s="1"/>
  <c r="C514" i="10"/>
  <c r="D514" i="10" s="1"/>
  <c r="C780" i="10"/>
  <c r="D780" i="10" s="1"/>
  <c r="C882" i="10"/>
  <c r="D882" i="10" s="1"/>
  <c r="C375" i="10"/>
  <c r="D375" i="10" s="1"/>
  <c r="C825" i="10"/>
  <c r="D825" i="10" s="1"/>
  <c r="C871" i="10"/>
  <c r="D871" i="10" s="1"/>
  <c r="C840" i="10"/>
  <c r="D840" i="10" s="1"/>
  <c r="C438" i="10"/>
  <c r="D438" i="10" s="1"/>
  <c r="C967" i="10"/>
  <c r="D967" i="10" s="1"/>
  <c r="C735" i="10"/>
  <c r="D735" i="10" s="1"/>
  <c r="C816" i="10"/>
  <c r="D816" i="10" s="1"/>
  <c r="C952" i="10"/>
  <c r="D952" i="10" s="1"/>
  <c r="C927" i="10"/>
  <c r="D927" i="10" s="1"/>
  <c r="C920" i="10"/>
  <c r="D920" i="10" s="1"/>
  <c r="C493" i="10"/>
  <c r="D493" i="10" s="1"/>
  <c r="C850" i="10"/>
  <c r="D850" i="10" s="1"/>
  <c r="C883" i="10"/>
  <c r="D883" i="10" s="1"/>
  <c r="C900" i="10"/>
  <c r="D900" i="10" s="1"/>
  <c r="C857" i="10"/>
  <c r="D857" i="10" s="1"/>
  <c r="C868" i="10"/>
  <c r="D868" i="10" s="1"/>
  <c r="C974" i="10"/>
  <c r="D974" i="10" s="1"/>
  <c r="C477" i="10"/>
  <c r="D477" i="10" s="1"/>
  <c r="C460" i="10"/>
  <c r="D460" i="10" s="1"/>
  <c r="C364" i="10"/>
  <c r="D364" i="10" s="1"/>
  <c r="C723" i="10"/>
  <c r="D723" i="10" s="1"/>
  <c r="C973" i="10"/>
  <c r="D973" i="10" s="1"/>
  <c r="C384" i="10"/>
  <c r="D384" i="10" s="1"/>
  <c r="C762" i="10"/>
  <c r="D762" i="10" s="1"/>
  <c r="C914" i="10"/>
  <c r="D914" i="10" s="1"/>
  <c r="C515" i="10"/>
  <c r="D515" i="10" s="1"/>
  <c r="C978" i="10"/>
  <c r="D978" i="10" s="1"/>
  <c r="C887" i="10"/>
  <c r="D887" i="10" s="1"/>
  <c r="C505" i="10"/>
  <c r="D505" i="10" s="1"/>
  <c r="C491" i="10"/>
  <c r="D491" i="10" s="1"/>
  <c r="C650" i="10"/>
  <c r="D650" i="10" s="1"/>
  <c r="C414" i="10"/>
  <c r="D414" i="10" s="1"/>
  <c r="C511" i="10"/>
  <c r="D511" i="10" s="1"/>
  <c r="C863" i="10"/>
  <c r="D863" i="10" s="1"/>
  <c r="C797" i="10"/>
  <c r="D797" i="10" s="1"/>
  <c r="C730" i="10"/>
  <c r="D730" i="10" s="1"/>
  <c r="C583" i="10"/>
  <c r="D583" i="10" s="1"/>
  <c r="C490" i="10"/>
  <c r="D490" i="10" s="1"/>
  <c r="C577" i="10"/>
  <c r="D577" i="10" s="1"/>
  <c r="C472" i="10"/>
  <c r="D472" i="10" s="1"/>
  <c r="C406" i="10"/>
  <c r="D406" i="10" s="1"/>
  <c r="C366" i="10"/>
  <c r="D366" i="10" s="1"/>
  <c r="C778" i="10"/>
  <c r="D778" i="10" s="1"/>
  <c r="C561" i="10"/>
  <c r="D561" i="10" s="1"/>
  <c r="C419" i="10"/>
  <c r="D419" i="10" s="1"/>
  <c r="C614" i="10"/>
  <c r="D614" i="10" s="1"/>
  <c r="C834" i="10"/>
  <c r="D834" i="10" s="1"/>
  <c r="C898" i="10"/>
  <c r="D898" i="10" s="1"/>
  <c r="C819" i="10"/>
  <c r="D819" i="10" s="1"/>
  <c r="C759" i="10"/>
  <c r="D759" i="10" s="1"/>
  <c r="C586" i="10"/>
  <c r="D586" i="10" s="1"/>
  <c r="C503" i="10"/>
  <c r="D503" i="10" s="1"/>
  <c r="C626" i="10"/>
  <c r="D626" i="10" s="1"/>
  <c r="C496" i="10"/>
  <c r="D496" i="10" s="1"/>
  <c r="C402" i="10"/>
  <c r="D402" i="10" s="1"/>
  <c r="C360" i="10"/>
  <c r="D360" i="10" s="1"/>
  <c r="C820" i="10"/>
  <c r="D820" i="10" s="1"/>
  <c r="C566" i="10"/>
  <c r="D566" i="10" s="1"/>
  <c r="C413" i="10"/>
  <c r="D413" i="10" s="1"/>
  <c r="C548" i="10"/>
  <c r="D548" i="10" s="1"/>
  <c r="C435" i="10"/>
  <c r="D435" i="10" s="1"/>
  <c r="C474" i="10"/>
  <c r="D474" i="10" s="1"/>
  <c r="C968" i="10"/>
  <c r="D968" i="10" s="1"/>
  <c r="C751" i="10"/>
  <c r="D751" i="10" s="1"/>
  <c r="C578" i="10"/>
  <c r="D578" i="10" s="1"/>
  <c r="C498" i="10"/>
  <c r="D498" i="10" s="1"/>
  <c r="C654" i="10"/>
  <c r="D654" i="10" s="1"/>
  <c r="C517" i="10"/>
  <c r="D517" i="10" s="1"/>
  <c r="C445" i="10"/>
  <c r="D445" i="10" s="1"/>
  <c r="C388" i="10"/>
  <c r="D388" i="10" s="1"/>
  <c r="C346" i="10"/>
  <c r="D346" i="10" s="1"/>
  <c r="C585" i="10"/>
  <c r="D585" i="10" s="1"/>
  <c r="C706" i="10"/>
  <c r="D706" i="10" s="1"/>
  <c r="C473" i="10"/>
  <c r="D473" i="10" s="1"/>
  <c r="C345" i="10"/>
  <c r="D345" i="10" s="1"/>
  <c r="C613" i="10"/>
  <c r="D613" i="10" s="1"/>
  <c r="C645" i="10"/>
  <c r="D645" i="10" s="1"/>
  <c r="C683" i="10"/>
  <c r="D683" i="10" s="1"/>
  <c r="C712" i="10"/>
  <c r="D712" i="10" s="1"/>
  <c r="C760" i="10"/>
  <c r="D760" i="10" s="1"/>
  <c r="C812" i="10"/>
  <c r="D812" i="10" s="1"/>
  <c r="C418" i="10"/>
  <c r="D418" i="10" s="1"/>
  <c r="C954" i="10"/>
  <c r="D954" i="10" s="1"/>
  <c r="C910" i="10"/>
  <c r="D910" i="10" s="1"/>
  <c r="C765" i="10"/>
  <c r="D765" i="10" s="1"/>
  <c r="C417" i="10"/>
  <c r="D417" i="10" s="1"/>
  <c r="C884" i="10"/>
  <c r="D884" i="10" s="1"/>
  <c r="C839" i="10"/>
  <c r="D839" i="10" s="1"/>
  <c r="C919" i="10"/>
  <c r="D919" i="10" s="1"/>
  <c r="C452" i="10"/>
  <c r="D452" i="10" s="1"/>
  <c r="C719" i="10"/>
  <c r="D719" i="10" s="1"/>
  <c r="C852" i="10"/>
  <c r="D852" i="10" s="1"/>
  <c r="C705" i="10"/>
  <c r="D705" i="10" s="1"/>
  <c r="C961" i="10"/>
  <c r="D961" i="10" s="1"/>
  <c r="C411" i="10"/>
  <c r="D411" i="10" s="1"/>
  <c r="C521" i="10"/>
  <c r="D521" i="10" s="1"/>
  <c r="C497" i="10"/>
  <c r="D497" i="10" s="1"/>
  <c r="C509" i="10"/>
  <c r="D509" i="10" s="1"/>
  <c r="C416" i="10"/>
  <c r="D416" i="10" s="1"/>
  <c r="C648" i="10"/>
  <c r="D648" i="10" s="1"/>
  <c r="C559" i="10"/>
  <c r="D559" i="10" s="1"/>
  <c r="C950" i="10"/>
  <c r="D950" i="10" s="1"/>
  <c r="C902" i="10"/>
  <c r="D902" i="10" s="1"/>
  <c r="C842" i="10"/>
  <c r="D842" i="10" s="1"/>
  <c r="C979" i="10"/>
  <c r="D979" i="10" s="1"/>
  <c r="C383" i="10"/>
  <c r="D383" i="10" s="1"/>
  <c r="C526" i="10"/>
  <c r="D526" i="10" s="1"/>
  <c r="C656" i="10"/>
  <c r="D656" i="10" s="1"/>
  <c r="C510" i="10"/>
  <c r="D510" i="10" s="1"/>
  <c r="C799" i="10"/>
  <c r="D799" i="10" s="1"/>
  <c r="C636" i="10"/>
  <c r="D636" i="10" s="1"/>
  <c r="C833" i="10"/>
  <c r="D833" i="10" s="1"/>
  <c r="C942" i="10"/>
  <c r="D942" i="10" s="1"/>
  <c r="C569" i="10"/>
  <c r="D569" i="10" s="1"/>
  <c r="C745" i="10"/>
  <c r="D745" i="10" s="1"/>
  <c r="C795" i="10"/>
  <c r="D795" i="10" s="1"/>
  <c r="C793" i="10"/>
  <c r="D793" i="10" s="1"/>
  <c r="C584" i="10"/>
  <c r="D584" i="10" s="1"/>
  <c r="C739" i="10"/>
  <c r="D739" i="10" s="1"/>
  <c r="C662" i="10"/>
  <c r="D662" i="10" s="1"/>
  <c r="C541" i="10"/>
  <c r="D541" i="10" s="1"/>
  <c r="C523" i="10"/>
  <c r="D523" i="10" s="1"/>
  <c r="C368" i="10"/>
  <c r="D368" i="10" s="1"/>
  <c r="C464" i="10"/>
  <c r="D464" i="10" s="1"/>
  <c r="C628" i="10"/>
  <c r="D628" i="10" s="1"/>
  <c r="C484" i="10"/>
  <c r="D484" i="10" s="1"/>
  <c r="C476" i="10"/>
  <c r="D476" i="10" s="1"/>
  <c r="C448" i="10"/>
  <c r="D448" i="10" s="1"/>
  <c r="C764" i="10"/>
  <c r="D764" i="10" s="1"/>
  <c r="C634" i="10"/>
  <c r="D634" i="10" s="1"/>
  <c r="C817" i="10"/>
  <c r="D817" i="10" s="1"/>
  <c r="C357" i="10"/>
  <c r="D357" i="10" s="1"/>
  <c r="C638" i="10"/>
  <c r="D638" i="10" s="1"/>
  <c r="C390" i="10"/>
  <c r="D390" i="10" s="1"/>
  <c r="C531" i="10"/>
  <c r="D531" i="10" s="1"/>
  <c r="C522" i="10"/>
  <c r="D522" i="10" s="1"/>
  <c r="C403" i="10"/>
  <c r="D403" i="10" s="1"/>
  <c r="C805" i="10"/>
  <c r="D805" i="10" s="1"/>
  <c r="C669" i="10"/>
  <c r="D669" i="10" s="1"/>
  <c r="C560" i="10"/>
  <c r="D560" i="10" s="1"/>
  <c r="C359" i="10"/>
  <c r="D359" i="10" s="1"/>
  <c r="C934" i="10"/>
  <c r="D934" i="10" s="1"/>
  <c r="C944" i="10"/>
  <c r="D944" i="10" s="1"/>
  <c r="C913" i="10"/>
  <c r="D913" i="10" s="1"/>
  <c r="C720" i="10"/>
  <c r="D720" i="10" s="1"/>
  <c r="C790" i="10"/>
  <c r="D790" i="10" s="1"/>
  <c r="C480" i="10"/>
  <c r="D480" i="10" s="1"/>
  <c r="C926" i="10"/>
  <c r="D926" i="10" s="1"/>
  <c r="C894" i="10"/>
  <c r="D894" i="10" s="1"/>
  <c r="C677" i="10"/>
  <c r="D677" i="10" s="1"/>
  <c r="C407" i="10"/>
  <c r="D407" i="10" s="1"/>
  <c r="C520" i="10"/>
  <c r="D520" i="10" s="1"/>
  <c r="C744" i="10"/>
  <c r="D744" i="10" s="1"/>
  <c r="C355" i="10"/>
  <c r="D355" i="10" s="1"/>
  <c r="C732" i="10"/>
  <c r="D732" i="10" s="1"/>
  <c r="C946" i="10"/>
  <c r="D946" i="10" s="1"/>
  <c r="C915" i="10"/>
  <c r="D915" i="10" s="1"/>
  <c r="C939" i="10"/>
  <c r="D939" i="10" s="1"/>
  <c r="C989" i="10"/>
  <c r="D989" i="10" s="1"/>
  <c r="C869" i="10"/>
  <c r="D869" i="10" s="1"/>
  <c r="C826" i="10"/>
  <c r="D826" i="10" s="1"/>
  <c r="C935" i="10"/>
  <c r="D935" i="10" s="1"/>
  <c r="C933" i="10"/>
  <c r="D933" i="10" s="1"/>
  <c r="C881" i="10"/>
  <c r="D881" i="10" s="1"/>
  <c r="C945" i="10"/>
  <c r="D945" i="10" s="1"/>
  <c r="C948" i="10"/>
  <c r="D948" i="10" s="1"/>
  <c r="C436" i="10"/>
  <c r="D436" i="10" s="1"/>
  <c r="C991" i="10"/>
  <c r="D991" i="10" s="1"/>
  <c r="C931" i="10"/>
  <c r="D931" i="10" s="1"/>
  <c r="C489" i="10"/>
  <c r="D489" i="10" s="1"/>
  <c r="C594" i="10"/>
  <c r="D594" i="10" s="1"/>
  <c r="C461" i="10"/>
  <c r="D461" i="10" s="1"/>
  <c r="C573" i="10"/>
  <c r="D573" i="10" s="1"/>
  <c r="C572" i="10"/>
  <c r="D572" i="10" s="1"/>
  <c r="C769" i="10"/>
  <c r="D769" i="10" s="1"/>
  <c r="C899" i="10"/>
  <c r="D899" i="10" s="1"/>
  <c r="C502" i="10"/>
  <c r="D502" i="10" s="1"/>
  <c r="C792" i="10"/>
  <c r="D792" i="10" s="1"/>
  <c r="C369" i="10"/>
  <c r="D369" i="10" s="1"/>
  <c r="C843" i="10"/>
  <c r="D843" i="10" s="1"/>
  <c r="C916" i="10"/>
  <c r="D916" i="10" s="1"/>
  <c r="C716" i="10"/>
  <c r="D716" i="10" s="1"/>
  <c r="C731" i="10"/>
  <c r="D731" i="10" s="1"/>
  <c r="C653" i="10"/>
  <c r="D653" i="10" s="1"/>
  <c r="C579" i="10"/>
  <c r="D579" i="10" s="1"/>
  <c r="C557" i="10"/>
  <c r="D557" i="10" s="1"/>
  <c r="C378" i="10"/>
  <c r="D378" i="10" s="1"/>
  <c r="C485" i="10"/>
  <c r="D485" i="10" s="1"/>
  <c r="C479" i="10"/>
  <c r="D479" i="10" s="1"/>
  <c r="C663" i="10"/>
  <c r="D663" i="10" s="1"/>
  <c r="C385" i="10"/>
  <c r="D385" i="10" s="1"/>
  <c r="C516" i="10"/>
  <c r="D516" i="10" s="1"/>
  <c r="C533" i="10"/>
  <c r="D533" i="10" s="1"/>
  <c r="C348" i="10"/>
  <c r="D348" i="10" s="1"/>
  <c r="C469" i="10"/>
  <c r="D469" i="10" s="1"/>
  <c r="C482" i="10"/>
  <c r="D482" i="10" s="1"/>
  <c r="C692" i="10"/>
  <c r="D692" i="10" s="1"/>
  <c r="C953" i="10"/>
  <c r="D953" i="10" s="1"/>
  <c r="C698" i="10"/>
  <c r="D698" i="10" s="1"/>
  <c r="C398" i="10"/>
  <c r="D398" i="10" s="1"/>
  <c r="C556" i="10"/>
  <c r="D556" i="10" s="1"/>
  <c r="C554" i="10"/>
  <c r="D554" i="10" s="1"/>
  <c r="C540" i="10"/>
  <c r="D540" i="10" s="1"/>
  <c r="C558" i="10"/>
  <c r="D558" i="10" s="1"/>
  <c r="C499" i="10"/>
  <c r="D499" i="10" s="1"/>
  <c r="C597" i="10"/>
  <c r="D597" i="10" s="1"/>
  <c r="C848" i="10"/>
  <c r="D848" i="10" s="1"/>
  <c r="C836" i="10"/>
  <c r="D836" i="10" s="1"/>
  <c r="C858" i="10"/>
  <c r="D858" i="10" s="1"/>
  <c r="C651" i="10"/>
  <c r="D651" i="10" s="1"/>
  <c r="C703" i="10"/>
  <c r="D703" i="10" s="1"/>
  <c r="C415" i="10"/>
  <c r="D415" i="10" s="1"/>
  <c r="C998" i="10"/>
  <c r="D998" i="10" s="1"/>
  <c r="C575" i="10"/>
  <c r="D575" i="10" s="1"/>
  <c r="C925" i="10"/>
  <c r="D925" i="10" s="1"/>
  <c r="C977" i="10"/>
  <c r="D977" i="10" s="1"/>
  <c r="M97" i="32"/>
  <c r="M99" i="32" s="1"/>
  <c r="E94" i="5"/>
  <c r="F97" i="32"/>
  <c r="F99" i="32" s="1"/>
  <c r="L99" i="32"/>
  <c r="C99" i="5"/>
  <c r="I99" i="5"/>
  <c r="L94" i="5"/>
  <c r="D94" i="32"/>
  <c r="D94" i="5"/>
  <c r="H94" i="5"/>
  <c r="C92" i="32"/>
  <c r="L99" i="5"/>
  <c r="M94" i="5"/>
  <c r="K94" i="5"/>
  <c r="H99" i="5"/>
  <c r="H99" i="32"/>
  <c r="H92" i="32"/>
  <c r="H94" i="32" s="1"/>
  <c r="I93" i="32"/>
  <c r="I94" i="32" s="1"/>
  <c r="I94" i="5"/>
  <c r="E98" i="32"/>
  <c r="O98" i="32" s="1"/>
  <c r="E99" i="5"/>
  <c r="F93" i="32"/>
  <c r="F94" i="5"/>
  <c r="K97" i="32"/>
  <c r="K99" i="5"/>
  <c r="C983" i="10"/>
  <c r="D983" i="10" s="1"/>
  <c r="C874" i="10"/>
  <c r="D874" i="10" s="1"/>
  <c r="C949" i="10"/>
  <c r="D949" i="10" s="1"/>
  <c r="C734" i="10"/>
  <c r="D734" i="10" s="1"/>
  <c r="C386" i="10"/>
  <c r="D386" i="10" s="1"/>
  <c r="C441" i="10"/>
  <c r="D441" i="10" s="1"/>
  <c r="C655" i="10"/>
  <c r="D655" i="10" s="1"/>
  <c r="C849" i="10"/>
  <c r="D849" i="10" s="1"/>
  <c r="C993" i="10"/>
  <c r="D993" i="10" s="1"/>
  <c r="C610" i="10"/>
  <c r="D610" i="10" s="1"/>
  <c r="C667" i="10"/>
  <c r="D667" i="10" s="1"/>
  <c r="C829" i="10"/>
  <c r="D829" i="10" s="1"/>
  <c r="C727" i="10"/>
  <c r="D727" i="10" s="1"/>
  <c r="C623" i="10"/>
  <c r="D623" i="10" s="1"/>
  <c r="C774" i="10"/>
  <c r="D774" i="10" s="1"/>
  <c r="C947" i="10"/>
  <c r="D947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811" i="10"/>
  <c r="D811" i="10" s="1"/>
  <c r="C959" i="10"/>
  <c r="D959" i="10" s="1"/>
  <c r="C488" i="10"/>
  <c r="D488" i="10" s="1"/>
  <c r="C468" i="10"/>
  <c r="D468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847" i="10"/>
  <c r="D847" i="10" s="1"/>
  <c r="C846" i="10"/>
  <c r="D846" i="10" s="1"/>
  <c r="C395" i="10"/>
  <c r="D395" i="10" s="1"/>
  <c r="C670" i="10"/>
  <c r="D670" i="10" s="1"/>
  <c r="C907" i="10"/>
  <c r="D907" i="10" s="1"/>
  <c r="C696" i="10"/>
  <c r="D696" i="10" s="1"/>
  <c r="C715" i="10"/>
  <c r="D715" i="10" s="1"/>
  <c r="C344" i="10"/>
  <c r="D344" i="10" s="1"/>
  <c r="C688" i="10"/>
  <c r="D688" i="10" s="1"/>
  <c r="C660" i="10"/>
  <c r="D660" i="10" s="1"/>
  <c r="C873" i="10"/>
  <c r="D873" i="10" s="1"/>
  <c r="C587" i="10"/>
  <c r="D587" i="10" s="1"/>
  <c r="C999" i="10"/>
  <c r="D999" i="10" s="1"/>
  <c r="C909" i="10"/>
  <c r="D909" i="10" s="1"/>
  <c r="C351" i="10"/>
  <c r="D351" i="10" s="1"/>
  <c r="C547" i="10"/>
  <c r="D547" i="10" s="1"/>
  <c r="C362" i="10"/>
  <c r="D362" i="10" s="1"/>
  <c r="C487" i="10"/>
  <c r="D487" i="10" s="1"/>
  <c r="C860" i="10"/>
  <c r="D860" i="10" s="1"/>
  <c r="C611" i="10"/>
  <c r="D611" i="10" s="1"/>
  <c r="C627" i="10"/>
  <c r="D627" i="10" s="1"/>
  <c r="C643" i="10"/>
  <c r="D643" i="10" s="1"/>
  <c r="C659" i="10"/>
  <c r="D659" i="10" s="1"/>
  <c r="C678" i="10"/>
  <c r="D678" i="10" s="1"/>
  <c r="C702" i="10"/>
  <c r="D702" i="10" s="1"/>
  <c r="C728" i="10"/>
  <c r="D728" i="10" s="1"/>
  <c r="C758" i="10"/>
  <c r="D758" i="10" s="1"/>
  <c r="C776" i="10"/>
  <c r="D776" i="10" s="1"/>
  <c r="C807" i="10"/>
  <c r="D807" i="10" s="1"/>
  <c r="I99" i="32"/>
  <c r="M94" i="32"/>
  <c r="F89" i="32" l="1"/>
  <c r="O87" i="32"/>
  <c r="O89" i="32" s="1"/>
  <c r="I79" i="5"/>
  <c r="M79" i="32"/>
  <c r="C73" i="32"/>
  <c r="N73" i="32"/>
  <c r="E79" i="32"/>
  <c r="I79" i="32"/>
  <c r="J73" i="32"/>
  <c r="N73" i="5"/>
  <c r="D79" i="5"/>
  <c r="O70" i="32"/>
  <c r="H73" i="5"/>
  <c r="F73" i="32"/>
  <c r="O72" i="32"/>
  <c r="L73" i="32"/>
  <c r="N79" i="32"/>
  <c r="H73" i="32"/>
  <c r="M73" i="5"/>
  <c r="G73" i="5"/>
  <c r="N79" i="5"/>
  <c r="F73" i="5"/>
  <c r="K79" i="5"/>
  <c r="E73" i="32"/>
  <c r="O76" i="32"/>
  <c r="D73" i="32"/>
  <c r="L79" i="5"/>
  <c r="H79" i="32"/>
  <c r="G79" i="32"/>
  <c r="F79" i="32"/>
  <c r="F67" i="32" s="1"/>
  <c r="J79" i="32"/>
  <c r="D79" i="32"/>
  <c r="H79" i="5"/>
  <c r="E73" i="5"/>
  <c r="O69" i="32"/>
  <c r="O77" i="32"/>
  <c r="K73" i="32"/>
  <c r="D73" i="5"/>
  <c r="L73" i="5"/>
  <c r="O78" i="32"/>
  <c r="M79" i="5"/>
  <c r="C79" i="5"/>
  <c r="M73" i="32"/>
  <c r="I73" i="32"/>
  <c r="I67" i="32" s="1"/>
  <c r="J73" i="5"/>
  <c r="E79" i="5"/>
  <c r="J79" i="5"/>
  <c r="C79" i="32"/>
  <c r="E63" i="32"/>
  <c r="G79" i="5"/>
  <c r="O73" i="5"/>
  <c r="I73" i="5"/>
  <c r="K73" i="5"/>
  <c r="L75" i="32"/>
  <c r="L79" i="32" s="1"/>
  <c r="C73" i="5"/>
  <c r="F79" i="5"/>
  <c r="E99" i="32"/>
  <c r="M27" i="5"/>
  <c r="M27" i="32" s="1"/>
  <c r="O92" i="32"/>
  <c r="C94" i="32"/>
  <c r="J64" i="32"/>
  <c r="J63" i="32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32"/>
  <c r="D59" i="5"/>
  <c r="D59" i="32" s="1"/>
  <c r="D63" i="32"/>
  <c r="L64" i="32"/>
  <c r="K34" i="5"/>
  <c r="K34" i="32" s="1"/>
  <c r="O54" i="5"/>
  <c r="J43" i="5"/>
  <c r="J43" i="32" s="1"/>
  <c r="C6" i="5"/>
  <c r="F94" i="32"/>
  <c r="O93" i="32"/>
  <c r="I27" i="5"/>
  <c r="I27" i="32" s="1"/>
  <c r="L63" i="32"/>
  <c r="E64" i="32"/>
  <c r="N57" i="5"/>
  <c r="N57" i="32" s="1"/>
  <c r="I20" i="5"/>
  <c r="I20" i="32" s="1"/>
  <c r="E42" i="5"/>
  <c r="E42" i="32" s="1"/>
  <c r="I54" i="5"/>
  <c r="I54" i="32" s="1"/>
  <c r="I56" i="5"/>
  <c r="I56" i="32" s="1"/>
  <c r="M14" i="5"/>
  <c r="M61" i="32" s="1"/>
  <c r="J45" i="5"/>
  <c r="J45" i="32" s="1"/>
  <c r="L7" i="5"/>
  <c r="L7" i="32" s="1"/>
  <c r="J59" i="5"/>
  <c r="J59" i="32" s="1"/>
  <c r="J46" i="5"/>
  <c r="J46" i="32" s="1"/>
  <c r="I42" i="5"/>
  <c r="I42" i="32" s="1"/>
  <c r="F64" i="32"/>
  <c r="M64" i="32"/>
  <c r="M22" i="5"/>
  <c r="M22" i="32" s="1"/>
  <c r="N56" i="5"/>
  <c r="N56" i="32" s="1"/>
  <c r="O43" i="5"/>
  <c r="G22" i="5"/>
  <c r="G22" i="32" s="1"/>
  <c r="K79" i="32"/>
  <c r="K67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J61" i="32" s="1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32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32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I61" i="32" s="1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32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N61" i="32" s="1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61" i="32" s="1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D61" i="32" s="1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32"/>
  <c r="F63" i="32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32"/>
  <c r="K64" i="32"/>
  <c r="N63" i="32"/>
  <c r="M63" i="32"/>
  <c r="H64" i="32"/>
  <c r="H42" i="5"/>
  <c r="H42" i="32" s="1"/>
  <c r="E21" i="5"/>
  <c r="E21" i="32" s="1"/>
  <c r="F51" i="5"/>
  <c r="F51" i="32" s="1"/>
  <c r="L9" i="5"/>
  <c r="L9" i="32" s="1"/>
  <c r="K99" i="32"/>
  <c r="O97" i="32"/>
  <c r="O99" i="32" s="1"/>
  <c r="C61" i="32"/>
  <c r="I63" i="32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H63" i="32"/>
  <c r="G63" i="32"/>
  <c r="C63" i="32"/>
  <c r="N6" i="5"/>
  <c r="D10" i="5"/>
  <c r="D10" i="32" s="1"/>
  <c r="G65" i="5"/>
  <c r="G65" i="32" s="1"/>
  <c r="I31" i="5"/>
  <c r="I31" i="32" s="1"/>
  <c r="G73" i="32"/>
  <c r="G67" i="32" s="1"/>
  <c r="O71" i="32"/>
  <c r="M67" i="32" l="1"/>
  <c r="O73" i="32"/>
  <c r="C67" i="32"/>
  <c r="I67" i="5"/>
  <c r="O67" i="5"/>
  <c r="N67" i="32"/>
  <c r="E67" i="32"/>
  <c r="N67" i="5"/>
  <c r="D67" i="32"/>
  <c r="E67" i="5"/>
  <c r="D67" i="5"/>
  <c r="H67" i="32"/>
  <c r="J67" i="32"/>
  <c r="G67" i="5"/>
  <c r="F67" i="5"/>
  <c r="M67" i="5"/>
  <c r="H67" i="5"/>
  <c r="L67" i="32"/>
  <c r="K67" i="5"/>
  <c r="O75" i="32"/>
  <c r="O79" i="32" s="1"/>
  <c r="J67" i="5"/>
  <c r="C67" i="5"/>
  <c r="L67" i="5"/>
  <c r="H61" i="32"/>
  <c r="E61" i="32"/>
  <c r="K61" i="32"/>
  <c r="F61" i="32"/>
  <c r="G61" i="32"/>
  <c r="J62" i="32"/>
  <c r="L62" i="32"/>
  <c r="O32" i="32"/>
  <c r="O26" i="32"/>
  <c r="O40" i="32"/>
  <c r="O51" i="32"/>
  <c r="D62" i="32"/>
  <c r="H62" i="32"/>
  <c r="I62" i="32"/>
  <c r="G62" i="32"/>
  <c r="N62" i="32"/>
  <c r="K62" i="32"/>
  <c r="O37" i="32"/>
  <c r="M62" i="32"/>
  <c r="E62" i="32"/>
  <c r="F62" i="32"/>
  <c r="C62" i="32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13" i="5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O67" i="32" l="1"/>
  <c r="I13" i="5"/>
  <c r="L3" i="10" s="1" a="1"/>
  <c r="L3" i="10" s="1"/>
  <c r="J13" i="5"/>
  <c r="M3" i="10" s="1" a="1"/>
  <c r="M3" i="10" s="1"/>
  <c r="I13" i="32"/>
  <c r="I66" i="32" s="1"/>
  <c r="I80" i="32" s="1"/>
  <c r="J13" i="32"/>
  <c r="J66" i="32" s="1"/>
  <c r="J80" i="32" s="1"/>
  <c r="E13" i="5"/>
  <c r="H3" i="10" s="1" a="1"/>
  <c r="H3" i="10" s="1"/>
  <c r="K13" i="5"/>
  <c r="N3" i="10" s="1" a="1"/>
  <c r="N3" i="10" s="1"/>
  <c r="L13" i="32"/>
  <c r="L66" i="32" s="1"/>
  <c r="L80" i="32" s="1"/>
  <c r="K13" i="32"/>
  <c r="L13" i="5"/>
  <c r="O3" i="10" s="1" a="1"/>
  <c r="O3" i="10" s="1"/>
  <c r="G13" i="32"/>
  <c r="G66" i="32" s="1"/>
  <c r="G80" i="32" s="1"/>
  <c r="E13" i="32"/>
  <c r="E66" i="32" s="1"/>
  <c r="E80" i="32" s="1"/>
  <c r="H13" i="5"/>
  <c r="K3" i="10" s="1" a="1"/>
  <c r="K3" i="10" s="1"/>
  <c r="O62" i="32"/>
  <c r="F13" i="5"/>
  <c r="I3" i="10" s="1" a="1"/>
  <c r="I3" i="10" s="1"/>
  <c r="F13" i="32"/>
  <c r="F66" i="32" s="1"/>
  <c r="F80" i="32" s="1"/>
  <c r="D13" i="32"/>
  <c r="D66" i="32" s="1"/>
  <c r="D80" i="32" s="1"/>
  <c r="D13" i="5"/>
  <c r="G3" i="10" s="1" a="1"/>
  <c r="G3" i="10" s="1"/>
  <c r="O61" i="32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N81" i="5"/>
  <c r="I66" i="5"/>
  <c r="I80" i="5" s="1"/>
  <c r="I81" i="5"/>
  <c r="L81" i="32"/>
  <c r="G81" i="32"/>
  <c r="K81" i="32"/>
  <c r="K66" i="32"/>
  <c r="K80" i="32" s="1"/>
  <c r="M81" i="32"/>
  <c r="N81" i="32"/>
  <c r="F81" i="5"/>
  <c r="I81" i="32"/>
  <c r="E81" i="5"/>
  <c r="E66" i="5"/>
  <c r="E80" i="5" s="1"/>
  <c r="L81" i="5"/>
  <c r="C13" i="32"/>
  <c r="O14" i="32"/>
  <c r="O66" i="5"/>
  <c r="O80" i="5" s="1"/>
  <c r="O81" i="5"/>
  <c r="F81" i="32"/>
  <c r="D81" i="5"/>
  <c r="E81" i="32"/>
  <c r="G81" i="5"/>
  <c r="K81" i="5"/>
  <c r="M81" i="5"/>
  <c r="J66" i="5"/>
  <c r="J80" i="5" s="1"/>
  <c r="J81" i="5"/>
  <c r="C81" i="5"/>
  <c r="J81" i="32"/>
  <c r="O6" i="32"/>
  <c r="O8" i="32" s="1"/>
  <c r="O5" i="32" s="1"/>
  <c r="O12" i="32" s="1"/>
  <c r="C8" i="32"/>
  <c r="C5" i="32" s="1"/>
  <c r="C12" i="32" s="1"/>
  <c r="H81" i="32"/>
  <c r="D81" i="32"/>
  <c r="G66" i="5" l="1"/>
  <c r="G80" i="5" s="1"/>
  <c r="N66" i="5"/>
  <c r="N80" i="5" s="1"/>
  <c r="L66" i="5"/>
  <c r="L80" i="5" s="1"/>
  <c r="D66" i="5"/>
  <c r="D80" i="5" s="1"/>
  <c r="K66" i="5"/>
  <c r="K80" i="5" s="1"/>
  <c r="H66" i="5"/>
  <c r="H80" i="5" s="1"/>
  <c r="O13" i="32"/>
  <c r="O66" i="32" s="1"/>
  <c r="O80" i="32" s="1"/>
  <c r="F66" i="5"/>
  <c r="F80" i="5" s="1"/>
  <c r="M66" i="5"/>
  <c r="M80" i="5" s="1"/>
  <c r="C66" i="5"/>
  <c r="C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<sst xmlns="http://schemas.openxmlformats.org/spreadsheetml/2006/main" count="1834" uniqueCount="882">
  <si>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</si>
  <si>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</si>
  <si>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</si>
  <si>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</si>
  <si>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</si>
  <si>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</si>
  <si>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</si>
  <si>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</si>
  <si>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</si>
  <si>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</si>
  <si>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</si>
  <si>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</si>
  <si>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</si>
  <si>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</si>
  <si>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</si>
  <si>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</si>
  <si>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</si>
  <si>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</si>
  <si>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</si>
  <si>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</si>
  <si>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</si>
  <si>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</si>
  <si>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</si>
  <si>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</si>
  <si>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</si>
  <si>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</si>
  <si>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</si>
  <si>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</si>
  <si>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</si>
  <si>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</si>
  <si>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</si>
  <si>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</si>
  <si>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</si>
  <si>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</si>
  <si>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</si>
  <si>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</si>
  <si>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</si>
  <si>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</si>
  <si>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</si>
  <si>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</si>
  <si>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</si>
  <si>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</si>
  <si>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</si>
  <si>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</si>
  <si>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</si>
  <si>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</si>
  <si>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</si>
  <si>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</si>
  <si>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</si>
  <si>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</si>
  <si>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</si>
  <si>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</si>
  <si>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</si>
  <si>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</si>
  <si>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</si>
  <si>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</si>
  <si>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</si>
  <si>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</si>
  <si>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</si>
  <si>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</si>
  <si>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</si>
  <si>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</si>
  <si>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</si>
  <si>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</si>
  <si>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</si>
  <si>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</si>
  <si>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</si>
  <si>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</si>
  <si>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</si>
  <si>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</si>
  <si>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</si>
  <si>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</si>
  <si>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</si>
  <si>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</si>
  <si>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</si>
  <si>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</si>
  <si>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</si>
  <si>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</si>
  <si>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</si>
  <si>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</si>
  <si>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</si>
  <si>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</si>
  <si>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</si>
  <si>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</si>
  <si>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</si>
  <si>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</si>
  <si>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</si>
  <si>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</si>
  <si>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</si>
  <si>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</si>
  <si>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</si>
  <si>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</si>
  <si>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</si>
  <si>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</si>
  <si>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</si>
  <si>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</si>
  <si>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</si>
  <si>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</si>
  <si>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</si>
  <si>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</si>
  <si>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</si>
  <si>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</si>
  <si>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</si>
  <si>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</si>
  <si>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</si>
  <si>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</si>
  <si>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</si>
  <si>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</si>
  <si>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</si>
  <si>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</si>
  <si>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</si>
  <si>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</si>
  <si>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</si>
  <si>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</si>
  <si>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</si>
  <si>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</si>
  <si>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</si>
  <si>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</si>
  <si>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</si>
  <si>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</si>
  <si>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</si>
  <si>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</si>
  <si>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</si>
  <si>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</si>
  <si>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</si>
  <si>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</si>
  <si>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</si>
  <si>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</si>
  <si>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</si>
  <si>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</si>
  <si>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</si>
  <si>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</si>
  <si>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</si>
  <si>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</si>
  <si>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</si>
  <si>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</si>
  <si>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</si>
  <si>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</si>
  <si>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</si>
  <si>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</si>
  <si>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</si>
  <si>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</si>
  <si>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</si>
  <si>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</si>
  <si>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</si>
  <si>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</si>
  <si>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</si>
  <si>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</si>
  <si>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</si>
  <si>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</si>
  <si>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</si>
  <si>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</si>
  <si>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</si>
  <si>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</si>
  <si>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</si>
  <si>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</si>
  <si>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</si>
  <si>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</si>
  <si>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</si>
  <si>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</si>
  <si>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</si>
  <si>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</si>
  <si>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</si>
  <si>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</si>
  <si>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</si>
  <si>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</si>
  <si>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</si>
  <si>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</si>
  <si>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</si>
  <si>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</si>
  <si>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</si>
  <si>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</si>
  <si>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</si>
  <si>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</si>
  <si>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</si>
  <si>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</si>
  <si>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</si>
  <si>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</si>
  <si>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</si>
  <si>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</si>
  <si>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</si>
  <si>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</si>
  <si>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</si>
  <si>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</si>
  <si>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</si>
  <si>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</si>
  <si>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</si>
  <si>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</si>
  <si>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</si>
  <si>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</si>
  <si>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</si>
  <si>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</si>
  <si>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</si>
  <si>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</si>
  <si>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</si>
  <si>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</si>
  <si>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</si>
  <si>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</si>
  <si>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</si>
  <si>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</si>
  <si>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</si>
  <si>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</si>
  <si>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</si>
  <si>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</si>
  <si>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</si>
  <si>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</si>
  <si>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</si>
  <si>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</si>
  <si>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</si>
  <si>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</si>
  <si>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</si>
  <si>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</si>
  <si>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</si>
  <si>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</si>
  <si>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</si>
  <si>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</si>
  <si>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</si>
  <si>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</si>
  <si>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</si>
  <si>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</si>
  <si>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</si>
  <si>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</si>
  <si>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</si>
  <si>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</si>
  <si>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</si>
  <si>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</si>
  <si>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</si>
  <si>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</si>
  <si>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</si>
  <si>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</si>
  <si>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</si>
  <si>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</si>
  <si>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</si>
  <si>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</si>
  <si>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</si>
  <si>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</si>
  <si>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</si>
  <si>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</si>
  <si>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</si>
  <si>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</si>
  <si>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</si>
  <si>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</si>
  <si>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</si>
  <si>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</si>
  <si>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</si>
  <si>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</si>
  <si>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</si>
  <si>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</si>
  <si>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</si>
  <si>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</si>
  <si>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</si>
  <si>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</si>
  <si>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</si>
  <si>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</si>
  <si>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</si>
  <si>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</si>
  <si>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</si>
  <si>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</si>
  <si>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</si>
  <si>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</si>
  <si>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</si>
  <si>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</si>
  <si>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</si>
  <si>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</si>
  <si>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</si>
  <si>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</si>
  <si>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</si>
  <si>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</si>
  <si>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</si>
  <si>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</si>
  <si>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</si>
  <si>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</si>
  <si>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</si>
  <si>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</si>
  <si>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</si>
  <si>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</si>
  <si>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</si>
  <si>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</si>
  <si>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</si>
  <si>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</si>
  <si>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</si>
  <si>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</si>
  <si>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</si>
  <si>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</si>
  <si>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</si>
  <si>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</si>
  <si>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</si>
  <si>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</si>
  <si>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</si>
  <si>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</si>
  <si>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</si>
  <si>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</si>
  <si>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</si>
  <si>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</si>
  <si>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</si>
  <si>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</si>
  <si>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</si>
  <si>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</si>
  <si>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</si>
  <si>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</si>
  <si>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</si>
  <si>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</si>
  <si>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</si>
  <si>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</si>
  <si>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</si>
  <si>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</si>
  <si>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</si>
  <si>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</si>
  <si>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</si>
  <si>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</si>
  <si>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</si>
  <si>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</si>
  <si>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</si>
  <si>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</si>
  <si>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</si>
  <si>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</si>
  <si>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</si>
  <si>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</si>
  <si>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</si>
  <si>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</si>
  <si>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</si>
  <si>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</si>
  <si>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</si>
  <si>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</si>
  <si>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</si>
  <si>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</si>
  <si>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</si>
  <si>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</si>
  <si>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</si>
  <si>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</si>
  <si>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</si>
  <si>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</si>
  <si>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</si>
  <si>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</si>
  <si>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</si>
  <si>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</si>
  <si>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</si>
  <si>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</si>
  <si>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</si>
  <si>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</si>
  <si>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</si>
  <si>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</si>
  <si>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</si>
  <si>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</si>
  <si>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</si>
  <si>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</si>
  <si>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</si>
  <si>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</si>
  <si>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</si>
  <si>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</si>
  <si>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</si>
  <si>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</si>
  <si>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</si>
  <si>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</si>
  <si>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</si>
  <si>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</si>
  <si>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</si>
  <si>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</si>
  <si>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</si>
  <si>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</si>
  <si>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</si>
  <si>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</si>
  <si>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</si>
  <si>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</si>
  <si>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</si>
  <si>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</si>
  <si>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</si>
  <si>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</si>
  <si>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</si>
  <si>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</si>
  <si>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</si>
  <si>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</si>
  <si>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</si>
  <si>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</si>
  <si>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</si>
  <si>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</si>
  <si>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</si>
  <si>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</si>
  <si>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</si>
  <si>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</si>
  <si>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</si>
  <si>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</si>
  <si>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</si>
  <si>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</si>
  <si>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</si>
  <si>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</si>
  <si>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</si>
  <si>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</si>
  <si>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</si>
  <si>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</si>
  <si>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</si>
  <si>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</si>
  <si>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</si>
  <si>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</si>
  <si>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</si>
  <si>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</si>
  <si>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</si>
  <si>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</si>
  <si>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</si>
  <si>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</si>
  <si>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</si>
  <si>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</si>
  <si>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</si>
  <si>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</si>
  <si>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</si>
  <si>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</si>
  <si>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</si>
  <si>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</si>
  <si>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</si>
  <si>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</si>
  <si>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</si>
  <si>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</si>
  <si>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</si>
  <si>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</si>
  <si>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</si>
  <si>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</si>
  <si>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</si>
  <si>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</si>
  <si>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</si>
  <si>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</si>
  <si>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</si>
  <si>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</si>
  <si>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</si>
  <si>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</si>
  <si>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</si>
  <si>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</si>
  <si>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</si>
  <si>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</si>
  <si>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</si>
  <si>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</si>
  <si>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</si>
  <si>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</si>
  <si>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</si>
  <si>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</si>
  <si>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</si>
  <si>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</si>
  <si>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</si>
  <si>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</si>
  <si>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</si>
  <si>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</si>
  <si>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</si>
  <si>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</si>
  <si>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</si>
  <si>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</si>
  <si>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</si>
  <si>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</si>
  <si>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</si>
  <si>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</si>
  <si>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</si>
  <si>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</si>
  <si>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</si>
  <si>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</si>
  <si>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</si>
  <si>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</si>
  <si>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</si>
  <si>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</si>
  <si>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</si>
  <si>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</si>
  <si>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</si>
  <si>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</si>
  <si>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</si>
  <si>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</si>
  <si>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</si>
  <si>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</si>
  <si>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</si>
  <si>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</si>
  <si>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</si>
  <si>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</si>
  <si>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</si>
  <si>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</si>
  <si>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</si>
  <si>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</si>
  <si>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</si>
  <si>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</si>
  <si>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</si>
  <si>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</si>
  <si>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</si>
  <si>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</si>
  <si>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</si>
  <si>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</si>
  <si>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</si>
  <si>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</si>
  <si>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</si>
  <si>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</si>
  <si>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</si>
  <si>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</si>
  <si>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</si>
  <si>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</si>
  <si>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</si>
  <si>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</si>
  <si>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</si>
  <si>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</si>
  <si>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</si>
  <si>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</si>
  <si>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</si>
  <si>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</si>
  <si>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</si>
  <si>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</si>
  <si>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</si>
  <si>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</si>
  <si>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</si>
  <si>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</si>
  <si>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</si>
  <si>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</si>
  <si>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</si>
  <si>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</si>
  <si>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</si>
  <si>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</si>
  <si>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</si>
  <si>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</si>
  <si>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</si>
  <si>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</si>
  <si>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</si>
  <si>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</si>
  <si>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</si>
  <si>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</si>
  <si>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</si>
  <si>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</si>
  <si>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</si>
  <si>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</si>
  <si>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</si>
  <si>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</si>
  <si>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</si>
  <si>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</si>
  <si>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</si>
  <si>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</si>
  <si>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</si>
  <si>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</si>
  <si>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</si>
  <si>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</si>
  <si>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</si>
  <si>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</si>
  <si>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</si>
  <si>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</si>
  <si>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</si>
  <si>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</si>
  <si>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</si>
  <si>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</si>
  <si>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</si>
  <si>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</si>
  <si>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</si>
  <si>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</si>
  <si>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</si>
  <si>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</si>
  <si>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</si>
  <si>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</si>
  <si>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</si>
  <si>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</si>
  <si>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</si>
  <si>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</si>
  <si>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</si>
  <si>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</si>
  <si>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</si>
  <si>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</si>
  <si>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</si>
  <si>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</si>
  <si>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</si>
  <si>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</si>
  <si>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</si>
  <si>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</si>
  <si>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</si>
  <si>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</si>
  <si>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</si>
  <si>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</si>
  <si>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</si>
  <si>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</si>
  <si>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</si>
  <si>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</si>
  <si>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</si>
  <si>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</si>
  <si>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</si>
  <si>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</si>
  <si>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</si>
  <si>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</si>
  <si>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</si>
  <si>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</si>
  <si>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</si>
  <si>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</si>
  <si>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</si>
  <si>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</si>
  <si>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</si>
  <si>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</si>
  <si>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</si>
  <si>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</si>
  <si>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</si>
  <si>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</si>
  <si>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</si>
  <si>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</si>
  <si>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</si>
  <si>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</si>
  <si>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</si>
  <si>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</si>
  <si>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</si>
  <si>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</si>
  <si>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</si>
  <si>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</si>
  <si>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</si>
  <si>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</si>
  <si>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</si>
  <si>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</si>
  <si>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</si>
  <si>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</si>
  <si>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</si>
  <si>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</si>
  <si>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</si>
  <si>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</si>
  <si>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</si>
  <si>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</si>
  <si>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</si>
  <si>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</si>
  <si>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</si>
  <si>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</si>
  <si>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</si>
  <si>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</si>
  <si>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</si>
  <si>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</si>
  <si>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</si>
  <si>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</si>
  <si>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</si>
  <si>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</si>
  <si>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</si>
  <si>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</si>
  <si>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</si>
  <si>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</si>
  <si>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</si>
  <si>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</si>
  <si>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</si>
  <si>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</si>
  <si>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</si>
  <si>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</si>
  <si>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</si>
  <si>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</si>
  <si>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</si>
  <si>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</si>
  <si>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</si>
  <si>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</si>
  <si>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</si>
  <si>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</si>
  <si>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</si>
  <si>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</si>
  <si>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</si>
  <si>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</si>
  <si>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</si>
  <si>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</si>
  <si>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</si>
  <si>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</si>
  <si>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</si>
  <si>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</si>
  <si>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</si>
  <si>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</si>
  <si>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</si>
  <si>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</si>
  <si>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</si>
  <si>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</si>
  <si>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</si>
  <si>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</si>
  <si>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</si>
  <si>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</si>
  <si>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</si>
  <si>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</si>
  <si>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</si>
  <si>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</si>
  <si>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</si>
  <si>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</si>
  <si>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</si>
  <si>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</si>
  <si>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</si>
  <si>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</si>
  <si>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</si>
  <si>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</si>
  <si>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</si>
  <si>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</si>
  <si>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</si>
  <si>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</si>
  <si>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</si>
  <si>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</si>
  <si>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</si>
  <si>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</si>
  <si>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</si>
  <si>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</si>
  <si>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</si>
  <si>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</si>
  <si>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</si>
  <si>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</si>
  <si>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</si>
  <si>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</si>
  <si>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</si>
  <si>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</si>
  <si>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</si>
  <si>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</si>
  <si>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</si>
  <si>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</si>
  <si>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EI2課</t>
  </si>
  <si>
    <t/>
  </si>
  <si>
    <t>総生産情報</t>
  </si>
  <si>
    <t>経営管理にもらうデータ</t>
  </si>
  <si>
    <t>一般経費↓</t>
  </si>
  <si>
    <t>電気代</t>
  </si>
  <si>
    <t>水道代</t>
  </si>
  <si>
    <t>ガス</t>
  </si>
  <si>
    <t>手洗い洗剤</t>
  </si>
  <si>
    <t>トイレットペーパー</t>
  </si>
  <si>
    <t>清掃費</t>
  </si>
  <si>
    <t>出向者送迎費</t>
  </si>
  <si>
    <t>出向者　通勤タクシー費用　（140,000×16　固定 ＋α)</t>
  </si>
  <si>
    <t xml:space="preserve">月餅 </t>
  </si>
  <si>
    <t>昼食代　(前月21日～当月20日を当月)</t>
  </si>
  <si>
    <t>社員旅行</t>
  </si>
  <si>
    <t>運動会　</t>
  </si>
  <si>
    <t>誕生日会</t>
  </si>
  <si>
    <t>決起コンパ</t>
  </si>
  <si>
    <t>ポケットカレンダー</t>
  </si>
  <si>
    <t>システム経費↓</t>
  </si>
  <si>
    <t>Finalcode管理者ライセンス　\847/月　1本</t>
  </si>
  <si>
    <t>E3 CAD 年間保守費用</t>
  </si>
  <si>
    <t>新入社員経費↓</t>
  </si>
  <si>
    <t>新入社員　社員証 (7月Internship、8月 11期生)</t>
  </si>
  <si>
    <t>新入社員　社員証ケース (7月Internship、8月 11期生)</t>
  </si>
  <si>
    <t>新入社員　Pen (7月Internship、8月 11期生)</t>
  </si>
  <si>
    <t>新入社員　Note (7月Internship、8月 11期生)</t>
  </si>
  <si>
    <t>新入社員　フィロソフィ手帳 (7月Internship、8月 11期生)</t>
  </si>
  <si>
    <t>事務机</t>
  </si>
  <si>
    <t>事務机用椅子</t>
  </si>
  <si>
    <t>INTERNSHIP↓</t>
  </si>
  <si>
    <t>Intern Ship 寮費 (参加人数20%)</t>
  </si>
  <si>
    <t>計測器校正費↓</t>
  </si>
  <si>
    <t xml:space="preserve">計測器校正　6月 (Oscilloscope x3 ,電流Probe,High Votage Probe x2,Logic Probe,Impulse noise simulator ) </t>
  </si>
  <si>
    <t xml:space="preserve">計測器校正　12月 (静電気sim,電流Probe,FET Probe x 2,Infranred Thermometer,teater x 2,Precision power analyzer,Lightning surge simulator) </t>
  </si>
  <si>
    <t>計測器校正　3月(Precision power analyzer)</t>
  </si>
  <si>
    <t>計測器校正　9月(Oscilloscope x2)</t>
  </si>
  <si>
    <t>減価償却費↓</t>
  </si>
  <si>
    <t>社内金利↓</t>
  </si>
  <si>
    <t>消耗品費↓</t>
  </si>
  <si>
    <t>事務用PC　老朽化買い替え3台 (Laptop,i3,RAM8G,win&amp;Office+Mouse)</t>
  </si>
  <si>
    <t>PC monitor</t>
  </si>
  <si>
    <t>Window</t>
  </si>
  <si>
    <t>テーブルタップ</t>
  </si>
  <si>
    <t>TV 75 inch, Video conference cam</t>
  </si>
  <si>
    <t>Drill bit and raw board for circuits board processing machine (S64)</t>
  </si>
  <si>
    <t>その他　電気実験用備品　100usd　x6</t>
  </si>
  <si>
    <t>その他↓</t>
  </si>
  <si>
    <t>出向者携帯 2名+bang</t>
  </si>
  <si>
    <t>郵便代</t>
  </si>
  <si>
    <t>物品送付/クーリエ代</t>
  </si>
  <si>
    <t>出向者↓</t>
  </si>
  <si>
    <t>労働許可証申請　（与田,国政）　健康診断　1,200,000 VND</t>
  </si>
  <si>
    <t>労働許可証申請　（与田,国政）　写真、翻訳  1,250,000 VND</t>
  </si>
  <si>
    <t>労働許可証申請　（与田,国政）　申請費用 750,000 VND</t>
  </si>
  <si>
    <t>試験研究費↓</t>
  </si>
  <si>
    <t>Spica CIS試作費 EI2</t>
  </si>
  <si>
    <t>Spica　外部サイト使用料 EI2</t>
  </si>
  <si>
    <t>[Spica] 評価機 MFP DMT EI2</t>
  </si>
  <si>
    <t>[Spica] 評価機 MFP PMT EI2</t>
  </si>
  <si>
    <t>[Spica PF] 評価機　DMT EI2</t>
  </si>
  <si>
    <t>[Spica PF] 評価機　PMT EI2</t>
  </si>
  <si>
    <t>Paper 4,500USD</t>
  </si>
  <si>
    <t>実験用部材 (半田・電線) 100usd　x4</t>
  </si>
  <si>
    <t>社外Seminar(5期生「問題解決」・係長「Leader教育」)　受講費　</t>
  </si>
  <si>
    <t>社外Seminar(5期生「問題解決」・係長「Leader教育」)　交通費 往復</t>
  </si>
  <si>
    <t>社外Seminar(5期生「問題解決」・係長「Leader教育」)　宿泊費</t>
  </si>
  <si>
    <t>日本語能力試験交通費</t>
  </si>
  <si>
    <t>日本語能力試験受験料</t>
  </si>
  <si>
    <t>TOEIC交通費</t>
  </si>
  <si>
    <t>TOEIC受験料</t>
  </si>
  <si>
    <t>ローカルKDC出張↓</t>
  </si>
  <si>
    <t>ローカルKDC出向↓</t>
  </si>
  <si>
    <t>フィリピン出張↓</t>
  </si>
  <si>
    <t>Philippine 語学留学　15-May ～ 9-June(25 days) 前払い(登録料、授業料,食費、宿泊費)</t>
  </si>
  <si>
    <t>Philippine 語学留学　15-May ～ 9-June(25 days) 後払い(交通費、飛行機代)</t>
  </si>
  <si>
    <t>Philippine 語学留学　15-May ～ 9-June(25 days) 後払い(保険代)</t>
  </si>
  <si>
    <t>Philippine 語学留学　15-May ～ 9-June(25 days) 後払い(日当)</t>
  </si>
  <si>
    <t>電波暗室　電気工事費用　(1次側電源、非常照明、アース、自火報設備、空調＆換気電源)</t>
  </si>
  <si>
    <t>電波暗室　機械工事費用　(空調＆換気　ダクト接続)</t>
  </si>
  <si>
    <t>電波暗室　local supervisor fee</t>
  </si>
  <si>
    <t>電波暗室　site expenses</t>
  </si>
  <si>
    <t>電波暗室　management fee</t>
  </si>
  <si>
    <t>電波暗室　消防設備費用　(予備費を含む)</t>
  </si>
  <si>
    <t>燃焼試験室　建設費用＋浄化装置</t>
  </si>
  <si>
    <t>シールドルーム　一式</t>
  </si>
  <si>
    <t>減価償却費配賦　建物</t>
    <phoneticPr fontId="3"/>
  </si>
  <si>
    <t>減価償却費配賦　土地使用権</t>
    <phoneticPr fontId="3"/>
  </si>
  <si>
    <t>固定資産金利　建物</t>
    <rPh sb="7" eb="9">
      <t>タテモノ</t>
    </rPh>
    <phoneticPr fontId="3"/>
  </si>
  <si>
    <t>固定資産金利　土地使用権</t>
    <phoneticPr fontId="3"/>
  </si>
  <si>
    <t>アルコール　消毒</t>
    <rPh sb="6" eb="8">
      <t>ショウドク</t>
    </rPh>
    <phoneticPr fontId="3"/>
  </si>
  <si>
    <t>残業時のタクシー送迎費 (Local なし)</t>
  </si>
  <si>
    <t>kyoceraフェスティバル</t>
    <phoneticPr fontId="3"/>
  </si>
  <si>
    <t>忘年会補助金</t>
    <rPh sb="0" eb="3">
      <t>ボウネンカイ</t>
    </rPh>
    <rPh sb="3" eb="6">
      <t>ホジョキン</t>
    </rPh>
    <phoneticPr fontId="4"/>
  </si>
  <si>
    <t>お年玉</t>
    <rPh sb="1" eb="2">
      <t>トシ</t>
    </rPh>
    <rPh sb="2" eb="3">
      <t>ダマ</t>
    </rPh>
    <phoneticPr fontId="3"/>
  </si>
  <si>
    <t>フィロソフィ論文参加賞</t>
    <phoneticPr fontId="3"/>
  </si>
  <si>
    <t>健康診断（ローカル）男性</t>
    <rPh sb="10" eb="12">
      <t>ダンセイ</t>
    </rPh>
    <phoneticPr fontId="3"/>
  </si>
  <si>
    <t>健康診断（ローカル）女性F</t>
    <rPh sb="10" eb="12">
      <t>ジョセイ</t>
    </rPh>
    <phoneticPr fontId="3"/>
  </si>
  <si>
    <t>メール</t>
    <phoneticPr fontId="3"/>
  </si>
  <si>
    <t>R3</t>
    <phoneticPr fontId="3"/>
  </si>
  <si>
    <r>
      <t xml:space="preserve">PLM </t>
    </r>
    <r>
      <rPr>
        <sz val="8"/>
        <color rgb="FFFF0000"/>
        <rFont val="Meiryo UI"/>
        <family val="3"/>
        <charset val="128"/>
      </rPr>
      <t>課金額アップ</t>
    </r>
    <r>
      <rPr>
        <sz val="8"/>
        <rFont val="Meiryo UI"/>
        <family val="3"/>
        <charset val="128"/>
      </rPr>
      <t>→MD4課に移動(52,254,413VND)</t>
    </r>
    <rPh sb="4" eb="7">
      <t>カキンガク</t>
    </rPh>
    <rPh sb="14" eb="15">
      <t>カ</t>
    </rPh>
    <rPh sb="16" eb="18">
      <t>イドウ</t>
    </rPh>
    <phoneticPr fontId="4"/>
  </si>
  <si>
    <t>VPN 出向者分</t>
    <rPh sb="4" eb="7">
      <t>シュッコウシャ</t>
    </rPh>
    <phoneticPr fontId="3"/>
  </si>
  <si>
    <t>DemitasNX ライセンス　1本　¥64,587/月　毎月KDCから振替請求</t>
    <rPh sb="17" eb="18">
      <t>ポン</t>
    </rPh>
    <rPh sb="27" eb="28">
      <t>ツキ</t>
    </rPh>
    <rPh sb="29" eb="31">
      <t>マイツキ</t>
    </rPh>
    <rPh sb="36" eb="38">
      <t>フリカエ</t>
    </rPh>
    <rPh sb="38" eb="40">
      <t>セイキュウ</t>
    </rPh>
    <phoneticPr fontId="3"/>
  </si>
  <si>
    <t>DemitasNX ライセンス　年間保守費用　¥519,000/年　7月にKDCから振替請求</t>
    <rPh sb="16" eb="18">
      <t>ネンカン</t>
    </rPh>
    <rPh sb="18" eb="20">
      <t>ホシュ</t>
    </rPh>
    <rPh sb="20" eb="22">
      <t>ヒヨウ</t>
    </rPh>
    <rPh sb="32" eb="33">
      <t>ネン</t>
    </rPh>
    <rPh sb="35" eb="36">
      <t>ガツ</t>
    </rPh>
    <rPh sb="42" eb="44">
      <t>フリカエ</t>
    </rPh>
    <rPh sb="44" eb="46">
      <t>セイキュウ</t>
    </rPh>
    <phoneticPr fontId="3"/>
  </si>
  <si>
    <t>新入社員　採用時健康診断 （採用時）男性</t>
    <rPh sb="8" eb="10">
      <t>ケンコウ</t>
    </rPh>
    <rPh sb="10" eb="12">
      <t>シンダン</t>
    </rPh>
    <phoneticPr fontId="3"/>
  </si>
  <si>
    <t>新入社員　採用時健康診断 （採用時）女性</t>
    <rPh sb="8" eb="10">
      <t>ケンコウ</t>
    </rPh>
    <rPh sb="10" eb="12">
      <t>シンダン</t>
    </rPh>
    <phoneticPr fontId="3"/>
  </si>
  <si>
    <r>
      <t>新入社員　帽子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</si>
  <si>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r>
      <t>新入社員　 制服上着(夏服)　       x2枚/人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</si>
  <si>
    <r>
      <t>新入社員　制服上着(冬服)　        x2枚/人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</si>
  <si>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r>
      <t>新入社員　 制服(ズボン)　 　x2枚/人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</si>
  <si>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t>新入社員　靴 男性</t>
    <rPh sb="7" eb="9">
      <t>ダンセイ</t>
    </rPh>
    <phoneticPr fontId="4"/>
  </si>
  <si>
    <t xml:space="preserve">新入社員　靴 女性 </t>
    <rPh sb="7" eb="9">
      <t>ジョセイ</t>
    </rPh>
    <phoneticPr fontId="4"/>
  </si>
  <si>
    <r>
      <t>新入社員　ポケットカレンダー (</t>
    </r>
    <r>
      <rPr>
        <strike/>
        <sz val="8"/>
        <rFont val="Meiryo UI"/>
        <family val="3"/>
        <charset val="128"/>
      </rPr>
      <t>7月Internship、</t>
    </r>
    <r>
      <rPr>
        <sz val="8"/>
        <rFont val="Meiryo UI"/>
        <family val="3"/>
        <charset val="128"/>
      </rPr>
      <t>8月 11期生)</t>
    </r>
    <phoneticPr fontId="3"/>
  </si>
  <si>
    <t>新入社員　データ印</t>
    <phoneticPr fontId="3"/>
  </si>
  <si>
    <t>新入社員　PC</t>
    <phoneticPr fontId="3"/>
  </si>
  <si>
    <t>Intern Ship 雑給</t>
    <rPh sb="12" eb="14">
      <t>ザッキュウ</t>
    </rPh>
    <phoneticPr fontId="3"/>
  </si>
  <si>
    <t>Intern Ship 諸経費(支給品一式)</t>
    <rPh sb="12" eb="15">
      <t>ショケイヒ</t>
    </rPh>
    <rPh sb="16" eb="19">
      <t>シキュウヒン</t>
    </rPh>
    <rPh sb="19" eb="21">
      <t>イッシキ</t>
    </rPh>
    <phoneticPr fontId="3"/>
  </si>
  <si>
    <t>Intern Ship 実習用部材費</t>
    <rPh sb="12" eb="15">
      <t>ジッシュウヨウ</t>
    </rPh>
    <rPh sb="15" eb="18">
      <t>ブザイヒ</t>
    </rPh>
    <phoneticPr fontId="3"/>
  </si>
  <si>
    <t>Mini CT Crimper TOOL 1729069-1 [mini CTカシメ](-2023/06    68275000VND)</t>
    <phoneticPr fontId="3"/>
  </si>
  <si>
    <t>Noise Finder (SEIWA) 37750USD 6月/2023 納入(-202)</t>
    <phoneticPr fontId="3"/>
  </si>
  <si>
    <t>DIFFERENTIAL PROBE 701977 (YOKOGAWA) (2026-6)=&gt;5月変更</t>
    <phoneticPr fontId="3"/>
  </si>
  <si>
    <t>CURRENT PROBE 701930 (YOKOGAWA) (2026-6)=&gt;5月変更</t>
    <phoneticPr fontId="3"/>
  </si>
  <si>
    <t>出向者PC(-2023/7)</t>
    <phoneticPr fontId="3"/>
  </si>
  <si>
    <t>Lightning Surge Simulator LSS-6330-A20(2027/01)</t>
    <phoneticPr fontId="3"/>
  </si>
  <si>
    <t xml:space="preserve"> Instantaneous PW failure IEC61000-4-11 (2027/01) （01/3/2022月から　変更：Cable GPIB USB HS+）</t>
    <phoneticPr fontId="3"/>
  </si>
  <si>
    <t>Voltage dip and Flicker IEC61000-3-2/3-3(2027/01)</t>
    <phoneticPr fontId="3"/>
  </si>
  <si>
    <t>Switching emulator NSE AC220V Nishiyama(2022/5)</t>
    <phoneticPr fontId="3"/>
  </si>
  <si>
    <t>AUXILIARY CLAMPE TKT-20 (2022/6)</t>
    <phoneticPr fontId="3"/>
  </si>
  <si>
    <t>Phan mem OrCad Capture(R) CIS SW ver17.4(136,809,000VND) 2022/5</t>
    <phoneticPr fontId="3"/>
  </si>
  <si>
    <t>DLM5054-F-HE MIXED SIGNAL OSCILLOSCOPE NO. 1 (2022年10月から）</t>
    <phoneticPr fontId="3"/>
  </si>
  <si>
    <t>DLM5054-F-HE MIXED SIGNAL OSCILLOSCOPE NO. 2 (2022年10月から）</t>
    <phoneticPr fontId="3"/>
  </si>
  <si>
    <t>カシメ工具</t>
    <phoneticPr fontId="3"/>
  </si>
  <si>
    <t>Harness CAD E3</t>
    <phoneticPr fontId="3"/>
  </si>
  <si>
    <t>高速オシロスコープ</t>
    <rPh sb="0" eb="2">
      <t>コウソク</t>
    </rPh>
    <phoneticPr fontId="3"/>
  </si>
  <si>
    <t>高速オシロスコープ用プローブ</t>
    <rPh sb="0" eb="2">
      <t>コウソク</t>
    </rPh>
    <rPh sb="9" eb="10">
      <t>ヨウ</t>
    </rPh>
    <phoneticPr fontId="3"/>
  </si>
  <si>
    <t>安定化電源</t>
    <rPh sb="0" eb="3">
      <t>アンテイカ</t>
    </rPh>
    <rPh sb="3" eb="5">
      <t>デンゲン</t>
    </rPh>
    <phoneticPr fontId="3"/>
  </si>
  <si>
    <t>高圧プローブ</t>
    <rPh sb="0" eb="2">
      <t>コウアツ</t>
    </rPh>
    <phoneticPr fontId="3"/>
  </si>
  <si>
    <t>Mini CT Crimper TOOL 1729069-1 [mini CTカシメ](-2023/06    68275000VND) 金利0.3%</t>
    <phoneticPr fontId="3"/>
  </si>
  <si>
    <t>Noise Finder (SEIWA) 37750USD 6月/2023 納入(-202) 金利0.3%</t>
    <phoneticPr fontId="3"/>
  </si>
  <si>
    <t>DIFFERENTIAL PROBE 701977 (YOKOGAWA) (2026-6)=&gt;5月変更 金利0.3%</t>
    <phoneticPr fontId="3"/>
  </si>
  <si>
    <t>CURRENT PROBE 701930 (YOKOGAWA) (2026-6)=&gt;5月変更 金利0.3%</t>
    <phoneticPr fontId="3"/>
  </si>
  <si>
    <t>出向者PC(-2023/7) 金利0.3%</t>
    <phoneticPr fontId="3"/>
  </si>
  <si>
    <t>Lightning Surge Simulator LSS-6330-A20(2027/01) 金利0.3%</t>
    <phoneticPr fontId="3"/>
  </si>
  <si>
    <t xml:space="preserve"> Instantaneous PW failure IEC61000-4-11 (2027/01) （01/3/2022月から　変更：Cable GPIB USB HS+） 金利0.3%</t>
    <phoneticPr fontId="3"/>
  </si>
  <si>
    <t>Voltage dip and Flicker IEC61000-3-2/3-3(2027/01) 金利0.3%</t>
    <phoneticPr fontId="3"/>
  </si>
  <si>
    <t>Switching emulator NSE AC220V Nishiyama(2022/5) 金利0.3%</t>
    <phoneticPr fontId="3"/>
  </si>
  <si>
    <t>AUXILIARY CLAMPE TKT-20 (2022/6) 金利0.3%</t>
    <phoneticPr fontId="3"/>
  </si>
  <si>
    <t>Phan mem OrCad Capture(R) CIS SW ver17.4(136,809,000VND) 2022/5 金利0.3%</t>
    <phoneticPr fontId="3"/>
  </si>
  <si>
    <t>DLM5054-F-HE MIXED SIGNAL OSCILLOSCOPE NO. 1 (2022年10月から） 金利0.3%</t>
    <phoneticPr fontId="3"/>
  </si>
  <si>
    <t>DLM5054-F-HE MIXED SIGNAL OSCILLOSCOPE NO. 2 (2022年10月から） 金利0.3%</t>
    <phoneticPr fontId="3"/>
  </si>
  <si>
    <t>カシメ工具 金利0.3%</t>
    <phoneticPr fontId="3"/>
  </si>
  <si>
    <t>Harness CAD E3 金利0.3%</t>
    <phoneticPr fontId="3"/>
  </si>
  <si>
    <t>高速オシロスコープ 金利0.3%</t>
    <phoneticPr fontId="3"/>
  </si>
  <si>
    <t>高速オシロスコープ用プローブ 金利0.3%</t>
    <phoneticPr fontId="3"/>
  </si>
  <si>
    <t>安定化電源 金利0.3%</t>
    <phoneticPr fontId="3"/>
  </si>
  <si>
    <t>高圧プローブ 金利0.3%</t>
    <phoneticPr fontId="3"/>
  </si>
  <si>
    <t>Leo MainEngine基板開発費</t>
    <rPh sb="14" eb="16">
      <t>キバン</t>
    </rPh>
    <rPh sb="16" eb="18">
      <t>カイハツ</t>
    </rPh>
    <rPh sb="18" eb="19">
      <t>ヒ</t>
    </rPh>
    <phoneticPr fontId="3"/>
  </si>
  <si>
    <t>Leo　LCD TSIパネル基板開発費</t>
    <rPh sb="14" eb="16">
      <t>キバン</t>
    </rPh>
    <rPh sb="16" eb="19">
      <t>カイハツヒ</t>
    </rPh>
    <phoneticPr fontId="3"/>
  </si>
  <si>
    <t>Leo　LCD Mパネル基板開発費</t>
    <rPh sb="12" eb="14">
      <t>キバン</t>
    </rPh>
    <rPh sb="14" eb="17">
      <t>カイハツヒ</t>
    </rPh>
    <phoneticPr fontId="3"/>
  </si>
  <si>
    <t>Leo　LCD Pパネル基板開発費</t>
    <rPh sb="12" eb="14">
      <t>キバン</t>
    </rPh>
    <rPh sb="14" eb="17">
      <t>カイハツヒ</t>
    </rPh>
    <phoneticPr fontId="3"/>
  </si>
  <si>
    <t>Leo　PF基板開発費</t>
    <rPh sb="6" eb="8">
      <t>キバン</t>
    </rPh>
    <rPh sb="8" eb="11">
      <t>カイハツヒ</t>
    </rPh>
    <phoneticPr fontId="3"/>
  </si>
  <si>
    <t>Leo APC基板開発費</t>
    <rPh sb="7" eb="9">
      <t>キバン</t>
    </rPh>
    <rPh sb="9" eb="11">
      <t>カイハツ</t>
    </rPh>
    <rPh sb="11" eb="12">
      <t>ヒ</t>
    </rPh>
    <phoneticPr fontId="3"/>
  </si>
  <si>
    <t>Leo ドラムコネクト基板開発費</t>
    <rPh sb="11" eb="13">
      <t>キバン</t>
    </rPh>
    <rPh sb="13" eb="15">
      <t>カイハツ</t>
    </rPh>
    <rPh sb="15" eb="16">
      <t>ヒ</t>
    </rPh>
    <phoneticPr fontId="3"/>
  </si>
  <si>
    <t>Leo イレーサー基板開発費</t>
    <rPh sb="9" eb="11">
      <t>キバン</t>
    </rPh>
    <rPh sb="11" eb="13">
      <t>カイハツ</t>
    </rPh>
    <rPh sb="13" eb="14">
      <t>ヒ</t>
    </rPh>
    <phoneticPr fontId="3"/>
  </si>
  <si>
    <t>Leo 　LVU試作</t>
    <rPh sb="8" eb="10">
      <t>シサク</t>
    </rPh>
    <phoneticPr fontId="3"/>
  </si>
  <si>
    <t>Leo 　HVU試作</t>
    <rPh sb="8" eb="10">
      <t>シサク</t>
    </rPh>
    <phoneticPr fontId="3"/>
  </si>
  <si>
    <t>Leo 　LVU外注委託費</t>
    <rPh sb="8" eb="10">
      <t>ガイチュウ</t>
    </rPh>
    <rPh sb="10" eb="12">
      <t>イタク</t>
    </rPh>
    <rPh sb="12" eb="13">
      <t>ヒ</t>
    </rPh>
    <phoneticPr fontId="3"/>
  </si>
  <si>
    <t>Leo 　HVU外注委託費</t>
    <rPh sb="8" eb="10">
      <t>ガイチュウ</t>
    </rPh>
    <rPh sb="10" eb="13">
      <t>イタクヒ</t>
    </rPh>
    <phoneticPr fontId="3"/>
  </si>
  <si>
    <t>Leo　ハーネス試作費</t>
    <rPh sb="8" eb="10">
      <t>シサク</t>
    </rPh>
    <rPh sb="10" eb="11">
      <t>ヒ</t>
    </rPh>
    <phoneticPr fontId="3"/>
  </si>
  <si>
    <t>Leo　外部サイト使用料</t>
    <rPh sb="4" eb="6">
      <t>ガイブ</t>
    </rPh>
    <rPh sb="9" eb="11">
      <t>シヨウ</t>
    </rPh>
    <rPh sb="11" eb="12">
      <t>リョウ</t>
    </rPh>
    <phoneticPr fontId="3"/>
  </si>
  <si>
    <t>[Leo] 評価機 MFP DMT</t>
    <phoneticPr fontId="3"/>
  </si>
  <si>
    <t>[Leo] 評価機 MFP PMT</t>
    <phoneticPr fontId="3"/>
  </si>
  <si>
    <t>[Leo] 評価機 PRT DMT</t>
    <phoneticPr fontId="3"/>
  </si>
  <si>
    <t>[Leo] 評価機 PRT PMT</t>
    <phoneticPr fontId="3"/>
  </si>
  <si>
    <t>[Leo PF] 評価機　DMT</t>
    <phoneticPr fontId="3"/>
  </si>
  <si>
    <t>[Leo PF] 評価機　PMT</t>
    <phoneticPr fontId="3"/>
  </si>
  <si>
    <t>Components for practice exercise 1 of the 13th generation members</t>
    <phoneticPr fontId="3"/>
  </si>
  <si>
    <t>セミナー↓</t>
    <phoneticPr fontId="3"/>
  </si>
  <si>
    <t>語学能力試験↓</t>
    <rPh sb="0" eb="2">
      <t>ゴガク</t>
    </rPh>
    <rPh sb="2" eb="4">
      <t>ノウリョク</t>
    </rPh>
    <rPh sb="4" eb="6">
      <t>シケン</t>
    </rPh>
    <phoneticPr fontId="3"/>
  </si>
  <si>
    <t>国内出張↓</t>
    <rPh sb="0" eb="2">
      <t>コクナイ</t>
    </rPh>
    <rPh sb="2" eb="4">
      <t>シュッチョウ</t>
    </rPh>
    <phoneticPr fontId="3"/>
  </si>
  <si>
    <t>KDTVN ⇒ KDC 出張　Local　　VISA申請代  Spica,Leo(9月, 2月), Kizuna3(11月)</t>
    <phoneticPr fontId="3"/>
  </si>
  <si>
    <t>KDTVN ⇒ KDC 出張　Local　  保険代　発行月  Spica,Leo(9月, 2月), Kizuna3(11月)</t>
    <phoneticPr fontId="3"/>
  </si>
  <si>
    <t>KDTVN ⇒ KDC 出張　Local　　飛行機代 発券 翌月   Spica,Leo(9月, 2月), Kizuna3(11月)</t>
    <phoneticPr fontId="3"/>
  </si>
  <si>
    <t>KDTVN ⇒ KDC 出張　Local　　 日当            帰国後  Spica,Leo(9月, 2月), Kizuna3(11月)</t>
    <phoneticPr fontId="3"/>
  </si>
  <si>
    <t>KDTVN ⇒ KDC 出張　Local　　VN内交通費他     帰国後  Spica,Leo(9月, 2月), Kizuna3(11月)</t>
    <phoneticPr fontId="3"/>
  </si>
  <si>
    <t>KDTVN ⇒ KDC 出張　Local　　宿泊代　　　　　　　帰国後  Spica,Leo(9月, 2月), Kizuna3(11月)</t>
    <phoneticPr fontId="3"/>
  </si>
  <si>
    <t>KDTVN ⇒ KDC 出張　Local　　JP内交通費        翌月   Spica,Leo(9月, 2月), Kizuna3(11月)</t>
    <phoneticPr fontId="3"/>
  </si>
  <si>
    <t>Local Passport取得</t>
    <rPh sb="14" eb="16">
      <t>シュトク</t>
    </rPh>
    <phoneticPr fontId="3"/>
  </si>
  <si>
    <t>xxx↓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</si>
</sst>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_);[Red]\(&quot;¥&quot;#,##0\)"/>
    <numFmt numFmtId="165" formatCode="_(* #,##0.00_);_(* \(#,##0.00\);_(* &quot;-&quot;??_);_(@_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8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trike/>
      <sz val="8"/>
      <name val="Meiryo UI"/>
      <family val="3"/>
      <charset val="128"/>
    </font>
    <font>
      <i/>
      <sz val="8"/>
      <name val="Meiryo UI"/>
      <family val="3"/>
      <charset val="128"/>
    </font>
    <font>
      <sz val="8"/>
      <color theme="1"/>
      <name val="Meiryo UI"/>
      <family val="3"/>
      <charset val="128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5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5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2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86" fillId="34" borderId="37" xfId="0" applyNumberFormat="1" applyFont="1" applyFill="1" applyBorder="1" applyAlignment="1" applyProtection="1">
      <alignment wrapText="1"/>
    </xf>
    <xf numFmtId="40" fontId="86" fillId="34" borderId="40" xfId="0" applyNumberFormat="1" applyFont="1" applyFill="1" applyBorder="1" applyAlignment="1" applyProtection="1">
      <alignment wrapText="1"/>
    </xf>
    <xf numFmtId="40" fontId="86" fillId="34" borderId="39" xfId="0" applyNumberFormat="1" applyFont="1" applyFill="1" applyBorder="1" applyProtection="1"/>
    <xf numFmtId="40" fontId="86" fillId="34" borderId="43" xfId="0" applyNumberFormat="1" applyFont="1" applyFill="1" applyBorder="1" applyProtection="1"/>
    <xf numFmtId="40" fontId="86" fillId="32" borderId="43" xfId="0" applyNumberFormat="1" applyFont="1" applyFill="1" applyBorder="1" applyProtection="1"/>
    <xf numFmtId="3" fontId="86" fillId="34" borderId="39" xfId="0" applyNumberFormat="1" applyFont="1" applyFill="1" applyBorder="1" applyProtection="1"/>
    <xf numFmtId="3" fontId="86" fillId="34" borderId="48" xfId="0" applyNumberFormat="1" applyFont="1" applyFill="1" applyBorder="1" applyProtection="1"/>
    <xf numFmtId="40" fontId="86" fillId="32" borderId="40" xfId="0" applyNumberFormat="1" applyFont="1" applyFill="1" applyBorder="1" applyProtection="1"/>
    <xf numFmtId="40" fontId="86" fillId="32" borderId="39" xfId="0" applyNumberFormat="1" applyFont="1" applyFill="1" applyBorder="1" applyProtection="1"/>
    <xf numFmtId="40" fontId="86" fillId="32" borderId="48" xfId="0" applyNumberFormat="1" applyFont="1" applyFill="1" applyBorder="1" applyProtection="1"/>
    <xf numFmtId="40" fontId="86" fillId="34" borderId="40" xfId="0" applyNumberFormat="1" applyFont="1" applyFill="1" applyBorder="1" applyProtection="1"/>
    <xf numFmtId="40" fontId="87" fillId="36" borderId="39" xfId="0" applyNumberFormat="1" applyFont="1" applyFill="1" applyBorder="1" applyProtection="1"/>
    <xf numFmtId="40" fontId="88" fillId="34" borderId="39" xfId="0" applyNumberFormat="1" applyFont="1" applyFill="1" applyBorder="1" applyProtection="1"/>
    <xf numFmtId="40" fontId="89" fillId="32" borderId="39" xfId="0" applyNumberFormat="1" applyFont="1" applyFill="1" applyBorder="1" applyProtection="1"/>
    <xf numFmtId="40" fontId="90" fillId="37" borderId="39" xfId="0" applyNumberFormat="1" applyFont="1" applyFill="1" applyBorder="1" applyAlignment="1" applyProtection="1">
      <alignment horizontal="left"/>
    </xf>
    <xf numFmtId="40" fontId="90" fillId="34" borderId="39" xfId="0" applyNumberFormat="1" applyFont="1" applyFill="1" applyBorder="1" applyAlignment="1" applyProtection="1">
      <alignment horizontal="left"/>
    </xf>
    <xf numFmtId="40" fontId="89" fillId="38" borderId="39" xfId="0" applyNumberFormat="1" applyFont="1" applyFill="1" applyBorder="1" applyProtection="1"/>
    <xf numFmtId="40" fontId="89" fillId="34" borderId="39" xfId="0" applyNumberFormat="1" applyFont="1" applyFill="1" applyBorder="1" applyProtection="1"/>
    <xf numFmtId="40" fontId="89" fillId="39" borderId="39" xfId="0" applyNumberFormat="1" applyFont="1" applyFill="1" applyBorder="1" applyProtection="1"/>
    <xf numFmtId="40" fontId="90" fillId="34" borderId="39" xfId="0" applyNumberFormat="1" applyFont="1" applyFill="1" applyBorder="1" applyProtection="1"/>
    <xf numFmtId="40" fontId="90" fillId="40" borderId="39" xfId="0" applyNumberFormat="1" applyFont="1" applyFill="1" applyBorder="1" applyAlignment="1" applyProtection="1">
      <alignment horizontal="left"/>
    </xf>
    <xf numFmtId="40" fontId="86" fillId="34" borderId="39" xfId="0" applyNumberFormat="1" applyFont="1" applyFill="1" applyBorder="1" applyAlignment="1" applyProtection="1">
      <alignment horizontal="left"/>
    </xf>
    <xf numFmtId="40" fontId="92" fillId="34" borderId="39" xfId="0" applyNumberFormat="1" applyFont="1" applyFill="1" applyBorder="1" applyProtection="1"/>
    <xf numFmtId="40" fontId="93" fillId="34" borderId="39" xfId="0" applyNumberFormat="1" applyFont="1" applyFill="1" applyBorder="1" applyProtection="1"/>
    <xf numFmtId="40" fontId="86" fillId="38" borderId="39" xfId="0" applyNumberFormat="1" applyFont="1" applyFill="1" applyBorder="1" applyProtection="1"/>
    <xf numFmtId="40" fontId="87" fillId="0" borderId="39" xfId="0" applyNumberFormat="1" applyFont="1" applyFill="1" applyBorder="1" applyProtection="1"/>
    <xf numFmtId="0" fontId="86" fillId="34" borderId="39" xfId="0" applyFont="1" applyFill="1" applyBorder="1" applyProtection="1">
      <protection locked="0"/>
    </xf>
    <xf numFmtId="40" fontId="86" fillId="34" borderId="39" xfId="0" applyNumberFormat="1" applyFont="1" applyFill="1" applyBorder="1" applyAlignment="1" applyProtection="1">
      <alignment horizontal="right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悪い" xfId="126" xr:uid="{7F0DD31F-081F-45F7-80E4-325977A162DD}"/>
    <cellStyle name="悪い 2" xfId="127" xr:uid="{84ACAFC9-A2BD-4C73-A026-9D73B06B69DC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計算" xfId="130" xr:uid="{93B970C6-E80C-46BE-B35E-FBBD5F8DA30E}"/>
    <cellStyle name="計算 2" xfId="131" xr:uid="{EA501B05-AFF2-4240-89AD-AFDDF9AB3280}"/>
    <cellStyle name="警告文" xfId="132" xr:uid="{0A4A8F0A-68CB-4E27-AB9A-1D30379B12B6}"/>
    <cellStyle name="警告文 2" xfId="133" xr:uid="{A6F01428-8F2A-4274-8949-2BCBE79CCEF8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集計" xfId="152" xr:uid="{F4A1ADB5-BAB1-404F-A23B-ABF411AC4C62}"/>
    <cellStyle name="集計 2" xfId="153" xr:uid="{81390C70-78F7-4E5A-A3EE-76770211ABD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説明文" xfId="157" xr:uid="{A60B89CA-0D5B-404B-9C21-38A395A5C5FA}"/>
    <cellStyle name="説明文 2" xfId="158" xr:uid="{36510BC6-54C2-4A7F-A17F-54641E946666}"/>
    <cellStyle name="通貨 2" xfId="159" xr:uid="{75781059-F56D-4F95-A39B-E33DF7438B9F}"/>
    <cellStyle name="通貨 3" xfId="160" xr:uid="{0E2CEFBA-A57A-48C5-9F4B-A7400477F6E2}"/>
    <cellStyle name="入力" xfId="161" xr:uid="{54BD8E0E-A305-4583-94C9-2A5E478AB915}"/>
    <cellStyle name="入力 2" xfId="162" xr:uid="{4BC2C04B-EF16-4C4A-92BD-69D48C885B0A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未定義" xfId="172" xr:uid="{E56D1474-D329-4D7D-B3F6-4CF33F7526A6}"/>
    <cellStyle name="良い" xfId="173" xr:uid="{5D4A99A9-34AA-4AAD-92F6-9CED1E9D50A6}"/>
    <cellStyle name="良い 2" xfId="174" xr:uid="{6C3AFC09-C406-454F-B3A0-7B564CFED17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00_KDTVN%20Common(KDTVN&#20849;&#36890;)\&#9315;Production%20Control(&#29983;&#29987;&#31649;&#29702;)\1.%20Ph&#242;ng%20QLLN\MASTER%20PLAN\FY2026MP\&#21508;&#20104;&#23450;&#20316;&#25104;\FORM\66.KDTVN%20EI2&#35506;_MP%20FY2026_&#21508;&#20104;&#23450;(Ver01).xlsx" TargetMode="External"/><Relationship Id="rId1" Type="http://schemas.openxmlformats.org/officeDocument/2006/relationships/externalLinkPath" Target="/00_KDTVN%20Common(KDTVN&#20849;&#36890;)/&#9315;Production%20Control(&#29983;&#29987;&#31649;&#29702;)/1.%20Ph&#242;ng%20QLLN/MASTER%20PLAN/FY2026MP/&#21508;&#20104;&#23450;&#20316;&#25104;/FORM/66.KDTVN%20EI2&#35506;_MP%20FY2026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/>
      <sheetData sheetId="1"/>
      <sheetData sheetId="2"/>
      <sheetData sheetId="3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A2"/>
          <cell r="B2"/>
          <cell r="C2"/>
          <cell r="D2"/>
          <cell r="E2"/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  <cell r="G6"/>
          <cell r="H6"/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  <cell r="G12"/>
          <cell r="H12"/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  <cell r="G13"/>
          <cell r="H13"/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  <cell r="G14"/>
          <cell r="H14"/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  <cell r="G15"/>
          <cell r="H15"/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  <cell r="G16"/>
          <cell r="H16"/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  <cell r="G17"/>
          <cell r="H17"/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  <cell r="G18"/>
          <cell r="H18"/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  <cell r="G19"/>
          <cell r="H19"/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  <cell r="G20"/>
          <cell r="H20"/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  <cell r="G21"/>
          <cell r="H21"/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  <cell r="G22"/>
          <cell r="H22"/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  <cell r="G23"/>
          <cell r="H23"/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  <cell r="G24"/>
          <cell r="H24"/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  <cell r="G25"/>
          <cell r="H25"/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  <cell r="G26"/>
          <cell r="H26"/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  <cell r="G27"/>
          <cell r="H27"/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  <cell r="G28"/>
          <cell r="H28"/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  <cell r="G29"/>
          <cell r="H29"/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  <cell r="G30"/>
          <cell r="H30"/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  <cell r="G31"/>
          <cell r="H31"/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  <cell r="G32"/>
          <cell r="H32"/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  <cell r="G33"/>
          <cell r="H33"/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  <cell r="G34"/>
          <cell r="H34"/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  <cell r="G35"/>
          <cell r="H35"/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  <cell r="G36"/>
          <cell r="H36"/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  <cell r="G37"/>
          <cell r="H37"/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  <cell r="G38"/>
          <cell r="H38"/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  <cell r="G39"/>
          <cell r="H39"/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  <cell r="G40"/>
          <cell r="H40"/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  <cell r="G41"/>
          <cell r="H41"/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  <cell r="G42"/>
          <cell r="H42"/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  <cell r="G43"/>
          <cell r="H43"/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  <cell r="G44"/>
          <cell r="H44"/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  <cell r="G45"/>
          <cell r="H45"/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  <cell r="G46"/>
          <cell r="H46"/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  <cell r="G47"/>
          <cell r="H47"/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  <cell r="G48"/>
          <cell r="H48"/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  <cell r="G49"/>
          <cell r="H49"/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  <cell r="G50"/>
          <cell r="H50"/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  <cell r="G51"/>
          <cell r="H51"/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  <cell r="G52"/>
          <cell r="H52"/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  <cell r="G53"/>
          <cell r="H53"/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  <cell r="G54"/>
          <cell r="H54"/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  <cell r="G55"/>
          <cell r="H55"/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  <cell r="G56"/>
          <cell r="H56"/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  <cell r="G57"/>
          <cell r="H57"/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  <cell r="G58"/>
          <cell r="H58"/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  <cell r="G59"/>
          <cell r="H59"/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  <cell r="G60"/>
          <cell r="H60"/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  <cell r="G61"/>
          <cell r="H61"/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  <cell r="G62"/>
          <cell r="H62"/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  <cell r="G63"/>
          <cell r="H63"/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  <cell r="G64"/>
          <cell r="H64"/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  <cell r="G65"/>
          <cell r="H65"/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  <cell r="G66"/>
          <cell r="H66"/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  <cell r="G67"/>
          <cell r="H67"/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  <cell r="G68"/>
          <cell r="H68"/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  <cell r="G69"/>
          <cell r="H69"/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  <cell r="G70"/>
          <cell r="H70"/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  <cell r="G71"/>
          <cell r="H71"/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  <cell r="G72"/>
          <cell r="H72"/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  <cell r="G73"/>
          <cell r="H73"/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  <cell r="G74"/>
          <cell r="H74"/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  <cell r="G75"/>
          <cell r="H75"/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  <cell r="G76"/>
          <cell r="H76"/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  <cell r="G77"/>
          <cell r="H77"/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  <cell r="G78"/>
          <cell r="H78"/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  <cell r="G79"/>
          <cell r="H79"/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  <cell r="G80"/>
          <cell r="H80"/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  <cell r="G81"/>
          <cell r="H81"/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  <cell r="G82"/>
          <cell r="H82"/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  <cell r="G85"/>
          <cell r="H85"/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  <cell r="G86"/>
          <cell r="H86"/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  <cell r="G87"/>
          <cell r="H87"/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  <cell r="G88"/>
          <cell r="H88"/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  <cell r="G89"/>
          <cell r="H89"/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  <cell r="G90"/>
          <cell r="H90"/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  <cell r="G91"/>
          <cell r="H91"/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  <cell r="G92"/>
          <cell r="H92"/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F93"/>
          <cell r="G93"/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F94"/>
          <cell r="G94"/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F95"/>
          <cell r="G95"/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F96"/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F97"/>
          <cell r="G97"/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F98"/>
          <cell r="G98"/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F99"/>
          <cell r="G99"/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F100"/>
          <cell r="G100"/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F101"/>
          <cell r="G101"/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F102"/>
          <cell r="G102"/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F103"/>
          <cell r="G103"/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F104"/>
          <cell r="G104"/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F105"/>
          <cell r="G105"/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F106"/>
          <cell r="G106"/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F107"/>
          <cell r="G107"/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F108"/>
          <cell r="G108"/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F109"/>
          <cell r="G109"/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F110"/>
          <cell r="G110"/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F111"/>
          <cell r="G111"/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F112"/>
          <cell r="G112"/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F113"/>
          <cell r="G113"/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F114"/>
          <cell r="G114"/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F115"/>
          <cell r="G115"/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F116"/>
          <cell r="G116"/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F117"/>
          <cell r="G117"/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F118"/>
          <cell r="G118"/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F119"/>
          <cell r="G119"/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F120"/>
          <cell r="G120"/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F121"/>
          <cell r="G121"/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F122"/>
          <cell r="G122"/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G123"/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F125"/>
          <cell r="G125"/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F126"/>
          <cell r="G126"/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F127"/>
          <cell r="G127"/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F128"/>
          <cell r="G128"/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F129"/>
          <cell r="G129"/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F130"/>
          <cell r="G130"/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F131"/>
          <cell r="G131"/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G132"/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F137"/>
          <cell r="G137"/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F138"/>
          <cell r="G138"/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F139"/>
          <cell r="G139"/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F140"/>
          <cell r="G140"/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F141"/>
          <cell r="G141"/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F142"/>
          <cell r="G142"/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F143"/>
          <cell r="G143"/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F144"/>
          <cell r="G144"/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F145"/>
          <cell r="G145"/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F146"/>
          <cell r="G146"/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F147"/>
          <cell r="G147"/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F148"/>
          <cell r="G148"/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F149"/>
          <cell r="G149"/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F150"/>
          <cell r="G150"/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F153"/>
          <cell r="G153"/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F154"/>
          <cell r="G154"/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F155"/>
          <cell r="G155"/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F156"/>
          <cell r="G156"/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F157"/>
          <cell r="G157"/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F158"/>
          <cell r="G158"/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F159"/>
          <cell r="G159"/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F160"/>
          <cell r="G160"/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F161"/>
          <cell r="G161"/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F162"/>
          <cell r="G162"/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F163"/>
          <cell r="G163"/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F164"/>
          <cell r="G164">
            <v>6004046421</v>
          </cell>
          <cell r="H164"/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F165"/>
          <cell r="G165">
            <v>6005016422</v>
          </cell>
          <cell r="H165"/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F166"/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F167"/>
          <cell r="G167">
            <v>6005126423</v>
          </cell>
          <cell r="H167"/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F168"/>
          <cell r="G168">
            <v>6006016611</v>
          </cell>
          <cell r="H168"/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F169"/>
          <cell r="G169">
            <v>6006016612</v>
          </cell>
          <cell r="H169"/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F170"/>
          <cell r="G170">
            <v>6006016613</v>
          </cell>
          <cell r="H170"/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F171"/>
          <cell r="G171">
            <v>6006016614</v>
          </cell>
          <cell r="H171"/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F172"/>
          <cell r="G172">
            <v>6006016615</v>
          </cell>
          <cell r="H172"/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F173"/>
          <cell r="G173">
            <v>6006016616</v>
          </cell>
          <cell r="H173"/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F174"/>
          <cell r="G174">
            <v>6006016617</v>
          </cell>
          <cell r="H174"/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F175"/>
          <cell r="G175">
            <v>6006016618</v>
          </cell>
          <cell r="H175"/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F176"/>
          <cell r="G176">
            <v>6006016619</v>
          </cell>
          <cell r="H176"/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F177"/>
          <cell r="G177">
            <v>6006016620</v>
          </cell>
          <cell r="H177"/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F178"/>
          <cell r="G178">
            <v>6006016621</v>
          </cell>
          <cell r="H178"/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F179"/>
          <cell r="G179">
            <v>6006016622</v>
          </cell>
          <cell r="H179"/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F180"/>
          <cell r="G180">
            <v>6006016623</v>
          </cell>
          <cell r="H180"/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F181"/>
          <cell r="G181">
            <v>6006016624</v>
          </cell>
          <cell r="H181"/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F182"/>
          <cell r="G182">
            <v>6006016625</v>
          </cell>
          <cell r="H182"/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F183"/>
          <cell r="G183">
            <v>6006016626</v>
          </cell>
          <cell r="H183"/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F184"/>
          <cell r="G184">
            <v>6006016627</v>
          </cell>
          <cell r="H184"/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F185"/>
          <cell r="G185">
            <v>6006016628</v>
          </cell>
          <cell r="H185"/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F186"/>
          <cell r="G186">
            <v>6006016629</v>
          </cell>
          <cell r="H186"/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F187"/>
          <cell r="G187">
            <v>6005186425</v>
          </cell>
          <cell r="H187"/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F188"/>
          <cell r="G188">
            <v>6005186429</v>
          </cell>
          <cell r="H188"/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F189"/>
          <cell r="G189">
            <v>6005266426</v>
          </cell>
          <cell r="H189"/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F190"/>
          <cell r="G190">
            <v>6004096621</v>
          </cell>
          <cell r="H190"/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F191"/>
          <cell r="G191">
            <v>6005046622</v>
          </cell>
          <cell r="H191"/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F192"/>
          <cell r="G192">
            <v>6005046635</v>
          </cell>
          <cell r="H192"/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F193"/>
          <cell r="G193">
            <v>6005056623</v>
          </cell>
          <cell r="H193"/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F194"/>
          <cell r="G194">
            <v>6005056624</v>
          </cell>
          <cell r="H194"/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F195"/>
          <cell r="G195">
            <v>6005056625</v>
          </cell>
          <cell r="H195"/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F196"/>
          <cell r="G196">
            <v>6005136626</v>
          </cell>
          <cell r="H196"/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F197"/>
          <cell r="G197">
            <v>6005146627</v>
          </cell>
          <cell r="H197"/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F198"/>
          <cell r="G198">
            <v>6005146628</v>
          </cell>
          <cell r="H198"/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F199"/>
          <cell r="G199">
            <v>6005146629</v>
          </cell>
          <cell r="H199"/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F200"/>
          <cell r="G200">
            <v>6005156630</v>
          </cell>
          <cell r="H200"/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F201"/>
          <cell r="G201">
            <v>6005206631</v>
          </cell>
          <cell r="H201"/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F202"/>
          <cell r="G202">
            <v>6005216632</v>
          </cell>
          <cell r="H202"/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F203"/>
          <cell r="G203">
            <v>6005226633</v>
          </cell>
          <cell r="H203"/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F204"/>
          <cell r="G204">
            <v>6005236634</v>
          </cell>
          <cell r="H204"/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F205"/>
          <cell r="G205">
            <v>6005246636</v>
          </cell>
          <cell r="H205"/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F206"/>
          <cell r="G206">
            <v>6005246672</v>
          </cell>
          <cell r="H206"/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F207"/>
          <cell r="G207">
            <v>6005246673</v>
          </cell>
          <cell r="H207"/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F208"/>
          <cell r="G208">
            <v>6005246674</v>
          </cell>
          <cell r="H208"/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F209"/>
          <cell r="G209">
            <v>6004086651</v>
          </cell>
          <cell r="H209"/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F210"/>
          <cell r="G210">
            <v>6004086653</v>
          </cell>
          <cell r="H210"/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F211"/>
          <cell r="G211">
            <v>6005116654</v>
          </cell>
          <cell r="H211"/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F212"/>
          <cell r="G212">
            <v>6005116655</v>
          </cell>
          <cell r="H212"/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F213"/>
          <cell r="G213">
            <v>6005136657</v>
          </cell>
          <cell r="H213"/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F214"/>
          <cell r="G214">
            <v>6005166658</v>
          </cell>
          <cell r="H214"/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F215"/>
          <cell r="G215">
            <v>6005176659</v>
          </cell>
          <cell r="H215"/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F216"/>
          <cell r="G216">
            <v>6005246671</v>
          </cell>
          <cell r="H216"/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F217"/>
          <cell r="G217">
            <v>6005246675</v>
          </cell>
          <cell r="H217"/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F218"/>
          <cell r="G218">
            <v>6005246676</v>
          </cell>
          <cell r="H218"/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C227"/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C228"/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C229"/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C230"/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C231"/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C232"/>
          <cell r="D232" t="str">
            <v>仕入製商品費</v>
          </cell>
          <cell r="E232" t="str">
            <v>Chi phí bán hàng</v>
          </cell>
          <cell r="F232" t="str">
            <v>9114120008</v>
          </cell>
          <cell r="G232"/>
          <cell r="H232"/>
        </row>
        <row r="233">
          <cell r="A233">
            <v>9114120009</v>
          </cell>
          <cell r="B233" t="str">
            <v>社内金利（在庫）</v>
          </cell>
          <cell r="C233"/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C234"/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C235"/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C236"/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C237"/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C238"/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C239"/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C240"/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  <cell r="G241"/>
          <cell r="H241"/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  <cell r="G242"/>
          <cell r="H242"/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F243"/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  <cell r="G244"/>
          <cell r="H244"/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O64" sqref="O64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EI2課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38768</v>
      </c>
      <c r="E5" s="129">
        <f t="shared" si="0"/>
        <v>32552</v>
      </c>
      <c r="F5" s="129">
        <f t="shared" si="0"/>
        <v>37632</v>
      </c>
      <c r="G5" s="129">
        <f t="shared" si="0"/>
        <v>37049.21</v>
      </c>
      <c r="H5" s="129">
        <f t="shared" si="0"/>
        <v>39508.74</v>
      </c>
      <c r="I5" s="129">
        <f t="shared" si="0"/>
        <v>38788.92</v>
      </c>
      <c r="J5" s="129">
        <f t="shared" si="0"/>
        <v>46165.54</v>
      </c>
      <c r="K5" s="129">
        <f t="shared" si="0"/>
        <v>39058.99</v>
      </c>
      <c r="L5" s="129">
        <f t="shared" si="0"/>
        <v>39560.94</v>
      </c>
      <c r="M5" s="129">
        <f t="shared" si="0"/>
        <v>39112.639999999999</v>
      </c>
      <c r="N5" s="129">
        <f t="shared" si="0"/>
        <v>38294.129999999997</v>
      </c>
      <c r="O5" s="129">
        <f t="shared" si="0"/>
        <v>426491.11</v>
      </c>
    </row>
    <row r="6" spans="1:15" ht="11.25" customHeight="1">
      <c r="A6" s="26"/>
      <c r="B6" s="29" t="s">
        <v>140</v>
      </c>
      <c r="C6" s="130">
        <f>ROUNDDOWN('採算表(VND)'!C6/$N$1,2)</f>
        <v>0</v>
      </c>
      <c r="D6" s="130">
        <f>ROUNDDOWN('採算表(VND)'!D6/$N$1,2)</f>
        <v>38768</v>
      </c>
      <c r="E6" s="130">
        <f>ROUNDDOWN('採算表(VND)'!E6/$N$1,2)</f>
        <v>32552</v>
      </c>
      <c r="F6" s="130">
        <f>ROUNDDOWN('採算表(VND)'!F6/$N$1,2)</f>
        <v>37632</v>
      </c>
      <c r="G6" s="130">
        <f>ROUNDDOWN('採算表(VND)'!G6/$N$1,2)</f>
        <v>37049.21</v>
      </c>
      <c r="H6" s="130">
        <f>ROUNDDOWN('採算表(VND)'!H6/$N$1,2)</f>
        <v>39508.74</v>
      </c>
      <c r="I6" s="130">
        <f>ROUNDDOWN('採算表(VND)'!I6/$N$1,2)</f>
        <v>38788.92</v>
      </c>
      <c r="J6" s="130">
        <f>ROUNDDOWN('採算表(VND)'!J6/$N$1,2)</f>
        <v>46165.54</v>
      </c>
      <c r="K6" s="130">
        <f>ROUNDDOWN('採算表(VND)'!K6/$N$1,2)</f>
        <v>39058.99</v>
      </c>
      <c r="L6" s="130">
        <f>ROUNDDOWN('採算表(VND)'!L6/$N$1,2)</f>
        <v>39560.94</v>
      </c>
      <c r="M6" s="130">
        <f>ROUNDDOWN('採算表(VND)'!M6/$N$1,2)</f>
        <v>39112.639999999999</v>
      </c>
      <c r="N6" s="130">
        <f>ROUNDDOWN('採算表(VND)'!N6/$N$1,2)</f>
        <v>38294.129999999997</v>
      </c>
      <c r="O6" s="130">
        <f>SUM(C6:N6)</f>
        <v>426491.11</v>
      </c>
    </row>
    <row r="7" spans="1:15" ht="11.25" customHeight="1">
      <c r="A7" s="26"/>
      <c r="B7" s="30" t="s">
        <v>111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84</v>
      </c>
      <c r="C8" s="132">
        <f t="shared" ref="C8:O8" si="1">C6+C7</f>
        <v>0</v>
      </c>
      <c r="D8" s="132">
        <f t="shared" si="1"/>
        <v>38768</v>
      </c>
      <c r="E8" s="132">
        <f t="shared" si="1"/>
        <v>32552</v>
      </c>
      <c r="F8" s="132">
        <f t="shared" si="1"/>
        <v>37632</v>
      </c>
      <c r="G8" s="132">
        <f t="shared" si="1"/>
        <v>37049.21</v>
      </c>
      <c r="H8" s="132">
        <f t="shared" si="1"/>
        <v>39508.74</v>
      </c>
      <c r="I8" s="132">
        <f t="shared" si="1"/>
        <v>38788.92</v>
      </c>
      <c r="J8" s="132">
        <f t="shared" si="1"/>
        <v>46165.54</v>
      </c>
      <c r="K8" s="132">
        <f t="shared" si="1"/>
        <v>39058.99</v>
      </c>
      <c r="L8" s="132">
        <f t="shared" si="1"/>
        <v>39560.94</v>
      </c>
      <c r="M8" s="132">
        <f t="shared" si="1"/>
        <v>39112.639999999999</v>
      </c>
      <c r="N8" s="132">
        <f t="shared" si="1"/>
        <v>38294.129999999997</v>
      </c>
      <c r="O8" s="132">
        <f t="shared" si="1"/>
        <v>426491.11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38768</v>
      </c>
      <c r="E12" s="134">
        <f t="shared" si="2"/>
        <v>32552</v>
      </c>
      <c r="F12" s="134">
        <f t="shared" si="2"/>
        <v>37632</v>
      </c>
      <c r="G12" s="134">
        <f t="shared" si="2"/>
        <v>37049.21</v>
      </c>
      <c r="H12" s="134">
        <f t="shared" si="2"/>
        <v>39508.74</v>
      </c>
      <c r="I12" s="134">
        <f t="shared" si="2"/>
        <v>38788.92</v>
      </c>
      <c r="J12" s="134">
        <f t="shared" si="2"/>
        <v>46165.54</v>
      </c>
      <c r="K12" s="134">
        <f t="shared" si="2"/>
        <v>39058.99</v>
      </c>
      <c r="L12" s="134">
        <f t="shared" si="2"/>
        <v>39560.94</v>
      </c>
      <c r="M12" s="134">
        <f t="shared" si="2"/>
        <v>39112.639999999999</v>
      </c>
      <c r="N12" s="134">
        <f t="shared" si="2"/>
        <v>38294.129999999997</v>
      </c>
      <c r="O12" s="134">
        <f t="shared" si="2"/>
        <v>426491.11</v>
      </c>
    </row>
    <row r="13" spans="1:15" ht="11.25" customHeight="1">
      <c r="A13" s="26"/>
      <c r="B13" s="28" t="s">
        <v>76</v>
      </c>
      <c r="C13" s="133">
        <f>SUM(C14:C65)</f>
        <v>2051.12</v>
      </c>
      <c r="D13" s="133">
        <f t="shared" ref="D13:O13" si="3">SUM(D14:D65)</f>
        <v>3191.53</v>
      </c>
      <c r="E13" s="133">
        <f t="shared" si="3"/>
        <v>5474.0800000000008</v>
      </c>
      <c r="F13" s="133">
        <f t="shared" si="3"/>
        <v>2286.23</v>
      </c>
      <c r="G13" s="133">
        <f t="shared" si="3"/>
        <v>2585.6999999999998</v>
      </c>
      <c r="H13" s="133">
        <f t="shared" si="3"/>
        <v>5457.3199999999988</v>
      </c>
      <c r="I13" s="133">
        <f t="shared" si="3"/>
        <v>8865.34</v>
      </c>
      <c r="J13" s="133">
        <f t="shared" si="3"/>
        <v>1689.2600000000002</v>
      </c>
      <c r="K13" s="133">
        <f t="shared" si="3"/>
        <v>1698.34</v>
      </c>
      <c r="L13" s="133">
        <f t="shared" si="3"/>
        <v>2809.9500000000003</v>
      </c>
      <c r="M13" s="133">
        <f t="shared" si="3"/>
        <v>4918.2199999999993</v>
      </c>
      <c r="N13" s="133">
        <f t="shared" si="3"/>
        <v>5113.3500000000004</v>
      </c>
      <c r="O13" s="133">
        <f t="shared" si="3"/>
        <v>46140.44000000001</v>
      </c>
    </row>
    <row r="14" spans="1:15" ht="11.25" customHeight="1">
      <c r="A14" s="34"/>
      <c r="B14" s="35" t="s">
        <v>100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123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119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101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160.35999999999999</v>
      </c>
      <c r="D20" s="136">
        <f>ROUNDUP('採算表(VND)'!D20/$N$1,2)</f>
        <v>160.35999999999999</v>
      </c>
      <c r="E20" s="136">
        <f>ROUNDUP('採算表(VND)'!E20/$N$1,2)</f>
        <v>160.35999999999999</v>
      </c>
      <c r="F20" s="136">
        <f>ROUNDUP('採算表(VND)'!F20/$N$1,2)</f>
        <v>160.35999999999999</v>
      </c>
      <c r="G20" s="136">
        <f>ROUNDUP('採算表(VND)'!G20/$N$1,2)</f>
        <v>160.35999999999999</v>
      </c>
      <c r="H20" s="136">
        <f>ROUNDUP('採算表(VND)'!H20/$N$1,2)</f>
        <v>160.35999999999999</v>
      </c>
      <c r="I20" s="136">
        <f>ROUNDUP('採算表(VND)'!I20/$N$1,2)</f>
        <v>160.35999999999999</v>
      </c>
      <c r="J20" s="136">
        <f>ROUNDUP('採算表(VND)'!J20/$N$1,2)</f>
        <v>160.35999999999999</v>
      </c>
      <c r="K20" s="136">
        <f>ROUNDUP('採算表(VND)'!K20/$N$1,2)</f>
        <v>160.35999999999999</v>
      </c>
      <c r="L20" s="136">
        <f>ROUNDUP('採算表(VND)'!L20/$N$1,2)</f>
        <v>160.35999999999999</v>
      </c>
      <c r="M20" s="136">
        <f>ROUNDUP('採算表(VND)'!M20/$N$1,2)</f>
        <v>160.35999999999999</v>
      </c>
      <c r="N20" s="136">
        <f>ROUNDUP('採算表(VND)'!N20/$N$1,2)</f>
        <v>160.35999999999999</v>
      </c>
      <c r="O20" s="136">
        <f t="shared" si="4"/>
        <v>1924.3199999999995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7.68</v>
      </c>
      <c r="D25" s="136">
        <f>ROUNDUP('採算表(VND)'!D25/$N$1,2)</f>
        <v>7.68</v>
      </c>
      <c r="E25" s="136">
        <f>ROUNDUP('採算表(VND)'!E25/$N$1,2)</f>
        <v>7.68</v>
      </c>
      <c r="F25" s="136">
        <f>ROUNDUP('採算表(VND)'!F25/$N$1,2)</f>
        <v>7.68</v>
      </c>
      <c r="G25" s="136">
        <f>ROUNDUP('採算表(VND)'!G25/$N$1,2)</f>
        <v>7.68</v>
      </c>
      <c r="H25" s="136">
        <f>ROUNDUP('採算表(VND)'!H25/$N$1,2)</f>
        <v>8.4499999999999993</v>
      </c>
      <c r="I25" s="136">
        <f>ROUNDUP('採算表(VND)'!I25/$N$1,2)</f>
        <v>8.4499999999999993</v>
      </c>
      <c r="J25" s="136">
        <f>ROUNDUP('採算表(VND)'!J25/$N$1,2)</f>
        <v>8.4499999999999993</v>
      </c>
      <c r="K25" s="136">
        <f>ROUNDUP('採算表(VND)'!K25/$N$1,2)</f>
        <v>8.4499999999999993</v>
      </c>
      <c r="L25" s="136">
        <f>ROUNDUP('採算表(VND)'!L25/$N$1,2)</f>
        <v>8.4499999999999993</v>
      </c>
      <c r="M25" s="136">
        <f>ROUNDUP('採算表(VND)'!M25/$N$1,2)</f>
        <v>8.4499999999999993</v>
      </c>
      <c r="N25" s="136">
        <f>ROUNDUP('採算表(VND)'!N25/$N$1,2)</f>
        <v>8.4499999999999993</v>
      </c>
      <c r="O25" s="136">
        <f t="shared" si="4"/>
        <v>97.550000000000011</v>
      </c>
    </row>
    <row r="26" spans="1:15" ht="11.25" customHeight="1">
      <c r="A26" s="34"/>
      <c r="B26" s="37" t="s">
        <v>103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787.72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787.72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15.76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15.76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31.52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174.09</v>
      </c>
      <c r="E29" s="136">
        <f>ROUNDUP('採算表(VND)'!E29/$N$1,2)</f>
        <v>3681.1000000000004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166.20999999999998</v>
      </c>
      <c r="I29" s="136">
        <f>ROUNDUP('採算表(VND)'!I29/$N$1,2)</f>
        <v>3709.09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166.20999999999998</v>
      </c>
      <c r="N29" s="136">
        <f>ROUNDUP('採算表(VND)'!N29/$N$1,2)</f>
        <v>3681.1000000000004</v>
      </c>
      <c r="O29" s="136">
        <f t="shared" si="4"/>
        <v>11577.800000000001</v>
      </c>
    </row>
    <row r="30" spans="1:15" ht="11.25" customHeight="1">
      <c r="A30" s="34"/>
      <c r="B30" s="37" t="s">
        <v>96</v>
      </c>
      <c r="C30" s="136">
        <f>ROUNDUP('採算表(VND)'!C30/$N$1,2)</f>
        <v>77.42</v>
      </c>
      <c r="D30" s="136">
        <f>ROUNDUP('採算表(VND)'!D30/$N$1,2)</f>
        <v>77.42</v>
      </c>
      <c r="E30" s="136">
        <f>ROUNDUP('採算表(VND)'!E30/$N$1,2)</f>
        <v>77.42</v>
      </c>
      <c r="F30" s="136">
        <f>ROUNDUP('採算表(VND)'!F30/$N$1,2)</f>
        <v>77.42</v>
      </c>
      <c r="G30" s="136">
        <f>ROUNDUP('採算表(VND)'!G30/$N$1,2)</f>
        <v>77.42</v>
      </c>
      <c r="H30" s="136">
        <f>ROUNDUP('採算表(VND)'!H30/$N$1,2)</f>
        <v>79.190000000000012</v>
      </c>
      <c r="I30" s="136">
        <f>ROUNDUP('採算表(VND)'!I30/$N$1,2)</f>
        <v>79.190000000000012</v>
      </c>
      <c r="J30" s="136">
        <f>ROUNDUP('採算表(VND)'!J30/$N$1,2)</f>
        <v>79.190000000000012</v>
      </c>
      <c r="K30" s="136">
        <f>ROUNDUP('採算表(VND)'!K30/$N$1,2)</f>
        <v>79.190000000000012</v>
      </c>
      <c r="L30" s="136">
        <f>ROUNDUP('採算表(VND)'!L30/$N$1,2)</f>
        <v>79.190000000000012</v>
      </c>
      <c r="M30" s="136">
        <f>ROUNDUP('採算表(VND)'!M30/$N$1,2)</f>
        <v>79.190000000000012</v>
      </c>
      <c r="N30" s="136">
        <f>ROUNDUP('採算表(VND)'!N30/$N$1,2)</f>
        <v>79.190000000000012</v>
      </c>
      <c r="O30" s="136">
        <f t="shared" si="4"/>
        <v>941.43000000000029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200</v>
      </c>
      <c r="D32" s="136">
        <f>ROUNDUP('採算表(VND)'!D32/$N$1,2)</f>
        <v>200</v>
      </c>
      <c r="E32" s="136">
        <f>ROUNDUP('採算表(VND)'!E32/$N$1,2)</f>
        <v>200</v>
      </c>
      <c r="F32" s="136">
        <f>ROUNDUP('採算表(VND)'!F32/$N$1,2)</f>
        <v>200</v>
      </c>
      <c r="G32" s="136">
        <f>ROUNDUP('採算表(VND)'!G32/$N$1,2)</f>
        <v>200</v>
      </c>
      <c r="H32" s="136">
        <f>ROUNDUP('採算表(VND)'!H32/$N$1,2)</f>
        <v>200</v>
      </c>
      <c r="I32" s="136">
        <f>ROUNDUP('採算表(VND)'!I32/$N$1,2)</f>
        <v>200</v>
      </c>
      <c r="J32" s="136">
        <f>ROUNDUP('採算表(VND)'!J32/$N$1,2)</f>
        <v>200</v>
      </c>
      <c r="K32" s="136">
        <f>ROUNDUP('採算表(VND)'!K32/$N$1,2)</f>
        <v>200</v>
      </c>
      <c r="L32" s="136">
        <f>ROUNDUP('採算表(VND)'!L32/$N$1,2)</f>
        <v>200</v>
      </c>
      <c r="M32" s="136">
        <f>ROUNDUP('採算表(VND)'!M32/$N$1,2)</f>
        <v>200</v>
      </c>
      <c r="N32" s="136">
        <f>ROUNDUP('採算表(VND)'!N32/$N$1,2)</f>
        <v>200</v>
      </c>
      <c r="O32" s="136">
        <f t="shared" si="4"/>
        <v>2400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3440.8100000000004</v>
      </c>
      <c r="I36" s="136">
        <f>ROUNDUP('採算表(VND)'!I36/$N$1,2)</f>
        <v>3289.4900000000002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809.22</v>
      </c>
      <c r="M36" s="136">
        <f>ROUNDUP('採算表(VND)'!M36/$N$1,2)</f>
        <v>3289.4900000000002</v>
      </c>
      <c r="N36" s="136">
        <f>ROUNDUP('採算表(VND)'!N36/$N$1,2)</f>
        <v>0</v>
      </c>
      <c r="O36" s="136">
        <f t="shared" si="4"/>
        <v>10829.010000000002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1.49</v>
      </c>
      <c r="D39" s="136">
        <f>ROUNDUP('採算表(VND)'!D39/$N$1,2)</f>
        <v>9.3699999999999992</v>
      </c>
      <c r="E39" s="136">
        <f>ROUNDUP('採算表(VND)'!E39/$N$1,2)</f>
        <v>1.49</v>
      </c>
      <c r="F39" s="136">
        <f>ROUNDUP('採算表(VND)'!F39/$N$1,2)</f>
        <v>1.49</v>
      </c>
      <c r="G39" s="136">
        <f>ROUNDUP('採算表(VND)'!G39/$N$1,2)</f>
        <v>1.49</v>
      </c>
      <c r="H39" s="136">
        <f>ROUNDUP('採算表(VND)'!H39/$N$1,2)</f>
        <v>202.5</v>
      </c>
      <c r="I39" s="136">
        <f>ROUNDUP('採算表(VND)'!I39/$N$1,2)</f>
        <v>60.72</v>
      </c>
      <c r="J39" s="136">
        <f>ROUNDUP('採算表(VND)'!J39/$N$1,2)</f>
        <v>1.64</v>
      </c>
      <c r="K39" s="136">
        <f>ROUNDUP('採算表(VND)'!K39/$N$1,2)</f>
        <v>1.64</v>
      </c>
      <c r="L39" s="136">
        <f>ROUNDUP('採算表(VND)'!L39/$N$1,2)</f>
        <v>1.64</v>
      </c>
      <c r="M39" s="136">
        <f>ROUNDUP('採算表(VND)'!M39/$N$1,2)</f>
        <v>9.51</v>
      </c>
      <c r="N39" s="136">
        <f>ROUNDUP('採算表(VND)'!N39/$N$1,2)</f>
        <v>1.64</v>
      </c>
      <c r="O39" s="136">
        <f t="shared" si="4"/>
        <v>294.61999999999995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13.79</v>
      </c>
      <c r="D41" s="136">
        <f>ROUNDUP('採算表(VND)'!D41/$N$1,2)</f>
        <v>13.79</v>
      </c>
      <c r="E41" s="136">
        <f>ROUNDUP('採算表(VND)'!E41/$N$1,2)</f>
        <v>13.79</v>
      </c>
      <c r="F41" s="136">
        <f>ROUNDUP('採算表(VND)'!F41/$N$1,2)</f>
        <v>13.79</v>
      </c>
      <c r="G41" s="136">
        <f>ROUNDUP('採算表(VND)'!G41/$N$1,2)</f>
        <v>13.79</v>
      </c>
      <c r="H41" s="136">
        <f>ROUNDUP('採算表(VND)'!H41/$N$1,2)</f>
        <v>13.79</v>
      </c>
      <c r="I41" s="136">
        <f>ROUNDUP('採算表(VND)'!I41/$N$1,2)</f>
        <v>13.79</v>
      </c>
      <c r="J41" s="136">
        <f>ROUNDUP('採算表(VND)'!J41/$N$1,2)</f>
        <v>13.79</v>
      </c>
      <c r="K41" s="136">
        <f>ROUNDUP('採算表(VND)'!K41/$N$1,2)</f>
        <v>13.79</v>
      </c>
      <c r="L41" s="136">
        <f>ROUNDUP('採算表(VND)'!L41/$N$1,2)</f>
        <v>13.79</v>
      </c>
      <c r="M41" s="136">
        <f>ROUNDUP('採算表(VND)'!M41/$N$1,2)</f>
        <v>13.79</v>
      </c>
      <c r="N41" s="136">
        <f>ROUNDUP('採算表(VND)'!N41/$N$1,2)</f>
        <v>13.79</v>
      </c>
      <c r="O41" s="136">
        <f t="shared" si="4"/>
        <v>165.47999999999993</v>
      </c>
    </row>
    <row r="42" spans="1:15" ht="11.25" customHeight="1">
      <c r="A42" s="38"/>
      <c r="B42" s="37" t="s">
        <v>97</v>
      </c>
      <c r="C42" s="136">
        <f>ROUNDUP('採算表(VND)'!C42/$N$1,2)</f>
        <v>73.03</v>
      </c>
      <c r="D42" s="136">
        <f>ROUNDUP('採算表(VND)'!D42/$N$1,2)</f>
        <v>79.350000000000009</v>
      </c>
      <c r="E42" s="136">
        <f>ROUNDUP('採算表(VND)'!E42/$N$1,2)</f>
        <v>79.350000000000009</v>
      </c>
      <c r="F42" s="136">
        <f>ROUNDUP('採算表(VND)'!F42/$N$1,2)</f>
        <v>79.350000000000009</v>
      </c>
      <c r="G42" s="136">
        <f>ROUNDUP('採算表(VND)'!G42/$N$1,2)</f>
        <v>83.08</v>
      </c>
      <c r="H42" s="136">
        <f>ROUNDUP('採算表(VND)'!H42/$N$1,2)</f>
        <v>86.62</v>
      </c>
      <c r="I42" s="136">
        <f>ROUNDUP('採算表(VND)'!I42/$N$1,2)</f>
        <v>86.62</v>
      </c>
      <c r="J42" s="136">
        <f>ROUNDUP('採算表(VND)'!J42/$N$1,2)</f>
        <v>87.28</v>
      </c>
      <c r="K42" s="136">
        <f>ROUNDUP('採算表(VND)'!K42/$N$1,2)</f>
        <v>86.62</v>
      </c>
      <c r="L42" s="136">
        <f>ROUNDUP('採算表(VND)'!L42/$N$1,2)</f>
        <v>86.62</v>
      </c>
      <c r="M42" s="136">
        <f>ROUNDUP('採算表(VND)'!M42/$N$1,2)</f>
        <v>86.62</v>
      </c>
      <c r="N42" s="136">
        <f>ROUNDUP('採算表(VND)'!N42/$N$1,2)</f>
        <v>86.62</v>
      </c>
      <c r="O42" s="136">
        <f t="shared" si="4"/>
        <v>1001.1600000000001</v>
      </c>
    </row>
    <row r="43" spans="1:15" ht="11.25" customHeight="1">
      <c r="A43" s="38"/>
      <c r="B43" s="37" t="s">
        <v>98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185.12</v>
      </c>
      <c r="D44" s="136">
        <f>ROUNDUP('採算表(VND)'!D44/$N$1,2)</f>
        <v>882.24</v>
      </c>
      <c r="E44" s="136">
        <f>ROUNDUP('採算表(VND)'!E44/$N$1,2)</f>
        <v>55.14</v>
      </c>
      <c r="F44" s="136">
        <f>ROUNDUP('採算表(VND)'!F44/$N$1,2)</f>
        <v>71.290000000000006</v>
      </c>
      <c r="G44" s="136">
        <f>ROUNDUP('採算表(VND)'!G44/$N$1,2)</f>
        <v>72.67</v>
      </c>
      <c r="H44" s="136">
        <f>ROUNDUP('採算表(VND)'!H44/$N$1,2)</f>
        <v>135.19</v>
      </c>
      <c r="I44" s="136">
        <f>ROUNDUP('採算表(VND)'!I44/$N$1,2)</f>
        <v>62.04</v>
      </c>
      <c r="J44" s="136">
        <f>ROUNDUP('採算表(VND)'!J44/$N$1,2)</f>
        <v>110.95</v>
      </c>
      <c r="K44" s="136">
        <f>ROUNDUP('採算表(VND)'!K44/$N$1,2)</f>
        <v>131.35999999999999</v>
      </c>
      <c r="L44" s="136">
        <f>ROUNDUP('採算表(VND)'!L44/$N$1,2)</f>
        <v>141.79</v>
      </c>
      <c r="M44" s="136">
        <f>ROUNDUP('採算表(VND)'!M44/$N$1,2)</f>
        <v>98.47</v>
      </c>
      <c r="N44" s="136">
        <f>ROUNDUP('採算表(VND)'!N44/$N$1,2)</f>
        <v>55.14</v>
      </c>
      <c r="O44" s="136">
        <f t="shared" si="4"/>
        <v>2001.4000000000003</v>
      </c>
    </row>
    <row r="45" spans="1:15" ht="11.25" customHeight="1">
      <c r="A45" s="38"/>
      <c r="B45" s="37" t="s">
        <v>114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181.17999999999998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181.17999999999998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362.35999999999996</v>
      </c>
    </row>
    <row r="46" spans="1:15" ht="11.25" customHeight="1">
      <c r="A46" s="38"/>
      <c r="B46" s="37" t="s">
        <v>115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116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104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117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118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99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109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112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113</v>
      </c>
      <c r="C57" s="139">
        <f>ROUNDUP('採算表(VND)'!C57/$N$1,2)</f>
        <v>83.87</v>
      </c>
      <c r="D57" s="139">
        <f>ROUNDUP('採算表(VND)'!D57/$N$1,2)</f>
        <v>83.87</v>
      </c>
      <c r="E57" s="139">
        <f>ROUNDUP('採算表(VND)'!E57/$N$1,2)</f>
        <v>83.87</v>
      </c>
      <c r="F57" s="139">
        <f>ROUNDUP('採算表(VND)'!F57/$N$1,2)</f>
        <v>83.87</v>
      </c>
      <c r="G57" s="139">
        <f>ROUNDUP('採算表(VND)'!G57/$N$1,2)</f>
        <v>83.87</v>
      </c>
      <c r="H57" s="139">
        <f>ROUNDUP('採算表(VND)'!H57/$N$1,2)</f>
        <v>83.87</v>
      </c>
      <c r="I57" s="139">
        <f>ROUNDUP('採算表(VND)'!I57/$N$1,2)</f>
        <v>83.87</v>
      </c>
      <c r="J57" s="139">
        <f>ROUNDUP('採算表(VND)'!J57/$N$1,2)</f>
        <v>83.87</v>
      </c>
      <c r="K57" s="139">
        <f>ROUNDUP('採算表(VND)'!K57/$N$1,2)</f>
        <v>83.87</v>
      </c>
      <c r="L57" s="139">
        <f>ROUNDUP('採算表(VND)'!L57/$N$1,2)</f>
        <v>83.87</v>
      </c>
      <c r="M57" s="139">
        <f>ROUNDUP('採算表(VND)'!M57/$N$1,2)</f>
        <v>83.87</v>
      </c>
      <c r="N57" s="139">
        <f>ROUNDUP('採算表(VND)'!N57/$N$1,2)</f>
        <v>83.87</v>
      </c>
      <c r="O57" s="139">
        <f t="shared" si="4"/>
        <v>1006.44</v>
      </c>
    </row>
    <row r="58" spans="1:15" ht="11.25" customHeight="1">
      <c r="A58" s="38"/>
      <c r="B58" s="37" t="s">
        <v>121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120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122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105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417</v>
      </c>
      <c r="C62" s="139">
        <f>ROUNDUP('採算表(VND)'!C62/$N$1,2)</f>
        <v>15.67</v>
      </c>
      <c r="D62" s="139">
        <f>ROUNDUP('採算表(VND)'!D62/$N$1,2)</f>
        <v>17.990000000000002</v>
      </c>
      <c r="E62" s="139">
        <f>ROUNDUP('採算表(VND)'!E62/$N$1,2)</f>
        <v>14.97</v>
      </c>
      <c r="F62" s="139">
        <f>ROUNDUP('採算表(VND)'!F62/$N$1,2)</f>
        <v>16.490000000000002</v>
      </c>
      <c r="G62" s="139">
        <f>ROUNDUP('採算表(VND)'!G62/$N$1,2)</f>
        <v>14.83</v>
      </c>
      <c r="H62" s="139">
        <f>ROUNDUP('採算表(VND)'!H62/$N$1,2)</f>
        <v>16.23</v>
      </c>
      <c r="I62" s="139">
        <f>ROUNDUP('採算表(VND)'!I62/$N$1,2)</f>
        <v>14.64</v>
      </c>
      <c r="J62" s="139">
        <f>ROUNDUP('採算表(VND)'!J62/$N$1,2)</f>
        <v>14.73</v>
      </c>
      <c r="K62" s="139">
        <f>ROUNDUP('採算表(VND)'!K62/$N$1,2)</f>
        <v>14.879999999999999</v>
      </c>
      <c r="L62" s="139">
        <f>ROUNDUP('採算表(VND)'!L62/$N$1,2)</f>
        <v>14.32</v>
      </c>
      <c r="M62" s="139">
        <f>ROUNDUP('採算表(VND)'!M62/$N$1,2)</f>
        <v>15.16</v>
      </c>
      <c r="N62" s="139">
        <f>ROUNDUP('採算表(VND)'!N62/$N$1,2)</f>
        <v>14.49</v>
      </c>
      <c r="O62" s="139">
        <f t="shared" si="4"/>
        <v>184.4</v>
      </c>
    </row>
    <row r="63" spans="1:15" ht="11.25" customHeight="1">
      <c r="A63" s="38"/>
      <c r="B63" s="37" t="s">
        <v>418</v>
      </c>
      <c r="C63" s="139">
        <f>ROUNDUP('採算表(VND)'!C63/$N$1,2)</f>
        <v>95.65</v>
      </c>
      <c r="D63" s="139">
        <f>ROUNDUP('採算表(VND)'!D63/$N$1,2)</f>
        <v>32.69</v>
      </c>
      <c r="E63" s="139">
        <f>ROUNDUP('採算表(VND)'!E63/$N$1,2)</f>
        <v>23.41</v>
      </c>
      <c r="F63" s="139">
        <f>ROUNDUP('採算表(VND)'!F63/$N$1,2)</f>
        <v>25.220000000000002</v>
      </c>
      <c r="G63" s="139">
        <f>ROUNDUP('採算表(VND)'!G63/$N$1,2)</f>
        <v>22.64</v>
      </c>
      <c r="H63" s="139">
        <f>ROUNDUP('採算表(VND)'!H63/$N$1,2)</f>
        <v>20.360000000000003</v>
      </c>
      <c r="I63" s="139">
        <f>ROUNDUP('採算表(VND)'!I63/$N$1,2)</f>
        <v>25.46</v>
      </c>
      <c r="J63" s="139">
        <f>ROUNDUP('採算表(VND)'!J63/$N$1,2)</f>
        <v>26.19</v>
      </c>
      <c r="K63" s="139">
        <f>ROUNDUP('採算表(VND)'!K63/$N$1,2)</f>
        <v>25.290000000000003</v>
      </c>
      <c r="L63" s="139">
        <f>ROUNDUP('採算表(VND)'!L63/$N$1,2)</f>
        <v>19.78</v>
      </c>
      <c r="M63" s="139">
        <f>ROUNDUP('採算表(VND)'!M63/$N$1,2)</f>
        <v>20.700000000000003</v>
      </c>
      <c r="N63" s="139">
        <f>ROUNDUP('採算表(VND)'!N63/$N$1,2)</f>
        <v>20.34</v>
      </c>
      <c r="O63" s="139">
        <f t="shared" si="4"/>
        <v>357.73</v>
      </c>
    </row>
    <row r="64" spans="1:15" ht="11.25" customHeight="1">
      <c r="A64" s="38"/>
      <c r="B64" s="37" t="s">
        <v>142</v>
      </c>
      <c r="C64" s="139">
        <f>ROUNDUP('採算表(VND)'!C64/$N$1,2)</f>
        <v>1137.04</v>
      </c>
      <c r="D64" s="139">
        <f>ROUNDUP('採算表(VND)'!D64/$N$1,2)</f>
        <v>1452.68</v>
      </c>
      <c r="E64" s="139">
        <f>ROUNDUP('採算表(VND)'!E64/$N$1,2)</f>
        <v>1075.5</v>
      </c>
      <c r="F64" s="139">
        <f>ROUNDUP('採算表(VND)'!F64/$N$1,2)</f>
        <v>1549.27</v>
      </c>
      <c r="G64" s="139">
        <f>ROUNDUP('採算表(VND)'!G64/$N$1,2)</f>
        <v>863.21</v>
      </c>
      <c r="H64" s="139">
        <f>ROUNDUP('採算表(VND)'!H64/$N$1,2)</f>
        <v>843.74</v>
      </c>
      <c r="I64" s="139">
        <f>ROUNDUP('採算表(VND)'!I64/$N$1,2)</f>
        <v>1071.6199999999999</v>
      </c>
      <c r="J64" s="139">
        <f>ROUNDUP('採算表(VND)'!J64/$N$1,2)</f>
        <v>902.81</v>
      </c>
      <c r="K64" s="139">
        <f>ROUNDUP('採算表(VND)'!K64/$N$1,2)</f>
        <v>892.89</v>
      </c>
      <c r="L64" s="139">
        <f>ROUNDUP('採算表(VND)'!L64/$N$1,2)</f>
        <v>993.98</v>
      </c>
      <c r="M64" s="139">
        <f>ROUNDUP('採算表(VND)'!M64/$N$1,2)</f>
        <v>686.4</v>
      </c>
      <c r="N64" s="139">
        <f>ROUNDUP('採算表(VND)'!N64/$N$1,2)</f>
        <v>708.36</v>
      </c>
      <c r="O64" s="139">
        <f t="shared" si="4"/>
        <v>12177.499999999998</v>
      </c>
    </row>
    <row r="65" spans="1:15" ht="11.25" customHeight="1">
      <c r="A65" s="38"/>
      <c r="B65" s="37" t="s">
        <v>110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-2051.12</v>
      </c>
      <c r="D66" s="134">
        <f t="shared" ref="D66:O66" si="5">IF(ISBLANK(D4),"",D12-D13)</f>
        <v>35576.47</v>
      </c>
      <c r="E66" s="134">
        <f t="shared" si="5"/>
        <v>27077.919999999998</v>
      </c>
      <c r="F66" s="134">
        <f t="shared" si="5"/>
        <v>35345.769999999997</v>
      </c>
      <c r="G66" s="134">
        <f t="shared" si="5"/>
        <v>34463.51</v>
      </c>
      <c r="H66" s="134">
        <f t="shared" si="5"/>
        <v>34051.42</v>
      </c>
      <c r="I66" s="134">
        <f t="shared" si="5"/>
        <v>29923.579999999998</v>
      </c>
      <c r="J66" s="134">
        <f t="shared" si="5"/>
        <v>44476.28</v>
      </c>
      <c r="K66" s="134">
        <f t="shared" si="5"/>
        <v>37360.65</v>
      </c>
      <c r="L66" s="134">
        <f t="shared" si="5"/>
        <v>36750.990000000005</v>
      </c>
      <c r="M66" s="134">
        <f t="shared" si="5"/>
        <v>34194.42</v>
      </c>
      <c r="N66" s="134">
        <f t="shared" si="5"/>
        <v>33180.78</v>
      </c>
      <c r="O66" s="134">
        <f t="shared" si="5"/>
        <v>380350.67</v>
      </c>
    </row>
    <row r="67" spans="1:15" ht="11.25" customHeight="1">
      <c r="A67" s="26"/>
      <c r="B67" s="28" t="s">
        <v>78</v>
      </c>
      <c r="C67" s="133">
        <f>C73+C79</f>
        <v>1547.5</v>
      </c>
      <c r="D67" s="133">
        <f t="shared" ref="D67:O67" si="6">IF(ISBLANK(D4),"",D73+D79)</f>
        <v>1476.5</v>
      </c>
      <c r="E67" s="133">
        <f t="shared" si="6"/>
        <v>1622.25</v>
      </c>
      <c r="F67" s="133">
        <f t="shared" si="6"/>
        <v>1769.25</v>
      </c>
      <c r="G67" s="133">
        <f t="shared" si="6"/>
        <v>1549.5</v>
      </c>
      <c r="H67" s="133">
        <f t="shared" si="6"/>
        <v>1637</v>
      </c>
      <c r="I67" s="133">
        <f t="shared" si="6"/>
        <v>1965.75</v>
      </c>
      <c r="J67" s="133">
        <f t="shared" si="6"/>
        <v>1721.25</v>
      </c>
      <c r="K67" s="133">
        <f t="shared" si="6"/>
        <v>1885</v>
      </c>
      <c r="L67" s="133">
        <f t="shared" si="6"/>
        <v>1670.25</v>
      </c>
      <c r="M67" s="133">
        <f t="shared" si="6"/>
        <v>1309.5</v>
      </c>
      <c r="N67" s="133">
        <f t="shared" si="6"/>
        <v>1722.75</v>
      </c>
      <c r="O67" s="133">
        <f t="shared" si="6"/>
        <v>19876.5</v>
      </c>
    </row>
    <row r="68" spans="1:15" ht="11.25" customHeight="1">
      <c r="A68" s="38"/>
      <c r="B68" s="46" t="s">
        <v>143</v>
      </c>
      <c r="C68" s="135">
        <f>'採算表(VND)'!C68</f>
        <v>1326</v>
      </c>
      <c r="D68" s="135">
        <f>'採算表(VND)'!D68</f>
        <v>1258</v>
      </c>
      <c r="E68" s="135">
        <f>'採算表(VND)'!E68</f>
        <v>1394</v>
      </c>
      <c r="F68" s="135">
        <f>'採算表(VND)'!F68</f>
        <v>1530</v>
      </c>
      <c r="G68" s="135">
        <f>'採算表(VND)'!G68</f>
        <v>1326</v>
      </c>
      <c r="H68" s="135">
        <f>'採算表(VND)'!H68</f>
        <v>1419.5</v>
      </c>
      <c r="I68" s="135">
        <f>'採算表(VND)'!I68</f>
        <v>1725.5</v>
      </c>
      <c r="J68" s="135">
        <f>'採算表(VND)'!J68</f>
        <v>1496</v>
      </c>
      <c r="K68" s="135">
        <f>'採算表(VND)'!K68</f>
        <v>1649</v>
      </c>
      <c r="L68" s="135">
        <f>'採算表(VND)'!L68</f>
        <v>1453.5</v>
      </c>
      <c r="M68" s="135">
        <f>'採算表(VND)'!M68</f>
        <v>1113.5</v>
      </c>
      <c r="N68" s="135">
        <f>'採算表(VND)'!N68</f>
        <v>1496</v>
      </c>
      <c r="O68" s="135">
        <f>SUM(C68:N68)</f>
        <v>17187</v>
      </c>
    </row>
    <row r="69" spans="1:15" ht="11.25" customHeight="1">
      <c r="A69" s="38"/>
      <c r="B69" s="46" t="s">
        <v>87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125</v>
      </c>
      <c r="C70" s="140">
        <f>'採算表(VND)'!C70</f>
        <v>6.75</v>
      </c>
      <c r="D70" s="140">
        <f>'採算表(VND)'!D70</f>
        <v>7</v>
      </c>
      <c r="E70" s="140">
        <f>'採算表(VND)'!E70</f>
        <v>7.75</v>
      </c>
      <c r="F70" s="140">
        <f>'採算表(VND)'!F70</f>
        <v>8.25</v>
      </c>
      <c r="G70" s="140">
        <f>'採算表(VND)'!G70</f>
        <v>7</v>
      </c>
      <c r="H70" s="140">
        <f>'採算表(VND)'!H70</f>
        <v>6.5</v>
      </c>
      <c r="I70" s="140">
        <f>'採算表(VND)'!I70</f>
        <v>8.25</v>
      </c>
      <c r="J70" s="140">
        <f>'採算表(VND)'!J70</f>
        <v>7.25</v>
      </c>
      <c r="K70" s="140">
        <f>'採算表(VND)'!K70</f>
        <v>8</v>
      </c>
      <c r="L70" s="140">
        <f>'採算表(VND)'!L70</f>
        <v>7.5</v>
      </c>
      <c r="M70" s="140">
        <f>'採算表(VND)'!M70</f>
        <v>5.5</v>
      </c>
      <c r="N70" s="140">
        <f>'採算表(VND)'!N70</f>
        <v>7.5</v>
      </c>
      <c r="O70" s="140">
        <f>SUM(C70:N70)</f>
        <v>87.25</v>
      </c>
    </row>
    <row r="71" spans="1:15" ht="11.25" customHeight="1">
      <c r="A71" s="38"/>
      <c r="B71" s="47" t="s">
        <v>126</v>
      </c>
      <c r="C71" s="140">
        <f>'採算表(VND)'!C71</f>
        <v>12.75</v>
      </c>
      <c r="D71" s="140">
        <f>'採算表(VND)'!D71</f>
        <v>12.25</v>
      </c>
      <c r="E71" s="140">
        <f>'採算表(VND)'!E71</f>
        <v>14</v>
      </c>
      <c r="F71" s="140">
        <f>'採算表(VND)'!F71</f>
        <v>15.5</v>
      </c>
      <c r="G71" s="140">
        <f>'採算表(VND)'!G71</f>
        <v>13</v>
      </c>
      <c r="H71" s="140">
        <f>'採算表(VND)'!H71</f>
        <v>13</v>
      </c>
      <c r="I71" s="140">
        <f>'採算表(VND)'!I71</f>
        <v>16.25</v>
      </c>
      <c r="J71" s="140">
        <f>'採算表(VND)'!J71</f>
        <v>14</v>
      </c>
      <c r="K71" s="140">
        <f>'採算表(VND)'!K71</f>
        <v>15.5</v>
      </c>
      <c r="L71" s="140">
        <f>'採算表(VND)'!L71</f>
        <v>14.25</v>
      </c>
      <c r="M71" s="140">
        <f>'採算表(VND)'!M71</f>
        <v>10.75</v>
      </c>
      <c r="N71" s="140">
        <f>'採算表(VND)'!N71</f>
        <v>14</v>
      </c>
      <c r="O71" s="140">
        <f>SUM(C71:N71)</f>
        <v>165.25</v>
      </c>
    </row>
    <row r="72" spans="1:15" ht="11.25" customHeight="1">
      <c r="A72" s="38"/>
      <c r="B72" s="40" t="s">
        <v>88</v>
      </c>
      <c r="C72" s="141">
        <f>'採算表(VND)'!C72</f>
        <v>57</v>
      </c>
      <c r="D72" s="141">
        <f>'採算表(VND)'!D72</f>
        <v>56.5</v>
      </c>
      <c r="E72" s="141">
        <f>'採算表(VND)'!E72</f>
        <v>60</v>
      </c>
      <c r="F72" s="141">
        <f>'採算表(VND)'!F72</f>
        <v>64.75</v>
      </c>
      <c r="G72" s="141">
        <f>'採算表(VND)'!G72</f>
        <v>59</v>
      </c>
      <c r="H72" s="141">
        <f>'採算表(VND)'!H72</f>
        <v>54.75</v>
      </c>
      <c r="I72" s="141">
        <f>'採算表(VND)'!I72</f>
        <v>65</v>
      </c>
      <c r="J72" s="141">
        <f>'採算表(VND)'!J72</f>
        <v>59.25</v>
      </c>
      <c r="K72" s="141">
        <f>'採算表(VND)'!K72</f>
        <v>63.75</v>
      </c>
      <c r="L72" s="141">
        <f>'採算表(VND)'!L72</f>
        <v>60.25</v>
      </c>
      <c r="M72" s="141">
        <f>'採算表(VND)'!M72</f>
        <v>45.25</v>
      </c>
      <c r="N72" s="141">
        <f>'採算表(VND)'!N72</f>
        <v>60.5</v>
      </c>
      <c r="O72" s="141">
        <f>SUM(C72:N72)</f>
        <v>706</v>
      </c>
    </row>
    <row r="73" spans="1:15" ht="11.25" customHeight="1">
      <c r="A73" s="38"/>
      <c r="B73" s="41" t="s">
        <v>144</v>
      </c>
      <c r="C73" s="142">
        <f>SUM(C68:C72)</f>
        <v>1402.5</v>
      </c>
      <c r="D73" s="142">
        <f t="shared" ref="D73:O73" si="7">IF(ISBLANK(D4),"",SUM(D68:D72))</f>
        <v>1333.75</v>
      </c>
      <c r="E73" s="142">
        <f t="shared" si="7"/>
        <v>1475.75</v>
      </c>
      <c r="F73" s="142">
        <f t="shared" si="7"/>
        <v>1618.5</v>
      </c>
      <c r="G73" s="142">
        <f t="shared" si="7"/>
        <v>1405</v>
      </c>
      <c r="H73" s="142">
        <f t="shared" si="7"/>
        <v>1493.75</v>
      </c>
      <c r="I73" s="142">
        <f t="shared" si="7"/>
        <v>1815</v>
      </c>
      <c r="J73" s="142">
        <f t="shared" si="7"/>
        <v>1576.5</v>
      </c>
      <c r="K73" s="142">
        <f t="shared" si="7"/>
        <v>1736.25</v>
      </c>
      <c r="L73" s="142">
        <f t="shared" si="7"/>
        <v>1535.5</v>
      </c>
      <c r="M73" s="142">
        <f t="shared" si="7"/>
        <v>1175</v>
      </c>
      <c r="N73" s="142">
        <f t="shared" si="7"/>
        <v>1578</v>
      </c>
      <c r="O73" s="142">
        <f t="shared" si="7"/>
        <v>18145.5</v>
      </c>
    </row>
    <row r="74" spans="1:15" ht="11.25" customHeight="1">
      <c r="A74" s="38"/>
      <c r="B74" s="39" t="s">
        <v>85</v>
      </c>
      <c r="C74" s="135">
        <f>'採算表(VND)'!C74</f>
        <v>140</v>
      </c>
      <c r="D74" s="135">
        <f>'採算表(VND)'!D74</f>
        <v>138</v>
      </c>
      <c r="E74" s="135">
        <f>'採算表(VND)'!E74</f>
        <v>142</v>
      </c>
      <c r="F74" s="135">
        <f>'採算表(VND)'!F74</f>
        <v>146</v>
      </c>
      <c r="G74" s="135">
        <f>'採算表(VND)'!G74</f>
        <v>140</v>
      </c>
      <c r="H74" s="135">
        <f>'採算表(VND)'!H74</f>
        <v>138</v>
      </c>
      <c r="I74" s="135">
        <f>'採算表(VND)'!I74</f>
        <v>146</v>
      </c>
      <c r="J74" s="135">
        <f>'採算表(VND)'!J74</f>
        <v>140</v>
      </c>
      <c r="K74" s="135">
        <f>'採算表(VND)'!K74</f>
        <v>144</v>
      </c>
      <c r="L74" s="135">
        <f>'採算表(VND)'!L74</f>
        <v>130</v>
      </c>
      <c r="M74" s="135">
        <f>'採算表(VND)'!M74</f>
        <v>130</v>
      </c>
      <c r="N74" s="135">
        <f>'採算表(VND)'!N74</f>
        <v>140</v>
      </c>
      <c r="O74" s="135">
        <f>SUM(C74:N74)</f>
        <v>1674</v>
      </c>
    </row>
    <row r="75" spans="1:15">
      <c r="A75" s="38"/>
      <c r="B75" s="37" t="s">
        <v>87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125</v>
      </c>
      <c r="C76" s="140">
        <f>'採算表(VND)'!C76</f>
        <v>0.5</v>
      </c>
      <c r="D76" s="140">
        <f>'採算表(VND)'!D76</f>
        <v>0.5</v>
      </c>
      <c r="E76" s="140">
        <f>'採算表(VND)'!E76</f>
        <v>0.5</v>
      </c>
      <c r="F76" s="140">
        <f>'採算表(VND)'!F76</f>
        <v>0.5</v>
      </c>
      <c r="G76" s="140">
        <f>'採算表(VND)'!G76</f>
        <v>0.5</v>
      </c>
      <c r="H76" s="140">
        <f>'採算表(VND)'!H76</f>
        <v>0.5</v>
      </c>
      <c r="I76" s="140">
        <f>'採算表(VND)'!I76</f>
        <v>0.5</v>
      </c>
      <c r="J76" s="140">
        <f>'採算表(VND)'!J76</f>
        <v>0.5</v>
      </c>
      <c r="K76" s="140">
        <f>'採算表(VND)'!K76</f>
        <v>0.5</v>
      </c>
      <c r="L76" s="140">
        <f>'採算表(VND)'!L76</f>
        <v>0.5</v>
      </c>
      <c r="M76" s="140">
        <f>'採算表(VND)'!M76</f>
        <v>0.25</v>
      </c>
      <c r="N76" s="140">
        <f>'採算表(VND)'!N76</f>
        <v>0.5</v>
      </c>
      <c r="O76" s="140">
        <f>SUM(C76:N76)</f>
        <v>5.75</v>
      </c>
    </row>
    <row r="77" spans="1:15">
      <c r="A77" s="38"/>
      <c r="B77" s="37" t="s">
        <v>126</v>
      </c>
      <c r="C77" s="140">
        <f>'採算表(VND)'!C77</f>
        <v>1.25</v>
      </c>
      <c r="D77" s="140">
        <f>'採算表(VND)'!D77</f>
        <v>1</v>
      </c>
      <c r="E77" s="140">
        <f>'採算表(VND)'!E77</f>
        <v>1.25</v>
      </c>
      <c r="F77" s="140">
        <f>'採算表(VND)'!F77</f>
        <v>1.25</v>
      </c>
      <c r="G77" s="140">
        <f>'採算表(VND)'!G77</f>
        <v>1.25</v>
      </c>
      <c r="H77" s="140">
        <f>'採算表(VND)'!H77</f>
        <v>1</v>
      </c>
      <c r="I77" s="140">
        <f>'採算表(VND)'!I77</f>
        <v>1.25</v>
      </c>
      <c r="J77" s="140">
        <f>'採算表(VND)'!J77</f>
        <v>1.25</v>
      </c>
      <c r="K77" s="140">
        <f>'採算表(VND)'!K77</f>
        <v>1.25</v>
      </c>
      <c r="L77" s="140">
        <f>'採算表(VND)'!L77</f>
        <v>1.5</v>
      </c>
      <c r="M77" s="140">
        <f>'採算表(VND)'!M77</f>
        <v>0.5</v>
      </c>
      <c r="N77" s="140">
        <f>'採算表(VND)'!N77</f>
        <v>1.5</v>
      </c>
      <c r="O77" s="140">
        <f>SUM(C77:N77)</f>
        <v>14.25</v>
      </c>
    </row>
    <row r="78" spans="1:15">
      <c r="A78" s="38"/>
      <c r="B78" s="40" t="s">
        <v>88</v>
      </c>
      <c r="C78" s="141">
        <f>'採算表(VND)'!C78</f>
        <v>3.25</v>
      </c>
      <c r="D78" s="141">
        <f>'採算表(VND)'!D78</f>
        <v>3.25</v>
      </c>
      <c r="E78" s="141">
        <f>'採算表(VND)'!E78</f>
        <v>2.75</v>
      </c>
      <c r="F78" s="141">
        <f>'採算表(VND)'!F78</f>
        <v>3</v>
      </c>
      <c r="G78" s="141">
        <f>'採算表(VND)'!G78</f>
        <v>2.75</v>
      </c>
      <c r="H78" s="141">
        <f>'採算表(VND)'!H78</f>
        <v>3.75</v>
      </c>
      <c r="I78" s="141">
        <f>'採算表(VND)'!I78</f>
        <v>3</v>
      </c>
      <c r="J78" s="141">
        <f>'採算表(VND)'!J78</f>
        <v>3</v>
      </c>
      <c r="K78" s="141">
        <f>'採算表(VND)'!K78</f>
        <v>3</v>
      </c>
      <c r="L78" s="141">
        <f>'採算表(VND)'!L78</f>
        <v>2.75</v>
      </c>
      <c r="M78" s="141">
        <f>'採算表(VND)'!M78</f>
        <v>3.75</v>
      </c>
      <c r="N78" s="141">
        <f>'採算表(VND)'!N78</f>
        <v>2.75</v>
      </c>
      <c r="O78" s="141">
        <f>SUM(C78:N78)</f>
        <v>37</v>
      </c>
    </row>
    <row r="79" spans="1:15" ht="14.25" customHeight="1">
      <c r="A79" s="38"/>
      <c r="B79" s="41" t="s">
        <v>155</v>
      </c>
      <c r="C79" s="142">
        <f>SUM(C74:C78)</f>
        <v>145</v>
      </c>
      <c r="D79" s="142">
        <f t="shared" ref="D79:O79" si="8">IF(ISBLANK(D4),"",SUM(D74:D78))</f>
        <v>142.75</v>
      </c>
      <c r="E79" s="142">
        <f t="shared" si="8"/>
        <v>146.5</v>
      </c>
      <c r="F79" s="142">
        <f t="shared" si="8"/>
        <v>150.75</v>
      </c>
      <c r="G79" s="142">
        <f t="shared" si="8"/>
        <v>144.5</v>
      </c>
      <c r="H79" s="142">
        <f t="shared" si="8"/>
        <v>143.25</v>
      </c>
      <c r="I79" s="142">
        <f t="shared" si="8"/>
        <v>150.75</v>
      </c>
      <c r="J79" s="142">
        <f t="shared" si="8"/>
        <v>144.75</v>
      </c>
      <c r="K79" s="142">
        <f t="shared" si="8"/>
        <v>148.75</v>
      </c>
      <c r="L79" s="142">
        <f t="shared" si="8"/>
        <v>134.75</v>
      </c>
      <c r="M79" s="142">
        <f t="shared" si="8"/>
        <v>134.5</v>
      </c>
      <c r="N79" s="142">
        <f t="shared" si="8"/>
        <v>144.75</v>
      </c>
      <c r="O79" s="142">
        <f t="shared" si="8"/>
        <v>1731</v>
      </c>
    </row>
    <row r="80" spans="1:15" ht="14.25" customHeight="1">
      <c r="A80" s="26"/>
      <c r="B80" s="32" t="s">
        <v>79</v>
      </c>
      <c r="C80" s="143">
        <f>IFERROR(ROUNDDOWN(C66/C67,0),0)</f>
        <v>-1</v>
      </c>
      <c r="D80" s="144">
        <f t="shared" ref="D80:O80" si="9">IFERROR(ROUNDDOWN(D66/D67,0),0)</f>
        <v>24</v>
      </c>
      <c r="E80" s="144">
        <f t="shared" si="9"/>
        <v>16</v>
      </c>
      <c r="F80" s="144">
        <f t="shared" si="9"/>
        <v>19</v>
      </c>
      <c r="G80" s="144">
        <f t="shared" si="9"/>
        <v>22</v>
      </c>
      <c r="H80" s="144">
        <f t="shared" si="9"/>
        <v>20</v>
      </c>
      <c r="I80" s="144">
        <f t="shared" si="9"/>
        <v>15</v>
      </c>
      <c r="J80" s="144">
        <f t="shared" si="9"/>
        <v>25</v>
      </c>
      <c r="K80" s="144">
        <f t="shared" si="9"/>
        <v>19</v>
      </c>
      <c r="L80" s="144">
        <f t="shared" si="9"/>
        <v>22</v>
      </c>
      <c r="M80" s="144">
        <f t="shared" si="9"/>
        <v>26</v>
      </c>
      <c r="N80" s="144">
        <f t="shared" si="9"/>
        <v>19</v>
      </c>
      <c r="O80" s="144">
        <f t="shared" si="9"/>
        <v>19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26</v>
      </c>
      <c r="E81" s="146">
        <f t="shared" si="10"/>
        <v>20</v>
      </c>
      <c r="F81" s="146">
        <f t="shared" si="10"/>
        <v>21</v>
      </c>
      <c r="G81" s="146">
        <f t="shared" si="10"/>
        <v>23</v>
      </c>
      <c r="H81" s="146">
        <f t="shared" si="10"/>
        <v>24</v>
      </c>
      <c r="I81" s="146">
        <f t="shared" si="10"/>
        <v>19</v>
      </c>
      <c r="J81" s="146">
        <f t="shared" si="10"/>
        <v>26</v>
      </c>
      <c r="K81" s="146">
        <f t="shared" si="10"/>
        <v>20</v>
      </c>
      <c r="L81" s="146">
        <f t="shared" si="10"/>
        <v>23</v>
      </c>
      <c r="M81" s="146">
        <f t="shared" si="10"/>
        <v>29</v>
      </c>
      <c r="N81" s="146">
        <f t="shared" si="10"/>
        <v>22</v>
      </c>
      <c r="O81" s="146">
        <f t="shared" si="10"/>
        <v>21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342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343</v>
      </c>
      <c r="C88" s="150">
        <f>'採算表(VND)'!C88</f>
        <v>7</v>
      </c>
      <c r="D88" s="150">
        <f>'採算表(VND)'!D88</f>
        <v>7</v>
      </c>
      <c r="E88" s="150">
        <f>'採算表(VND)'!E88</f>
        <v>7</v>
      </c>
      <c r="F88" s="150">
        <f>'採算表(VND)'!F88</f>
        <v>7</v>
      </c>
      <c r="G88" s="150">
        <f>'採算表(VND)'!G88</f>
        <v>7</v>
      </c>
      <c r="H88" s="150">
        <f>'採算表(VND)'!H88</f>
        <v>8</v>
      </c>
      <c r="I88" s="150">
        <f>'採算表(VND)'!I88</f>
        <v>8</v>
      </c>
      <c r="J88" s="150">
        <f>'採算表(VND)'!J88</f>
        <v>8</v>
      </c>
      <c r="K88" s="150">
        <f>'採算表(VND)'!K88</f>
        <v>8</v>
      </c>
      <c r="L88" s="150">
        <f>'採算表(VND)'!L88</f>
        <v>8</v>
      </c>
      <c r="M88" s="150">
        <f>'採算表(VND)'!M88</f>
        <v>8</v>
      </c>
      <c r="N88" s="150">
        <f>'採算表(VND)'!N88</f>
        <v>8</v>
      </c>
      <c r="O88" s="150">
        <f>SUM(C88:N88)</f>
        <v>91</v>
      </c>
    </row>
    <row r="89" spans="1:15">
      <c r="A89" s="44"/>
      <c r="B89" s="60" t="s">
        <v>18</v>
      </c>
      <c r="C89" s="151">
        <f t="shared" ref="C89:O89" si="11">C87+C88</f>
        <v>8</v>
      </c>
      <c r="D89" s="151">
        <f t="shared" si="11"/>
        <v>8</v>
      </c>
      <c r="E89" s="151">
        <f t="shared" si="11"/>
        <v>8</v>
      </c>
      <c r="F89" s="151">
        <f t="shared" si="11"/>
        <v>8</v>
      </c>
      <c r="G89" s="151">
        <f t="shared" si="11"/>
        <v>8</v>
      </c>
      <c r="H89" s="151">
        <f t="shared" si="11"/>
        <v>9</v>
      </c>
      <c r="I89" s="151">
        <f t="shared" si="11"/>
        <v>9</v>
      </c>
      <c r="J89" s="151">
        <f t="shared" si="11"/>
        <v>9</v>
      </c>
      <c r="K89" s="151">
        <f t="shared" si="11"/>
        <v>9</v>
      </c>
      <c r="L89" s="151">
        <f t="shared" si="11"/>
        <v>9</v>
      </c>
      <c r="M89" s="151">
        <f t="shared" si="11"/>
        <v>9</v>
      </c>
      <c r="N89" s="151">
        <f t="shared" si="11"/>
        <v>9</v>
      </c>
      <c r="O89" s="151">
        <f t="shared" si="11"/>
        <v>103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323</v>
      </c>
      <c r="C92" s="133">
        <f>'採算表(VND)'!C92</f>
        <v>170</v>
      </c>
      <c r="D92" s="133">
        <f>'採算表(VND)'!D92</f>
        <v>161.5</v>
      </c>
      <c r="E92" s="133">
        <f>'採算表(VND)'!E92</f>
        <v>178.5</v>
      </c>
      <c r="F92" s="133">
        <f>'採算表(VND)'!F92</f>
        <v>195.5</v>
      </c>
      <c r="G92" s="133">
        <f>'採算表(VND)'!G92</f>
        <v>170</v>
      </c>
      <c r="H92" s="133">
        <f>'採算表(VND)'!H92</f>
        <v>161.5</v>
      </c>
      <c r="I92" s="133">
        <f>'採算表(VND)'!I92</f>
        <v>195.5</v>
      </c>
      <c r="J92" s="133">
        <f>'採算表(VND)'!J92</f>
        <v>170</v>
      </c>
      <c r="K92" s="133">
        <f>'採算表(VND)'!K92</f>
        <v>187</v>
      </c>
      <c r="L92" s="133">
        <f>'採算表(VND)'!L92</f>
        <v>127.5</v>
      </c>
      <c r="M92" s="133">
        <f>'採算表(VND)'!M92</f>
        <v>127.5</v>
      </c>
      <c r="N92" s="133">
        <f>'採算表(VND)'!N92</f>
        <v>170</v>
      </c>
      <c r="O92" s="133">
        <f>SUM(C92:N92)</f>
        <v>2014.5</v>
      </c>
    </row>
    <row r="93" spans="1:15">
      <c r="B93" s="59" t="s">
        <v>324</v>
      </c>
      <c r="C93" s="133">
        <f>'採算表(VND)'!C93</f>
        <v>1156</v>
      </c>
      <c r="D93" s="133">
        <f>'採算表(VND)'!D93</f>
        <v>1096.5</v>
      </c>
      <c r="E93" s="133">
        <f>'採算表(VND)'!E93</f>
        <v>1215.5</v>
      </c>
      <c r="F93" s="133">
        <f>'採算表(VND)'!F93</f>
        <v>1334.5</v>
      </c>
      <c r="G93" s="133">
        <f>'採算表(VND)'!G93</f>
        <v>1156</v>
      </c>
      <c r="H93" s="133">
        <f>'採算表(VND)'!H93</f>
        <v>1258</v>
      </c>
      <c r="I93" s="133">
        <f>'採算表(VND)'!I93</f>
        <v>1530</v>
      </c>
      <c r="J93" s="133">
        <f>'採算表(VND)'!J93</f>
        <v>1326</v>
      </c>
      <c r="K93" s="133">
        <f>'採算表(VND)'!K93</f>
        <v>1462</v>
      </c>
      <c r="L93" s="133">
        <f>'採算表(VND)'!L93</f>
        <v>1326</v>
      </c>
      <c r="M93" s="133">
        <f>'採算表(VND)'!M93</f>
        <v>986</v>
      </c>
      <c r="N93" s="133">
        <f>'採算表(VND)'!N93</f>
        <v>1326</v>
      </c>
      <c r="O93" s="133">
        <f>SUM(C93:N93)</f>
        <v>15172.5</v>
      </c>
    </row>
    <row r="94" spans="1:15">
      <c r="B94" s="61" t="s">
        <v>18</v>
      </c>
      <c r="C94" s="147">
        <f t="shared" ref="C94:O94" si="12">C92+C93</f>
        <v>1326</v>
      </c>
      <c r="D94" s="147">
        <f t="shared" si="12"/>
        <v>1258</v>
      </c>
      <c r="E94" s="147">
        <f t="shared" si="12"/>
        <v>1394</v>
      </c>
      <c r="F94" s="147">
        <f t="shared" si="12"/>
        <v>1530</v>
      </c>
      <c r="G94" s="147">
        <f t="shared" si="12"/>
        <v>1326</v>
      </c>
      <c r="H94" s="147">
        <f t="shared" si="12"/>
        <v>1419.5</v>
      </c>
      <c r="I94" s="147">
        <f t="shared" si="12"/>
        <v>1725.5</v>
      </c>
      <c r="J94" s="147">
        <f t="shared" si="12"/>
        <v>1496</v>
      </c>
      <c r="K94" s="147">
        <f t="shared" si="12"/>
        <v>1649</v>
      </c>
      <c r="L94" s="147">
        <f t="shared" si="12"/>
        <v>1453.5</v>
      </c>
      <c r="M94" s="147">
        <f t="shared" si="12"/>
        <v>1113.5</v>
      </c>
      <c r="N94" s="147">
        <f t="shared" si="12"/>
        <v>1496</v>
      </c>
      <c r="O94" s="147">
        <f t="shared" si="12"/>
        <v>17187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325</v>
      </c>
      <c r="C97" s="133">
        <f>'採算表(VND)'!C97</f>
        <v>40</v>
      </c>
      <c r="D97" s="133">
        <f>'採算表(VND)'!D97</f>
        <v>38</v>
      </c>
      <c r="E97" s="133">
        <f>'採算表(VND)'!E97</f>
        <v>42</v>
      </c>
      <c r="F97" s="133">
        <f>'採算表(VND)'!F97</f>
        <v>46</v>
      </c>
      <c r="G97" s="133">
        <f>'採算表(VND)'!G97</f>
        <v>40</v>
      </c>
      <c r="H97" s="133">
        <f>'採算表(VND)'!H97</f>
        <v>38</v>
      </c>
      <c r="I97" s="133">
        <f>'採算表(VND)'!I97</f>
        <v>46</v>
      </c>
      <c r="J97" s="133">
        <f>'採算表(VND)'!J97</f>
        <v>40</v>
      </c>
      <c r="K97" s="133">
        <f>'採算表(VND)'!K97</f>
        <v>44</v>
      </c>
      <c r="L97" s="133">
        <f>'採算表(VND)'!L97</f>
        <v>30</v>
      </c>
      <c r="M97" s="133">
        <f>'採算表(VND)'!M97</f>
        <v>30</v>
      </c>
      <c r="N97" s="133">
        <f>'採算表(VND)'!N97</f>
        <v>40</v>
      </c>
      <c r="O97" s="133">
        <f>SUM(C97:N97)</f>
        <v>474</v>
      </c>
    </row>
    <row r="98" spans="2:15">
      <c r="B98" s="59" t="s">
        <v>326</v>
      </c>
      <c r="C98" s="133">
        <f>'採算表(VND)'!C98</f>
        <v>100</v>
      </c>
      <c r="D98" s="133">
        <f>'採算表(VND)'!D98</f>
        <v>100</v>
      </c>
      <c r="E98" s="133">
        <f>'採算表(VND)'!E98</f>
        <v>100</v>
      </c>
      <c r="F98" s="133">
        <f>'採算表(VND)'!F98</f>
        <v>100</v>
      </c>
      <c r="G98" s="133">
        <f>'採算表(VND)'!G98</f>
        <v>100</v>
      </c>
      <c r="H98" s="133">
        <f>'採算表(VND)'!H98</f>
        <v>100</v>
      </c>
      <c r="I98" s="133">
        <f>'採算表(VND)'!I98</f>
        <v>100</v>
      </c>
      <c r="J98" s="133">
        <f>'採算表(VND)'!J98</f>
        <v>100</v>
      </c>
      <c r="K98" s="133">
        <f>'採算表(VND)'!K98</f>
        <v>100</v>
      </c>
      <c r="L98" s="133">
        <f>'採算表(VND)'!L98</f>
        <v>100</v>
      </c>
      <c r="M98" s="133">
        <f>'採算表(VND)'!M98</f>
        <v>100</v>
      </c>
      <c r="N98" s="133">
        <f>'採算表(VND)'!N98</f>
        <v>100</v>
      </c>
      <c r="O98" s="133">
        <f>SUM(C98:N98)</f>
        <v>1200</v>
      </c>
    </row>
    <row r="99" spans="2:15">
      <c r="B99" s="61" t="s">
        <v>18</v>
      </c>
      <c r="C99" s="147">
        <f t="shared" ref="C99:O99" si="13">C97+C98</f>
        <v>140</v>
      </c>
      <c r="D99" s="147">
        <f t="shared" si="13"/>
        <v>138</v>
      </c>
      <c r="E99" s="147">
        <f t="shared" si="13"/>
        <v>142</v>
      </c>
      <c r="F99" s="147">
        <f t="shared" si="13"/>
        <v>146</v>
      </c>
      <c r="G99" s="147">
        <f t="shared" si="13"/>
        <v>140</v>
      </c>
      <c r="H99" s="147">
        <f t="shared" si="13"/>
        <v>138</v>
      </c>
      <c r="I99" s="147">
        <f t="shared" si="13"/>
        <v>146</v>
      </c>
      <c r="J99" s="147">
        <f t="shared" si="13"/>
        <v>140</v>
      </c>
      <c r="K99" s="147">
        <f t="shared" si="13"/>
        <v>144</v>
      </c>
      <c r="L99" s="147">
        <f t="shared" si="13"/>
        <v>130</v>
      </c>
      <c r="M99" s="147">
        <f t="shared" si="13"/>
        <v>130</v>
      </c>
      <c r="N99" s="147">
        <f t="shared" si="13"/>
        <v>140</v>
      </c>
      <c r="O99" s="147">
        <f t="shared" si="13"/>
        <v>1674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topLeftCell="C39" zoomScaleNormal="100" workbookViewId="0">
      <selection activeCell="C61" sqref="C61:O64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125" style="19" bestFit="1" customWidth="1"/>
    <col min="44" max="46" width="11.875" style="19" bestFit="1" customWidth="1"/>
    <col min="47" max="47" width="9" style="19"/>
    <col min="48" max="51" width="14.375" style="19" bestFit="1" customWidth="1"/>
    <col min="52" max="52" width="9" style="19"/>
    <col min="53" max="56" width="14.875" style="19" bestFit="1" customWidth="1"/>
    <col min="57" max="57" width="9" style="19"/>
    <col min="58" max="58" width="15.125" style="19" bestFit="1" customWidth="1"/>
    <col min="59" max="60" width="11.8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EI2課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0">
        <v>2</v>
      </c>
      <c r="D3" s="250">
        <v>3</v>
      </c>
      <c r="E3" s="250">
        <v>4</v>
      </c>
      <c r="F3" s="250">
        <v>5</v>
      </c>
      <c r="G3" s="250">
        <v>6</v>
      </c>
      <c r="H3" s="250">
        <v>7</v>
      </c>
      <c r="I3" s="250">
        <v>8</v>
      </c>
      <c r="J3" s="250">
        <v>9</v>
      </c>
      <c r="K3" s="250">
        <v>10</v>
      </c>
      <c r="L3" s="250">
        <v>11</v>
      </c>
      <c r="M3" s="250">
        <v>12</v>
      </c>
      <c r="N3" s="250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154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984319520</v>
      </c>
      <c r="E5" s="152">
        <f t="shared" si="0"/>
        <v>826495280</v>
      </c>
      <c r="F5" s="152">
        <f t="shared" si="0"/>
        <v>955476480</v>
      </c>
      <c r="G5" s="152">
        <f t="shared" si="0"/>
        <v>940679442</v>
      </c>
      <c r="H5" s="152">
        <f t="shared" si="0"/>
        <v>1003126909</v>
      </c>
      <c r="I5" s="152">
        <f t="shared" si="0"/>
        <v>984850679</v>
      </c>
      <c r="J5" s="152">
        <f t="shared" si="0"/>
        <v>1172143061</v>
      </c>
      <c r="K5" s="152">
        <f t="shared" si="0"/>
        <v>991707757</v>
      </c>
      <c r="L5" s="152">
        <f t="shared" si="0"/>
        <v>1004452267</v>
      </c>
      <c r="M5" s="152">
        <f t="shared" si="0"/>
        <v>993069930</v>
      </c>
      <c r="N5" s="152">
        <f t="shared" si="0"/>
        <v>972287961</v>
      </c>
      <c r="O5" s="152">
        <f>O8+O9</f>
        <v>10828609286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140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984319520</v>
      </c>
      <c r="E6" s="153">
        <f>SUMIF('内訳ﾘｽﾄ(4～3月)'!$D$26:$D$1000,'採算表(VND)'!$B6,'内訳ﾘｽﾄ(4～3月)'!H$26:H$1000)</f>
        <v>826495280</v>
      </c>
      <c r="F6" s="153">
        <f>SUMIF('内訳ﾘｽﾄ(4～3月)'!$D$26:$D$1000,'採算表(VND)'!$B6,'内訳ﾘｽﾄ(4～3月)'!I$26:I$1000)</f>
        <v>955476480</v>
      </c>
      <c r="G6" s="153">
        <f>SUMIF('内訳ﾘｽﾄ(4～3月)'!$D$26:$D$1000,'採算表(VND)'!$B6,'内訳ﾘｽﾄ(4～3月)'!J$26:J$1000)</f>
        <v>940679442</v>
      </c>
      <c r="H6" s="153">
        <f>SUMIF('内訳ﾘｽﾄ(4～3月)'!$D$26:$D$1000,'採算表(VND)'!$B6,'内訳ﾘｽﾄ(4～3月)'!K$26:K$1000)</f>
        <v>1003126909</v>
      </c>
      <c r="I6" s="153">
        <f>SUMIF('内訳ﾘｽﾄ(4～3月)'!$D$26:$D$1000,'採算表(VND)'!$B6,'内訳ﾘｽﾄ(4～3月)'!L$26:L$1000)</f>
        <v>984850679</v>
      </c>
      <c r="J6" s="153">
        <f>SUMIF('内訳ﾘｽﾄ(4～3月)'!$D$26:$D$1000,'採算表(VND)'!$B6,'内訳ﾘｽﾄ(4～3月)'!M$26:M$1000)</f>
        <v>1172143061</v>
      </c>
      <c r="K6" s="153">
        <f>SUMIF('内訳ﾘｽﾄ(4～3月)'!$D$26:$D$1000,'採算表(VND)'!$B6,'内訳ﾘｽﾄ(4～3月)'!N$26:N$1000)</f>
        <v>991707757</v>
      </c>
      <c r="L6" s="153">
        <f>SUMIF('内訳ﾘｽﾄ(4～3月)'!$D$26:$D$1000,'採算表(VND)'!$B6,'内訳ﾘｽﾄ(4～3月)'!O$26:O$1000)</f>
        <v>1004452267</v>
      </c>
      <c r="M6" s="153">
        <f>SUMIF('内訳ﾘｽﾄ(4～3月)'!$D$26:$D$1000,'採算表(VND)'!$B6,'内訳ﾘｽﾄ(4～3月)'!P$26:P$1000)</f>
        <v>993069930</v>
      </c>
      <c r="N6" s="153">
        <f>SUMIF('内訳ﾘｽﾄ(4～3月)'!$D$26:$D$1000,'採算表(VND)'!$B6,'内訳ﾘｽﾄ(4～3月)'!Q$26:Q$1000)</f>
        <v>972287961</v>
      </c>
      <c r="O6" s="153">
        <f>SUMIF('内訳ﾘｽﾄ(4～3月)'!$D$26:$D$799,'採算表(VND)'!$B6,'内訳ﾘｽﾄ(4～3月)'!R$26:R$799)</f>
        <v>10828609286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111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84</v>
      </c>
      <c r="C8" s="155">
        <f t="shared" ref="C8:N8" si="1">C6+C7</f>
        <v>0</v>
      </c>
      <c r="D8" s="155">
        <f t="shared" si="1"/>
        <v>984319520</v>
      </c>
      <c r="E8" s="155">
        <f t="shared" si="1"/>
        <v>826495280</v>
      </c>
      <c r="F8" s="155">
        <f t="shared" si="1"/>
        <v>955476480</v>
      </c>
      <c r="G8" s="155">
        <f t="shared" si="1"/>
        <v>940679442</v>
      </c>
      <c r="H8" s="155">
        <f t="shared" si="1"/>
        <v>1003126909</v>
      </c>
      <c r="I8" s="155">
        <f t="shared" si="1"/>
        <v>984850679</v>
      </c>
      <c r="J8" s="155">
        <f t="shared" si="1"/>
        <v>1172143061</v>
      </c>
      <c r="K8" s="155">
        <f t="shared" si="1"/>
        <v>991707757</v>
      </c>
      <c r="L8" s="155">
        <f t="shared" si="1"/>
        <v>1004452267</v>
      </c>
      <c r="M8" s="155">
        <f t="shared" si="1"/>
        <v>993069930</v>
      </c>
      <c r="N8" s="155">
        <f t="shared" si="1"/>
        <v>972287961</v>
      </c>
      <c r="O8" s="155">
        <f>O6+O7</f>
        <v>10828609286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984319520</v>
      </c>
      <c r="E12" s="156">
        <f t="shared" si="2"/>
        <v>826495280</v>
      </c>
      <c r="F12" s="156">
        <f t="shared" si="2"/>
        <v>955476480</v>
      </c>
      <c r="G12" s="156">
        <f t="shared" si="2"/>
        <v>940679442</v>
      </c>
      <c r="H12" s="156">
        <f t="shared" si="2"/>
        <v>1003126909</v>
      </c>
      <c r="I12" s="156">
        <f t="shared" si="2"/>
        <v>984850679</v>
      </c>
      <c r="J12" s="156">
        <f t="shared" si="2"/>
        <v>1172143061</v>
      </c>
      <c r="K12" s="156">
        <f t="shared" si="2"/>
        <v>991707757</v>
      </c>
      <c r="L12" s="156">
        <f t="shared" si="2"/>
        <v>1004452267</v>
      </c>
      <c r="M12" s="156">
        <f t="shared" si="2"/>
        <v>993069930</v>
      </c>
      <c r="N12" s="156">
        <f t="shared" si="2"/>
        <v>972287961</v>
      </c>
      <c r="O12" s="156">
        <f>O5-O10</f>
        <v>10828609286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52076543</v>
      </c>
      <c r="D13" s="150">
        <f t="shared" ref="D13:N13" si="3">SUM(D14:D65)</f>
        <v>81031255</v>
      </c>
      <c r="E13" s="150">
        <f t="shared" si="3"/>
        <v>138985384</v>
      </c>
      <c r="F13" s="150">
        <f t="shared" si="3"/>
        <v>58046167</v>
      </c>
      <c r="G13" s="150">
        <f t="shared" si="3"/>
        <v>65649208</v>
      </c>
      <c r="H13" s="150">
        <f t="shared" si="3"/>
        <v>138559879</v>
      </c>
      <c r="I13" s="150">
        <f t="shared" si="3"/>
        <v>225089418</v>
      </c>
      <c r="J13" s="150">
        <f t="shared" si="3"/>
        <v>42889147</v>
      </c>
      <c r="K13" s="150">
        <f t="shared" si="3"/>
        <v>43119864</v>
      </c>
      <c r="L13" s="150">
        <f t="shared" si="3"/>
        <v>71343003</v>
      </c>
      <c r="M13" s="150">
        <f t="shared" si="3"/>
        <v>124872199</v>
      </c>
      <c r="N13" s="150">
        <f t="shared" si="3"/>
        <v>129826761</v>
      </c>
      <c r="O13" s="150">
        <f>SUM(O14:O65)</f>
        <v>1171488828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100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123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119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101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4071540</v>
      </c>
      <c r="D20" s="158">
        <f>SUMIF('内訳ﾘｽﾄ(4～3月)'!$D$26:$D$1000,$B20,'内訳ﾘｽﾄ(4～3月)'!G$26:G$1000)</f>
        <v>4071540</v>
      </c>
      <c r="E20" s="158">
        <f>SUMIF('内訳ﾘｽﾄ(4～3月)'!$D$26:$D$1000,$B20,'内訳ﾘｽﾄ(4～3月)'!H$26:H$1000)</f>
        <v>4071540</v>
      </c>
      <c r="F20" s="158">
        <f>SUMIF('内訳ﾘｽﾄ(4～3月)'!$D$26:$D$1000,$B20,'内訳ﾘｽﾄ(4～3月)'!I$26:I$1000)</f>
        <v>4071540</v>
      </c>
      <c r="G20" s="158">
        <f>SUMIF('内訳ﾘｽﾄ(4～3月)'!$D$26:$D$1000,$B20,'内訳ﾘｽﾄ(4～3月)'!J$26:J$1000)</f>
        <v>4071540</v>
      </c>
      <c r="H20" s="158">
        <f>SUMIF('内訳ﾘｽﾄ(4～3月)'!$D$26:$D$1000,$B20,'内訳ﾘｽﾄ(4～3月)'!K$26:K$1000)</f>
        <v>4071540</v>
      </c>
      <c r="I20" s="158">
        <f>SUMIF('内訳ﾘｽﾄ(4～3月)'!$D$26:$D$1000,$B20,'内訳ﾘｽﾄ(4～3月)'!L$26:L$1000)</f>
        <v>4071540</v>
      </c>
      <c r="J20" s="158">
        <f>SUMIF('内訳ﾘｽﾄ(4～3月)'!$D$26:$D$1000,$B20,'内訳ﾘｽﾄ(4～3月)'!M$26:M$1000)</f>
        <v>4071540</v>
      </c>
      <c r="K20" s="158">
        <f>SUMIF('内訳ﾘｽﾄ(4～3月)'!$D$26:$D$1000,$B20,'内訳ﾘｽﾄ(4～3月)'!N$26:N$1000)</f>
        <v>4071540</v>
      </c>
      <c r="L20" s="158">
        <f>SUMIF('内訳ﾘｽﾄ(4～3月)'!$D$26:$D$1000,$B20,'内訳ﾘｽﾄ(4～3月)'!O$26:O$1000)</f>
        <v>4071540</v>
      </c>
      <c r="M20" s="158">
        <f>SUMIF('内訳ﾘｽﾄ(4～3月)'!$D$26:$D$1000,$B20,'内訳ﾘｽﾄ(4～3月)'!P$26:P$1000)</f>
        <v>4071540</v>
      </c>
      <c r="N20" s="158">
        <f>SUMIF('内訳ﾘｽﾄ(4～3月)'!$D$26:$D$1000,$B20,'内訳ﾘｽﾄ(4～3月)'!Q$26:Q$1000)</f>
        <v>4071540</v>
      </c>
      <c r="O20" s="158">
        <f>SUMIF('内訳ﾘｽﾄ(4～3月)'!$D$26:$D$799,'採算表(VND)'!$B20,'内訳ﾘｽﾄ(4～3月)'!R$26:R$799)</f>
        <v>48858480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194910</v>
      </c>
      <c r="D25" s="158">
        <f>SUMIF('内訳ﾘｽﾄ(4～3月)'!$D$26:$D$1000,$B25,'内訳ﾘｽﾄ(4～3月)'!G$26:G$1000)</f>
        <v>194910</v>
      </c>
      <c r="E25" s="158">
        <f>SUMIF('内訳ﾘｽﾄ(4～3月)'!$D$26:$D$1000,$B25,'内訳ﾘｽﾄ(4～3月)'!H$26:H$1000)</f>
        <v>194910</v>
      </c>
      <c r="F25" s="158">
        <f>SUMIF('内訳ﾘｽﾄ(4～3月)'!$D$26:$D$1000,$B25,'内訳ﾘｽﾄ(4～3月)'!I$26:I$1000)</f>
        <v>194910</v>
      </c>
      <c r="G25" s="158">
        <f>SUMIF('内訳ﾘｽﾄ(4～3月)'!$D$26:$D$1000,$B25,'内訳ﾘｽﾄ(4～3月)'!J$26:J$1000)</f>
        <v>194910</v>
      </c>
      <c r="H25" s="158">
        <f>SUMIF('内訳ﾘｽﾄ(4～3月)'!$D$26:$D$1000,$B25,'内訳ﾘｽﾄ(4～3月)'!K$26:K$1000)</f>
        <v>214401</v>
      </c>
      <c r="I25" s="158">
        <f>SUMIF('内訳ﾘｽﾄ(4～3月)'!$D$26:$D$1000,$B25,'内訳ﾘｽﾄ(4～3月)'!L$26:L$1000)</f>
        <v>214401</v>
      </c>
      <c r="J25" s="158">
        <f>SUMIF('内訳ﾘｽﾄ(4～3月)'!$D$26:$D$1000,$B25,'内訳ﾘｽﾄ(4～3月)'!M$26:M$1000)</f>
        <v>214401</v>
      </c>
      <c r="K25" s="158">
        <f>SUMIF('内訳ﾘｽﾄ(4～3月)'!$D$26:$D$1000,$B25,'内訳ﾘｽﾄ(4～3月)'!N$26:N$1000)</f>
        <v>214401</v>
      </c>
      <c r="L25" s="158">
        <f>SUMIF('内訳ﾘｽﾄ(4～3月)'!$D$26:$D$1000,$B25,'内訳ﾘｽﾄ(4～3月)'!O$26:O$1000)</f>
        <v>214401</v>
      </c>
      <c r="M25" s="158">
        <f>SUMIF('内訳ﾘｽﾄ(4～3月)'!$D$26:$D$1000,$B25,'内訳ﾘｽﾄ(4～3月)'!P$26:P$1000)</f>
        <v>214401</v>
      </c>
      <c r="N25" s="158">
        <f>SUMIF('内訳ﾘｽﾄ(4～3月)'!$D$26:$D$1000,$B25,'内訳ﾘｽﾄ(4～3月)'!Q$26:Q$1000)</f>
        <v>214401</v>
      </c>
      <c r="O25" s="158">
        <f>SUMIF('内訳ﾘｽﾄ(4～3月)'!$D$26:$D$799,'採算表(VND)'!$B25,'内訳ﾘｽﾄ(4～3月)'!R$26:R$799)</f>
        <v>2475357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103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20000000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20000000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400000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400000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800000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4420000</v>
      </c>
      <c r="E29" s="158">
        <f>SUMIF('内訳ﾘｽﾄ(4～3月)'!$D$26:$D$1000,$B29,'内訳ﾘｽﾄ(4～3月)'!H$26:H$1000)</f>
        <v>93462950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4220000</v>
      </c>
      <c r="I29" s="158">
        <f>SUMIF('内訳ﾘｽﾄ(4～3月)'!$D$26:$D$1000,$B29,'内訳ﾘｽﾄ(4～3月)'!L$26:L$1000)</f>
        <v>94173650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4220000</v>
      </c>
      <c r="N29" s="158">
        <f>SUMIF('内訳ﾘｽﾄ(4～3月)'!$D$26:$D$1000,$B29,'内訳ﾘｽﾄ(4～3月)'!Q$26:Q$1000)</f>
        <v>93462950</v>
      </c>
      <c r="O29" s="158">
        <f>SUMIF('内訳ﾘｽﾄ(4～3月)'!$D$26:$D$799,'採算表(VND)'!$B29,'内訳ﾘｽﾄ(4～3月)'!R$26:R$799)</f>
        <v>293959550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96</v>
      </c>
      <c r="C30" s="158">
        <f>SUMIF('内訳ﾘｽﾄ(4～3月)'!$D$26:$D$1000,$B30,'内訳ﾘｽﾄ(4～3月)'!F$26:F$1000)</f>
        <v>1965467</v>
      </c>
      <c r="D30" s="158">
        <f>SUMIF('内訳ﾘｽﾄ(4～3月)'!$D$26:$D$1000,$B30,'内訳ﾘｽﾄ(4～3月)'!G$26:G$1000)</f>
        <v>1965467</v>
      </c>
      <c r="E30" s="158">
        <f>SUMIF('内訳ﾘｽﾄ(4～3月)'!$D$26:$D$1000,$B30,'内訳ﾘｽﾄ(4～3月)'!H$26:H$1000)</f>
        <v>1965467</v>
      </c>
      <c r="F30" s="158">
        <f>SUMIF('内訳ﾘｽﾄ(4～3月)'!$D$26:$D$1000,$B30,'内訳ﾘｽﾄ(4～3月)'!I$26:I$1000)</f>
        <v>1965467</v>
      </c>
      <c r="G30" s="158">
        <f>SUMIF('内訳ﾘｽﾄ(4～3月)'!$D$26:$D$1000,$B30,'内訳ﾘｽﾄ(4～3月)'!J$26:J$1000)</f>
        <v>1965467</v>
      </c>
      <c r="H30" s="158">
        <f>SUMIF('内訳ﾘｽﾄ(4～3月)'!$D$26:$D$1000,$B30,'内訳ﾘｽﾄ(4～3月)'!K$26:K$1000)</f>
        <v>2010552</v>
      </c>
      <c r="I30" s="158">
        <f>SUMIF('内訳ﾘｽﾄ(4～3月)'!$D$26:$D$1000,$B30,'内訳ﾘｽﾄ(4～3月)'!L$26:L$1000)</f>
        <v>2010552</v>
      </c>
      <c r="J30" s="158">
        <f>SUMIF('内訳ﾘｽﾄ(4～3月)'!$D$26:$D$1000,$B30,'内訳ﾘｽﾄ(4～3月)'!M$26:M$1000)</f>
        <v>2010552</v>
      </c>
      <c r="K30" s="158">
        <f>SUMIF('内訳ﾘｽﾄ(4～3月)'!$D$26:$D$1000,$B30,'内訳ﾘｽﾄ(4～3月)'!N$26:N$1000)</f>
        <v>2010552</v>
      </c>
      <c r="L30" s="158">
        <f>SUMIF('内訳ﾘｽﾄ(4～3月)'!$D$26:$D$1000,$B30,'内訳ﾘｽﾄ(4～3月)'!O$26:O$1000)</f>
        <v>2010552</v>
      </c>
      <c r="M30" s="158">
        <f>SUMIF('内訳ﾘｽﾄ(4～3月)'!$D$26:$D$1000,$B30,'内訳ﾘｽﾄ(4～3月)'!P$26:P$1000)</f>
        <v>2010552</v>
      </c>
      <c r="N30" s="158">
        <f>SUMIF('内訳ﾘｽﾄ(4～3月)'!$D$26:$D$1000,$B30,'内訳ﾘｽﾄ(4～3月)'!Q$26:Q$1000)</f>
        <v>2010552</v>
      </c>
      <c r="O30" s="158">
        <f>SUMIF('内訳ﾘｽﾄ(4～3月)'!$D$26:$D$799,'採算表(VND)'!$B30,'内訳ﾘｽﾄ(4～3月)'!R$26:R$799)</f>
        <v>23901199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5078000</v>
      </c>
      <c r="D32" s="158">
        <f>SUMIF('内訳ﾘｽﾄ(4～3月)'!$D$26:$D$1000,$B32,'内訳ﾘｽﾄ(4～3月)'!G$26:G$1000)</f>
        <v>5078000</v>
      </c>
      <c r="E32" s="158">
        <f>SUMIF('内訳ﾘｽﾄ(4～3月)'!$D$26:$D$1000,$B32,'内訳ﾘｽﾄ(4～3月)'!H$26:H$1000)</f>
        <v>5078000</v>
      </c>
      <c r="F32" s="158">
        <f>SUMIF('内訳ﾘｽﾄ(4～3月)'!$D$26:$D$1000,$B32,'内訳ﾘｽﾄ(4～3月)'!I$26:I$1000)</f>
        <v>5078000</v>
      </c>
      <c r="G32" s="158">
        <f>SUMIF('内訳ﾘｽﾄ(4～3月)'!$D$26:$D$1000,$B32,'内訳ﾘｽﾄ(4～3月)'!J$26:J$1000)</f>
        <v>5078000</v>
      </c>
      <c r="H32" s="158">
        <f>SUMIF('内訳ﾘｽﾄ(4～3月)'!$D$26:$D$1000,$B32,'内訳ﾘｽﾄ(4～3月)'!K$26:K$1000)</f>
        <v>5078000</v>
      </c>
      <c r="I32" s="158">
        <f>SUMIF('内訳ﾘｽﾄ(4～3月)'!$D$26:$D$1000,$B32,'内訳ﾘｽﾄ(4～3月)'!L$26:L$1000)</f>
        <v>5078000</v>
      </c>
      <c r="J32" s="158">
        <f>SUMIF('内訳ﾘｽﾄ(4～3月)'!$D$26:$D$1000,$B32,'内訳ﾘｽﾄ(4～3月)'!M$26:M$1000)</f>
        <v>5078000</v>
      </c>
      <c r="K32" s="158">
        <f>SUMIF('内訳ﾘｽﾄ(4～3月)'!$D$26:$D$1000,$B32,'内訳ﾘｽﾄ(4～3月)'!N$26:N$1000)</f>
        <v>5078000</v>
      </c>
      <c r="L32" s="158">
        <f>SUMIF('内訳ﾘｽﾄ(4～3月)'!$D$26:$D$1000,$B32,'内訳ﾘｽﾄ(4～3月)'!O$26:O$1000)</f>
        <v>5078000</v>
      </c>
      <c r="M32" s="158">
        <f>SUMIF('内訳ﾘｽﾄ(4～3月)'!$D$26:$D$1000,$B32,'内訳ﾘｽﾄ(4～3月)'!P$26:P$1000)</f>
        <v>5078000</v>
      </c>
      <c r="N32" s="158">
        <f>SUMIF('内訳ﾘｽﾄ(4～3月)'!$D$26:$D$1000,$B32,'内訳ﾘｽﾄ(4～3月)'!Q$26:Q$1000)</f>
        <v>5078000</v>
      </c>
      <c r="O32" s="158">
        <f>SUMIF('内訳ﾘｽﾄ(4～3月)'!$D$26:$D$799,'採算表(VND)'!$B32,'内訳ﾘｽﾄ(4～3月)'!R$26:R$799)</f>
        <v>60936000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87361920</v>
      </c>
      <c r="I36" s="158">
        <f>SUMIF('内訳ﾘｽﾄ(4～3月)'!$D$26:$D$1000,$B36,'内訳ﾘｽﾄ(4～3月)'!L$26:L$1000)</f>
        <v>83520000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20545920</v>
      </c>
      <c r="M36" s="158">
        <f>SUMIF('内訳ﾘｽﾄ(4～3月)'!$D$26:$D$1000,$B36,'内訳ﾘｽﾄ(4～3月)'!P$26:P$1000)</f>
        <v>83520000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274947840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37670</v>
      </c>
      <c r="D39" s="158">
        <f>SUMIF('内訳ﾘｽﾄ(4～3月)'!$D$26:$D$1000,$B39,'内訳ﾘｽﾄ(4～3月)'!G$26:G$1000)</f>
        <v>237670</v>
      </c>
      <c r="E39" s="158">
        <f>SUMIF('内訳ﾘｽﾄ(4～3月)'!$D$26:$D$1000,$B39,'内訳ﾘｽﾄ(4～3月)'!H$26:H$1000)</f>
        <v>37670</v>
      </c>
      <c r="F39" s="158">
        <f>SUMIF('内訳ﾘｽﾄ(4～3月)'!$D$26:$D$1000,$B39,'内訳ﾘｽﾄ(4～3月)'!I$26:I$1000)</f>
        <v>37670</v>
      </c>
      <c r="G39" s="158">
        <f>SUMIF('内訳ﾘｽﾄ(4～3月)'!$D$26:$D$1000,$B39,'内訳ﾘｽﾄ(4～3月)'!J$26:J$1000)</f>
        <v>37670</v>
      </c>
      <c r="H39" s="158">
        <f>SUMIF('内訳ﾘｽﾄ(4～3月)'!$D$26:$D$1000,$B39,'内訳ﾘｽﾄ(4～3月)'!K$26:K$1000)</f>
        <v>5141437</v>
      </c>
      <c r="I39" s="158">
        <f>SUMIF('内訳ﾘｽﾄ(4～3月)'!$D$26:$D$1000,$B39,'内訳ﾘｽﾄ(4～3月)'!L$26:L$1000)</f>
        <v>1541437</v>
      </c>
      <c r="J39" s="158">
        <f>SUMIF('内訳ﾘｽﾄ(4～3月)'!$D$26:$D$1000,$B39,'内訳ﾘｽﾄ(4～3月)'!M$26:M$1000)</f>
        <v>41437</v>
      </c>
      <c r="K39" s="158">
        <f>SUMIF('内訳ﾘｽﾄ(4～3月)'!$D$26:$D$1000,$B39,'内訳ﾘｽﾄ(4～3月)'!N$26:N$1000)</f>
        <v>41437</v>
      </c>
      <c r="L39" s="158">
        <f>SUMIF('内訳ﾘｽﾄ(4～3月)'!$D$26:$D$1000,$B39,'内訳ﾘｽﾄ(4～3月)'!O$26:O$1000)</f>
        <v>41437</v>
      </c>
      <c r="M39" s="158">
        <f>SUMIF('内訳ﾘｽﾄ(4～3月)'!$D$26:$D$1000,$B39,'内訳ﾘｽﾄ(4～3月)'!P$26:P$1000)</f>
        <v>241437</v>
      </c>
      <c r="N39" s="158">
        <f>SUMIF('内訳ﾘｽﾄ(4～3月)'!$D$26:$D$1000,$B39,'内訳ﾘｽﾄ(4～3月)'!Q$26:Q$1000)</f>
        <v>41437</v>
      </c>
      <c r="O39" s="158">
        <f>SUMIF('内訳ﾘｽﾄ(4～3月)'!$D$26:$D$799,'採算表(VND)'!$B39,'内訳ﾘｽﾄ(4～3月)'!R$26:R$799)</f>
        <v>7478409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350000</v>
      </c>
      <c r="D41" s="158">
        <f>SUMIF('内訳ﾘｽﾄ(4～3月)'!$D$26:$D$1000,$B41,'内訳ﾘｽﾄ(4～3月)'!G$26:G$1000)</f>
        <v>350000</v>
      </c>
      <c r="E41" s="158">
        <f>SUMIF('内訳ﾘｽﾄ(4～3月)'!$D$26:$D$1000,$B41,'内訳ﾘｽﾄ(4～3月)'!H$26:H$1000)</f>
        <v>350000</v>
      </c>
      <c r="F41" s="158">
        <f>SUMIF('内訳ﾘｽﾄ(4～3月)'!$D$26:$D$1000,$B41,'内訳ﾘｽﾄ(4～3月)'!I$26:I$1000)</f>
        <v>350000</v>
      </c>
      <c r="G41" s="158">
        <f>SUMIF('内訳ﾘｽﾄ(4～3月)'!$D$26:$D$1000,$B41,'内訳ﾘｽﾄ(4～3月)'!J$26:J$1000)</f>
        <v>350000</v>
      </c>
      <c r="H41" s="158">
        <f>SUMIF('内訳ﾘｽﾄ(4～3月)'!$D$26:$D$1000,$B41,'内訳ﾘｽﾄ(4～3月)'!K$26:K$1000)</f>
        <v>350000</v>
      </c>
      <c r="I41" s="158">
        <f>SUMIF('内訳ﾘｽﾄ(4～3月)'!$D$26:$D$1000,$B41,'内訳ﾘｽﾄ(4～3月)'!L$26:L$1000)</f>
        <v>350000</v>
      </c>
      <c r="J41" s="158">
        <f>SUMIF('内訳ﾘｽﾄ(4～3月)'!$D$26:$D$1000,$B41,'内訳ﾘｽﾄ(4～3月)'!M$26:M$1000)</f>
        <v>350000</v>
      </c>
      <c r="K41" s="158">
        <f>SUMIF('内訳ﾘｽﾄ(4～3月)'!$D$26:$D$1000,$B41,'内訳ﾘｽﾄ(4～3月)'!N$26:N$1000)</f>
        <v>350000</v>
      </c>
      <c r="L41" s="158">
        <f>SUMIF('内訳ﾘｽﾄ(4～3月)'!$D$26:$D$1000,$B41,'内訳ﾘｽﾄ(4～3月)'!O$26:O$1000)</f>
        <v>350000</v>
      </c>
      <c r="M41" s="158">
        <f>SUMIF('内訳ﾘｽﾄ(4～3月)'!$D$26:$D$1000,$B41,'内訳ﾘｽﾄ(4～3月)'!P$26:P$1000)</f>
        <v>350000</v>
      </c>
      <c r="N41" s="158">
        <f>SUMIF('内訳ﾘｽﾄ(4～3月)'!$D$26:$D$1000,$B41,'内訳ﾘｽﾄ(4～3月)'!Q$26:Q$1000)</f>
        <v>350000</v>
      </c>
      <c r="O41" s="158">
        <f>SUMIF('内訳ﾘｽﾄ(4～3月)'!$D$26:$D$799,'採算表(VND)'!$B41,'内訳ﾘｽﾄ(4～3月)'!R$26:R$799)</f>
        <v>4200000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97</v>
      </c>
      <c r="C42" s="158">
        <f>SUMIF('内訳ﾘｽﾄ(4～3月)'!$D$26:$D$1000,$B42,'内訳ﾘｽﾄ(4～3月)'!F$26:F$1000)</f>
        <v>1854144</v>
      </c>
      <c r="D42" s="158">
        <f>SUMIF('内訳ﾘｽﾄ(4～3月)'!$D$26:$D$1000,$B42,'内訳ﾘｽﾄ(4～3月)'!G$26:G$1000)</f>
        <v>2014502</v>
      </c>
      <c r="E42" s="158">
        <f>SUMIF('内訳ﾘｽﾄ(4～3月)'!$D$26:$D$1000,$B42,'内訳ﾘｽﾄ(4～3月)'!H$26:H$1000)</f>
        <v>2014502</v>
      </c>
      <c r="F42" s="158">
        <f>SUMIF('内訳ﾘｽﾄ(4～3月)'!$D$26:$D$1000,$B42,'内訳ﾘｽﾄ(4～3月)'!I$26:I$1000)</f>
        <v>2014502</v>
      </c>
      <c r="G42" s="158">
        <f>SUMIF('内訳ﾘｽﾄ(4～3月)'!$D$26:$D$1000,$B42,'内訳ﾘｽﾄ(4～3月)'!J$26:J$1000)</f>
        <v>2109227</v>
      </c>
      <c r="H42" s="158">
        <f>SUMIF('内訳ﾘｽﾄ(4～3月)'!$D$26:$D$1000,$B42,'内訳ﾘｽﾄ(4～3月)'!K$26:K$1000)</f>
        <v>2199249</v>
      </c>
      <c r="I42" s="158">
        <f>SUMIF('内訳ﾘｽﾄ(4～3月)'!$D$26:$D$1000,$B42,'内訳ﾘｽﾄ(4～3月)'!L$26:L$1000)</f>
        <v>2199249</v>
      </c>
      <c r="J42" s="158">
        <f>SUMIF('内訳ﾘｽﾄ(4～3月)'!$D$26:$D$1000,$B42,'内訳ﾘｽﾄ(4～3月)'!M$26:M$1000)</f>
        <v>2216024</v>
      </c>
      <c r="K42" s="158">
        <f>SUMIF('内訳ﾘｽﾄ(4～3月)'!$D$26:$D$1000,$B42,'内訳ﾘｽﾄ(4～3月)'!N$26:N$1000)</f>
        <v>2199249</v>
      </c>
      <c r="L42" s="158">
        <f>SUMIF('内訳ﾘｽﾄ(4～3月)'!$D$26:$D$1000,$B42,'内訳ﾘｽﾄ(4～3月)'!O$26:O$1000)</f>
        <v>2199249</v>
      </c>
      <c r="M42" s="158">
        <f>SUMIF('内訳ﾘｽﾄ(4～3月)'!$D$26:$D$1000,$B42,'内訳ﾘｽﾄ(4～3月)'!P$26:P$1000)</f>
        <v>2199249</v>
      </c>
      <c r="N42" s="158">
        <f>SUMIF('内訳ﾘｽﾄ(4～3月)'!$D$26:$D$1000,$B42,'内訳ﾘｽﾄ(4～3月)'!Q$26:Q$1000)</f>
        <v>2199249</v>
      </c>
      <c r="O42" s="158">
        <f>SUMIF('内訳ﾘｽﾄ(4～3月)'!$D$26:$D$799,'採算表(VND)'!$B42,'内訳ﾘｽﾄ(4～3月)'!R$26:R$799)</f>
        <v>25418395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98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4700000</v>
      </c>
      <c r="D44" s="158">
        <f>SUMIF('内訳ﾘｽﾄ(4～3月)'!$D$26:$D$1000,$B44,'内訳ﾘｽﾄ(4～3月)'!G$26:G$1000)</f>
        <v>22400000</v>
      </c>
      <c r="E44" s="158">
        <f>SUMIF('内訳ﾘｽﾄ(4～3月)'!$D$26:$D$1000,$B44,'内訳ﾘｽﾄ(4～3月)'!H$26:H$1000)</f>
        <v>1400000</v>
      </c>
      <c r="F44" s="158">
        <f>SUMIF('内訳ﾘｽﾄ(4～3月)'!$D$26:$D$1000,$B44,'内訳ﾘｽﾄ(4～3月)'!I$26:I$1000)</f>
        <v>1810000</v>
      </c>
      <c r="G44" s="158">
        <f>SUMIF('内訳ﾘｽﾄ(4～3月)'!$D$26:$D$1000,$B44,'内訳ﾘｽﾄ(4～3月)'!J$26:J$1000)</f>
        <v>1845000</v>
      </c>
      <c r="H44" s="158">
        <f>SUMIF('内訳ﾘｽﾄ(4～3月)'!$D$26:$D$1000,$B44,'内訳ﾘｽﾄ(4～3月)'!K$26:K$1000)</f>
        <v>3432250</v>
      </c>
      <c r="I44" s="158">
        <f>SUMIF('内訳ﾘｽﾄ(4～3月)'!$D$26:$D$1000,$B44,'内訳ﾘｽﾄ(4～3月)'!L$26:L$1000)</f>
        <v>1575000</v>
      </c>
      <c r="J44" s="158">
        <f>SUMIF('内訳ﾘｽﾄ(4～3月)'!$D$26:$D$1000,$B44,'内訳ﾘｽﾄ(4～3月)'!M$26:M$1000)</f>
        <v>2816800</v>
      </c>
      <c r="K44" s="158">
        <f>SUMIF('内訳ﾘｽﾄ(4～3月)'!$D$26:$D$1000,$B44,'内訳ﾘｽﾄ(4～3月)'!N$26:N$1000)</f>
        <v>3335000</v>
      </c>
      <c r="L44" s="158">
        <f>SUMIF('内訳ﾘｽﾄ(4～3月)'!$D$26:$D$1000,$B44,'内訳ﾘｽﾄ(4～3月)'!O$26:O$1000)</f>
        <v>3600000</v>
      </c>
      <c r="M44" s="158">
        <f>SUMIF('内訳ﾘｽﾄ(4～3月)'!$D$26:$D$1000,$B44,'内訳ﾘｽﾄ(4～3月)'!P$26:P$1000)</f>
        <v>2500000</v>
      </c>
      <c r="N44" s="158">
        <f>SUMIF('内訳ﾘｽﾄ(4～3月)'!$D$26:$D$1000,$B44,'内訳ﾘｽﾄ(4～3月)'!Q$26:Q$1000)</f>
        <v>1400000</v>
      </c>
      <c r="O44" s="158">
        <f>SUMIF('内訳ﾘｽﾄ(4～3月)'!$D$26:$D$799,'採算表(VND)'!$B44,'内訳ﾘｽﾄ(4～3月)'!R$26:R$799)</f>
        <v>50814050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114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4600000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4600000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9200000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115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116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104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117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118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99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109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112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113</v>
      </c>
      <c r="C57" s="160">
        <f>SUMIF('内訳ﾘｽﾄ(4～3月)'!$D$26:$D$1000,$B57,'内訳ﾘｽﾄ(4～3月)'!F$26:F$1000)</f>
        <v>2129459</v>
      </c>
      <c r="D57" s="160">
        <f>SUMIF('内訳ﾘｽﾄ(4～3月)'!$D$26:$D$1000,$B57,'内訳ﾘｽﾄ(4～3月)'!G$26:G$1000)</f>
        <v>2129459</v>
      </c>
      <c r="E57" s="160">
        <f>SUMIF('内訳ﾘｽﾄ(4～3月)'!$D$26:$D$1000,$B57,'内訳ﾘｽﾄ(4～3月)'!H$26:H$1000)</f>
        <v>2129459</v>
      </c>
      <c r="F57" s="160">
        <f>SUMIF('内訳ﾘｽﾄ(4～3月)'!$D$26:$D$1000,$B57,'内訳ﾘｽﾄ(4～3月)'!I$26:I$1000)</f>
        <v>2129459</v>
      </c>
      <c r="G57" s="160">
        <f>SUMIF('内訳ﾘｽﾄ(4～3月)'!$D$26:$D$1000,$B57,'内訳ﾘｽﾄ(4～3月)'!J$26:J$1000)</f>
        <v>2129459</v>
      </c>
      <c r="H57" s="160">
        <f>SUMIF('内訳ﾘｽﾄ(4～3月)'!$D$26:$D$1000,$B57,'内訳ﾘｽﾄ(4～3月)'!K$26:K$1000)</f>
        <v>2129459</v>
      </c>
      <c r="I57" s="160">
        <f>SUMIF('内訳ﾘｽﾄ(4～3月)'!$D$26:$D$1000,$B57,'内訳ﾘｽﾄ(4～3月)'!L$26:L$1000)</f>
        <v>2129459</v>
      </c>
      <c r="J57" s="160">
        <f>SUMIF('内訳ﾘｽﾄ(4～3月)'!$D$26:$D$1000,$B57,'内訳ﾘｽﾄ(4～3月)'!M$26:M$1000)</f>
        <v>2129459</v>
      </c>
      <c r="K57" s="160">
        <f>SUMIF('内訳ﾘｽﾄ(4～3月)'!$D$26:$D$1000,$B57,'内訳ﾘｽﾄ(4～3月)'!N$26:N$1000)</f>
        <v>2129459</v>
      </c>
      <c r="L57" s="160">
        <f>SUMIF('内訳ﾘｽﾄ(4～3月)'!$D$26:$D$1000,$B57,'内訳ﾘｽﾄ(4～3月)'!O$26:O$1000)</f>
        <v>2129459</v>
      </c>
      <c r="M57" s="160">
        <f>SUMIF('内訳ﾘｽﾄ(4～3月)'!$D$26:$D$1000,$B57,'内訳ﾘｽﾄ(4～3月)'!P$26:P$1000)</f>
        <v>2129459</v>
      </c>
      <c r="N57" s="160">
        <f>SUMIF('内訳ﾘｽﾄ(4～3月)'!$D$26:$D$1000,$B57,'内訳ﾘｽﾄ(4～3月)'!Q$26:Q$1000)</f>
        <v>2129459</v>
      </c>
      <c r="O57" s="160">
        <f>SUMIF('内訳ﾘｽﾄ(4～3月)'!$D$26:$D$799,'採算表(VND)'!$B57,'内訳ﾘｽﾄ(4～3月)'!R$26:R$799)</f>
        <v>25553508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121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120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122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105</v>
      </c>
      <c r="C61" s="160">
        <f>SUMIF('内訳ﾘｽﾄ(4～3月)'!$D$26:$D$1000,$B61,'内訳ﾘｽﾄ(4～3月)'!F$26:F$1000)</f>
        <v>0</v>
      </c>
      <c r="D61" s="160">
        <f>SUMIF('内訳ﾘｽﾄ(4～3月)'!$D$26:$D$1000,$B61,'内訳ﾘｽﾄ(4～3月)'!G$26:G$1000)</f>
        <v>0</v>
      </c>
      <c r="E61" s="160">
        <f>SUMIF('内訳ﾘｽﾄ(4～3月)'!$D$26:$D$1000,$B61,'内訳ﾘｽﾄ(4～3月)'!H$26:H$1000)</f>
        <v>0</v>
      </c>
      <c r="F61" s="160">
        <f>SUMIF('内訳ﾘｽﾄ(4～3月)'!$D$26:$D$1000,$B61,'内訳ﾘｽﾄ(4～3月)'!I$26:I$1000)</f>
        <v>0</v>
      </c>
      <c r="G61" s="160">
        <f>SUMIF('内訳ﾘｽﾄ(4～3月)'!$D$26:$D$1000,$B61,'内訳ﾘｽﾄ(4～3月)'!J$26:J$1000)</f>
        <v>0</v>
      </c>
      <c r="H61" s="160">
        <f>SUMIF('内訳ﾘｽﾄ(4～3月)'!$D$26:$D$1000,$B61,'内訳ﾘｽﾄ(4～3月)'!K$26:K$1000)</f>
        <v>0</v>
      </c>
      <c r="I61" s="160">
        <f>SUMIF('内訳ﾘｽﾄ(4～3月)'!$D$26:$D$1000,$B61,'内訳ﾘｽﾄ(4～3月)'!L$26:L$1000)</f>
        <v>0</v>
      </c>
      <c r="J61" s="160">
        <f>SUMIF('内訳ﾘｽﾄ(4～3月)'!$D$26:$D$1000,$B61,'内訳ﾘｽﾄ(4～3月)'!M$26:M$1000)</f>
        <v>0</v>
      </c>
      <c r="K61" s="160">
        <f>SUMIF('内訳ﾘｽﾄ(4～3月)'!$D$26:$D$1000,$B61,'内訳ﾘｽﾄ(4～3月)'!N$26:N$1000)</f>
        <v>0</v>
      </c>
      <c r="L61" s="160">
        <f>SUMIF('内訳ﾘｽﾄ(4～3月)'!$D$26:$D$1000,$B61,'内訳ﾘｽﾄ(4～3月)'!O$26:O$1000)</f>
        <v>0</v>
      </c>
      <c r="M61" s="160">
        <f>SUMIF('内訳ﾘｽﾄ(4～3月)'!$D$26:$D$1000,$B61,'内訳ﾘｽﾄ(4～3月)'!P$26:P$1000)</f>
        <v>0</v>
      </c>
      <c r="N61" s="160">
        <f>SUMIF('内訳ﾘｽﾄ(4～3月)'!$D$26:$D$1000,$B61,'内訳ﾘｽﾄ(4～3月)'!Q$26:Q$1000)</f>
        <v>0</v>
      </c>
      <c r="O61" s="160">
        <f>SUMIF('内訳ﾘｽﾄ(4～3月)'!$D$26:$D$799,'採算表(VND)'!$B61,'内訳ﾘｽﾄ(4～3月)'!R$26:R$799)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677</v>
      </c>
      <c r="C62" s="160">
        <f>SUMIF('内訳ﾘｽﾄ(4～3月)'!$D$26:$D$1000,$B62,'内訳ﾘｽﾄ(4～3月)'!F$26:F$1000)</f>
        <v>397747</v>
      </c>
      <c r="D62" s="160">
        <f>SUMIF('内訳ﾘｽﾄ(4～3月)'!$D$26:$D$1000,$B62,'内訳ﾘｽﾄ(4～3月)'!G$26:G$1000)</f>
        <v>456533</v>
      </c>
      <c r="E62" s="160">
        <f>SUMIF('内訳ﾘｽﾄ(4～3月)'!$D$26:$D$1000,$B62,'内訳ﾘｽﾄ(4～3月)'!H$26:H$1000)</f>
        <v>380030</v>
      </c>
      <c r="F62" s="160">
        <f>SUMIF('内訳ﾘｽﾄ(4～3月)'!$D$26:$D$1000,$B62,'内訳ﾘｽﾄ(4～3月)'!I$26:I$1000)</f>
        <v>418678</v>
      </c>
      <c r="G62" s="160">
        <f>SUMIF('内訳ﾘｽﾄ(4～3月)'!$D$26:$D$1000,$B62,'内訳ﾘｽﾄ(4～3月)'!J$26:J$1000)</f>
        <v>376428</v>
      </c>
      <c r="H62" s="160">
        <f>SUMIF('内訳ﾘｽﾄ(4～3月)'!$D$26:$D$1000,$B62,'内訳ﾘｽﾄ(4～3月)'!K$26:K$1000)</f>
        <v>411955</v>
      </c>
      <c r="I62" s="160">
        <f>SUMIF('内訳ﾘｽﾄ(4～3月)'!$D$26:$D$1000,$B62,'内訳ﾘｽﾄ(4～3月)'!L$26:L$1000)</f>
        <v>371559</v>
      </c>
      <c r="J62" s="160">
        <f>SUMIF('内訳ﾘｽﾄ(4～3月)'!$D$26:$D$1000,$B62,'内訳ﾘｽﾄ(4～3月)'!M$26:M$1000)</f>
        <v>373981</v>
      </c>
      <c r="K62" s="160">
        <f>SUMIF('内訳ﾘｽﾄ(4～3月)'!$D$26:$D$1000,$B62,'内訳ﾘｽﾄ(4～3月)'!N$26:N$1000)</f>
        <v>377739</v>
      </c>
      <c r="L62" s="160">
        <f>SUMIF('内訳ﾘｽﾄ(4～3月)'!$D$26:$D$1000,$B62,'内訳ﾘｽﾄ(4～3月)'!O$26:O$1000)</f>
        <v>363365</v>
      </c>
      <c r="M62" s="160">
        <f>SUMIF('内訳ﾘｽﾄ(4～3月)'!$D$26:$D$1000,$B62,'内訳ﾘｽﾄ(4～3月)'!P$26:P$1000)</f>
        <v>384659</v>
      </c>
      <c r="N62" s="160">
        <f>SUMIF('内訳ﾘｽﾄ(4～3月)'!$D$26:$D$1000,$B62,'内訳ﾘｽﾄ(4～3月)'!Q$26:Q$1000)</f>
        <v>367741</v>
      </c>
      <c r="O62" s="160">
        <f>SUMIF('内訳ﾘｽﾄ(4～3月)'!$D$26:$D$799,'採算表(VND)'!$B62,'内訳ﾘｽﾄ(4～3月)'!R$26:R$799)</f>
        <v>4680415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678</v>
      </c>
      <c r="C63" s="160">
        <f>SUMIF('内訳ﾘｽﾄ(4～3月)'!$D$26:$D$1000,$B63,'内訳ﾘｽﾄ(4～3月)'!F$26:F$1000)</f>
        <v>2428303</v>
      </c>
      <c r="D63" s="160">
        <f>SUMIF('内訳ﾘｽﾄ(4～3月)'!$D$26:$D$1000,$B63,'内訳ﾘｽﾄ(4～3月)'!G$26:G$1000)</f>
        <v>829821</v>
      </c>
      <c r="E63" s="160">
        <f>SUMIF('内訳ﾘｽﾄ(4～3月)'!$D$26:$D$1000,$B63,'内訳ﾘｽﾄ(4～3月)'!H$26:H$1000)</f>
        <v>594135</v>
      </c>
      <c r="F63" s="160">
        <f>SUMIF('内訳ﾘｽﾄ(4～3月)'!$D$26:$D$1000,$B63,'内訳ﾘｽﾄ(4～3月)'!I$26:I$1000)</f>
        <v>640119</v>
      </c>
      <c r="G63" s="160">
        <f>SUMIF('内訳ﾘｽﾄ(4～3月)'!$D$26:$D$1000,$B63,'内訳ﾘｽﾄ(4～3月)'!J$26:J$1000)</f>
        <v>574687</v>
      </c>
      <c r="H63" s="160">
        <f>SUMIF('内訳ﾘｽﾄ(4～3月)'!$D$26:$D$1000,$B63,'内訳ﾘｽﾄ(4～3月)'!K$26:K$1000)</f>
        <v>516775</v>
      </c>
      <c r="I63" s="160">
        <f>SUMIF('内訳ﾘｽﾄ(4～3月)'!$D$26:$D$1000,$B63,'内訳ﾘｽﾄ(4～3月)'!L$26:L$1000)</f>
        <v>646365</v>
      </c>
      <c r="J63" s="160">
        <f>SUMIF('内訳ﾘｽﾄ(4～3月)'!$D$26:$D$1000,$B63,'内訳ﾘｽﾄ(4～3月)'!M$26:M$1000)</f>
        <v>664788</v>
      </c>
      <c r="K63" s="160">
        <f>SUMIF('内訳ﾘｽﾄ(4～3月)'!$D$26:$D$1000,$B63,'内訳ﾘｽﾄ(4～3月)'!N$26:N$1000)</f>
        <v>642056</v>
      </c>
      <c r="L63" s="160">
        <f>SUMIF('内訳ﾘｽﾄ(4～3月)'!$D$26:$D$1000,$B63,'内訳ﾘｽﾄ(4～3月)'!O$26:O$1000)</f>
        <v>502071</v>
      </c>
      <c r="M63" s="160">
        <f>SUMIF('内訳ﾘｽﾄ(4～3月)'!$D$26:$D$1000,$B63,'内訳ﾘｽﾄ(4～3月)'!P$26:P$1000)</f>
        <v>525411</v>
      </c>
      <c r="N63" s="160">
        <f>SUMIF('内訳ﾘｽﾄ(4～3月)'!$D$26:$D$1000,$B63,'内訳ﾘｽﾄ(4～3月)'!Q$26:Q$1000)</f>
        <v>516392</v>
      </c>
      <c r="O63" s="160">
        <f>SUMIF('内訳ﾘｽﾄ(4～3月)'!$D$26:$D$799,'採算表(VND)'!$B63,'内訳ﾘｽﾄ(4～3月)'!R$26:R$799)</f>
        <v>9080923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142</v>
      </c>
      <c r="C64" s="160">
        <f>SUMIF('内訳ﾘｽﾄ(4～3月)'!$D$26:$D$1000,$B64,'内訳ﾘｽﾄ(4～3月)'!F$26:F$1000)</f>
        <v>28869303</v>
      </c>
      <c r="D64" s="160">
        <f>SUMIF('内訳ﾘｽﾄ(4～3月)'!$D$26:$D$1000,$B64,'内訳ﾘｽﾄ(4～3月)'!G$26:G$1000)</f>
        <v>36883353</v>
      </c>
      <c r="E64" s="160">
        <f>SUMIF('内訳ﾘｽﾄ(4～3月)'!$D$26:$D$1000,$B64,'内訳ﾘｽﾄ(4～3月)'!H$26:H$1000)</f>
        <v>27306721</v>
      </c>
      <c r="F64" s="160">
        <f>SUMIF('内訳ﾘｽﾄ(4～3月)'!$D$26:$D$1000,$B64,'内訳ﾘｽﾄ(4～3月)'!I$26:I$1000)</f>
        <v>39335822</v>
      </c>
      <c r="G64" s="160">
        <f>SUMIF('内訳ﾘｽﾄ(4～3月)'!$D$26:$D$1000,$B64,'内訳ﾘｽﾄ(4～3月)'!J$26:J$1000)</f>
        <v>21916820</v>
      </c>
      <c r="H64" s="160">
        <f>SUMIF('内訳ﾘｽﾄ(4～3月)'!$D$26:$D$1000,$B64,'内訳ﾘｽﾄ(4～3月)'!K$26:K$1000)</f>
        <v>21422341</v>
      </c>
      <c r="I64" s="160">
        <f>SUMIF('内訳ﾘｽﾄ(4～3月)'!$D$26:$D$1000,$B64,'内訳ﾘｽﾄ(4～3月)'!L$26:L$1000)</f>
        <v>27208206</v>
      </c>
      <c r="J64" s="160">
        <f>SUMIF('内訳ﾘｽﾄ(4～3月)'!$D$26:$D$1000,$B64,'内訳ﾘｽﾄ(4～3月)'!M$26:M$1000)</f>
        <v>22922165</v>
      </c>
      <c r="K64" s="160">
        <f>SUMIF('内訳ﾘｽﾄ(4～3月)'!$D$26:$D$1000,$B64,'内訳ﾘｽﾄ(4～3月)'!N$26:N$1000)</f>
        <v>22670431</v>
      </c>
      <c r="L64" s="160">
        <f>SUMIF('内訳ﾘｽﾄ(4～3月)'!$D$26:$D$1000,$B64,'内訳ﾘｽﾄ(4～3月)'!O$26:O$1000)</f>
        <v>25237009</v>
      </c>
      <c r="M64" s="160">
        <f>SUMIF('内訳ﾘｽﾄ(4～3月)'!$D$26:$D$1000,$B64,'内訳ﾘｽﾄ(4～3月)'!P$26:P$1000)</f>
        <v>17427491</v>
      </c>
      <c r="N64" s="160">
        <f>SUMIF('内訳ﾘｽﾄ(4～3月)'!$D$26:$D$1000,$B64,'内訳ﾘｽﾄ(4～3月)'!Q$26:Q$1000)</f>
        <v>17985040</v>
      </c>
      <c r="O64" s="160">
        <f>SUMIF('内訳ﾘｽﾄ(4～3月)'!$D$26:$D$799,'採算表(VND)'!$B64,'内訳ﾘｽﾄ(4～3月)'!R$26:R$799)</f>
        <v>309184702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110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-52076543</v>
      </c>
      <c r="D66" s="156">
        <f t="shared" ref="D66:N66" si="4">D12-D13</f>
        <v>903288265</v>
      </c>
      <c r="E66" s="156">
        <f t="shared" si="4"/>
        <v>687509896</v>
      </c>
      <c r="F66" s="156">
        <f t="shared" si="4"/>
        <v>897430313</v>
      </c>
      <c r="G66" s="156">
        <f t="shared" si="4"/>
        <v>875030234</v>
      </c>
      <c r="H66" s="156">
        <f t="shared" si="4"/>
        <v>864567030</v>
      </c>
      <c r="I66" s="156">
        <f t="shared" si="4"/>
        <v>759761261</v>
      </c>
      <c r="J66" s="156">
        <f t="shared" si="4"/>
        <v>1129253914</v>
      </c>
      <c r="K66" s="156">
        <f t="shared" si="4"/>
        <v>948587893</v>
      </c>
      <c r="L66" s="156">
        <f t="shared" si="4"/>
        <v>933109264</v>
      </c>
      <c r="M66" s="156">
        <f t="shared" si="4"/>
        <v>868197731</v>
      </c>
      <c r="N66" s="156">
        <f t="shared" si="4"/>
        <v>842461200</v>
      </c>
      <c r="O66" s="156">
        <f>IF(ISBLANK(O4),"",O12-O13)</f>
        <v>9657120458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1547.5</v>
      </c>
      <c r="D67" s="161">
        <f t="shared" ref="D67:N67" si="5">D73+D79</f>
        <v>1476.5</v>
      </c>
      <c r="E67" s="161">
        <f t="shared" si="5"/>
        <v>1622.25</v>
      </c>
      <c r="F67" s="161">
        <f t="shared" si="5"/>
        <v>1769.25</v>
      </c>
      <c r="G67" s="161">
        <f t="shared" si="5"/>
        <v>1549.5</v>
      </c>
      <c r="H67" s="161">
        <f t="shared" si="5"/>
        <v>1637</v>
      </c>
      <c r="I67" s="161">
        <f t="shared" si="5"/>
        <v>1965.75</v>
      </c>
      <c r="J67" s="161">
        <f t="shared" si="5"/>
        <v>1721.25</v>
      </c>
      <c r="K67" s="161">
        <f t="shared" si="5"/>
        <v>1885</v>
      </c>
      <c r="L67" s="161">
        <f t="shared" si="5"/>
        <v>1670.25</v>
      </c>
      <c r="M67" s="161">
        <f t="shared" si="5"/>
        <v>1309.5</v>
      </c>
      <c r="N67" s="161">
        <f t="shared" si="5"/>
        <v>1722.75</v>
      </c>
      <c r="O67" s="161">
        <f>IF(ISBLANK(O4),"",O73+O79)</f>
        <v>19876.5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86</v>
      </c>
      <c r="C68" s="162">
        <f>SUMIF('内訳ﾘｽﾄ(4～3月)'!$D$8:$D$15,'採算表(VND)'!$B68,'内訳ﾘｽﾄ(4～3月)'!F$8:F$15)</f>
        <v>1326</v>
      </c>
      <c r="D68" s="162">
        <f>SUMIF('内訳ﾘｽﾄ(4～3月)'!$D$8:$D$15,'採算表(VND)'!$B68,'内訳ﾘｽﾄ(4～3月)'!G$8:G$15)</f>
        <v>1258</v>
      </c>
      <c r="E68" s="162">
        <f>SUMIF('内訳ﾘｽﾄ(4～3月)'!$D$8:$D$15,'採算表(VND)'!$B68,'内訳ﾘｽﾄ(4～3月)'!H$8:H$15)</f>
        <v>1394</v>
      </c>
      <c r="F68" s="162">
        <f>SUMIF('内訳ﾘｽﾄ(4～3月)'!$D$8:$D$15,'採算表(VND)'!$B68,'内訳ﾘｽﾄ(4～3月)'!I$8:I$15)</f>
        <v>1530</v>
      </c>
      <c r="G68" s="162">
        <f>SUMIF('内訳ﾘｽﾄ(4～3月)'!$D$8:$D$15,'採算表(VND)'!$B68,'内訳ﾘｽﾄ(4～3月)'!J$8:J$15)</f>
        <v>1326</v>
      </c>
      <c r="H68" s="162">
        <f>SUMIF('内訳ﾘｽﾄ(4～3月)'!$D$8:$D$15,'採算表(VND)'!$B68,'内訳ﾘｽﾄ(4～3月)'!K$8:K$15)</f>
        <v>1419.5</v>
      </c>
      <c r="I68" s="162">
        <f>SUMIF('内訳ﾘｽﾄ(4～3月)'!$D$8:$D$15,'採算表(VND)'!$B68,'内訳ﾘｽﾄ(4～3月)'!L$8:L$15)</f>
        <v>1725.5</v>
      </c>
      <c r="J68" s="162">
        <f>SUMIF('内訳ﾘｽﾄ(4～3月)'!$D$8:$D$15,'採算表(VND)'!$B68,'内訳ﾘｽﾄ(4～3月)'!M$8:M$15)</f>
        <v>1496</v>
      </c>
      <c r="K68" s="162">
        <f>SUMIF('内訳ﾘｽﾄ(4～3月)'!$D$8:$D$15,'採算表(VND)'!$B68,'内訳ﾘｽﾄ(4～3月)'!N$8:N$15)</f>
        <v>1649</v>
      </c>
      <c r="L68" s="162">
        <f>SUMIF('内訳ﾘｽﾄ(4～3月)'!$D$8:$D$15,'採算表(VND)'!$B68,'内訳ﾘｽﾄ(4～3月)'!O$8:O$15)</f>
        <v>1453.5</v>
      </c>
      <c r="M68" s="162">
        <f>SUMIF('内訳ﾘｽﾄ(4～3月)'!$D$8:$D$15,'採算表(VND)'!$B68,'内訳ﾘｽﾄ(4～3月)'!P$8:P$15)</f>
        <v>1113.5</v>
      </c>
      <c r="N68" s="162">
        <f>SUMIF('内訳ﾘｽﾄ(4～3月)'!$D$8:$D$15,'採算表(VND)'!$B68,'内訳ﾘｽﾄ(4～3月)'!Q$8:Q$15)</f>
        <v>1496</v>
      </c>
      <c r="O68" s="162">
        <f>SUMIF('内訳ﾘｽﾄ(4～3月)'!$D$8:$D$15,'採算表(VND)'!$B68,'内訳ﾘｽﾄ(4～3月)'!$R$8:$R$15)</f>
        <v>17187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87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125</v>
      </c>
      <c r="C70" s="164">
        <f>IF('内訳ﾘｽﾄ(4～3月)'!$D$5="製造",SUMIF('内訳ﾘｽﾄ(4～3月)'!$D$8:$D$15,$B70,'内訳ﾘｽﾄ(4～3月)'!F$8:F$15),IF('内訳ﾘｽﾄ(4～3月)'!$D$5="部外間接1",-C$68,0))</f>
        <v>6.75</v>
      </c>
      <c r="D70" s="164">
        <f>IF('内訳ﾘｽﾄ(4～3月)'!$D$5="製造",SUMIF('内訳ﾘｽﾄ(4～3月)'!$D$8:$D$15,$B70,'内訳ﾘｽﾄ(4～3月)'!G$8:G$15),IF('内訳ﾘｽﾄ(4～3月)'!$D$5="部外間接1",-D$68,0))</f>
        <v>7</v>
      </c>
      <c r="E70" s="164">
        <f>IF('内訳ﾘｽﾄ(4～3月)'!$D$5="製造",SUMIF('内訳ﾘｽﾄ(4～3月)'!$D$8:$D$15,$B70,'内訳ﾘｽﾄ(4～3月)'!H$8:H$15),IF('内訳ﾘｽﾄ(4～3月)'!$D$5="部外間接1",-E$68,0))</f>
        <v>7.75</v>
      </c>
      <c r="F70" s="164">
        <f>IF('内訳ﾘｽﾄ(4～3月)'!$D$5="製造",SUMIF('内訳ﾘｽﾄ(4～3月)'!$D$8:$D$15,$B70,'内訳ﾘｽﾄ(4～3月)'!I$8:I$15),IF('内訳ﾘｽﾄ(4～3月)'!$D$5="部外間接1",-F$68,0))</f>
        <v>8.25</v>
      </c>
      <c r="G70" s="164">
        <f>IF('内訳ﾘｽﾄ(4～3月)'!$D$5="製造",SUMIF('内訳ﾘｽﾄ(4～3月)'!$D$8:$D$15,$B70,'内訳ﾘｽﾄ(4～3月)'!J$8:J$15),IF('内訳ﾘｽﾄ(4～3月)'!$D$5="部外間接1",-G$68,0))</f>
        <v>7</v>
      </c>
      <c r="H70" s="164">
        <f>IF('内訳ﾘｽﾄ(4～3月)'!$D$5="製造",SUMIF('内訳ﾘｽﾄ(4～3月)'!$D$8:$D$15,$B70,'内訳ﾘｽﾄ(4～3月)'!K$8:K$15),IF('内訳ﾘｽﾄ(4～3月)'!$D$5="部外間接1",-H$68,0))</f>
        <v>6.5</v>
      </c>
      <c r="I70" s="164">
        <f>IF('内訳ﾘｽﾄ(4～3月)'!$D$5="製造",SUMIF('内訳ﾘｽﾄ(4～3月)'!$D$8:$D$15,$B70,'内訳ﾘｽﾄ(4～3月)'!L$8:L$15),IF('内訳ﾘｽﾄ(4～3月)'!$D$5="部外間接1",-I$68,0))</f>
        <v>8.25</v>
      </c>
      <c r="J70" s="164">
        <f>IF('内訳ﾘｽﾄ(4～3月)'!$D$5="製造",SUMIF('内訳ﾘｽﾄ(4～3月)'!$D$8:$D$15,$B70,'内訳ﾘｽﾄ(4～3月)'!M$8:M$15),IF('内訳ﾘｽﾄ(4～3月)'!$D$5="部外間接1",-J$68,0))</f>
        <v>7.25</v>
      </c>
      <c r="K70" s="164">
        <f>IF('内訳ﾘｽﾄ(4～3月)'!$D$5="製造",SUMIF('内訳ﾘｽﾄ(4～3月)'!$D$8:$D$15,$B70,'内訳ﾘｽﾄ(4～3月)'!N$8:N$15),IF('内訳ﾘｽﾄ(4～3月)'!$D$5="部外間接1",-K$68,0))</f>
        <v>8</v>
      </c>
      <c r="L70" s="164">
        <f>IF('内訳ﾘｽﾄ(4～3月)'!$D$5="製造",SUMIF('内訳ﾘｽﾄ(4～3月)'!$D$8:$D$15,$B70,'内訳ﾘｽﾄ(4～3月)'!O$8:O$15),IF('内訳ﾘｽﾄ(4～3月)'!$D$5="部外間接1",-L$68,0))</f>
        <v>7.5</v>
      </c>
      <c r="M70" s="164">
        <f>IF('内訳ﾘｽﾄ(4～3月)'!$D$5="製造",SUMIF('内訳ﾘｽﾄ(4～3月)'!$D$8:$D$15,$B70,'内訳ﾘｽﾄ(4～3月)'!P$8:P$15),IF('内訳ﾘｽﾄ(4～3月)'!$D$5="部外間接1",-M$68,0))</f>
        <v>5.5</v>
      </c>
      <c r="N70" s="164">
        <f>IF('内訳ﾘｽﾄ(4～3月)'!$D$5="製造",SUMIF('内訳ﾘｽﾄ(4～3月)'!$D$8:$D$15,$B70,'内訳ﾘｽﾄ(4～3月)'!Q$8:Q$15),IF('内訳ﾘｽﾄ(4～3月)'!$D$5="部外間接1",-N$68,0))</f>
        <v>7.5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87.25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126</v>
      </c>
      <c r="C71" s="164">
        <f>IF('内訳ﾘｽﾄ(4～3月)'!$D$5="製造",SUMIF('内訳ﾘｽﾄ(4～3月)'!$D$8:$D$15,$B71,'内訳ﾘｽﾄ(4～3月)'!F$8:F$15),IF('内訳ﾘｽﾄ(4～3月)'!$D$5="部外間接2",-C$68,0))</f>
        <v>12.75</v>
      </c>
      <c r="D71" s="164">
        <f>IF('内訳ﾘｽﾄ(4～3月)'!$D$5="製造",SUMIF('内訳ﾘｽﾄ(4～3月)'!$D$8:$D$15,$B71,'内訳ﾘｽﾄ(4～3月)'!G$8:G$15),IF('内訳ﾘｽﾄ(4～3月)'!$D$5="部外間接2",-D$68,0))</f>
        <v>12.25</v>
      </c>
      <c r="E71" s="164">
        <f>IF('内訳ﾘｽﾄ(4～3月)'!$D$5="製造",SUMIF('内訳ﾘｽﾄ(4～3月)'!$D$8:$D$15,$B71,'内訳ﾘｽﾄ(4～3月)'!H$8:H$15),IF('内訳ﾘｽﾄ(4～3月)'!$D$5="部外間接2",-E$68,0))</f>
        <v>14</v>
      </c>
      <c r="F71" s="164">
        <f>IF('内訳ﾘｽﾄ(4～3月)'!$D$5="製造",SUMIF('内訳ﾘｽﾄ(4～3月)'!$D$8:$D$15,$B71,'内訳ﾘｽﾄ(4～3月)'!I$8:I$15),IF('内訳ﾘｽﾄ(4～3月)'!$D$5="部外間接2",-F$68,0))</f>
        <v>15.5</v>
      </c>
      <c r="G71" s="164">
        <f>IF('内訳ﾘｽﾄ(4～3月)'!$D$5="製造",SUMIF('内訳ﾘｽﾄ(4～3月)'!$D$8:$D$15,$B71,'内訳ﾘｽﾄ(4～3月)'!J$8:J$15),IF('内訳ﾘｽﾄ(4～3月)'!$D$5="部外間接2",-G$68,0))</f>
        <v>13</v>
      </c>
      <c r="H71" s="164">
        <f>IF('内訳ﾘｽﾄ(4～3月)'!$D$5="製造",SUMIF('内訳ﾘｽﾄ(4～3月)'!$D$8:$D$15,$B71,'内訳ﾘｽﾄ(4～3月)'!K$8:K$15),IF('内訳ﾘｽﾄ(4～3月)'!$D$5="部外間接2",-H$68,0))</f>
        <v>13</v>
      </c>
      <c r="I71" s="164">
        <f>IF('内訳ﾘｽﾄ(4～3月)'!$D$5="製造",SUMIF('内訳ﾘｽﾄ(4～3月)'!$D$8:$D$15,$B71,'内訳ﾘｽﾄ(4～3月)'!L$8:L$15),IF('内訳ﾘｽﾄ(4～3月)'!$D$5="部外間接2",-I$68,0))</f>
        <v>16.25</v>
      </c>
      <c r="J71" s="164">
        <f>IF('内訳ﾘｽﾄ(4～3月)'!$D$5="製造",SUMIF('内訳ﾘｽﾄ(4～3月)'!$D$8:$D$15,$B71,'内訳ﾘｽﾄ(4～3月)'!M$8:M$15),IF('内訳ﾘｽﾄ(4～3月)'!$D$5="部外間接2",-J$68,0))</f>
        <v>14</v>
      </c>
      <c r="K71" s="164">
        <f>IF('内訳ﾘｽﾄ(4～3月)'!$D$5="製造",SUMIF('内訳ﾘｽﾄ(4～3月)'!$D$8:$D$15,$B71,'内訳ﾘｽﾄ(4～3月)'!N$8:N$15),IF('内訳ﾘｽﾄ(4～3月)'!$D$5="部外間接2",-K$68,0))</f>
        <v>15.5</v>
      </c>
      <c r="L71" s="164">
        <f>IF('内訳ﾘｽﾄ(4～3月)'!$D$5="製造",SUMIF('内訳ﾘｽﾄ(4～3月)'!$D$8:$D$15,$B71,'内訳ﾘｽﾄ(4～3月)'!O$8:O$15),IF('内訳ﾘｽﾄ(4～3月)'!$D$5="部外間接2",-L$68,0))</f>
        <v>14.25</v>
      </c>
      <c r="M71" s="164">
        <f>IF('内訳ﾘｽﾄ(4～3月)'!$D$5="製造",SUMIF('内訳ﾘｽﾄ(4～3月)'!$D$8:$D$15,$B71,'内訳ﾘｽﾄ(4～3月)'!P$8:P$15),IF('内訳ﾘｽﾄ(4～3月)'!$D$5="部外間接2",-M$68,0))</f>
        <v>10.75</v>
      </c>
      <c r="N71" s="164">
        <f>IF('内訳ﾘｽﾄ(4～3月)'!$D$5="製造",SUMIF('内訳ﾘｽﾄ(4～3月)'!$D$8:$D$15,$B71,'内訳ﾘｽﾄ(4～3月)'!Q$8:Q$15),IF('内訳ﾘｽﾄ(4～3月)'!$D$5="部外間接2",-N$68,0))</f>
        <v>14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165.25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88</v>
      </c>
      <c r="C72" s="165">
        <f>IF('内訳ﾘｽﾄ(4～3月)'!$D$5="製造",SUMIF('内訳ﾘｽﾄ(4～3月)'!$D$8:$D$15,$B72,'内訳ﾘｽﾄ(4～3月)'!F$8:F$15),IF('内訳ﾘｽﾄ(4～3月)'!$D$5="工場間接",-C$68,0))</f>
        <v>57</v>
      </c>
      <c r="D72" s="165">
        <f>IF('内訳ﾘｽﾄ(4～3月)'!$D$5="製造",SUMIF('内訳ﾘｽﾄ(4～3月)'!$D$8:$D$15,$B72,'内訳ﾘｽﾄ(4～3月)'!G$8:G$15),IF('内訳ﾘｽﾄ(4～3月)'!$D$5="工場間接",-D$68,0))</f>
        <v>56.5</v>
      </c>
      <c r="E72" s="165">
        <f>IF('内訳ﾘｽﾄ(4～3月)'!$D$5="製造",SUMIF('内訳ﾘｽﾄ(4～3月)'!$D$8:$D$15,$B72,'内訳ﾘｽﾄ(4～3月)'!H$8:H$15),IF('内訳ﾘｽﾄ(4～3月)'!$D$5="工場間接",-E$68,0))</f>
        <v>60</v>
      </c>
      <c r="F72" s="165">
        <f>IF('内訳ﾘｽﾄ(4～3月)'!$D$5="製造",SUMIF('内訳ﾘｽﾄ(4～3月)'!$D$8:$D$15,$B72,'内訳ﾘｽﾄ(4～3月)'!I$8:I$15),IF('内訳ﾘｽﾄ(4～3月)'!$D$5="工場間接",-F$68,0))</f>
        <v>64.75</v>
      </c>
      <c r="G72" s="165">
        <f>IF('内訳ﾘｽﾄ(4～3月)'!$D$5="製造",SUMIF('内訳ﾘｽﾄ(4～3月)'!$D$8:$D$15,$B72,'内訳ﾘｽﾄ(4～3月)'!J$8:J$15),IF('内訳ﾘｽﾄ(4～3月)'!$D$5="工場間接",-G$68,0))</f>
        <v>59</v>
      </c>
      <c r="H72" s="165">
        <f>IF('内訳ﾘｽﾄ(4～3月)'!$D$5="製造",SUMIF('内訳ﾘｽﾄ(4～3月)'!$D$8:$D$15,$B72,'内訳ﾘｽﾄ(4～3月)'!K$8:K$15),IF('内訳ﾘｽﾄ(4～3月)'!$D$5="工場間接",-H$68,0))</f>
        <v>54.75</v>
      </c>
      <c r="I72" s="165">
        <f>IF('内訳ﾘｽﾄ(4～3月)'!$D$5="製造",SUMIF('内訳ﾘｽﾄ(4～3月)'!$D$8:$D$15,$B72,'内訳ﾘｽﾄ(4～3月)'!L$8:L$15),IF('内訳ﾘｽﾄ(4～3月)'!$D$5="工場間接",-I$68,0))</f>
        <v>65</v>
      </c>
      <c r="J72" s="165">
        <f>IF('内訳ﾘｽﾄ(4～3月)'!$D$5="製造",SUMIF('内訳ﾘｽﾄ(4～3月)'!$D$8:$D$15,$B72,'内訳ﾘｽﾄ(4～3月)'!M$8:M$15),IF('内訳ﾘｽﾄ(4～3月)'!$D$5="工場間接",-J$68,0))</f>
        <v>59.25</v>
      </c>
      <c r="K72" s="165">
        <f>IF('内訳ﾘｽﾄ(4～3月)'!$D$5="製造",SUMIF('内訳ﾘｽﾄ(4～3月)'!$D$8:$D$15,$B72,'内訳ﾘｽﾄ(4～3月)'!N$8:N$15),IF('内訳ﾘｽﾄ(4～3月)'!$D$5="工場間接",-K$68,0))</f>
        <v>63.75</v>
      </c>
      <c r="L72" s="165">
        <f>IF('内訳ﾘｽﾄ(4～3月)'!$D$5="製造",SUMIF('内訳ﾘｽﾄ(4～3月)'!$D$8:$D$15,$B72,'内訳ﾘｽﾄ(4～3月)'!O$8:O$15),IF('内訳ﾘｽﾄ(4～3月)'!$D$5="工場間接",-L$68,0))</f>
        <v>60.25</v>
      </c>
      <c r="M72" s="165">
        <f>IF('内訳ﾘｽﾄ(4～3月)'!$D$5="製造",SUMIF('内訳ﾘｽﾄ(4～3月)'!$D$8:$D$15,$B72,'内訳ﾘｽﾄ(4～3月)'!P$8:P$15),IF('内訳ﾘｽﾄ(4～3月)'!$D$5="工場間接",-M$68,0))</f>
        <v>45.25</v>
      </c>
      <c r="N72" s="165">
        <f>IF('内訳ﾘｽﾄ(4～3月)'!$D$5="製造",SUMIF('内訳ﾘｽﾄ(4～3月)'!$D$8:$D$15,$B72,'内訳ﾘｽﾄ(4～3月)'!Q$8:Q$15),IF('内訳ﾘｽﾄ(4～3月)'!$D$5="工場間接",-N$68,0))</f>
        <v>60.5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706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89</v>
      </c>
      <c r="C73" s="166">
        <f>SUM(C68:C72)</f>
        <v>1402.5</v>
      </c>
      <c r="D73" s="166">
        <f t="shared" ref="D73:N73" si="6">SUM(D68:D72)</f>
        <v>1333.75</v>
      </c>
      <c r="E73" s="166">
        <f t="shared" si="6"/>
        <v>1475.75</v>
      </c>
      <c r="F73" s="166">
        <f t="shared" si="6"/>
        <v>1618.5</v>
      </c>
      <c r="G73" s="166">
        <f t="shared" si="6"/>
        <v>1405</v>
      </c>
      <c r="H73" s="166">
        <f t="shared" si="6"/>
        <v>1493.75</v>
      </c>
      <c r="I73" s="166">
        <f t="shared" si="6"/>
        <v>1815</v>
      </c>
      <c r="J73" s="166">
        <f t="shared" si="6"/>
        <v>1576.5</v>
      </c>
      <c r="K73" s="166">
        <f t="shared" si="6"/>
        <v>1736.25</v>
      </c>
      <c r="L73" s="166">
        <f t="shared" si="6"/>
        <v>1535.5</v>
      </c>
      <c r="M73" s="166">
        <f t="shared" si="6"/>
        <v>1175</v>
      </c>
      <c r="N73" s="166">
        <f t="shared" si="6"/>
        <v>1578</v>
      </c>
      <c r="O73" s="166">
        <f>IF(ISBLANK(O4),"",SUM(O68:O72))</f>
        <v>18145.5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85</v>
      </c>
      <c r="C74" s="162">
        <f>SUMIF('内訳ﾘｽﾄ(4～3月)'!$D$16:$D$23,'採算表(VND)'!$B74,'内訳ﾘｽﾄ(4～3月)'!F$16:F$23)</f>
        <v>140</v>
      </c>
      <c r="D74" s="162">
        <f>SUMIF('内訳ﾘｽﾄ(4～3月)'!$D$16:$D$23,'採算表(VND)'!$B74,'内訳ﾘｽﾄ(4～3月)'!G$16:G$23)</f>
        <v>138</v>
      </c>
      <c r="E74" s="162">
        <f>SUMIF('内訳ﾘｽﾄ(4～3月)'!$D$16:$D$23,'採算表(VND)'!$B74,'内訳ﾘｽﾄ(4～3月)'!H$16:H$23)</f>
        <v>142</v>
      </c>
      <c r="F74" s="162">
        <f>SUMIF('内訳ﾘｽﾄ(4～3月)'!$D$16:$D$23,'採算表(VND)'!$B74,'内訳ﾘｽﾄ(4～3月)'!I$16:I$23)</f>
        <v>146</v>
      </c>
      <c r="G74" s="162">
        <f>SUMIF('内訳ﾘｽﾄ(4～3月)'!$D$16:$D$23,'採算表(VND)'!$B74,'内訳ﾘｽﾄ(4～3月)'!J$16:J$23)</f>
        <v>140</v>
      </c>
      <c r="H74" s="162">
        <f>SUMIF('内訳ﾘｽﾄ(4～3月)'!$D$16:$D$23,'採算表(VND)'!$B74,'内訳ﾘｽﾄ(4～3月)'!K$16:K$23)</f>
        <v>138</v>
      </c>
      <c r="I74" s="162">
        <f>SUMIF('内訳ﾘｽﾄ(4～3月)'!$D$16:$D$23,'採算表(VND)'!$B74,'内訳ﾘｽﾄ(4～3月)'!L$16:L$23)</f>
        <v>146</v>
      </c>
      <c r="J74" s="162">
        <f>SUMIF('内訳ﾘｽﾄ(4～3月)'!$D$16:$D$23,'採算表(VND)'!$B74,'内訳ﾘｽﾄ(4～3月)'!M$16:M$23)</f>
        <v>140</v>
      </c>
      <c r="K74" s="162">
        <f>SUMIF('内訳ﾘｽﾄ(4～3月)'!$D$16:$D$23,'採算表(VND)'!$B74,'内訳ﾘｽﾄ(4～3月)'!N$16:N$23)</f>
        <v>144</v>
      </c>
      <c r="L74" s="162">
        <f>SUMIF('内訳ﾘｽﾄ(4～3月)'!$D$16:$D$23,'採算表(VND)'!$B74,'内訳ﾘｽﾄ(4～3月)'!O$16:O$23)</f>
        <v>130</v>
      </c>
      <c r="M74" s="162">
        <f>SUMIF('内訳ﾘｽﾄ(4～3月)'!$D$16:$D$23,'採算表(VND)'!$B74,'内訳ﾘｽﾄ(4～3月)'!P$16:P$23)</f>
        <v>130</v>
      </c>
      <c r="N74" s="162">
        <f>SUMIF('内訳ﾘｽﾄ(4～3月)'!$D$16:$D$23,'採算表(VND)'!$B74,'内訳ﾘｽﾄ(4～3月)'!Q$16:Q$23)</f>
        <v>140</v>
      </c>
      <c r="O74" s="162">
        <f>SUMIF('内訳ﾘｽﾄ(4～3月)'!$D$16:$D$23,'採算表(VND)'!$B74,'内訳ﾘｽﾄ(4～3月)'!$R$16:$R$23)</f>
        <v>1674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87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125</v>
      </c>
      <c r="C76" s="164">
        <f>IF('内訳ﾘｽﾄ(4～3月)'!$D$5="製造",SUMIF('内訳ﾘｽﾄ(4～3月)'!$D$16:$D$23,$B76,'内訳ﾘｽﾄ(4～3月)'!F$16:F$23),IF('内訳ﾘｽﾄ(4～3月)'!$D$5="部外間接1",-C$74,0))</f>
        <v>0.5</v>
      </c>
      <c r="D76" s="164">
        <f>IF('内訳ﾘｽﾄ(4～3月)'!$D$5="製造",SUMIF('内訳ﾘｽﾄ(4～3月)'!$D$16:$D$23,$B76,'内訳ﾘｽﾄ(4～3月)'!G$16:G$23),IF('内訳ﾘｽﾄ(4～3月)'!$D$5="部外間接1",-D$74,0))</f>
        <v>0.5</v>
      </c>
      <c r="E76" s="164">
        <f>IF('内訳ﾘｽﾄ(4～3月)'!$D$5="製造",SUMIF('内訳ﾘｽﾄ(4～3月)'!$D$16:$D$23,$B76,'内訳ﾘｽﾄ(4～3月)'!H$16:H$23),IF('内訳ﾘｽﾄ(4～3月)'!$D$5="部外間接1",-E$74,0))</f>
        <v>0.5</v>
      </c>
      <c r="F76" s="164">
        <f>IF('内訳ﾘｽﾄ(4～3月)'!$D$5="製造",SUMIF('内訳ﾘｽﾄ(4～3月)'!$D$16:$D$23,$B76,'内訳ﾘｽﾄ(4～3月)'!I$16:I$23),IF('内訳ﾘｽﾄ(4～3月)'!$D$5="部外間接1",-F$74,0))</f>
        <v>0.5</v>
      </c>
      <c r="G76" s="164">
        <f>IF('内訳ﾘｽﾄ(4～3月)'!$D$5="製造",SUMIF('内訳ﾘｽﾄ(4～3月)'!$D$16:$D$23,$B76,'内訳ﾘｽﾄ(4～3月)'!J$16:J$23),IF('内訳ﾘｽﾄ(4～3月)'!$D$5="部外間接1",-G$74,0))</f>
        <v>0.5</v>
      </c>
      <c r="H76" s="164">
        <f>IF('内訳ﾘｽﾄ(4～3月)'!$D$5="製造",SUMIF('内訳ﾘｽﾄ(4～3月)'!$D$16:$D$23,$B76,'内訳ﾘｽﾄ(4～3月)'!K$16:K$23),IF('内訳ﾘｽﾄ(4～3月)'!$D$5="部外間接1",-H$74,0))</f>
        <v>0.5</v>
      </c>
      <c r="I76" s="164">
        <f>IF('内訳ﾘｽﾄ(4～3月)'!$D$5="製造",SUMIF('内訳ﾘｽﾄ(4～3月)'!$D$16:$D$23,$B76,'内訳ﾘｽﾄ(4～3月)'!L$16:L$23),IF('内訳ﾘｽﾄ(4～3月)'!$D$5="部外間接1",-I$74,0))</f>
        <v>0.5</v>
      </c>
      <c r="J76" s="164">
        <f>IF('内訳ﾘｽﾄ(4～3月)'!$D$5="製造",SUMIF('内訳ﾘｽﾄ(4～3月)'!$D$16:$D$23,$B76,'内訳ﾘｽﾄ(4～3月)'!M$16:M$23),IF('内訳ﾘｽﾄ(4～3月)'!$D$5="部外間接1",-J$74,0))</f>
        <v>0.5</v>
      </c>
      <c r="K76" s="164">
        <f>IF('内訳ﾘｽﾄ(4～3月)'!$D$5="製造",SUMIF('内訳ﾘｽﾄ(4～3月)'!$D$16:$D$23,$B76,'内訳ﾘｽﾄ(4～3月)'!N$16:N$23),IF('内訳ﾘｽﾄ(4～3月)'!$D$5="部外間接1",-K$74,0))</f>
        <v>0.5</v>
      </c>
      <c r="L76" s="164">
        <f>IF('内訳ﾘｽﾄ(4～3月)'!$D$5="製造",SUMIF('内訳ﾘｽﾄ(4～3月)'!$D$16:$D$23,$B76,'内訳ﾘｽﾄ(4～3月)'!O$16:O$23),IF('内訳ﾘｽﾄ(4～3月)'!$D$5="部外間接1",-L$74,0))</f>
        <v>0.5</v>
      </c>
      <c r="M76" s="164">
        <f>IF('内訳ﾘｽﾄ(4～3月)'!$D$5="製造",SUMIF('内訳ﾘｽﾄ(4～3月)'!$D$16:$D$23,$B76,'内訳ﾘｽﾄ(4～3月)'!P$16:P$23),IF('内訳ﾘｽﾄ(4～3月)'!$D$5="部外間接1",-M$74,0))</f>
        <v>0.25</v>
      </c>
      <c r="N76" s="164">
        <f>IF('内訳ﾘｽﾄ(4～3月)'!$D$5="製造",SUMIF('内訳ﾘｽﾄ(4～3月)'!$D$16:$D$23,$B76,'内訳ﾘｽﾄ(4～3月)'!Q$16:Q$23),IF('内訳ﾘｽﾄ(4～3月)'!$D$5="部外間接1",-N$74,0))</f>
        <v>0.5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5.75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126</v>
      </c>
      <c r="C77" s="164">
        <f>IF('内訳ﾘｽﾄ(4～3月)'!$D$5="製造",SUMIF('内訳ﾘｽﾄ(4～3月)'!$D$16:$D$23,$B77,'内訳ﾘｽﾄ(4～3月)'!F$16:F$23),IF('内訳ﾘｽﾄ(4～3月)'!$D$5="部外間接2",-C$74,0))</f>
        <v>1.25</v>
      </c>
      <c r="D77" s="164">
        <f>IF('内訳ﾘｽﾄ(4～3月)'!$D$5="製造",SUMIF('内訳ﾘｽﾄ(4～3月)'!$D$16:$D$23,$B77,'内訳ﾘｽﾄ(4～3月)'!G$16:G$23),IF('内訳ﾘｽﾄ(4～3月)'!$D$5="部外間接2",-D$74,0))</f>
        <v>1</v>
      </c>
      <c r="E77" s="164">
        <f>IF('内訳ﾘｽﾄ(4～3月)'!$D$5="製造",SUMIF('内訳ﾘｽﾄ(4～3月)'!$D$16:$D$23,$B77,'内訳ﾘｽﾄ(4～3月)'!H$16:H$23),IF('内訳ﾘｽﾄ(4～3月)'!$D$5="部外間接2",-E$74,0))</f>
        <v>1.25</v>
      </c>
      <c r="F77" s="164">
        <f>IF('内訳ﾘｽﾄ(4～3月)'!$D$5="製造",SUMIF('内訳ﾘｽﾄ(4～3月)'!$D$16:$D$23,$B77,'内訳ﾘｽﾄ(4～3月)'!I$16:I$23),IF('内訳ﾘｽﾄ(4～3月)'!$D$5="部外間接2",-F$74,0))</f>
        <v>1.25</v>
      </c>
      <c r="G77" s="164">
        <f>IF('内訳ﾘｽﾄ(4～3月)'!$D$5="製造",SUMIF('内訳ﾘｽﾄ(4～3月)'!$D$16:$D$23,$B77,'内訳ﾘｽﾄ(4～3月)'!J$16:J$23),IF('内訳ﾘｽﾄ(4～3月)'!$D$5="部外間接2",-G$74,0))</f>
        <v>1.25</v>
      </c>
      <c r="H77" s="164">
        <f>IF('内訳ﾘｽﾄ(4～3月)'!$D$5="製造",SUMIF('内訳ﾘｽﾄ(4～3月)'!$D$16:$D$23,$B77,'内訳ﾘｽﾄ(4～3月)'!K$16:K$23),IF('内訳ﾘｽﾄ(4～3月)'!$D$5="部外間接2",-H$74,0))</f>
        <v>1</v>
      </c>
      <c r="I77" s="164">
        <f>IF('内訳ﾘｽﾄ(4～3月)'!$D$5="製造",SUMIF('内訳ﾘｽﾄ(4～3月)'!$D$16:$D$23,$B77,'内訳ﾘｽﾄ(4～3月)'!L$16:L$23),IF('内訳ﾘｽﾄ(4～3月)'!$D$5="部外間接2",-I$74,0))</f>
        <v>1.25</v>
      </c>
      <c r="J77" s="164">
        <f>IF('内訳ﾘｽﾄ(4～3月)'!$D$5="製造",SUMIF('内訳ﾘｽﾄ(4～3月)'!$D$16:$D$23,$B77,'内訳ﾘｽﾄ(4～3月)'!M$16:M$23),IF('内訳ﾘｽﾄ(4～3月)'!$D$5="部外間接2",-J$74,0))</f>
        <v>1.25</v>
      </c>
      <c r="K77" s="164">
        <f>IF('内訳ﾘｽﾄ(4～3月)'!$D$5="製造",SUMIF('内訳ﾘｽﾄ(4～3月)'!$D$16:$D$23,$B77,'内訳ﾘｽﾄ(4～3月)'!N$16:N$23),IF('内訳ﾘｽﾄ(4～3月)'!$D$5="部外間接2",-K$74,0))</f>
        <v>1.25</v>
      </c>
      <c r="L77" s="164">
        <f>IF('内訳ﾘｽﾄ(4～3月)'!$D$5="製造",SUMIF('内訳ﾘｽﾄ(4～3月)'!$D$16:$D$23,$B77,'内訳ﾘｽﾄ(4～3月)'!O$16:O$23),IF('内訳ﾘｽﾄ(4～3月)'!$D$5="部外間接2",-L$74,0))</f>
        <v>1.5</v>
      </c>
      <c r="M77" s="164">
        <f>IF('内訳ﾘｽﾄ(4～3月)'!$D$5="製造",SUMIF('内訳ﾘｽﾄ(4～3月)'!$D$16:$D$23,$B77,'内訳ﾘｽﾄ(4～3月)'!P$16:P$23),IF('内訳ﾘｽﾄ(4～3月)'!$D$5="部外間接2",-M$74,0))</f>
        <v>0.5</v>
      </c>
      <c r="N77" s="164">
        <f>IF('内訳ﾘｽﾄ(4～3月)'!$D$5="製造",SUMIF('内訳ﾘｽﾄ(4～3月)'!$D$16:$D$23,$B77,'内訳ﾘｽﾄ(4～3月)'!Q$16:Q$23),IF('内訳ﾘｽﾄ(4～3月)'!$D$5="部外間接2",-N$74,0))</f>
        <v>1.5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14.25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449</v>
      </c>
      <c r="C78" s="165">
        <f>IF('内訳ﾘｽﾄ(4～3月)'!$D$5="製造",SUMIF('内訳ﾘｽﾄ(4～3月)'!$D$16:$D$23,$B78,'内訳ﾘｽﾄ(4～3月)'!F$16:F$23),IF('内訳ﾘｽﾄ(4～3月)'!$D$5="工場間接",-C$74,0))</f>
        <v>3.25</v>
      </c>
      <c r="D78" s="165">
        <f>IF('内訳ﾘｽﾄ(4～3月)'!$D$5="製造",SUMIF('内訳ﾘｽﾄ(4～3月)'!$D$16:$D$23,$B78,'内訳ﾘｽﾄ(4～3月)'!G$16:G$23),IF('内訳ﾘｽﾄ(4～3月)'!$D$5="工場間接",-D$74,0))</f>
        <v>3.25</v>
      </c>
      <c r="E78" s="165">
        <f>IF('内訳ﾘｽﾄ(4～3月)'!$D$5="製造",SUMIF('内訳ﾘｽﾄ(4～3月)'!$D$16:$D$23,$B78,'内訳ﾘｽﾄ(4～3月)'!H$16:H$23),IF('内訳ﾘｽﾄ(4～3月)'!$D$5="工場間接",-E$74,0))</f>
        <v>2.75</v>
      </c>
      <c r="F78" s="165">
        <f>IF('内訳ﾘｽﾄ(4～3月)'!$D$5="製造",SUMIF('内訳ﾘｽﾄ(4～3月)'!$D$16:$D$23,$B78,'内訳ﾘｽﾄ(4～3月)'!I$16:I$23),IF('内訳ﾘｽﾄ(4～3月)'!$D$5="工場間接",-F$74,0))</f>
        <v>3</v>
      </c>
      <c r="G78" s="165">
        <f>IF('内訳ﾘｽﾄ(4～3月)'!$D$5="製造",SUMIF('内訳ﾘｽﾄ(4～3月)'!$D$16:$D$23,$B78,'内訳ﾘｽﾄ(4～3月)'!J$16:J$23),IF('内訳ﾘｽﾄ(4～3月)'!$D$5="工場間接",-G$74,0))</f>
        <v>2.75</v>
      </c>
      <c r="H78" s="165">
        <f>IF('内訳ﾘｽﾄ(4～3月)'!$D$5="製造",SUMIF('内訳ﾘｽﾄ(4～3月)'!$D$16:$D$23,$B78,'内訳ﾘｽﾄ(4～3月)'!K$16:K$23),IF('内訳ﾘｽﾄ(4～3月)'!$D$5="工場間接",-H$74,0))</f>
        <v>3.75</v>
      </c>
      <c r="I78" s="165">
        <f>IF('内訳ﾘｽﾄ(4～3月)'!$D$5="製造",SUMIF('内訳ﾘｽﾄ(4～3月)'!$D$16:$D$23,$B78,'内訳ﾘｽﾄ(4～3月)'!L$16:L$23),IF('内訳ﾘｽﾄ(4～3月)'!$D$5="工場間接",-I$74,0))</f>
        <v>3</v>
      </c>
      <c r="J78" s="165">
        <f>IF('内訳ﾘｽﾄ(4～3月)'!$D$5="製造",SUMIF('内訳ﾘｽﾄ(4～3月)'!$D$16:$D$23,$B78,'内訳ﾘｽﾄ(4～3月)'!M$16:M$23),IF('内訳ﾘｽﾄ(4～3月)'!$D$5="工場間接",-J$74,0))</f>
        <v>3</v>
      </c>
      <c r="K78" s="165">
        <f>IF('内訳ﾘｽﾄ(4～3月)'!$D$5="製造",SUMIF('内訳ﾘｽﾄ(4～3月)'!$D$16:$D$23,$B78,'内訳ﾘｽﾄ(4～3月)'!N$16:N$23),IF('内訳ﾘｽﾄ(4～3月)'!$D$5="工場間接",-K$74,0))</f>
        <v>3</v>
      </c>
      <c r="L78" s="165">
        <f>IF('内訳ﾘｽﾄ(4～3月)'!$D$5="製造",SUMIF('内訳ﾘｽﾄ(4～3月)'!$D$16:$D$23,$B78,'内訳ﾘｽﾄ(4～3月)'!O$16:O$23),IF('内訳ﾘｽﾄ(4～3月)'!$D$5="工場間接",-L$74,0))</f>
        <v>2.75</v>
      </c>
      <c r="M78" s="165">
        <f>IF('内訳ﾘｽﾄ(4～3月)'!$D$5="製造",SUMIF('内訳ﾘｽﾄ(4～3月)'!$D$16:$D$23,$B78,'内訳ﾘｽﾄ(4～3月)'!P$16:P$23),IF('内訳ﾘｽﾄ(4～3月)'!$D$5="工場間接",-M$74,0))</f>
        <v>3.75</v>
      </c>
      <c r="N78" s="165">
        <f>IF('内訳ﾘｽﾄ(4～3月)'!$D$5="製造",SUMIF('内訳ﾘｽﾄ(4～3月)'!$D$16:$D$23,$B78,'内訳ﾘｽﾄ(4～3月)'!Q$16:Q$23),IF('内訳ﾘｽﾄ(4～3月)'!$D$5="工場間接",-N$74,0))</f>
        <v>2.75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37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90</v>
      </c>
      <c r="C79" s="166">
        <f>SUM(C74:C78)</f>
        <v>145</v>
      </c>
      <c r="D79" s="166">
        <f t="shared" ref="D79:N79" si="7">SUM(D74:D78)</f>
        <v>142.75</v>
      </c>
      <c r="E79" s="166">
        <f t="shared" si="7"/>
        <v>146.5</v>
      </c>
      <c r="F79" s="166">
        <f t="shared" si="7"/>
        <v>150.75</v>
      </c>
      <c r="G79" s="166">
        <f t="shared" si="7"/>
        <v>144.5</v>
      </c>
      <c r="H79" s="166">
        <f t="shared" si="7"/>
        <v>143.25</v>
      </c>
      <c r="I79" s="166">
        <f t="shared" si="7"/>
        <v>150.75</v>
      </c>
      <c r="J79" s="166">
        <f t="shared" si="7"/>
        <v>144.75</v>
      </c>
      <c r="K79" s="166">
        <f t="shared" si="7"/>
        <v>148.75</v>
      </c>
      <c r="L79" s="166">
        <f t="shared" si="7"/>
        <v>134.75</v>
      </c>
      <c r="M79" s="166">
        <f t="shared" si="7"/>
        <v>134.5</v>
      </c>
      <c r="N79" s="166">
        <f t="shared" si="7"/>
        <v>144.75</v>
      </c>
      <c r="O79" s="166">
        <f>IF(ISBLANK(O10),"",SUM(O74:O78))</f>
        <v>1731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-33652</v>
      </c>
      <c r="D80" s="167">
        <f t="shared" ref="D80:N80" si="8">IFERROR(ROUNDDOWN(D66/D67,0),0)</f>
        <v>611776</v>
      </c>
      <c r="E80" s="167">
        <f t="shared" si="8"/>
        <v>423800</v>
      </c>
      <c r="F80" s="167">
        <f t="shared" si="8"/>
        <v>507237</v>
      </c>
      <c r="G80" s="167">
        <f t="shared" si="8"/>
        <v>564717</v>
      </c>
      <c r="H80" s="167">
        <f t="shared" si="8"/>
        <v>528141</v>
      </c>
      <c r="I80" s="167">
        <f t="shared" si="8"/>
        <v>386499</v>
      </c>
      <c r="J80" s="167">
        <f t="shared" si="8"/>
        <v>656066</v>
      </c>
      <c r="K80" s="167">
        <f t="shared" si="8"/>
        <v>503229</v>
      </c>
      <c r="L80" s="167">
        <f t="shared" si="8"/>
        <v>558664</v>
      </c>
      <c r="M80" s="167">
        <f t="shared" si="8"/>
        <v>662999</v>
      </c>
      <c r="N80" s="167">
        <f t="shared" si="8"/>
        <v>489021</v>
      </c>
      <c r="O80" s="167">
        <f>IFERROR(ROUNDDOWN(O66/O67,0),0)</f>
        <v>485856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666657</v>
      </c>
      <c r="E81" s="168">
        <f t="shared" si="9"/>
        <v>509474</v>
      </c>
      <c r="F81" s="168">
        <f t="shared" si="9"/>
        <v>540046</v>
      </c>
      <c r="G81" s="168">
        <f t="shared" si="9"/>
        <v>607085</v>
      </c>
      <c r="H81" s="168">
        <f t="shared" si="9"/>
        <v>612783</v>
      </c>
      <c r="I81" s="168">
        <f t="shared" si="9"/>
        <v>501005</v>
      </c>
      <c r="J81" s="168">
        <f t="shared" si="9"/>
        <v>680983</v>
      </c>
      <c r="K81" s="168">
        <f t="shared" si="9"/>
        <v>526104</v>
      </c>
      <c r="L81" s="168">
        <f t="shared" si="9"/>
        <v>601378</v>
      </c>
      <c r="M81" s="168">
        <f t="shared" si="9"/>
        <v>758358</v>
      </c>
      <c r="N81" s="168">
        <f t="shared" si="9"/>
        <v>564381</v>
      </c>
      <c r="O81" s="168">
        <f>IFERROR(ROUNDDOWN(O12/O67,0),0)</f>
        <v>544794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342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343</v>
      </c>
      <c r="C88" s="150">
        <f>SUMIF('内訳ﾘｽﾄ(4～3月)'!$D$24:$D$25,'採算表(VND)'!$B88,'内訳ﾘｽﾄ(4～3月)'!F$24:F$25)</f>
        <v>7</v>
      </c>
      <c r="D88" s="150">
        <f>SUMIF('内訳ﾘｽﾄ(4～3月)'!$D$24:$D$25,'採算表(VND)'!$B88,'内訳ﾘｽﾄ(4～3月)'!G$24:G$25)</f>
        <v>7</v>
      </c>
      <c r="E88" s="150">
        <f>SUMIF('内訳ﾘｽﾄ(4～3月)'!$D$24:$D$25,'採算表(VND)'!$B88,'内訳ﾘｽﾄ(4～3月)'!H$24:H$25)</f>
        <v>7</v>
      </c>
      <c r="F88" s="150">
        <f>SUMIF('内訳ﾘｽﾄ(4～3月)'!$D$24:$D$25,'採算表(VND)'!$B88,'内訳ﾘｽﾄ(4～3月)'!I$24:I$25)</f>
        <v>7</v>
      </c>
      <c r="G88" s="150">
        <f>SUMIF('内訳ﾘｽﾄ(4～3月)'!$D$24:$D$25,'採算表(VND)'!$B88,'内訳ﾘｽﾄ(4～3月)'!J$24:J$25)</f>
        <v>7</v>
      </c>
      <c r="H88" s="150">
        <f>SUMIF('内訳ﾘｽﾄ(4～3月)'!$D$24:$D$25,'採算表(VND)'!$B88,'内訳ﾘｽﾄ(4～3月)'!K$24:K$25)</f>
        <v>8</v>
      </c>
      <c r="I88" s="150">
        <f>SUMIF('内訳ﾘｽﾄ(4～3月)'!$D$24:$D$25,'採算表(VND)'!$B88,'内訳ﾘｽﾄ(4～3月)'!L$24:L$25)</f>
        <v>8</v>
      </c>
      <c r="J88" s="150">
        <f>SUMIF('内訳ﾘｽﾄ(4～3月)'!$D$24:$D$25,'採算表(VND)'!$B88,'内訳ﾘｽﾄ(4～3月)'!M$24:M$25)</f>
        <v>8</v>
      </c>
      <c r="K88" s="150">
        <f>SUMIF('内訳ﾘｽﾄ(4～3月)'!$D$24:$D$25,'採算表(VND)'!$B88,'内訳ﾘｽﾄ(4～3月)'!N$24:N$25)</f>
        <v>8</v>
      </c>
      <c r="L88" s="150">
        <f>SUMIF('内訳ﾘｽﾄ(4～3月)'!$D$24:$D$25,'採算表(VND)'!$B88,'内訳ﾘｽﾄ(4～3月)'!O$24:O$25)</f>
        <v>8</v>
      </c>
      <c r="M88" s="150">
        <f>SUMIF('内訳ﾘｽﾄ(4～3月)'!$D$24:$D$25,'採算表(VND)'!$B88,'内訳ﾘｽﾄ(4～3月)'!P$24:P$25)</f>
        <v>8</v>
      </c>
      <c r="N88" s="150">
        <f>SUMIF('内訳ﾘｽﾄ(4～3月)'!$D$24:$D$25,'採算表(VND)'!$B88,'内訳ﾘｽﾄ(4～3月)'!Q$24:Q$25)</f>
        <v>8</v>
      </c>
      <c r="O88" s="150">
        <f>SUMIF('内訳ﾘｽﾄ(4～3月)'!$D$24:$D$25,'採算表(VND)'!$B88,'内訳ﾘｽﾄ(4～3月)'!R$24:R$25)</f>
        <v>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8</v>
      </c>
      <c r="D89" s="151">
        <f t="shared" si="10"/>
        <v>8</v>
      </c>
      <c r="E89" s="151">
        <f t="shared" si="10"/>
        <v>8</v>
      </c>
      <c r="F89" s="151">
        <f t="shared" si="10"/>
        <v>8</v>
      </c>
      <c r="G89" s="151">
        <f t="shared" si="10"/>
        <v>8</v>
      </c>
      <c r="H89" s="151">
        <f t="shared" si="10"/>
        <v>9</v>
      </c>
      <c r="I89" s="151">
        <f t="shared" si="10"/>
        <v>9</v>
      </c>
      <c r="J89" s="151">
        <f t="shared" si="10"/>
        <v>9</v>
      </c>
      <c r="K89" s="151">
        <f t="shared" si="10"/>
        <v>9</v>
      </c>
      <c r="L89" s="151">
        <f t="shared" si="10"/>
        <v>9</v>
      </c>
      <c r="M89" s="151">
        <f t="shared" si="10"/>
        <v>9</v>
      </c>
      <c r="N89" s="151">
        <f t="shared" si="10"/>
        <v>9</v>
      </c>
      <c r="O89" s="151">
        <f>O87+O88</f>
        <v>9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323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178.5</v>
      </c>
      <c r="F92" s="161">
        <f>SUMIF('内訳ﾘｽﾄ(4～3月)'!$B$8:$B$15,$B92,'内訳ﾘｽﾄ(4～3月)'!I$8:I$15)</f>
        <v>195.5</v>
      </c>
      <c r="G92" s="161">
        <f>SUMIF('内訳ﾘｽﾄ(4～3月)'!$B$8:$B$15,$B92,'内訳ﾘｽﾄ(4～3月)'!J$8:J$15)</f>
        <v>170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195.5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127.5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2014.5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324</v>
      </c>
      <c r="C93" s="161">
        <f>SUMIF('内訳ﾘｽﾄ(4～3月)'!$B$8:$B$15,$B93,'内訳ﾘｽﾄ(4～3月)'!F$8:F$15)</f>
        <v>1156</v>
      </c>
      <c r="D93" s="161">
        <f>SUMIF('内訳ﾘｽﾄ(4～3月)'!$B$8:$B$15,$B93,'内訳ﾘｽﾄ(4～3月)'!G$8:G$15)</f>
        <v>1096.5</v>
      </c>
      <c r="E93" s="161">
        <f>SUMIF('内訳ﾘｽﾄ(4～3月)'!$B$8:$B$15,$B93,'内訳ﾘｽﾄ(4～3月)'!H$8:H$15)</f>
        <v>1215.5</v>
      </c>
      <c r="F93" s="161">
        <f>SUMIF('内訳ﾘｽﾄ(4～3月)'!$B$8:$B$15,$B93,'内訳ﾘｽﾄ(4～3月)'!I$8:I$15)</f>
        <v>1334.5</v>
      </c>
      <c r="G93" s="161">
        <f>SUMIF('内訳ﾘｽﾄ(4～3月)'!$B$8:$B$15,$B93,'内訳ﾘｽﾄ(4～3月)'!J$8:J$15)</f>
        <v>1156</v>
      </c>
      <c r="H93" s="161">
        <f>SUMIF('内訳ﾘｽﾄ(4～3月)'!$B$8:$B$15,$B93,'内訳ﾘｽﾄ(4～3月)'!K$8:K$15)</f>
        <v>1258</v>
      </c>
      <c r="I93" s="161">
        <f>SUMIF('内訳ﾘｽﾄ(4～3月)'!$B$8:$B$15,$B93,'内訳ﾘｽﾄ(4～3月)'!L$8:L$15)</f>
        <v>1530</v>
      </c>
      <c r="J93" s="161">
        <f>SUMIF('内訳ﾘｽﾄ(4～3月)'!$B$8:$B$15,$B93,'内訳ﾘｽﾄ(4～3月)'!M$8:M$15)</f>
        <v>1326</v>
      </c>
      <c r="K93" s="161">
        <f>SUMIF('内訳ﾘｽﾄ(4～3月)'!$B$8:$B$15,$B93,'内訳ﾘｽﾄ(4～3月)'!N$8:N$15)</f>
        <v>1462</v>
      </c>
      <c r="L93" s="161">
        <f>SUMIF('内訳ﾘｽﾄ(4～3月)'!$B$8:$B$15,$B93,'内訳ﾘｽﾄ(4～3月)'!O$8:O$15)</f>
        <v>1326</v>
      </c>
      <c r="M93" s="161">
        <f>SUMIF('内訳ﾘｽﾄ(4～3月)'!$B$8:$B$15,$B93,'内訳ﾘｽﾄ(4～3月)'!P$8:P$15)</f>
        <v>986</v>
      </c>
      <c r="N93" s="161">
        <f>SUMIF('内訳ﾘｽﾄ(4～3月)'!$B$8:$B$15,$B93,'内訳ﾘｽﾄ(4～3月)'!Q$8:Q$15)</f>
        <v>1326</v>
      </c>
      <c r="O93" s="161">
        <f>SUMIF('内訳ﾘｽﾄ(4～3月)'!$B$8:$B$15,$B93,'内訳ﾘｽﾄ(4～3月)'!R$8:R$15)</f>
        <v>15172.5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1326</v>
      </c>
      <c r="D94" s="169">
        <f t="shared" si="11"/>
        <v>1258</v>
      </c>
      <c r="E94" s="169">
        <f t="shared" si="11"/>
        <v>1394</v>
      </c>
      <c r="F94" s="169">
        <f t="shared" si="11"/>
        <v>1530</v>
      </c>
      <c r="G94" s="169">
        <f t="shared" si="11"/>
        <v>1326</v>
      </c>
      <c r="H94" s="169">
        <f t="shared" si="11"/>
        <v>1419.5</v>
      </c>
      <c r="I94" s="169">
        <f t="shared" si="11"/>
        <v>1725.5</v>
      </c>
      <c r="J94" s="169">
        <f t="shared" si="11"/>
        <v>1496</v>
      </c>
      <c r="K94" s="169">
        <f t="shared" si="11"/>
        <v>1649</v>
      </c>
      <c r="L94" s="169">
        <f t="shared" si="11"/>
        <v>1453.5</v>
      </c>
      <c r="M94" s="169">
        <f t="shared" si="11"/>
        <v>1113.5</v>
      </c>
      <c r="N94" s="169">
        <f t="shared" si="11"/>
        <v>1496</v>
      </c>
      <c r="O94" s="169">
        <f>O92+O93</f>
        <v>17187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325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42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40</v>
      </c>
      <c r="H97" s="161">
        <f>SUMIF('内訳ﾘｽﾄ(4～3月)'!$B$16:$B$23,$B97,'内訳ﾘｽﾄ(4～3月)'!K$16:K$23)</f>
        <v>38</v>
      </c>
      <c r="I97" s="161">
        <f>SUMIF('内訳ﾘｽﾄ(4～3月)'!$B$16:$B$23,$B97,'内訳ﾘｽﾄ(4～3月)'!L$16:L$23)</f>
        <v>46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30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474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326</v>
      </c>
      <c r="C98" s="161">
        <f>SUMIF('内訳ﾘｽﾄ(4～3月)'!$B$16:$B$23,$B98,'内訳ﾘｽﾄ(4～3月)'!F$16:F$23)</f>
        <v>100</v>
      </c>
      <c r="D98" s="161">
        <f>SUMIF('内訳ﾘｽﾄ(4～3月)'!$B$16:$B$23,$B98,'内訳ﾘｽﾄ(4～3月)'!G$16:G$23)</f>
        <v>100</v>
      </c>
      <c r="E98" s="161">
        <f>SUMIF('内訳ﾘｽﾄ(4～3月)'!$B$16:$B$23,$B98,'内訳ﾘｽﾄ(4～3月)'!H$16:H$23)</f>
        <v>100</v>
      </c>
      <c r="F98" s="161">
        <f>SUMIF('内訳ﾘｽﾄ(4～3月)'!$B$16:$B$23,$B98,'内訳ﾘｽﾄ(4～3月)'!I$16:I$23)</f>
        <v>100</v>
      </c>
      <c r="G98" s="161">
        <f>SUMIF('内訳ﾘｽﾄ(4～3月)'!$B$16:$B$23,$B98,'内訳ﾘｽﾄ(4～3月)'!J$16:J$23)</f>
        <v>100</v>
      </c>
      <c r="H98" s="161">
        <f>SUMIF('内訳ﾘｽﾄ(4～3月)'!$B$16:$B$23,$B98,'内訳ﾘｽﾄ(4～3月)'!K$16:K$23)</f>
        <v>100</v>
      </c>
      <c r="I98" s="161">
        <f>SUMIF('内訳ﾘｽﾄ(4～3月)'!$B$16:$B$23,$B98,'内訳ﾘｽﾄ(4～3月)'!L$16:L$23)</f>
        <v>100</v>
      </c>
      <c r="J98" s="161">
        <f>SUMIF('内訳ﾘｽﾄ(4～3月)'!$B$16:$B$23,$B98,'内訳ﾘｽﾄ(4～3月)'!M$16:M$23)</f>
        <v>100</v>
      </c>
      <c r="K98" s="161">
        <f>SUMIF('内訳ﾘｽﾄ(4～3月)'!$B$16:$B$23,$B98,'内訳ﾘｽﾄ(4～3月)'!N$16:N$23)</f>
        <v>100</v>
      </c>
      <c r="L98" s="161">
        <f>SUMIF('内訳ﾘｽﾄ(4～3月)'!$B$16:$B$23,$B98,'内訳ﾘｽﾄ(4～3月)'!O$16:O$23)</f>
        <v>100</v>
      </c>
      <c r="M98" s="161">
        <f>SUMIF('内訳ﾘｽﾄ(4～3月)'!$B$16:$B$23,$B98,'内訳ﾘｽﾄ(4～3月)'!P$16:P$23)</f>
        <v>100</v>
      </c>
      <c r="N98" s="161">
        <f>SUMIF('内訳ﾘｽﾄ(4～3月)'!$B$16:$B$23,$B98,'内訳ﾘｽﾄ(4～3月)'!Q$16:Q$23)</f>
        <v>100</v>
      </c>
      <c r="O98" s="161">
        <f>SUMIF('内訳ﾘｽﾄ(4～3月)'!$B$16:$B$23,$B98,'内訳ﾘｽﾄ(4～3月)'!R$16:R$23)</f>
        <v>1200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140</v>
      </c>
      <c r="D99" s="169">
        <f t="shared" si="12"/>
        <v>138</v>
      </c>
      <c r="E99" s="169">
        <f t="shared" si="12"/>
        <v>142</v>
      </c>
      <c r="F99" s="169">
        <f t="shared" si="12"/>
        <v>146</v>
      </c>
      <c r="G99" s="169">
        <f t="shared" si="12"/>
        <v>140</v>
      </c>
      <c r="H99" s="169">
        <f t="shared" si="12"/>
        <v>138</v>
      </c>
      <c r="I99" s="169">
        <f t="shared" si="12"/>
        <v>146</v>
      </c>
      <c r="J99" s="169">
        <f t="shared" si="12"/>
        <v>140</v>
      </c>
      <c r="K99" s="169">
        <f t="shared" si="12"/>
        <v>144</v>
      </c>
      <c r="L99" s="169">
        <f t="shared" si="12"/>
        <v>130</v>
      </c>
      <c r="M99" s="169">
        <f t="shared" si="12"/>
        <v>130</v>
      </c>
      <c r="N99" s="169">
        <f t="shared" si="12"/>
        <v>140</v>
      </c>
      <c r="O99" s="169">
        <f>O97+O98</f>
        <v>1674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0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31" sqref="D31:D34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8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47" t="s">
        <v>672</v>
      </c>
      <c r="B1" s="248"/>
      <c r="C1" s="249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43" t="s">
        <v>91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1" t="s">
        <v>578</v>
      </c>
      <c r="F3" s="267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67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67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67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67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67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67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67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67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67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67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67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579</v>
      </c>
      <c r="C4" s="12" t="s">
        <v>38</v>
      </c>
      <c r="D4" s="12" t="s">
        <v>81</v>
      </c>
      <c r="E4" s="12" t="s">
        <v>82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580</v>
      </c>
      <c r="S4" s="244" t="s">
        <v>589</v>
      </c>
      <c r="T4" s="102"/>
    </row>
    <row r="5" spans="1:55" ht="14.25" thickBot="1">
      <c r="B5" s="174">
        <v>1412000101</v>
      </c>
      <c r="C5" s="7" t="str">
        <f>VLOOKUP($B$5,原価センタ!$A:$E,2,0)</f>
        <v>EI2課</v>
      </c>
      <c r="D5" s="62" t="str">
        <f>VLOOKUP($B$5,原価センタ!$A:$E,4,0)</f>
        <v>製造</v>
      </c>
      <c r="E5" s="62" t="str">
        <f>VLOOKUP($B$5,原価センタ!$A:$E,5,0)</f>
        <v>製造</v>
      </c>
      <c r="F5" s="245">
        <f t="shared" ref="F5:R5" si="0">SUM(F29:F1000)</f>
        <v>52076543</v>
      </c>
      <c r="G5" s="245">
        <f t="shared" si="0"/>
        <v>81031255</v>
      </c>
      <c r="H5" s="245">
        <f t="shared" si="0"/>
        <v>138985384</v>
      </c>
      <c r="I5" s="245">
        <f t="shared" si="0"/>
        <v>58046167</v>
      </c>
      <c r="J5" s="245">
        <f t="shared" si="0"/>
        <v>65649208</v>
      </c>
      <c r="K5" s="245">
        <f t="shared" si="0"/>
        <v>138559879</v>
      </c>
      <c r="L5" s="245">
        <f t="shared" si="0"/>
        <v>225089418</v>
      </c>
      <c r="M5" s="245">
        <f t="shared" si="0"/>
        <v>42889147</v>
      </c>
      <c r="N5" s="245">
        <f t="shared" si="0"/>
        <v>43119864</v>
      </c>
      <c r="O5" s="245">
        <f t="shared" si="0"/>
        <v>71343003</v>
      </c>
      <c r="P5" s="245">
        <f t="shared" si="0"/>
        <v>124872199</v>
      </c>
      <c r="Q5" s="245">
        <f t="shared" si="0"/>
        <v>129826761</v>
      </c>
      <c r="R5" s="246">
        <f t="shared" si="0"/>
        <v>1171488828</v>
      </c>
      <c r="S5" s="244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83</v>
      </c>
      <c r="D7" s="15" t="s">
        <v>124</v>
      </c>
      <c r="E7" s="13" t="s">
        <v>39</v>
      </c>
      <c r="F7" s="88" t="s">
        <v>153</v>
      </c>
      <c r="G7" s="89" t="s">
        <v>152</v>
      </c>
      <c r="H7" s="89" t="s">
        <v>152</v>
      </c>
      <c r="I7" s="89" t="s">
        <v>152</v>
      </c>
      <c r="J7" s="89" t="s">
        <v>152</v>
      </c>
      <c r="K7" s="89" t="s">
        <v>152</v>
      </c>
      <c r="L7" s="89" t="s">
        <v>152</v>
      </c>
      <c r="M7" s="89" t="s">
        <v>152</v>
      </c>
      <c r="N7" s="89" t="s">
        <v>152</v>
      </c>
      <c r="O7" s="89" t="s">
        <v>152</v>
      </c>
      <c r="P7" s="89" t="s">
        <v>152</v>
      </c>
      <c r="Q7" s="90" t="s">
        <v>152</v>
      </c>
      <c r="R7" s="14" t="s">
        <v>152</v>
      </c>
      <c r="S7" s="12" t="s">
        <v>641</v>
      </c>
      <c r="T7" s="12" t="s">
        <v>416</v>
      </c>
      <c r="U7" s="79"/>
      <c r="V7" s="79"/>
      <c r="W7" s="79"/>
      <c r="BA7"/>
      <c r="BB7"/>
      <c r="BC7" s="10" t="s">
        <v>416</v>
      </c>
    </row>
    <row r="8" spans="1:55" s="190" customFormat="1" ht="14.25">
      <c r="A8" s="182"/>
      <c r="B8" s="252" t="s">
        <v>323</v>
      </c>
      <c r="C8" s="183" t="s">
        <v>333</v>
      </c>
      <c r="D8" s="184" t="s">
        <v>85</v>
      </c>
      <c r="E8" s="185"/>
      <c r="F8" s="186">
        <v>170</v>
      </c>
      <c r="G8" s="186">
        <v>161.5</v>
      </c>
      <c r="H8" s="186">
        <v>178.5</v>
      </c>
      <c r="I8" s="186">
        <v>195.5</v>
      </c>
      <c r="J8" s="186">
        <v>170</v>
      </c>
      <c r="K8" s="186">
        <v>161.5</v>
      </c>
      <c r="L8" s="186">
        <v>195.5</v>
      </c>
      <c r="M8" s="186">
        <v>170</v>
      </c>
      <c r="N8" s="186">
        <v>187</v>
      </c>
      <c r="O8" s="186">
        <v>127.5</v>
      </c>
      <c r="P8" s="186">
        <v>127.5</v>
      </c>
      <c r="Q8" s="186">
        <v>170</v>
      </c>
      <c r="R8" s="187">
        <f>SUM(F8:Q8)</f>
        <v>2014.5</v>
      </c>
      <c r="S8" s="292"/>
      <c r="T8" s="188"/>
      <c r="U8" s="189"/>
      <c r="V8" s="189"/>
      <c r="W8" s="189"/>
      <c r="BA8"/>
      <c r="BB8"/>
    </row>
    <row r="9" spans="1:55" s="190" customFormat="1" ht="14.25">
      <c r="A9" s="182"/>
      <c r="B9" s="253" t="s">
        <v>324</v>
      </c>
      <c r="C9" s="183" t="s">
        <v>334</v>
      </c>
      <c r="D9" s="191" t="s">
        <v>85</v>
      </c>
      <c r="E9" s="192"/>
      <c r="F9" s="193">
        <v>1156</v>
      </c>
      <c r="G9" s="193">
        <v>1096.5</v>
      </c>
      <c r="H9" s="193">
        <v>1215.5</v>
      </c>
      <c r="I9" s="193">
        <v>1334.5</v>
      </c>
      <c r="J9" s="193">
        <v>1156</v>
      </c>
      <c r="K9" s="193">
        <v>1258</v>
      </c>
      <c r="L9" s="193">
        <v>1530</v>
      </c>
      <c r="M9" s="193">
        <v>1326</v>
      </c>
      <c r="N9" s="193">
        <v>1462</v>
      </c>
      <c r="O9" s="193">
        <v>1326</v>
      </c>
      <c r="P9" s="193">
        <v>986</v>
      </c>
      <c r="Q9" s="193">
        <v>1326</v>
      </c>
      <c r="R9" s="194">
        <f t="shared" ref="R9:R23" si="1">SUM(F9:Q9)</f>
        <v>15172.5</v>
      </c>
      <c r="S9" s="293"/>
      <c r="T9" s="195"/>
      <c r="U9" s="189"/>
      <c r="V9" s="189"/>
      <c r="W9" s="189"/>
      <c r="BA9"/>
      <c r="BB9"/>
    </row>
    <row r="10" spans="1:55" s="190" customFormat="1" ht="14.25">
      <c r="A10" s="182"/>
      <c r="B10" s="254" t="s">
        <v>323</v>
      </c>
      <c r="C10" s="183" t="s">
        <v>335</v>
      </c>
      <c r="D10" s="196" t="s">
        <v>85</v>
      </c>
      <c r="E10" s="197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8">
        <f t="shared" si="1"/>
        <v>0</v>
      </c>
      <c r="S10" s="294"/>
      <c r="T10" s="200"/>
      <c r="U10" s="189"/>
      <c r="V10" s="189"/>
      <c r="W10" s="189"/>
      <c r="BA10"/>
      <c r="BB10"/>
    </row>
    <row r="11" spans="1:55" s="205" customFormat="1" ht="14.25">
      <c r="A11" s="201"/>
      <c r="B11" s="255" t="s">
        <v>324</v>
      </c>
      <c r="C11" s="183" t="s">
        <v>336</v>
      </c>
      <c r="D11" s="196" t="s">
        <v>85</v>
      </c>
      <c r="E11" s="202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3">
        <f t="shared" si="1"/>
        <v>0</v>
      </c>
      <c r="S11" s="295"/>
      <c r="T11" s="204"/>
      <c r="U11" s="189"/>
      <c r="V11" s="189"/>
      <c r="W11" s="189"/>
      <c r="BA11"/>
      <c r="BB11"/>
    </row>
    <row r="12" spans="1:55" s="205" customFormat="1" ht="14.25">
      <c r="A12" s="201"/>
      <c r="B12" s="254"/>
      <c r="C12" s="206" t="s">
        <v>450</v>
      </c>
      <c r="D12" s="207" t="s">
        <v>451</v>
      </c>
      <c r="E12" s="208"/>
      <c r="F12" s="209">
        <v>0</v>
      </c>
      <c r="G12" s="209">
        <v>0</v>
      </c>
      <c r="H12" s="209">
        <v>0</v>
      </c>
      <c r="I12" s="209">
        <v>0</v>
      </c>
      <c r="J12" s="209">
        <v>0</v>
      </c>
      <c r="K12" s="209">
        <v>0</v>
      </c>
      <c r="L12" s="209">
        <v>0</v>
      </c>
      <c r="M12" s="209">
        <v>0</v>
      </c>
      <c r="N12" s="209">
        <v>0</v>
      </c>
      <c r="O12" s="209">
        <v>0</v>
      </c>
      <c r="P12" s="209">
        <v>0</v>
      </c>
      <c r="Q12" s="209">
        <v>0</v>
      </c>
      <c r="R12" s="210">
        <f t="shared" si="1"/>
        <v>0</v>
      </c>
      <c r="S12" s="296" t="s">
        <v>691</v>
      </c>
      <c r="T12" s="204"/>
      <c r="U12" s="189"/>
      <c r="V12" s="189"/>
      <c r="W12" s="189"/>
      <c r="BA12"/>
      <c r="BB12"/>
    </row>
    <row r="13" spans="1:55" s="205" customFormat="1" ht="14.25">
      <c r="A13" s="201"/>
      <c r="B13" s="254"/>
      <c r="C13" s="206" t="s">
        <v>452</v>
      </c>
      <c r="D13" s="207" t="s">
        <v>453</v>
      </c>
      <c r="E13" s="208"/>
      <c r="F13" s="209">
        <v>6.75</v>
      </c>
      <c r="G13" s="209">
        <v>7</v>
      </c>
      <c r="H13" s="209">
        <v>7.75</v>
      </c>
      <c r="I13" s="209">
        <v>8.25</v>
      </c>
      <c r="J13" s="209">
        <v>7</v>
      </c>
      <c r="K13" s="209">
        <v>6.5</v>
      </c>
      <c r="L13" s="209">
        <v>8.25</v>
      </c>
      <c r="M13" s="209">
        <v>7.25</v>
      </c>
      <c r="N13" s="209">
        <v>8</v>
      </c>
      <c r="O13" s="209">
        <v>7.5</v>
      </c>
      <c r="P13" s="209">
        <v>5.5</v>
      </c>
      <c r="Q13" s="209">
        <v>7.5</v>
      </c>
      <c r="R13" s="210">
        <f t="shared" si="1"/>
        <v>87.25</v>
      </c>
      <c r="S13" s="296" t="s">
        <v>691</v>
      </c>
      <c r="T13" s="204"/>
      <c r="U13" s="189"/>
      <c r="V13" s="189"/>
      <c r="W13" s="189"/>
      <c r="BA13"/>
      <c r="BB13"/>
    </row>
    <row r="14" spans="1:55" s="205" customFormat="1" ht="14.25">
      <c r="A14" s="201"/>
      <c r="B14" s="255"/>
      <c r="C14" s="206" t="s">
        <v>454</v>
      </c>
      <c r="D14" s="207" t="s">
        <v>455</v>
      </c>
      <c r="E14" s="208"/>
      <c r="F14" s="209">
        <v>12.75</v>
      </c>
      <c r="G14" s="209">
        <v>12.25</v>
      </c>
      <c r="H14" s="209">
        <v>14</v>
      </c>
      <c r="I14" s="209">
        <v>15.5</v>
      </c>
      <c r="J14" s="209">
        <v>13</v>
      </c>
      <c r="K14" s="209">
        <v>13</v>
      </c>
      <c r="L14" s="209">
        <v>16.25</v>
      </c>
      <c r="M14" s="209">
        <v>14</v>
      </c>
      <c r="N14" s="209">
        <v>15.5</v>
      </c>
      <c r="O14" s="209">
        <v>14.25</v>
      </c>
      <c r="P14" s="209">
        <v>10.75</v>
      </c>
      <c r="Q14" s="209">
        <v>14</v>
      </c>
      <c r="R14" s="210">
        <f t="shared" si="1"/>
        <v>165.25</v>
      </c>
      <c r="S14" s="296" t="s">
        <v>691</v>
      </c>
      <c r="T14" s="204"/>
      <c r="U14" s="189"/>
      <c r="V14" s="189"/>
      <c r="W14" s="189"/>
      <c r="BA14"/>
      <c r="BB14"/>
    </row>
    <row r="15" spans="1:55" s="205" customFormat="1" ht="14.25">
      <c r="A15" s="201"/>
      <c r="B15" s="255"/>
      <c r="C15" s="206" t="s">
        <v>456</v>
      </c>
      <c r="D15" s="207" t="s">
        <v>449</v>
      </c>
      <c r="E15" s="208"/>
      <c r="F15" s="209">
        <v>57</v>
      </c>
      <c r="G15" s="209">
        <v>56.5</v>
      </c>
      <c r="H15" s="209">
        <v>60</v>
      </c>
      <c r="I15" s="209">
        <v>64.75</v>
      </c>
      <c r="J15" s="209">
        <v>59</v>
      </c>
      <c r="K15" s="209">
        <v>54.75</v>
      </c>
      <c r="L15" s="209">
        <v>65</v>
      </c>
      <c r="M15" s="209">
        <v>59.25</v>
      </c>
      <c r="N15" s="209">
        <v>63.75</v>
      </c>
      <c r="O15" s="209">
        <v>60.25</v>
      </c>
      <c r="P15" s="209">
        <v>45.25</v>
      </c>
      <c r="Q15" s="209">
        <v>60.5</v>
      </c>
      <c r="R15" s="210">
        <f t="shared" si="1"/>
        <v>706</v>
      </c>
      <c r="S15" s="296" t="s">
        <v>691</v>
      </c>
      <c r="T15" s="204"/>
      <c r="U15" s="189"/>
      <c r="V15" s="189"/>
      <c r="W15" s="189"/>
      <c r="BA15"/>
      <c r="BB15"/>
    </row>
    <row r="16" spans="1:55" s="205" customFormat="1" ht="14.25">
      <c r="A16" s="201"/>
      <c r="B16" s="256" t="s">
        <v>325</v>
      </c>
      <c r="C16" s="183" t="s">
        <v>337</v>
      </c>
      <c r="D16" s="211" t="s">
        <v>85</v>
      </c>
      <c r="E16" s="202"/>
      <c r="F16" s="193">
        <v>40</v>
      </c>
      <c r="G16" s="193">
        <v>38</v>
      </c>
      <c r="H16" s="193">
        <v>42</v>
      </c>
      <c r="I16" s="193">
        <v>46</v>
      </c>
      <c r="J16" s="193">
        <v>40</v>
      </c>
      <c r="K16" s="193">
        <v>38</v>
      </c>
      <c r="L16" s="193">
        <v>46</v>
      </c>
      <c r="M16" s="193">
        <v>40</v>
      </c>
      <c r="N16" s="193">
        <v>44</v>
      </c>
      <c r="O16" s="193">
        <v>30</v>
      </c>
      <c r="P16" s="193">
        <v>30</v>
      </c>
      <c r="Q16" s="193">
        <v>40</v>
      </c>
      <c r="R16" s="203">
        <f t="shared" si="1"/>
        <v>474</v>
      </c>
      <c r="S16" s="295"/>
      <c r="T16" s="204"/>
      <c r="U16" s="189"/>
      <c r="V16" s="189"/>
      <c r="W16" s="189"/>
      <c r="BA16"/>
      <c r="BB16"/>
    </row>
    <row r="17" spans="1:54" s="190" customFormat="1" ht="14.25">
      <c r="A17" s="182"/>
      <c r="B17" s="256" t="s">
        <v>326</v>
      </c>
      <c r="C17" s="183" t="s">
        <v>338</v>
      </c>
      <c r="D17" s="211" t="s">
        <v>85</v>
      </c>
      <c r="E17" s="202"/>
      <c r="F17" s="193">
        <v>100</v>
      </c>
      <c r="G17" s="193">
        <v>100</v>
      </c>
      <c r="H17" s="193">
        <v>100</v>
      </c>
      <c r="I17" s="193">
        <v>100</v>
      </c>
      <c r="J17" s="193">
        <v>100</v>
      </c>
      <c r="K17" s="193">
        <v>100</v>
      </c>
      <c r="L17" s="193">
        <v>100</v>
      </c>
      <c r="M17" s="193">
        <v>100</v>
      </c>
      <c r="N17" s="193">
        <v>100</v>
      </c>
      <c r="O17" s="193">
        <v>100</v>
      </c>
      <c r="P17" s="193">
        <v>100</v>
      </c>
      <c r="Q17" s="193">
        <v>100</v>
      </c>
      <c r="R17" s="203">
        <f t="shared" si="1"/>
        <v>1200</v>
      </c>
      <c r="S17" s="295" t="str">
        <f>$R$362&amp;S362</f>
        <v>0</v>
      </c>
      <c r="T17" s="204"/>
      <c r="U17" s="189"/>
      <c r="V17" s="189"/>
      <c r="W17" s="189"/>
      <c r="BA17"/>
      <c r="BB17"/>
    </row>
    <row r="18" spans="1:54" s="190" customFormat="1" ht="14.25">
      <c r="A18" s="182"/>
      <c r="B18" s="254" t="s">
        <v>325</v>
      </c>
      <c r="C18" s="183" t="s">
        <v>339</v>
      </c>
      <c r="D18" s="196" t="s">
        <v>85</v>
      </c>
      <c r="E18" s="197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8">
        <f t="shared" si="1"/>
        <v>0</v>
      </c>
      <c r="S18" s="294"/>
      <c r="T18" s="200"/>
      <c r="U18" s="189"/>
      <c r="V18" s="189"/>
      <c r="W18" s="189"/>
      <c r="BA18"/>
      <c r="BB18"/>
    </row>
    <row r="19" spans="1:54" s="205" customFormat="1" ht="14.25">
      <c r="A19" s="201"/>
      <c r="B19" s="255" t="s">
        <v>326</v>
      </c>
      <c r="C19" s="183" t="s">
        <v>340</v>
      </c>
      <c r="D19" s="196" t="s">
        <v>85</v>
      </c>
      <c r="E19" s="20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>
        <f t="shared" si="1"/>
        <v>0</v>
      </c>
      <c r="S19" s="295"/>
      <c r="T19" s="204"/>
      <c r="U19" s="189"/>
      <c r="V19" s="189"/>
      <c r="W19" s="189"/>
      <c r="BA19"/>
      <c r="BB19"/>
    </row>
    <row r="20" spans="1:54" s="205" customFormat="1" ht="14.25">
      <c r="A20" s="201"/>
      <c r="B20" s="255"/>
      <c r="C20" s="206" t="s">
        <v>457</v>
      </c>
      <c r="D20" s="207" t="s">
        <v>451</v>
      </c>
      <c r="E20" s="208"/>
      <c r="F20" s="209">
        <v>0</v>
      </c>
      <c r="G20" s="209">
        <v>0</v>
      </c>
      <c r="H20" s="209">
        <v>0</v>
      </c>
      <c r="I20" s="209">
        <v>0</v>
      </c>
      <c r="J20" s="209">
        <v>0</v>
      </c>
      <c r="K20" s="209">
        <v>0</v>
      </c>
      <c r="L20" s="209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v>0</v>
      </c>
      <c r="R20" s="210">
        <f t="shared" si="1"/>
        <v>0</v>
      </c>
      <c r="S20" s="296" t="s">
        <v>691</v>
      </c>
      <c r="T20" s="204"/>
      <c r="U20" s="189"/>
      <c r="V20" s="189"/>
      <c r="W20" s="189"/>
      <c r="BA20"/>
      <c r="BB20"/>
    </row>
    <row r="21" spans="1:54" s="205" customFormat="1" ht="14.25">
      <c r="A21" s="201"/>
      <c r="B21" s="255"/>
      <c r="C21" s="206" t="s">
        <v>341</v>
      </c>
      <c r="D21" s="207" t="s">
        <v>453</v>
      </c>
      <c r="E21" s="208"/>
      <c r="F21" s="209">
        <v>0.5</v>
      </c>
      <c r="G21" s="209">
        <v>0.5</v>
      </c>
      <c r="H21" s="209">
        <v>0.5</v>
      </c>
      <c r="I21" s="209">
        <v>0.5</v>
      </c>
      <c r="J21" s="209">
        <v>0.5</v>
      </c>
      <c r="K21" s="209">
        <v>0.5</v>
      </c>
      <c r="L21" s="209">
        <v>0.5</v>
      </c>
      <c r="M21" s="209">
        <v>0.5</v>
      </c>
      <c r="N21" s="209">
        <v>0.5</v>
      </c>
      <c r="O21" s="209">
        <v>0.5</v>
      </c>
      <c r="P21" s="209">
        <v>0.25</v>
      </c>
      <c r="Q21" s="209">
        <v>0.5</v>
      </c>
      <c r="R21" s="210">
        <f t="shared" si="1"/>
        <v>5.75</v>
      </c>
      <c r="S21" s="296" t="s">
        <v>691</v>
      </c>
      <c r="T21" s="204"/>
      <c r="U21" s="189"/>
      <c r="V21" s="189"/>
      <c r="W21" s="189"/>
      <c r="BA21"/>
      <c r="BB21"/>
    </row>
    <row r="22" spans="1:54" s="205" customFormat="1" ht="14.25">
      <c r="A22" s="201"/>
      <c r="B22" s="255"/>
      <c r="C22" s="206" t="s">
        <v>458</v>
      </c>
      <c r="D22" s="207" t="s">
        <v>455</v>
      </c>
      <c r="E22" s="208"/>
      <c r="F22" s="209">
        <v>1.25</v>
      </c>
      <c r="G22" s="209">
        <v>1</v>
      </c>
      <c r="H22" s="209">
        <v>1.25</v>
      </c>
      <c r="I22" s="209">
        <v>1.25</v>
      </c>
      <c r="J22" s="209">
        <v>1.25</v>
      </c>
      <c r="K22" s="209">
        <v>1</v>
      </c>
      <c r="L22" s="209">
        <v>1.25</v>
      </c>
      <c r="M22" s="209">
        <v>1.25</v>
      </c>
      <c r="N22" s="209">
        <v>1.25</v>
      </c>
      <c r="O22" s="209">
        <v>1.5</v>
      </c>
      <c r="P22" s="209">
        <v>0.5</v>
      </c>
      <c r="Q22" s="209">
        <v>1.5</v>
      </c>
      <c r="R22" s="210">
        <f t="shared" si="1"/>
        <v>14.25</v>
      </c>
      <c r="S22" s="296" t="s">
        <v>691</v>
      </c>
      <c r="T22" s="204"/>
      <c r="U22" s="189"/>
      <c r="V22" s="189"/>
      <c r="W22" s="189"/>
      <c r="BA22"/>
      <c r="BB22"/>
    </row>
    <row r="23" spans="1:54" s="205" customFormat="1" ht="14.25">
      <c r="A23" s="201"/>
      <c r="B23" s="255"/>
      <c r="C23" s="206" t="s">
        <v>459</v>
      </c>
      <c r="D23" s="207" t="s">
        <v>449</v>
      </c>
      <c r="E23" s="208"/>
      <c r="F23" s="209">
        <v>3.25</v>
      </c>
      <c r="G23" s="209">
        <v>3.25</v>
      </c>
      <c r="H23" s="209">
        <v>2.75</v>
      </c>
      <c r="I23" s="209">
        <v>3</v>
      </c>
      <c r="J23" s="209">
        <v>2.75</v>
      </c>
      <c r="K23" s="209">
        <v>3.75</v>
      </c>
      <c r="L23" s="209">
        <v>3</v>
      </c>
      <c r="M23" s="209">
        <v>3</v>
      </c>
      <c r="N23" s="209">
        <v>3</v>
      </c>
      <c r="O23" s="209">
        <v>2.75</v>
      </c>
      <c r="P23" s="209">
        <v>3.75</v>
      </c>
      <c r="Q23" s="209">
        <v>2.75</v>
      </c>
      <c r="R23" s="210">
        <f t="shared" si="1"/>
        <v>37</v>
      </c>
      <c r="S23" s="296" t="s">
        <v>691</v>
      </c>
      <c r="T23" s="204"/>
      <c r="U23" s="189"/>
      <c r="V23" s="189"/>
      <c r="W23" s="189"/>
      <c r="BA23"/>
      <c r="BB23"/>
    </row>
    <row r="24" spans="1:54" s="205" customFormat="1" ht="14.25">
      <c r="A24" s="201"/>
      <c r="B24" s="257" t="s">
        <v>342</v>
      </c>
      <c r="C24" s="258" t="s">
        <v>342</v>
      </c>
      <c r="D24" s="259" t="s">
        <v>342</v>
      </c>
      <c r="E24" s="238"/>
      <c r="F24" s="260">
        <v>1</v>
      </c>
      <c r="G24" s="260">
        <v>1</v>
      </c>
      <c r="H24" s="260">
        <v>1</v>
      </c>
      <c r="I24" s="260">
        <v>1</v>
      </c>
      <c r="J24" s="260">
        <v>1</v>
      </c>
      <c r="K24" s="260">
        <v>1</v>
      </c>
      <c r="L24" s="260">
        <v>1</v>
      </c>
      <c r="M24" s="260">
        <v>1</v>
      </c>
      <c r="N24" s="260">
        <v>1</v>
      </c>
      <c r="O24" s="260">
        <v>1</v>
      </c>
      <c r="P24" s="260">
        <v>1</v>
      </c>
      <c r="Q24" s="260">
        <v>1</v>
      </c>
      <c r="R24" s="198">
        <f>Q24</f>
        <v>1</v>
      </c>
      <c r="S24" s="297"/>
      <c r="T24" s="200"/>
      <c r="U24" s="261"/>
      <c r="V24" s="189"/>
      <c r="W24" s="189"/>
      <c r="BA24"/>
      <c r="BB24"/>
    </row>
    <row r="25" spans="1:54" s="190" customFormat="1" ht="15.75" thickBot="1">
      <c r="A25" s="182"/>
      <c r="B25" s="256" t="s">
        <v>343</v>
      </c>
      <c r="C25" s="262" t="s">
        <v>343</v>
      </c>
      <c r="D25" s="211" t="s">
        <v>343</v>
      </c>
      <c r="E25" s="263"/>
      <c r="F25" s="264">
        <v>7</v>
      </c>
      <c r="G25" s="264">
        <v>7</v>
      </c>
      <c r="H25" s="264">
        <v>7</v>
      </c>
      <c r="I25" s="264">
        <v>7</v>
      </c>
      <c r="J25" s="264">
        <v>7</v>
      </c>
      <c r="K25" s="264">
        <v>8</v>
      </c>
      <c r="L25" s="264">
        <v>8</v>
      </c>
      <c r="M25" s="264">
        <v>8</v>
      </c>
      <c r="N25" s="264">
        <v>8</v>
      </c>
      <c r="O25" s="264">
        <v>8</v>
      </c>
      <c r="P25" s="264">
        <v>8</v>
      </c>
      <c r="Q25" s="264">
        <v>8</v>
      </c>
      <c r="R25" s="265">
        <f>Q25</f>
        <v>8</v>
      </c>
      <c r="S25" s="298"/>
      <c r="T25" s="231"/>
      <c r="U25" s="261"/>
      <c r="V25" s="266">
        <v>4</v>
      </c>
      <c r="W25" s="266">
        <v>5</v>
      </c>
      <c r="X25" s="266">
        <v>6</v>
      </c>
      <c r="Y25" s="266">
        <v>7</v>
      </c>
      <c r="Z25" s="266">
        <v>8</v>
      </c>
      <c r="AA25" s="266">
        <v>9</v>
      </c>
      <c r="AB25" s="266">
        <v>10</v>
      </c>
      <c r="AC25" s="266">
        <v>11</v>
      </c>
      <c r="AD25" s="266">
        <v>12</v>
      </c>
      <c r="AE25" s="266">
        <v>1</v>
      </c>
      <c r="AF25" s="266">
        <v>2</v>
      </c>
      <c r="AG25" s="266">
        <v>3</v>
      </c>
      <c r="BA25"/>
      <c r="BB25"/>
    </row>
    <row r="26" spans="1:54" s="190" customFormat="1" ht="14.25">
      <c r="A26" s="182"/>
      <c r="B26" s="177">
        <v>9114120002</v>
      </c>
      <c r="C26" s="213" t="s">
        <v>70</v>
      </c>
      <c r="D26" s="214" t="s">
        <v>70</v>
      </c>
      <c r="E26" s="215"/>
      <c r="F26" s="216">
        <f>ROUNDDOWN(V26*$B$2,0)</f>
        <v>0</v>
      </c>
      <c r="G26" s="216">
        <f t="shared" ref="G26:I26" si="2">ROUNDDOWN(W26*$B$2,0)</f>
        <v>984319520</v>
      </c>
      <c r="H26" s="216">
        <f t="shared" si="2"/>
        <v>826495280</v>
      </c>
      <c r="I26" s="216">
        <f t="shared" si="2"/>
        <v>955476480</v>
      </c>
      <c r="J26" s="216">
        <f>ROUNDDOWN(Z26*$B$2,0)+1</f>
        <v>940679442</v>
      </c>
      <c r="K26" s="216">
        <f t="shared" ref="K26:Q26" si="3">ROUNDDOWN(AA26*$B$2,0)+1</f>
        <v>1003126909</v>
      </c>
      <c r="L26" s="216">
        <f t="shared" si="3"/>
        <v>984850679</v>
      </c>
      <c r="M26" s="216">
        <f t="shared" si="3"/>
        <v>1172143061</v>
      </c>
      <c r="N26" s="216">
        <f t="shared" si="3"/>
        <v>991707757</v>
      </c>
      <c r="O26" s="216">
        <f t="shared" si="3"/>
        <v>1004452267</v>
      </c>
      <c r="P26" s="216">
        <f t="shared" si="3"/>
        <v>993069930</v>
      </c>
      <c r="Q26" s="216">
        <f t="shared" si="3"/>
        <v>972287961</v>
      </c>
      <c r="R26" s="217">
        <f t="shared" ref="R26:R118" si="4">SUM(F26:Q26)</f>
        <v>10828609286</v>
      </c>
      <c r="S26" s="299" t="s">
        <v>694</v>
      </c>
      <c r="T26" s="218"/>
      <c r="U26" s="189"/>
      <c r="V26" s="219">
        <v>0</v>
      </c>
      <c r="W26" s="219">
        <v>38768</v>
      </c>
      <c r="X26" s="220">
        <v>32552</v>
      </c>
      <c r="Y26" s="220">
        <v>37632</v>
      </c>
      <c r="Z26" s="220">
        <v>37049.21</v>
      </c>
      <c r="AA26" s="220">
        <v>39508.74</v>
      </c>
      <c r="AB26" s="220">
        <v>38788.92</v>
      </c>
      <c r="AC26" s="220">
        <v>46165.54</v>
      </c>
      <c r="AD26" s="220">
        <v>39058.99</v>
      </c>
      <c r="AE26" s="220">
        <v>39560.94</v>
      </c>
      <c r="AF26" s="220">
        <v>39112.639999999999</v>
      </c>
      <c r="AG26" s="220">
        <v>38294.129999999997</v>
      </c>
      <c r="BA26"/>
      <c r="BB26"/>
    </row>
    <row r="27" spans="1:54" s="190" customFormat="1" ht="14.25">
      <c r="A27" s="221"/>
      <c r="B27" s="178">
        <v>9114120004</v>
      </c>
      <c r="C27" s="222" t="s">
        <v>73</v>
      </c>
      <c r="D27" s="223" t="s">
        <v>73</v>
      </c>
      <c r="E27" s="224"/>
      <c r="F27" s="225">
        <v>0</v>
      </c>
      <c r="G27" s="225">
        <v>0</v>
      </c>
      <c r="H27" s="225">
        <v>0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225">
        <v>0</v>
      </c>
      <c r="P27" s="225">
        <v>0</v>
      </c>
      <c r="Q27" s="225">
        <v>0</v>
      </c>
      <c r="R27" s="217">
        <f t="shared" si="4"/>
        <v>0</v>
      </c>
      <c r="S27" s="300" t="s">
        <v>694</v>
      </c>
      <c r="T27" s="200"/>
      <c r="U27" s="189"/>
      <c r="V27" s="219"/>
      <c r="W27" s="219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BA27"/>
      <c r="BB27"/>
    </row>
    <row r="28" spans="1:54" s="190" customFormat="1" ht="14.25">
      <c r="A28" s="221"/>
      <c r="B28" s="178">
        <v>9114120014</v>
      </c>
      <c r="C28" s="222" t="s">
        <v>74</v>
      </c>
      <c r="D28" s="223" t="s">
        <v>74</v>
      </c>
      <c r="E28" s="224"/>
      <c r="F28" s="225">
        <v>0</v>
      </c>
      <c r="G28" s="225">
        <v>0</v>
      </c>
      <c r="H28" s="225">
        <v>0</v>
      </c>
      <c r="I28" s="225">
        <v>0</v>
      </c>
      <c r="J28" s="225">
        <v>0</v>
      </c>
      <c r="K28" s="225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0</v>
      </c>
      <c r="R28" s="217">
        <f t="shared" si="4"/>
        <v>0</v>
      </c>
      <c r="S28" s="300" t="s">
        <v>694</v>
      </c>
      <c r="T28" s="200"/>
      <c r="U28" s="189"/>
      <c r="V28" s="219"/>
      <c r="W28" s="219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BA28"/>
      <c r="BB28"/>
    </row>
    <row r="29" spans="1:54" s="190" customFormat="1" ht="15" thickBot="1">
      <c r="A29" s="221"/>
      <c r="B29" s="179">
        <v>9114120006</v>
      </c>
      <c r="C29" s="226" t="s">
        <v>141</v>
      </c>
      <c r="D29" s="227" t="s">
        <v>100</v>
      </c>
      <c r="E29" s="228"/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30">
        <f t="shared" si="4"/>
        <v>0</v>
      </c>
      <c r="S29" s="301" t="s">
        <v>694</v>
      </c>
      <c r="T29" s="231"/>
      <c r="U29" s="189"/>
      <c r="V29" s="219"/>
      <c r="W29" s="219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BA29"/>
      <c r="BB29"/>
    </row>
    <row r="30" spans="1:54" s="205" customFormat="1" ht="14.25">
      <c r="B30" s="180" t="s">
        <v>693</v>
      </c>
      <c r="C30" s="235" t="str">
        <f>IFERROR(IF(VLOOKUP($B30,[1]勘定科目!$A:$H,HLOOKUP($E$5,[1]勘定科目!$F$1:$H$2,2,0),0)="","",VLOOKUP($B30,[1]勘定科目!$A:$E,2,0)),"")</f>
        <v/>
      </c>
      <c r="D30" s="236" t="str">
        <f>IF(C30="","",VLOOKUP($B30,[1]勘定科目!$A:$E,4,0))</f>
        <v/>
      </c>
      <c r="E30" s="237"/>
      <c r="F30" s="233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198">
        <f t="shared" si="4"/>
        <v>0</v>
      </c>
      <c r="S30" s="302"/>
      <c r="T30" s="200"/>
      <c r="U30" s="189"/>
      <c r="V30" s="189"/>
      <c r="W30" s="189"/>
      <c r="BA30"/>
      <c r="BB30"/>
    </row>
    <row r="31" spans="1:54" s="205" customFormat="1" ht="14.25">
      <c r="B31" s="180">
        <v>9114120018</v>
      </c>
      <c r="C31" s="235" t="str">
        <f>IFERROR(IF(VLOOKUP($B31,[1]勘定科目!$A:$H,HLOOKUP($E$5,[1]勘定科目!$F$1:$H$2,2,0),0)="","",VLOOKUP($B31,[1]勘定科目!$A:$E,2,0)),"")</f>
        <v>部内間接経費</v>
      </c>
      <c r="D31" s="236" t="str">
        <f>IF(C31="","",VLOOKUP($B31,[1]勘定科目!$A:$E,4,0))</f>
        <v>部内間接経費</v>
      </c>
      <c r="E31" s="237"/>
      <c r="F31" s="233">
        <v>0</v>
      </c>
      <c r="G31" s="234">
        <v>0</v>
      </c>
      <c r="H31" s="234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0</v>
      </c>
      <c r="O31" s="234">
        <v>0</v>
      </c>
      <c r="P31" s="234">
        <v>0</v>
      </c>
      <c r="Q31" s="234">
        <v>0</v>
      </c>
      <c r="R31" s="198">
        <f t="shared" si="4"/>
        <v>0</v>
      </c>
      <c r="S31" s="300" t="s">
        <v>691</v>
      </c>
      <c r="T31" s="200"/>
      <c r="U31" s="189"/>
      <c r="V31" s="189"/>
      <c r="W31" s="189"/>
      <c r="BA31"/>
      <c r="BB31"/>
    </row>
    <row r="32" spans="1:54" s="205" customFormat="1" ht="14.25">
      <c r="B32" s="180">
        <v>9114120029</v>
      </c>
      <c r="C32" s="235" t="str">
        <f>IFERROR(IF(VLOOKUP($B32,[1]勘定科目!$A:$H,HLOOKUP($E$5,[1]勘定科目!$F$1:$H$2,2,0),0)="","",VLOOKUP($B32,[1]勘定科目!$A:$E,2,0)),"")</f>
        <v>部外間接経費1</v>
      </c>
      <c r="D32" s="236" t="str">
        <f>IF(C32="","",VLOOKUP($B32,[1]勘定科目!$A:$E,4,0))</f>
        <v>部外間接経費1</v>
      </c>
      <c r="E32" s="237"/>
      <c r="F32" s="233">
        <v>397747</v>
      </c>
      <c r="G32" s="234">
        <v>456533</v>
      </c>
      <c r="H32" s="234">
        <v>380030</v>
      </c>
      <c r="I32" s="234">
        <v>418678</v>
      </c>
      <c r="J32" s="234">
        <v>376428</v>
      </c>
      <c r="K32" s="234">
        <v>411955</v>
      </c>
      <c r="L32" s="234">
        <v>371559</v>
      </c>
      <c r="M32" s="234">
        <v>373981</v>
      </c>
      <c r="N32" s="234">
        <v>377739</v>
      </c>
      <c r="O32" s="234">
        <v>363365</v>
      </c>
      <c r="P32" s="234">
        <v>384659</v>
      </c>
      <c r="Q32" s="234">
        <v>367741</v>
      </c>
      <c r="R32" s="198">
        <f t="shared" si="4"/>
        <v>4680415</v>
      </c>
      <c r="S32" s="300" t="s">
        <v>691</v>
      </c>
      <c r="T32" s="200"/>
      <c r="U32" s="189"/>
      <c r="V32" s="189"/>
      <c r="W32" s="189"/>
      <c r="BA32"/>
      <c r="BB32"/>
    </row>
    <row r="33" spans="1:54" s="205" customFormat="1" ht="14.25">
      <c r="B33" s="180">
        <v>9114120030</v>
      </c>
      <c r="C33" s="235" t="str">
        <f>IFERROR(IF(VLOOKUP($B33,[1]勘定科目!$A:$H,HLOOKUP($E$5,[1]勘定科目!$F$1:$H$2,2,0),0)="","",VLOOKUP($B33,[1]勘定科目!$A:$E,2,0)),"")</f>
        <v>部外間接経費2</v>
      </c>
      <c r="D33" s="236" t="str">
        <f>IF(C33="","",VLOOKUP($B33,[1]勘定科目!$A:$E,4,0))</f>
        <v>部外間接経費2</v>
      </c>
      <c r="E33" s="237"/>
      <c r="F33" s="233">
        <v>2428303</v>
      </c>
      <c r="G33" s="234">
        <v>829821</v>
      </c>
      <c r="H33" s="234">
        <v>594135</v>
      </c>
      <c r="I33" s="234">
        <v>640119</v>
      </c>
      <c r="J33" s="234">
        <v>574687</v>
      </c>
      <c r="K33" s="234">
        <v>516775</v>
      </c>
      <c r="L33" s="234">
        <v>646365</v>
      </c>
      <c r="M33" s="234">
        <v>664788</v>
      </c>
      <c r="N33" s="234">
        <v>642056</v>
      </c>
      <c r="O33" s="234">
        <v>502071</v>
      </c>
      <c r="P33" s="234">
        <v>525411</v>
      </c>
      <c r="Q33" s="234">
        <v>516392</v>
      </c>
      <c r="R33" s="198">
        <f t="shared" si="4"/>
        <v>9080923</v>
      </c>
      <c r="S33" s="300" t="s">
        <v>691</v>
      </c>
      <c r="T33" s="200"/>
      <c r="U33" s="189"/>
      <c r="V33" s="189"/>
      <c r="W33" s="189"/>
      <c r="BA33"/>
      <c r="BB33"/>
    </row>
    <row r="34" spans="1:54" s="205" customFormat="1" ht="14.25">
      <c r="B34" s="180">
        <v>9114120021</v>
      </c>
      <c r="C34" s="235" t="str">
        <f>IFERROR(IF(VLOOKUP($B34,[1]勘定科目!$A:$H,HLOOKUP($E$5,[1]勘定科目!$F$1:$H$2,2,0),0)="","",VLOOKUP($B34,[1]勘定科目!$A:$E,2,0)),"")</f>
        <v>工場間接経費</v>
      </c>
      <c r="D34" s="236" t="str">
        <f>IF(C34="","",VLOOKUP($B34,[1]勘定科目!$A:$E,4,0))</f>
        <v>工場間接経費</v>
      </c>
      <c r="E34" s="237"/>
      <c r="F34" s="233">
        <v>28869303</v>
      </c>
      <c r="G34" s="234">
        <v>36883353</v>
      </c>
      <c r="H34" s="234">
        <v>27306721</v>
      </c>
      <c r="I34" s="234">
        <v>39335822</v>
      </c>
      <c r="J34" s="234">
        <v>21916820</v>
      </c>
      <c r="K34" s="234">
        <v>21422341</v>
      </c>
      <c r="L34" s="234">
        <v>27208206</v>
      </c>
      <c r="M34" s="234">
        <v>22922165</v>
      </c>
      <c r="N34" s="234">
        <v>22670431</v>
      </c>
      <c r="O34" s="234">
        <v>25237009</v>
      </c>
      <c r="P34" s="234">
        <v>17427491</v>
      </c>
      <c r="Q34" s="234">
        <v>17985040</v>
      </c>
      <c r="R34" s="198">
        <f t="shared" si="4"/>
        <v>309184702</v>
      </c>
      <c r="S34" s="300" t="s">
        <v>691</v>
      </c>
      <c r="T34" s="200"/>
      <c r="U34" s="189"/>
      <c r="V34" s="189"/>
      <c r="W34" s="189"/>
      <c r="BA34"/>
      <c r="BB34"/>
    </row>
    <row r="35" spans="1:54" s="205" customFormat="1" ht="14.25">
      <c r="B35" s="180" t="s">
        <v>693</v>
      </c>
      <c r="C35" s="235" t="str">
        <f>IFERROR(IF(VLOOKUP($B35,[1]勘定科目!$A:$H,HLOOKUP($E$5,[1]勘定科目!$F$1:$H$2,2,0),0)="","",VLOOKUP($B35,[1]勘定科目!$A:$E,2,0)),"")</f>
        <v/>
      </c>
      <c r="D35" s="236" t="str">
        <f>IF(C35="","",VLOOKUP($B35,[1]勘定科目!$A:$E,4,0))</f>
        <v/>
      </c>
      <c r="E35" s="237"/>
      <c r="F35" s="233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198">
        <f t="shared" si="4"/>
        <v>0</v>
      </c>
      <c r="S35" s="294"/>
      <c r="T35" s="200"/>
      <c r="U35" s="189"/>
      <c r="V35" s="189"/>
      <c r="W35" s="189"/>
      <c r="BA35"/>
      <c r="BB35"/>
    </row>
    <row r="36" spans="1:54" s="190" customFormat="1" ht="14.25">
      <c r="A36" s="221"/>
      <c r="B36" s="178">
        <v>9114120009</v>
      </c>
      <c r="C36" s="183" t="str">
        <f>IFERROR(IF(VLOOKUP($B36,[1]勘定科目!$A:$H,HLOOKUP($E$5,[1]勘定科目!$F$1:$H$2,2,0),0)="","",VLOOKUP($B36,[1]勘定科目!$A:$E,2,0)),"")</f>
        <v>社内金利（在庫）</v>
      </c>
      <c r="D36" s="232" t="str">
        <f>IF(C36="","",VLOOKUP($B36,[1]勘定科目!$A:$E,4,0))</f>
        <v>在庫金利</v>
      </c>
      <c r="E36" s="238"/>
      <c r="F36" s="233">
        <v>0</v>
      </c>
      <c r="G36" s="234">
        <v>0</v>
      </c>
      <c r="H36" s="234">
        <v>0</v>
      </c>
      <c r="I36" s="234">
        <v>0</v>
      </c>
      <c r="J36" s="234">
        <v>0</v>
      </c>
      <c r="K36" s="234">
        <v>0</v>
      </c>
      <c r="L36" s="234">
        <v>0</v>
      </c>
      <c r="M36" s="234">
        <v>0</v>
      </c>
      <c r="N36" s="234">
        <v>0</v>
      </c>
      <c r="O36" s="234">
        <v>0</v>
      </c>
      <c r="P36" s="234">
        <v>0</v>
      </c>
      <c r="Q36" s="234">
        <v>0</v>
      </c>
      <c r="R36" s="198">
        <f t="shared" si="4"/>
        <v>0</v>
      </c>
      <c r="S36" s="294" t="s">
        <v>695</v>
      </c>
      <c r="T36" s="200"/>
      <c r="U36" s="239"/>
      <c r="V36" s="239"/>
      <c r="W36" s="239"/>
      <c r="BA36"/>
      <c r="BB36"/>
    </row>
    <row r="37" spans="1:54" s="190" customFormat="1" ht="14.25">
      <c r="A37" s="221"/>
      <c r="B37" s="178"/>
      <c r="C37" s="183" t="str">
        <f>IFERROR(IF(VLOOKUP($B37,[1]勘定科目!$A:$H,HLOOKUP($E$5,[1]勘定科目!$F$1:$H$2,2,0),0)="","",VLOOKUP($B37,[1]勘定科目!$A:$E,2,0)),"")</f>
        <v/>
      </c>
      <c r="D37" s="232" t="str">
        <f>IF(C37="","",VLOOKUP($B37,[1]勘定科目!$A:$E,4,0))</f>
        <v/>
      </c>
      <c r="E37" s="238"/>
      <c r="F37" s="233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198">
        <f t="shared" si="4"/>
        <v>0</v>
      </c>
      <c r="S37" s="294"/>
      <c r="T37" s="200"/>
      <c r="U37" s="239"/>
      <c r="V37" s="239"/>
      <c r="W37" s="239"/>
      <c r="BA37"/>
      <c r="BB37"/>
    </row>
    <row r="38" spans="1:54" s="190" customFormat="1" ht="16.5">
      <c r="A38" s="221"/>
      <c r="B38" s="180"/>
      <c r="C38" s="183" t="str">
        <f>IFERROR(IF(VLOOKUP($B38,[1]勘定科目!$A:$H,HLOOKUP($E$5,[1]勘定科目!$F$1:$H$2,2,0),0)="","",VLOOKUP($B38,[1]勘定科目!$A:$E,2,0)),"")</f>
        <v/>
      </c>
      <c r="D38" s="232" t="str">
        <f>IF(C38="","",VLOOKUP($B38,[1]勘定科目!$A:$E,4,0))</f>
        <v/>
      </c>
      <c r="E38" s="238"/>
      <c r="F38" s="193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198">
        <f t="shared" si="4"/>
        <v>0</v>
      </c>
      <c r="S38" s="303" t="s">
        <v>696</v>
      </c>
      <c r="T38" s="200"/>
      <c r="U38" s="239"/>
      <c r="V38" s="239"/>
      <c r="W38" s="239"/>
      <c r="BA38"/>
      <c r="BB38"/>
    </row>
    <row r="39" spans="1:54" s="190" customFormat="1" ht="14.25">
      <c r="A39" s="221"/>
      <c r="B39" s="180">
        <v>5006016260</v>
      </c>
      <c r="C39" s="183" t="str">
        <f>IFERROR(IF(VLOOKUP($B39,[1]勘定科目!$A:$H,HLOOKUP($E$5,[1]勘定科目!$F$1:$H$2,2,0),0)="","",VLOOKUP($B39,[1]勘定科目!$A:$E,2,0)),"")</f>
        <v>減価償却費配賦（製）　建物</v>
      </c>
      <c r="D39" s="232" t="str">
        <f>IF(C39="","",VLOOKUP($B39,[1]勘定科目!$A:$E,4,0))</f>
        <v>減価償却費</v>
      </c>
      <c r="E39" s="238"/>
      <c r="F39" s="193">
        <v>3813451</v>
      </c>
      <c r="G39" s="240">
        <v>3813451</v>
      </c>
      <c r="H39" s="240">
        <v>3813451</v>
      </c>
      <c r="I39" s="240">
        <v>3813451</v>
      </c>
      <c r="J39" s="240">
        <v>3813451</v>
      </c>
      <c r="K39" s="240">
        <v>3813451</v>
      </c>
      <c r="L39" s="240">
        <v>3813451</v>
      </c>
      <c r="M39" s="240">
        <v>3813451</v>
      </c>
      <c r="N39" s="240">
        <v>3813451</v>
      </c>
      <c r="O39" s="240">
        <v>3813451</v>
      </c>
      <c r="P39" s="240">
        <v>3813451</v>
      </c>
      <c r="Q39" s="240">
        <v>3813451</v>
      </c>
      <c r="R39" s="198">
        <f t="shared" si="4"/>
        <v>45761412</v>
      </c>
      <c r="S39" s="294" t="s">
        <v>779</v>
      </c>
      <c r="T39" s="200"/>
      <c r="U39" s="239"/>
      <c r="V39" s="239"/>
      <c r="W39" s="239"/>
      <c r="BA39"/>
      <c r="BB39"/>
    </row>
    <row r="40" spans="1:54" s="190" customFormat="1" ht="14.25">
      <c r="A40" s="221"/>
      <c r="B40" s="180">
        <v>5006016261</v>
      </c>
      <c r="C40" s="183" t="str">
        <f>IFERROR(IF(VLOOKUP($B40,[1]勘定科目!$A:$H,HLOOKUP($E$5,[1]勘定科目!$F$1:$H$2,2,0),0)="","",VLOOKUP($B40,[1]勘定科目!$A:$E,2,0)),"")</f>
        <v>減価償却費配賦（製）　土地使用権</v>
      </c>
      <c r="D40" s="232" t="str">
        <f>IF(C40="","",VLOOKUP($B40,[1]勘定科目!$A:$E,4,0))</f>
        <v>減価償却費</v>
      </c>
      <c r="E40" s="238"/>
      <c r="F40" s="193">
        <v>258089</v>
      </c>
      <c r="G40" s="240">
        <v>258089</v>
      </c>
      <c r="H40" s="240">
        <v>258089</v>
      </c>
      <c r="I40" s="240">
        <v>258089</v>
      </c>
      <c r="J40" s="240">
        <v>258089</v>
      </c>
      <c r="K40" s="240">
        <v>258089</v>
      </c>
      <c r="L40" s="240">
        <v>258089</v>
      </c>
      <c r="M40" s="240">
        <v>258089</v>
      </c>
      <c r="N40" s="240">
        <v>258089</v>
      </c>
      <c r="O40" s="240">
        <v>258089</v>
      </c>
      <c r="P40" s="240">
        <v>258089</v>
      </c>
      <c r="Q40" s="240">
        <v>258089</v>
      </c>
      <c r="R40" s="198">
        <f t="shared" si="4"/>
        <v>3097068</v>
      </c>
      <c r="S40" s="294" t="s">
        <v>780</v>
      </c>
      <c r="T40" s="200"/>
      <c r="U40" s="239"/>
      <c r="V40" s="239"/>
      <c r="W40" s="239"/>
      <c r="BA40"/>
      <c r="BB40"/>
    </row>
    <row r="41" spans="1:54" s="190" customFormat="1" ht="14.25">
      <c r="A41" s="221"/>
      <c r="B41" s="180">
        <v>9114120007</v>
      </c>
      <c r="C41" s="183" t="str">
        <f>IFERROR(IF(VLOOKUP($B41,[1]勘定科目!$A:$H,HLOOKUP($E$5,[1]勘定科目!$F$1:$H$2,2,0),0)="","",VLOOKUP($B41,[1]勘定科目!$A:$E,2,0)),"")</f>
        <v>社内金利（固定資産）</v>
      </c>
      <c r="D41" s="232" t="str">
        <f>IF(C41="","",VLOOKUP($B41,[1]勘定科目!$A:$E,4,0))</f>
        <v>固定資産金利</v>
      </c>
      <c r="E41" s="238"/>
      <c r="F41" s="193">
        <v>1903107</v>
      </c>
      <c r="G41" s="240">
        <v>1903107</v>
      </c>
      <c r="H41" s="240">
        <v>1903107</v>
      </c>
      <c r="I41" s="240">
        <v>1903107</v>
      </c>
      <c r="J41" s="240">
        <v>1903107</v>
      </c>
      <c r="K41" s="240">
        <v>1903107</v>
      </c>
      <c r="L41" s="240">
        <v>1903107</v>
      </c>
      <c r="M41" s="240">
        <v>1903107</v>
      </c>
      <c r="N41" s="240">
        <v>1903107</v>
      </c>
      <c r="O41" s="240">
        <v>1903107</v>
      </c>
      <c r="P41" s="240">
        <v>1903107</v>
      </c>
      <c r="Q41" s="240">
        <v>1903107</v>
      </c>
      <c r="R41" s="198">
        <f t="shared" si="4"/>
        <v>22837284</v>
      </c>
      <c r="S41" s="294" t="s">
        <v>781</v>
      </c>
      <c r="T41" s="200"/>
      <c r="U41" s="239"/>
      <c r="V41" s="239"/>
      <c r="W41" s="239"/>
      <c r="BA41"/>
      <c r="BB41"/>
    </row>
    <row r="42" spans="1:54" s="190" customFormat="1" ht="14.25">
      <c r="A42" s="221"/>
      <c r="B42" s="180">
        <v>9114120007</v>
      </c>
      <c r="C42" s="183" t="str">
        <f>IFERROR(IF(VLOOKUP($B42,[1]勘定科目!$A:$H,HLOOKUP($E$5,[1]勘定科目!$F$1:$H$2,2,0),0)="","",VLOOKUP($B42,[1]勘定科目!$A:$E,2,0)),"")</f>
        <v>社内金利（固定資産）</v>
      </c>
      <c r="D42" s="232" t="str">
        <f>IF(C42="","",VLOOKUP($B42,[1]勘定科目!$A:$E,4,0))</f>
        <v>固定資産金利</v>
      </c>
      <c r="E42" s="238"/>
      <c r="F42" s="193">
        <v>226352</v>
      </c>
      <c r="G42" s="240">
        <v>226352</v>
      </c>
      <c r="H42" s="240">
        <v>226352</v>
      </c>
      <c r="I42" s="240">
        <v>226352</v>
      </c>
      <c r="J42" s="240">
        <v>226352</v>
      </c>
      <c r="K42" s="240">
        <v>226352</v>
      </c>
      <c r="L42" s="240">
        <v>226352</v>
      </c>
      <c r="M42" s="240">
        <v>226352</v>
      </c>
      <c r="N42" s="240">
        <v>226352</v>
      </c>
      <c r="O42" s="240">
        <v>226352</v>
      </c>
      <c r="P42" s="240">
        <v>226352</v>
      </c>
      <c r="Q42" s="240">
        <v>226352</v>
      </c>
      <c r="R42" s="198">
        <f t="shared" si="4"/>
        <v>2716224</v>
      </c>
      <c r="S42" s="294" t="s">
        <v>782</v>
      </c>
      <c r="T42" s="200"/>
      <c r="U42" s="239"/>
      <c r="V42" s="239"/>
      <c r="W42" s="239"/>
      <c r="BA42"/>
      <c r="BB42"/>
    </row>
    <row r="43" spans="1:54" s="190" customFormat="1" ht="14.25">
      <c r="A43" s="221"/>
      <c r="B43" s="180">
        <v>5005066281</v>
      </c>
      <c r="C43" s="183" t="str">
        <f>IFERROR(IF(VLOOKUP($B43,[1]勘定科目!$A:$H,HLOOKUP($E$5,[1]勘定科目!$F$1:$H$2,2,0),0)="","",VLOOKUP($B43,[1]勘定科目!$A:$E,2,0)),"")</f>
        <v>電気代（製）</v>
      </c>
      <c r="D43" s="232" t="str">
        <f>IF(C43="","",VLOOKUP($B43,[1]勘定科目!$A:$E,4,0))</f>
        <v>水道光熱費</v>
      </c>
      <c r="E43" s="238"/>
      <c r="F43" s="193">
        <v>1271214</v>
      </c>
      <c r="G43" s="240">
        <v>1271214</v>
      </c>
      <c r="H43" s="240">
        <v>1271214</v>
      </c>
      <c r="I43" s="240">
        <v>1271214</v>
      </c>
      <c r="J43" s="240">
        <v>1271214</v>
      </c>
      <c r="K43" s="240">
        <v>1271214</v>
      </c>
      <c r="L43" s="240">
        <v>1271214</v>
      </c>
      <c r="M43" s="240">
        <v>1271214</v>
      </c>
      <c r="N43" s="240">
        <v>1271214</v>
      </c>
      <c r="O43" s="240">
        <v>1271214</v>
      </c>
      <c r="P43" s="240">
        <v>1271214</v>
      </c>
      <c r="Q43" s="240">
        <v>1271214</v>
      </c>
      <c r="R43" s="198">
        <f t="shared" si="4"/>
        <v>15254568</v>
      </c>
      <c r="S43" s="294" t="s">
        <v>697</v>
      </c>
      <c r="T43" s="200"/>
      <c r="U43" s="239"/>
      <c r="V43" s="239"/>
      <c r="W43" s="239"/>
      <c r="BA43"/>
      <c r="BB43"/>
    </row>
    <row r="44" spans="1:54" s="190" customFormat="1" ht="14.25">
      <c r="A44" s="221"/>
      <c r="B44" s="180">
        <v>5005066282</v>
      </c>
      <c r="C44" s="183" t="str">
        <f>IFERROR(IF(VLOOKUP($B44,[1]勘定科目!$A:$H,HLOOKUP($E$5,[1]勘定科目!$F$1:$H$2,2,0),0)="","",VLOOKUP($B44,[1]勘定科目!$A:$E,2,0)),"")</f>
        <v>水道代（製）</v>
      </c>
      <c r="D44" s="232" t="str">
        <f>IF(C44="","",VLOOKUP($B44,[1]勘定科目!$A:$E,4,0))</f>
        <v>水道光熱費</v>
      </c>
      <c r="E44" s="238"/>
      <c r="F44" s="193">
        <v>243403</v>
      </c>
      <c r="G44" s="240">
        <v>243403</v>
      </c>
      <c r="H44" s="240">
        <v>243403</v>
      </c>
      <c r="I44" s="240">
        <v>243403</v>
      </c>
      <c r="J44" s="240">
        <v>243403</v>
      </c>
      <c r="K44" s="240">
        <v>243403</v>
      </c>
      <c r="L44" s="240">
        <v>243403</v>
      </c>
      <c r="M44" s="240">
        <v>243403</v>
      </c>
      <c r="N44" s="240">
        <v>243403</v>
      </c>
      <c r="O44" s="240">
        <v>243403</v>
      </c>
      <c r="P44" s="240">
        <v>243403</v>
      </c>
      <c r="Q44" s="240">
        <v>243403</v>
      </c>
      <c r="R44" s="198">
        <f t="shared" si="4"/>
        <v>2920836</v>
      </c>
      <c r="S44" s="294" t="s">
        <v>698</v>
      </c>
      <c r="T44" s="200"/>
      <c r="U44" s="239"/>
      <c r="V44" s="239"/>
      <c r="W44" s="239"/>
      <c r="BA44"/>
      <c r="BB44"/>
    </row>
    <row r="45" spans="1:54" s="190" customFormat="1" ht="14.25">
      <c r="A45" s="221"/>
      <c r="B45" s="180">
        <v>5005056281</v>
      </c>
      <c r="C45" s="183" t="str">
        <f>IFERROR(IF(VLOOKUP($B45,[1]勘定科目!$A:$H,HLOOKUP($E$5,[1]勘定科目!$F$1:$H$2,2,0),0)="","",VLOOKUP($B45,[1]勘定科目!$A:$E,2,0)),"")</f>
        <v>ガス代（製）</v>
      </c>
      <c r="D45" s="232" t="str">
        <f>IF(C45="","",VLOOKUP($B45,[1]勘定科目!$A:$E,4,0))</f>
        <v>水道光熱費</v>
      </c>
      <c r="E45" s="238"/>
      <c r="F45" s="193">
        <v>450850</v>
      </c>
      <c r="G45" s="240">
        <v>450850</v>
      </c>
      <c r="H45" s="240">
        <v>450850</v>
      </c>
      <c r="I45" s="240">
        <v>450850</v>
      </c>
      <c r="J45" s="240">
        <v>450850</v>
      </c>
      <c r="K45" s="240">
        <v>495935</v>
      </c>
      <c r="L45" s="240">
        <v>495935</v>
      </c>
      <c r="M45" s="240">
        <v>495935</v>
      </c>
      <c r="N45" s="240">
        <v>495935</v>
      </c>
      <c r="O45" s="240">
        <v>495935</v>
      </c>
      <c r="P45" s="240">
        <v>495935</v>
      </c>
      <c r="Q45" s="240">
        <v>495935</v>
      </c>
      <c r="R45" s="198">
        <f t="shared" si="4"/>
        <v>5725795</v>
      </c>
      <c r="S45" s="294" t="s">
        <v>699</v>
      </c>
      <c r="T45" s="200"/>
      <c r="U45" s="239"/>
      <c r="V45" s="239"/>
      <c r="W45" s="239"/>
      <c r="BA45"/>
      <c r="BB45"/>
    </row>
    <row r="46" spans="1:54" s="190" customFormat="1" ht="14.25">
      <c r="A46" s="221"/>
      <c r="B46" s="180">
        <v>5005016372</v>
      </c>
      <c r="C46" s="183" t="str">
        <f>IFERROR(IF(VLOOKUP($B46,[1]勘定科目!$A:$H,HLOOKUP($E$5,[1]勘定科目!$F$1:$H$2,2,0),0)="","",VLOOKUP($B46,[1]勘定科目!$A:$E,2,0)),"")</f>
        <v>その他消耗品（製）</v>
      </c>
      <c r="D46" s="232" t="str">
        <f>IF(C46="","",VLOOKUP($B46,[1]勘定科目!$A:$E,4,0))</f>
        <v>消耗品費</v>
      </c>
      <c r="E46" s="238"/>
      <c r="F46" s="193">
        <v>15200</v>
      </c>
      <c r="G46" s="240">
        <v>15200</v>
      </c>
      <c r="H46" s="240">
        <v>15200</v>
      </c>
      <c r="I46" s="240">
        <v>15200</v>
      </c>
      <c r="J46" s="240">
        <v>15200</v>
      </c>
      <c r="K46" s="240">
        <v>16720</v>
      </c>
      <c r="L46" s="240">
        <v>16720</v>
      </c>
      <c r="M46" s="240">
        <v>16720</v>
      </c>
      <c r="N46" s="240">
        <v>16720</v>
      </c>
      <c r="O46" s="240">
        <v>16720</v>
      </c>
      <c r="P46" s="240">
        <v>16720</v>
      </c>
      <c r="Q46" s="240">
        <v>16720</v>
      </c>
      <c r="R46" s="198">
        <f t="shared" si="4"/>
        <v>193040</v>
      </c>
      <c r="S46" s="294" t="s">
        <v>700</v>
      </c>
      <c r="T46" s="200"/>
      <c r="U46" s="239"/>
      <c r="V46" s="239"/>
      <c r="W46" s="239"/>
      <c r="BA46"/>
      <c r="BB46"/>
    </row>
    <row r="47" spans="1:54" s="190" customFormat="1" ht="14.25">
      <c r="A47" s="221"/>
      <c r="B47" s="180">
        <v>5005016372</v>
      </c>
      <c r="C47" s="183" t="str">
        <f>IFERROR(IF(VLOOKUP($B47,[1]勘定科目!$A:$H,HLOOKUP($E$5,[1]勘定科目!$F$1:$H$2,2,0),0)="","",VLOOKUP($B47,[1]勘定科目!$A:$E,2,0)),"")</f>
        <v>その他消耗品（製）</v>
      </c>
      <c r="D47" s="232" t="str">
        <f>IF(C47="","",VLOOKUP($B47,[1]勘定科目!$A:$E,4,0))</f>
        <v>消耗品費</v>
      </c>
      <c r="E47" s="238"/>
      <c r="F47" s="193">
        <v>179710</v>
      </c>
      <c r="G47" s="240">
        <v>179710</v>
      </c>
      <c r="H47" s="240">
        <v>179710</v>
      </c>
      <c r="I47" s="240">
        <v>179710</v>
      </c>
      <c r="J47" s="240">
        <v>179710</v>
      </c>
      <c r="K47" s="240">
        <v>197681</v>
      </c>
      <c r="L47" s="240">
        <v>197681</v>
      </c>
      <c r="M47" s="240">
        <v>197681</v>
      </c>
      <c r="N47" s="240">
        <v>197681</v>
      </c>
      <c r="O47" s="240">
        <v>197681</v>
      </c>
      <c r="P47" s="240">
        <v>197681</v>
      </c>
      <c r="Q47" s="240">
        <v>197681</v>
      </c>
      <c r="R47" s="198">
        <f t="shared" si="4"/>
        <v>2282317</v>
      </c>
      <c r="S47" s="294" t="s">
        <v>701</v>
      </c>
      <c r="T47" s="200"/>
      <c r="U47" s="239"/>
      <c r="V47" s="239"/>
      <c r="W47" s="239"/>
      <c r="BA47"/>
      <c r="BB47"/>
    </row>
    <row r="48" spans="1:54" s="190" customFormat="1" ht="14.25">
      <c r="A48" s="221"/>
      <c r="B48" s="180">
        <v>5005016372</v>
      </c>
      <c r="C48" s="183" t="str">
        <f>IFERROR(IF(VLOOKUP($B48,[1]勘定科目!$A:$H,HLOOKUP($E$5,[1]勘定科目!$F$1:$H$2,2,0),0)="","",VLOOKUP($B48,[1]勘定科目!$A:$E,2,0)),"")</f>
        <v>その他消耗品（製）</v>
      </c>
      <c r="D48" s="232" t="str">
        <f>IF(C48="","",VLOOKUP($B48,[1]勘定科目!$A:$E,4,0))</f>
        <v>消耗品費</v>
      </c>
      <c r="E48" s="238"/>
      <c r="F48" s="193">
        <v>0</v>
      </c>
      <c r="G48" s="240">
        <v>0</v>
      </c>
      <c r="H48" s="240">
        <v>0</v>
      </c>
      <c r="I48" s="240">
        <v>0</v>
      </c>
      <c r="J48" s="240">
        <v>0</v>
      </c>
      <c r="K48" s="240">
        <v>0</v>
      </c>
      <c r="L48" s="240">
        <v>0</v>
      </c>
      <c r="M48" s="240">
        <v>0</v>
      </c>
      <c r="N48" s="240">
        <v>0</v>
      </c>
      <c r="O48" s="240">
        <v>0</v>
      </c>
      <c r="P48" s="240">
        <v>0</v>
      </c>
      <c r="Q48" s="240">
        <v>0</v>
      </c>
      <c r="R48" s="198">
        <f t="shared" si="4"/>
        <v>0</v>
      </c>
      <c r="S48" s="304" t="s">
        <v>783</v>
      </c>
      <c r="T48" s="200"/>
      <c r="U48" s="239"/>
      <c r="V48" s="239"/>
      <c r="W48" s="239"/>
      <c r="BA48"/>
      <c r="BB48"/>
    </row>
    <row r="49" spans="1:54" s="190" customFormat="1" ht="14.25">
      <c r="A49" s="221"/>
      <c r="B49" s="180">
        <v>5005246286</v>
      </c>
      <c r="C49" s="183" t="str">
        <f>IFERROR(IF(VLOOKUP($B49,[1]勘定科目!$A:$H,HLOOKUP($E$5,[1]勘定科目!$F$1:$H$2,2,0),0)="","",VLOOKUP($B49,[1]勘定科目!$A:$E,2,0)),"")</f>
        <v>その他手数料（製）</v>
      </c>
      <c r="D49" s="232" t="str">
        <f>IF(C49="","",VLOOKUP($B49,[1]勘定科目!$A:$E,4,0))</f>
        <v>手数料</v>
      </c>
      <c r="E49" s="238"/>
      <c r="F49" s="193">
        <v>37670</v>
      </c>
      <c r="G49" s="240">
        <v>37670</v>
      </c>
      <c r="H49" s="240">
        <v>37670</v>
      </c>
      <c r="I49" s="240">
        <v>37670</v>
      </c>
      <c r="J49" s="240">
        <v>37670</v>
      </c>
      <c r="K49" s="240">
        <v>41437</v>
      </c>
      <c r="L49" s="240">
        <v>41437</v>
      </c>
      <c r="M49" s="240">
        <v>41437</v>
      </c>
      <c r="N49" s="240">
        <v>41437</v>
      </c>
      <c r="O49" s="240">
        <v>41437</v>
      </c>
      <c r="P49" s="240">
        <v>41437</v>
      </c>
      <c r="Q49" s="240">
        <v>41437</v>
      </c>
      <c r="R49" s="198">
        <f t="shared" si="4"/>
        <v>478409</v>
      </c>
      <c r="S49" s="294" t="s">
        <v>702</v>
      </c>
      <c r="T49" s="200"/>
      <c r="U49" s="239"/>
      <c r="V49" s="239"/>
      <c r="W49" s="239"/>
      <c r="BA49"/>
      <c r="BB49"/>
    </row>
    <row r="50" spans="1:54" s="190" customFormat="1" ht="14.25">
      <c r="A50" s="221"/>
      <c r="B50" s="180">
        <v>5004086291</v>
      </c>
      <c r="C50" s="183" t="str">
        <f>IFERROR(IF(VLOOKUP($B50,[1]勘定科目!$A:$H,HLOOKUP($E$5,[1]勘定科目!$F$1:$H$2,2,0),0)="","",VLOOKUP($B50,[1]勘定科目!$A:$E,2,0)),"")</f>
        <v>福利厚生費（製）</v>
      </c>
      <c r="D50" s="232" t="str">
        <f>IF(C50="","",VLOOKUP($B50,[1]勘定科目!$A:$E,4,0))</f>
        <v>福利厚生費</v>
      </c>
      <c r="E50" s="238"/>
      <c r="F50" s="193">
        <v>1400000</v>
      </c>
      <c r="G50" s="240">
        <v>1400000</v>
      </c>
      <c r="H50" s="240">
        <v>1400000</v>
      </c>
      <c r="I50" s="240">
        <v>1400000</v>
      </c>
      <c r="J50" s="240">
        <v>1400000</v>
      </c>
      <c r="K50" s="240">
        <v>1400000</v>
      </c>
      <c r="L50" s="240">
        <v>1400000</v>
      </c>
      <c r="M50" s="240">
        <v>1400000</v>
      </c>
      <c r="N50" s="240">
        <v>1400000</v>
      </c>
      <c r="O50" s="240">
        <v>1400000</v>
      </c>
      <c r="P50" s="240">
        <v>1400000</v>
      </c>
      <c r="Q50" s="240">
        <v>1400000</v>
      </c>
      <c r="R50" s="198">
        <f t="shared" si="4"/>
        <v>16800000</v>
      </c>
      <c r="S50" s="294" t="s">
        <v>703</v>
      </c>
      <c r="T50" s="200"/>
      <c r="U50" s="239"/>
      <c r="V50" s="239"/>
      <c r="W50" s="239"/>
      <c r="BA50"/>
      <c r="BB50"/>
    </row>
    <row r="51" spans="1:54" s="190" customFormat="1" ht="14.25">
      <c r="A51" s="221"/>
      <c r="B51" s="180">
        <v>5004086291</v>
      </c>
      <c r="C51" s="183" t="str">
        <f>IFERROR(IF(VLOOKUP($B51,[1]勘定科目!$A:$H,HLOOKUP($E$5,[1]勘定科目!$F$1:$H$2,2,0),0)="","",VLOOKUP($B51,[1]勘定科目!$A:$E,2,0)),"")</f>
        <v>福利厚生費（製）</v>
      </c>
      <c r="D51" s="232" t="str">
        <f>IF(C51="","",VLOOKUP($B51,[1]勘定科目!$A:$E,4,0))</f>
        <v>福利厚生費</v>
      </c>
      <c r="E51" s="238"/>
      <c r="F51" s="193">
        <v>0</v>
      </c>
      <c r="G51" s="240">
        <v>0</v>
      </c>
      <c r="H51" s="240">
        <v>0</v>
      </c>
      <c r="I51" s="240">
        <v>0</v>
      </c>
      <c r="J51" s="240">
        <v>0</v>
      </c>
      <c r="K51" s="240">
        <v>0</v>
      </c>
      <c r="L51" s="240">
        <v>0</v>
      </c>
      <c r="M51" s="240">
        <v>0</v>
      </c>
      <c r="N51" s="240">
        <v>0</v>
      </c>
      <c r="O51" s="240">
        <v>0</v>
      </c>
      <c r="P51" s="240">
        <v>0</v>
      </c>
      <c r="Q51" s="240">
        <v>0</v>
      </c>
      <c r="R51" s="198">
        <f t="shared" si="4"/>
        <v>0</v>
      </c>
      <c r="S51" s="294" t="str">
        <f>"Local Bus送迎費 (local Member 人員比率　"&amp;X51&amp;"で計算)"</f>
        <v>Local Bus送迎費 (local Member 人員比率　で計算)</v>
      </c>
      <c r="T51" s="200"/>
      <c r="U51" s="239"/>
      <c r="V51" s="239"/>
      <c r="W51" s="239"/>
      <c r="BA51"/>
      <c r="BB51"/>
    </row>
    <row r="52" spans="1:54" s="190" customFormat="1" ht="14.25">
      <c r="A52" s="221"/>
      <c r="B52" s="180">
        <v>5004086291</v>
      </c>
      <c r="C52" s="183" t="str">
        <f>IFERROR(IF(VLOOKUP($B52,[1]勘定科目!$A:$H,HLOOKUP($E$5,[1]勘定科目!$F$1:$H$2,2,0),0)="","",VLOOKUP($B52,[1]勘定科目!$A:$E,2,0)),"")</f>
        <v>福利厚生費（製）</v>
      </c>
      <c r="D52" s="232" t="str">
        <f>IF(C52="","",VLOOKUP($B52,[1]勘定科目!$A:$E,4,0))</f>
        <v>福利厚生費</v>
      </c>
      <c r="E52" s="238"/>
      <c r="F52" s="193">
        <v>0</v>
      </c>
      <c r="G52" s="240">
        <v>0</v>
      </c>
      <c r="H52" s="240">
        <v>0</v>
      </c>
      <c r="I52" s="240">
        <v>0</v>
      </c>
      <c r="J52" s="240">
        <v>0</v>
      </c>
      <c r="K52" s="240">
        <v>0</v>
      </c>
      <c r="L52" s="240">
        <v>0</v>
      </c>
      <c r="M52" s="240">
        <v>0</v>
      </c>
      <c r="N52" s="240">
        <v>0</v>
      </c>
      <c r="O52" s="240">
        <v>0</v>
      </c>
      <c r="P52" s="240">
        <v>0</v>
      </c>
      <c r="Q52" s="240">
        <v>0</v>
      </c>
      <c r="R52" s="198">
        <f t="shared" si="4"/>
        <v>0</v>
      </c>
      <c r="S52" s="305" t="s">
        <v>784</v>
      </c>
      <c r="T52" s="200"/>
      <c r="U52" s="239"/>
      <c r="V52" s="239"/>
      <c r="W52" s="239"/>
      <c r="BA52"/>
      <c r="BB52"/>
    </row>
    <row r="53" spans="1:54" s="190" customFormat="1" ht="14.25">
      <c r="A53" s="221"/>
      <c r="B53" s="180">
        <v>5004086291</v>
      </c>
      <c r="C53" s="183" t="str">
        <f>IFERROR(IF(VLOOKUP($B53,[1]勘定科目!$A:$H,HLOOKUP($E$5,[1]勘定科目!$F$1:$H$2,2,0),0)="","",VLOOKUP($B53,[1]勘定科目!$A:$E,2,0)),"")</f>
        <v>福利厚生費（製）</v>
      </c>
      <c r="D53" s="232" t="str">
        <f>IF(C53="","",VLOOKUP($B53,[1]勘定科目!$A:$E,4,0))</f>
        <v>福利厚生費</v>
      </c>
      <c r="E53" s="238"/>
      <c r="F53" s="193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198">
        <f t="shared" si="4"/>
        <v>0</v>
      </c>
      <c r="S53" s="305" t="s">
        <v>704</v>
      </c>
      <c r="T53" s="200"/>
      <c r="U53" s="239"/>
      <c r="V53" s="239"/>
      <c r="W53" s="239"/>
      <c r="BA53"/>
      <c r="BB53"/>
    </row>
    <row r="54" spans="1:54" s="190" customFormat="1" ht="14.25">
      <c r="A54" s="221"/>
      <c r="B54" s="180">
        <v>5004086291</v>
      </c>
      <c r="C54" s="183" t="str">
        <f>IFERROR(IF(VLOOKUP($B54,[1]勘定科目!$A:$H,HLOOKUP($E$5,[1]勘定科目!$F$1:$H$2,2,0),0)="","",VLOOKUP($B54,[1]勘定科目!$A:$E,2,0)),"")</f>
        <v>福利厚生費（製）</v>
      </c>
      <c r="D54" s="232" t="str">
        <f>IF(C54="","",VLOOKUP($B54,[1]勘定科目!$A:$E,4,0))</f>
        <v>福利厚生費</v>
      </c>
      <c r="E54" s="238"/>
      <c r="F54" s="193">
        <v>0</v>
      </c>
      <c r="G54" s="240">
        <v>0</v>
      </c>
      <c r="H54" s="240">
        <v>0</v>
      </c>
      <c r="I54" s="240">
        <v>0</v>
      </c>
      <c r="J54" s="240">
        <v>0</v>
      </c>
      <c r="K54" s="240">
        <v>616000</v>
      </c>
      <c r="L54" s="240">
        <v>0</v>
      </c>
      <c r="M54" s="240">
        <v>0</v>
      </c>
      <c r="N54" s="240">
        <v>0</v>
      </c>
      <c r="O54" s="240">
        <v>0</v>
      </c>
      <c r="P54" s="240">
        <v>0</v>
      </c>
      <c r="Q54" s="240">
        <v>0</v>
      </c>
      <c r="R54" s="198">
        <f t="shared" si="4"/>
        <v>616000</v>
      </c>
      <c r="S54" s="294" t="s">
        <v>705</v>
      </c>
      <c r="T54" s="200"/>
      <c r="U54" s="239"/>
      <c r="V54" s="239"/>
      <c r="W54" s="239"/>
      <c r="BA54"/>
      <c r="BB54"/>
    </row>
    <row r="55" spans="1:54" s="190" customFormat="1" ht="14.25">
      <c r="A55" s="221"/>
      <c r="B55" s="180">
        <v>5004086291</v>
      </c>
      <c r="C55" s="183" t="str">
        <f>IFERROR(IF(VLOOKUP($B55,[1]勘定科目!$A:$H,HLOOKUP($E$5,[1]勘定科目!$F$1:$H$2,2,0),0)="","",VLOOKUP($B55,[1]勘定科目!$A:$E,2,0)),"")</f>
        <v>福利厚生費（製）</v>
      </c>
      <c r="D55" s="232" t="str">
        <f>IF(C55="","",VLOOKUP($B55,[1]勘定科目!$A:$E,4,0))</f>
        <v>福利厚生費</v>
      </c>
      <c r="E55" s="238"/>
      <c r="F55" s="193">
        <v>0</v>
      </c>
      <c r="G55" s="240">
        <v>0</v>
      </c>
      <c r="H55" s="240">
        <v>0</v>
      </c>
      <c r="I55" s="240">
        <v>0</v>
      </c>
      <c r="J55" s="240">
        <v>0</v>
      </c>
      <c r="K55" s="240">
        <v>0</v>
      </c>
      <c r="L55" s="240">
        <v>0</v>
      </c>
      <c r="M55" s="240">
        <v>0</v>
      </c>
      <c r="N55" s="240">
        <v>0</v>
      </c>
      <c r="O55" s="240">
        <v>0</v>
      </c>
      <c r="P55" s="240">
        <v>0</v>
      </c>
      <c r="Q55" s="240">
        <v>0</v>
      </c>
      <c r="R55" s="198">
        <f t="shared" si="4"/>
        <v>0</v>
      </c>
      <c r="S55" s="294" t="s">
        <v>706</v>
      </c>
      <c r="T55" s="200"/>
      <c r="U55" s="239"/>
      <c r="V55" s="239"/>
      <c r="W55" s="239"/>
      <c r="BA55"/>
      <c r="BB55"/>
    </row>
    <row r="56" spans="1:54" s="190" customFormat="1" ht="14.25">
      <c r="A56" s="221"/>
      <c r="B56" s="180">
        <v>5004086291</v>
      </c>
      <c r="C56" s="183" t="str">
        <f>IFERROR(IF(VLOOKUP($B56,[1]勘定科目!$A:$H,HLOOKUP($E$5,[1]勘定科目!$F$1:$H$2,2,0),0)="","",VLOOKUP($B56,[1]勘定科目!$A:$E,2,0)),"")</f>
        <v>福利厚生費（製）</v>
      </c>
      <c r="D56" s="232" t="str">
        <f>IF(C56="","",VLOOKUP($B56,[1]勘定科目!$A:$E,4,0))</f>
        <v>福利厚生費</v>
      </c>
      <c r="E56" s="238"/>
      <c r="F56" s="193">
        <v>0</v>
      </c>
      <c r="G56" s="240">
        <v>17500000</v>
      </c>
      <c r="H56" s="240">
        <v>0</v>
      </c>
      <c r="I56" s="240">
        <v>0</v>
      </c>
      <c r="J56" s="240">
        <v>0</v>
      </c>
      <c r="K56" s="240">
        <v>0</v>
      </c>
      <c r="L56" s="240">
        <v>0</v>
      </c>
      <c r="M56" s="240">
        <v>0</v>
      </c>
      <c r="N56" s="240">
        <v>0</v>
      </c>
      <c r="O56" s="240">
        <v>0</v>
      </c>
      <c r="P56" s="240">
        <v>0</v>
      </c>
      <c r="Q56" s="240">
        <v>0</v>
      </c>
      <c r="R56" s="198">
        <f t="shared" si="4"/>
        <v>17500000</v>
      </c>
      <c r="S56" s="294" t="s">
        <v>707</v>
      </c>
      <c r="T56" s="200"/>
      <c r="U56" s="239"/>
      <c r="V56" s="239"/>
      <c r="W56" s="239"/>
      <c r="BA56"/>
      <c r="BB56"/>
    </row>
    <row r="57" spans="1:54" s="190" customFormat="1" ht="14.25">
      <c r="A57" s="221"/>
      <c r="B57" s="180">
        <v>5004086291</v>
      </c>
      <c r="C57" s="183" t="str">
        <f>IFERROR(IF(VLOOKUP($B57,[1]勘定科目!$A:$H,HLOOKUP($E$5,[1]勘定科目!$F$1:$H$2,2,0),0)="","",VLOOKUP($B57,[1]勘定科目!$A:$E,2,0)),"")</f>
        <v>福利厚生費（製）</v>
      </c>
      <c r="D57" s="232" t="str">
        <f>IF(C57="","",VLOOKUP($B57,[1]勘定科目!$A:$E,4,0))</f>
        <v>福利厚生費</v>
      </c>
      <c r="E57" s="238"/>
      <c r="F57" s="193">
        <v>0</v>
      </c>
      <c r="G57" s="240">
        <v>0</v>
      </c>
      <c r="H57" s="240">
        <v>0</v>
      </c>
      <c r="I57" s="240">
        <v>0</v>
      </c>
      <c r="J57" s="240">
        <v>0</v>
      </c>
      <c r="K57" s="240">
        <v>1416250</v>
      </c>
      <c r="L57" s="240">
        <v>0</v>
      </c>
      <c r="M57" s="240">
        <v>0</v>
      </c>
      <c r="N57" s="240">
        <v>0</v>
      </c>
      <c r="O57" s="240">
        <v>0</v>
      </c>
      <c r="P57" s="240">
        <v>0</v>
      </c>
      <c r="Q57" s="240">
        <v>0</v>
      </c>
      <c r="R57" s="198">
        <f t="shared" si="4"/>
        <v>1416250</v>
      </c>
      <c r="S57" s="294" t="s">
        <v>785</v>
      </c>
      <c r="T57" s="200"/>
      <c r="U57" s="239"/>
      <c r="V57" s="239"/>
      <c r="W57" s="239"/>
      <c r="BA57"/>
      <c r="BB57"/>
    </row>
    <row r="58" spans="1:54" s="190" customFormat="1" ht="14.25">
      <c r="A58" s="221"/>
      <c r="B58" s="180">
        <v>5004086291</v>
      </c>
      <c r="C58" s="183" t="str">
        <f>IFERROR(IF(VLOOKUP($B58,[1]勘定科目!$A:$H,HLOOKUP($E$5,[1]勘定科目!$F$1:$H$2,2,0),0)="","",VLOOKUP($B58,[1]勘定科目!$A:$E,2,0)),"")</f>
        <v>福利厚生費（製）</v>
      </c>
      <c r="D58" s="232" t="str">
        <f>IF(C58="","",VLOOKUP($B58,[1]勘定科目!$A:$E,4,0))</f>
        <v>福利厚生費</v>
      </c>
      <c r="E58" s="238"/>
      <c r="F58" s="193">
        <v>0</v>
      </c>
      <c r="G58" s="240">
        <v>0</v>
      </c>
      <c r="H58" s="240">
        <v>0</v>
      </c>
      <c r="I58" s="240">
        <v>0</v>
      </c>
      <c r="J58" s="240">
        <v>0</v>
      </c>
      <c r="K58" s="240">
        <v>0</v>
      </c>
      <c r="L58" s="240">
        <v>0</v>
      </c>
      <c r="M58" s="240">
        <v>1416800</v>
      </c>
      <c r="N58" s="240">
        <v>0</v>
      </c>
      <c r="O58" s="240">
        <v>0</v>
      </c>
      <c r="P58" s="240">
        <v>0</v>
      </c>
      <c r="Q58" s="240">
        <v>0</v>
      </c>
      <c r="R58" s="198">
        <f t="shared" si="4"/>
        <v>1416800</v>
      </c>
      <c r="S58" s="294" t="s">
        <v>708</v>
      </c>
      <c r="T58" s="200"/>
      <c r="U58" s="239"/>
      <c r="V58" s="239"/>
      <c r="W58" s="239"/>
      <c r="BA58"/>
      <c r="BB58"/>
    </row>
    <row r="59" spans="1:54" s="190" customFormat="1" ht="14.25">
      <c r="A59" s="221"/>
      <c r="B59" s="180">
        <v>5004086291</v>
      </c>
      <c r="C59" s="183" t="str">
        <f>IFERROR(IF(VLOOKUP($B59,[1]勘定科目!$A:$H,HLOOKUP($E$5,[1]勘定科目!$F$1:$H$2,2,0),0)="","",VLOOKUP($B59,[1]勘定科目!$A:$E,2,0)),"")</f>
        <v>福利厚生費（製）</v>
      </c>
      <c r="D59" s="232" t="str">
        <f>IF(C59="","",VLOOKUP($B59,[1]勘定科目!$A:$E,4,0))</f>
        <v>福利厚生費</v>
      </c>
      <c r="E59" s="238"/>
      <c r="F59" s="193">
        <v>0</v>
      </c>
      <c r="G59" s="240">
        <v>0</v>
      </c>
      <c r="H59" s="240">
        <v>0</v>
      </c>
      <c r="I59" s="240">
        <v>0</v>
      </c>
      <c r="J59" s="240">
        <v>0</v>
      </c>
      <c r="K59" s="240">
        <v>0</v>
      </c>
      <c r="L59" s="240">
        <v>0</v>
      </c>
      <c r="M59" s="240">
        <v>0</v>
      </c>
      <c r="N59" s="240">
        <v>0</v>
      </c>
      <c r="O59" s="240">
        <v>2200000</v>
      </c>
      <c r="P59" s="240">
        <v>0</v>
      </c>
      <c r="Q59" s="240">
        <v>0</v>
      </c>
      <c r="R59" s="198">
        <f t="shared" si="4"/>
        <v>2200000</v>
      </c>
      <c r="S59" s="294" t="s">
        <v>786</v>
      </c>
      <c r="T59" s="200"/>
      <c r="U59" s="239"/>
      <c r="V59" s="239"/>
      <c r="W59" s="239"/>
      <c r="BA59"/>
      <c r="BB59"/>
    </row>
    <row r="60" spans="1:54" s="190" customFormat="1" ht="14.25">
      <c r="A60" s="221"/>
      <c r="B60" s="180">
        <v>5004086291</v>
      </c>
      <c r="C60" s="183" t="str">
        <f>IFERROR(IF(VLOOKUP($B60,[1]勘定科目!$A:$H,HLOOKUP($E$5,[1]勘定科目!$F$1:$H$2,2,0),0)="","",VLOOKUP($B60,[1]勘定科目!$A:$E,2,0)),"")</f>
        <v>福利厚生費（製）</v>
      </c>
      <c r="D60" s="232" t="str">
        <f>IF(C60="","",VLOOKUP($B60,[1]勘定科目!$A:$E,4,0))</f>
        <v>福利厚生費</v>
      </c>
      <c r="E60" s="238"/>
      <c r="F60" s="193">
        <v>0</v>
      </c>
      <c r="G60" s="240">
        <v>0</v>
      </c>
      <c r="H60" s="240">
        <v>0</v>
      </c>
      <c r="I60" s="240">
        <v>0</v>
      </c>
      <c r="J60" s="240">
        <v>0</v>
      </c>
      <c r="K60" s="240">
        <v>0</v>
      </c>
      <c r="L60" s="240">
        <v>0</v>
      </c>
      <c r="M60" s="240">
        <v>0</v>
      </c>
      <c r="N60" s="240">
        <v>0</v>
      </c>
      <c r="O60" s="240">
        <v>0</v>
      </c>
      <c r="P60" s="240">
        <v>1100000</v>
      </c>
      <c r="Q60" s="240">
        <v>0</v>
      </c>
      <c r="R60" s="198">
        <f t="shared" si="4"/>
        <v>1100000</v>
      </c>
      <c r="S60" s="294" t="s">
        <v>787</v>
      </c>
      <c r="T60" s="200"/>
      <c r="U60" s="239"/>
      <c r="V60" s="239"/>
      <c r="W60" s="239"/>
      <c r="BA60"/>
      <c r="BB60"/>
    </row>
    <row r="61" spans="1:54" s="190" customFormat="1" ht="14.25">
      <c r="A61" s="221"/>
      <c r="B61" s="180">
        <v>5004086291</v>
      </c>
      <c r="C61" s="183" t="str">
        <f>IFERROR(IF(VLOOKUP($B61,[1]勘定科目!$A:$H,HLOOKUP($E$5,[1]勘定科目!$F$1:$H$2,2,0),0)="","",VLOOKUP($B61,[1]勘定科目!$A:$E,2,0)),"")</f>
        <v>福利厚生費（製）</v>
      </c>
      <c r="D61" s="232" t="str">
        <f>IF(C61="","",VLOOKUP($B61,[1]勘定科目!$A:$E,4,0))</f>
        <v>福利厚生費</v>
      </c>
      <c r="E61" s="238"/>
      <c r="F61" s="193">
        <v>0</v>
      </c>
      <c r="G61" s="240">
        <v>0</v>
      </c>
      <c r="H61" s="240">
        <v>0</v>
      </c>
      <c r="I61" s="240">
        <v>0</v>
      </c>
      <c r="J61" s="240">
        <v>0</v>
      </c>
      <c r="K61" s="240">
        <v>0</v>
      </c>
      <c r="L61" s="240">
        <v>0</v>
      </c>
      <c r="M61" s="240">
        <v>0</v>
      </c>
      <c r="N61" s="240">
        <v>0</v>
      </c>
      <c r="O61" s="240">
        <v>0</v>
      </c>
      <c r="P61" s="240">
        <v>0</v>
      </c>
      <c r="Q61" s="240">
        <v>0</v>
      </c>
      <c r="R61" s="198">
        <f t="shared" si="4"/>
        <v>0</v>
      </c>
      <c r="S61" s="294" t="s">
        <v>709</v>
      </c>
      <c r="T61" s="200"/>
      <c r="U61" s="239"/>
      <c r="V61" s="239"/>
      <c r="W61" s="239"/>
      <c r="BA61"/>
      <c r="BB61"/>
    </row>
    <row r="62" spans="1:54" s="190" customFormat="1" ht="14.25">
      <c r="A62" s="221"/>
      <c r="B62" s="180"/>
      <c r="C62" s="183" t="str">
        <f>IFERROR(IF(VLOOKUP($B62,[1]勘定科目!$A:$H,HLOOKUP($E$5,[1]勘定科目!$F$1:$H$2,2,0),0)="","",VLOOKUP($B62,[1]勘定科目!$A:$E,2,0)),"")</f>
        <v/>
      </c>
      <c r="D62" s="232" t="str">
        <f>IF(C62="","",VLOOKUP($B62,[1]勘定科目!$A:$E,4,0))</f>
        <v/>
      </c>
      <c r="E62" s="238"/>
      <c r="F62" s="193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198">
        <f t="shared" si="4"/>
        <v>0</v>
      </c>
      <c r="S62" s="305" t="s">
        <v>710</v>
      </c>
      <c r="T62" s="200"/>
      <c r="U62" s="239"/>
      <c r="V62" s="239"/>
      <c r="W62" s="239"/>
      <c r="BA62"/>
      <c r="BB62"/>
    </row>
    <row r="63" spans="1:54" s="190" customFormat="1" ht="14.25">
      <c r="A63" s="221"/>
      <c r="B63" s="180">
        <v>5005246281</v>
      </c>
      <c r="C63" s="183" t="str">
        <f>IFERROR(IF(VLOOKUP($B63,[1]勘定科目!$A:$H,HLOOKUP($E$5,[1]勘定科目!$F$1:$H$2,2,0),0)="","",VLOOKUP($B63,[1]勘定科目!$A:$E,2,0)),"")</f>
        <v>図書印刷費（製）</v>
      </c>
      <c r="D63" s="232" t="str">
        <f>IF(C63="","",VLOOKUP($B63,[1]勘定科目!$A:$E,4,0))</f>
        <v>図書及び事務費</v>
      </c>
      <c r="E63" s="238"/>
      <c r="F63" s="193">
        <v>0</v>
      </c>
      <c r="G63" s="240">
        <v>0</v>
      </c>
      <c r="H63" s="240">
        <v>0</v>
      </c>
      <c r="I63" s="240">
        <v>0</v>
      </c>
      <c r="J63" s="240">
        <v>0</v>
      </c>
      <c r="K63" s="240">
        <v>0</v>
      </c>
      <c r="L63" s="240">
        <v>0</v>
      </c>
      <c r="M63" s="240">
        <v>16775</v>
      </c>
      <c r="N63" s="240">
        <v>0</v>
      </c>
      <c r="O63" s="240">
        <v>0</v>
      </c>
      <c r="P63" s="240">
        <v>0</v>
      </c>
      <c r="Q63" s="240">
        <v>0</v>
      </c>
      <c r="R63" s="198">
        <f t="shared" si="4"/>
        <v>16775</v>
      </c>
      <c r="S63" s="294" t="s">
        <v>711</v>
      </c>
      <c r="T63" s="200"/>
      <c r="U63" s="239"/>
      <c r="V63" s="239"/>
      <c r="W63" s="239"/>
      <c r="BA63"/>
      <c r="BB63"/>
    </row>
    <row r="64" spans="1:54" s="190" customFormat="1" ht="14.25">
      <c r="A64" s="221"/>
      <c r="B64" s="180">
        <v>5004086291</v>
      </c>
      <c r="C64" s="183" t="str">
        <f>IFERROR(IF(VLOOKUP($B64,[1]勘定科目!$A:$H,HLOOKUP($E$5,[1]勘定科目!$F$1:$H$2,2,0),0)="","",VLOOKUP($B64,[1]勘定科目!$A:$E,2,0)),"")</f>
        <v>福利厚生費（製）</v>
      </c>
      <c r="D64" s="232" t="str">
        <f>IF(C64="","",VLOOKUP($B64,[1]勘定科目!$A:$E,4,0))</f>
        <v>福利厚生費</v>
      </c>
      <c r="E64" s="238"/>
      <c r="F64" s="193">
        <v>0</v>
      </c>
      <c r="G64" s="240">
        <v>0</v>
      </c>
      <c r="H64" s="240">
        <v>0</v>
      </c>
      <c r="I64" s="240">
        <v>200000</v>
      </c>
      <c r="J64" s="240">
        <v>0</v>
      </c>
      <c r="K64" s="240">
        <v>0</v>
      </c>
      <c r="L64" s="240">
        <v>0</v>
      </c>
      <c r="M64" s="240">
        <v>0</v>
      </c>
      <c r="N64" s="240">
        <v>0</v>
      </c>
      <c r="O64" s="240">
        <v>0</v>
      </c>
      <c r="P64" s="240">
        <v>0</v>
      </c>
      <c r="Q64" s="240">
        <v>0</v>
      </c>
      <c r="R64" s="198">
        <f t="shared" si="4"/>
        <v>200000</v>
      </c>
      <c r="S64" s="294" t="s">
        <v>788</v>
      </c>
      <c r="T64" s="200"/>
      <c r="U64" s="239"/>
      <c r="V64" s="239"/>
      <c r="W64" s="239"/>
      <c r="BA64"/>
      <c r="BB64"/>
    </row>
    <row r="65" spans="1:54" s="190" customFormat="1" ht="14.25">
      <c r="A65" s="221"/>
      <c r="B65" s="180">
        <v>5004086291</v>
      </c>
      <c r="C65" s="183" t="str">
        <f>IFERROR(IF(VLOOKUP($B65,[1]勘定科目!$A:$H,HLOOKUP($E$5,[1]勘定科目!$F$1:$H$2,2,0),0)="","",VLOOKUP($B65,[1]勘定科目!$A:$E,2,0)),"")</f>
        <v>福利厚生費（製）</v>
      </c>
      <c r="D65" s="232" t="str">
        <f>IF(C65="","",VLOOKUP($B65,[1]勘定科目!$A:$E,4,0))</f>
        <v>福利厚生費</v>
      </c>
      <c r="E65" s="238"/>
      <c r="F65" s="193">
        <v>0</v>
      </c>
      <c r="G65" s="240">
        <v>0</v>
      </c>
      <c r="H65" s="240">
        <v>0</v>
      </c>
      <c r="I65" s="240">
        <v>0</v>
      </c>
      <c r="J65" s="240">
        <v>0</v>
      </c>
      <c r="K65" s="240">
        <v>0</v>
      </c>
      <c r="L65" s="240">
        <v>0</v>
      </c>
      <c r="M65" s="240">
        <v>0</v>
      </c>
      <c r="N65" s="240">
        <v>1260000</v>
      </c>
      <c r="O65" s="240">
        <v>0</v>
      </c>
      <c r="P65" s="240">
        <v>0</v>
      </c>
      <c r="Q65" s="240">
        <v>0</v>
      </c>
      <c r="R65" s="198">
        <f t="shared" si="4"/>
        <v>1260000</v>
      </c>
      <c r="S65" s="294" t="s">
        <v>789</v>
      </c>
      <c r="T65" s="200"/>
      <c r="U65" s="239"/>
      <c r="V65" s="239"/>
      <c r="W65" s="239"/>
      <c r="BA65"/>
      <c r="BB65"/>
    </row>
    <row r="66" spans="1:54" s="190" customFormat="1" ht="14.25">
      <c r="A66" s="221"/>
      <c r="B66" s="180">
        <v>5004086291</v>
      </c>
      <c r="C66" s="183" t="str">
        <f>IFERROR(IF(VLOOKUP($B66,[1]勘定科目!$A:$H,HLOOKUP($E$5,[1]勘定科目!$F$1:$H$2,2,0),0)="","",VLOOKUP($B66,[1]勘定科目!$A:$E,2,0)),"")</f>
        <v>福利厚生費（製）</v>
      </c>
      <c r="D66" s="232" t="str">
        <f>IF(C66="","",VLOOKUP($B66,[1]勘定科目!$A:$E,4,0))</f>
        <v>福利厚生費</v>
      </c>
      <c r="E66" s="238"/>
      <c r="F66" s="193">
        <v>0</v>
      </c>
      <c r="G66" s="240">
        <v>0</v>
      </c>
      <c r="H66" s="240">
        <v>0</v>
      </c>
      <c r="I66" s="240">
        <v>0</v>
      </c>
      <c r="J66" s="240">
        <v>0</v>
      </c>
      <c r="K66" s="240">
        <v>0</v>
      </c>
      <c r="L66" s="240">
        <v>0</v>
      </c>
      <c r="M66" s="240">
        <v>0</v>
      </c>
      <c r="N66" s="240">
        <v>675000</v>
      </c>
      <c r="O66" s="240">
        <v>0</v>
      </c>
      <c r="P66" s="240">
        <v>0</v>
      </c>
      <c r="Q66" s="240">
        <v>0</v>
      </c>
      <c r="R66" s="198">
        <f t="shared" si="4"/>
        <v>675000</v>
      </c>
      <c r="S66" s="294" t="s">
        <v>790</v>
      </c>
      <c r="T66" s="200"/>
      <c r="U66" s="239"/>
      <c r="V66" s="239"/>
      <c r="W66" s="239"/>
      <c r="BA66"/>
      <c r="BB66"/>
    </row>
    <row r="67" spans="1:54" s="190" customFormat="1" ht="14.25">
      <c r="A67" s="221"/>
      <c r="B67" s="180"/>
      <c r="C67" s="183" t="str">
        <f>IFERROR(IF(VLOOKUP($B67,[1]勘定科目!$A:$H,HLOOKUP($E$5,[1]勘定科目!$F$1:$H$2,2,0),0)="","",VLOOKUP($B67,[1]勘定科目!$A:$E,2,0)),"")</f>
        <v/>
      </c>
      <c r="D67" s="232" t="str">
        <f>IF(C67="","",VLOOKUP($B67,[1]勘定科目!$A:$E,4,0))</f>
        <v/>
      </c>
      <c r="E67" s="238"/>
      <c r="F67" s="193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198">
        <f t="shared" si="4"/>
        <v>0</v>
      </c>
      <c r="S67" s="294"/>
      <c r="T67" s="200"/>
      <c r="U67" s="239"/>
      <c r="V67" s="239"/>
      <c r="W67" s="239"/>
      <c r="BA67"/>
      <c r="BB67"/>
    </row>
    <row r="68" spans="1:54" s="190" customFormat="1" ht="16.5">
      <c r="A68" s="221"/>
      <c r="B68" s="180"/>
      <c r="C68" s="183" t="str">
        <f>IFERROR(IF(VLOOKUP($B68,[1]勘定科目!$A:$H,HLOOKUP($E$5,[1]勘定科目!$F$1:$H$2,2,0),0)="","",VLOOKUP($B68,[1]勘定科目!$A:$E,2,0)),"")</f>
        <v/>
      </c>
      <c r="D68" s="232" t="str">
        <f>IF(C68="","",VLOOKUP($B68,[1]勘定科目!$A:$E,4,0))</f>
        <v/>
      </c>
      <c r="E68" s="238"/>
      <c r="F68" s="193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198">
        <f t="shared" si="4"/>
        <v>0</v>
      </c>
      <c r="S68" s="303" t="s">
        <v>712</v>
      </c>
      <c r="T68" s="200"/>
      <c r="U68" s="239"/>
      <c r="V68" s="239"/>
      <c r="W68" s="239"/>
      <c r="BA68"/>
      <c r="BB68"/>
    </row>
    <row r="69" spans="1:54" s="190" customFormat="1" ht="14.25">
      <c r="A69" s="221"/>
      <c r="B69" s="180">
        <v>5005246282</v>
      </c>
      <c r="C69" s="183" t="str">
        <f>IFERROR(IF(VLOOKUP($B69,[1]勘定科目!$A:$H,HLOOKUP($E$5,[1]勘定科目!$F$1:$H$2,2,0),0)="","",VLOOKUP($B69,[1]勘定科目!$A:$E,2,0)),"")</f>
        <v>ＫＤＣシステム使用料（製）</v>
      </c>
      <c r="D69" s="232" t="str">
        <f>IF(C69="","",VLOOKUP($B69,[1]勘定科目!$A:$E,4,0))</f>
        <v>図書及び事務費</v>
      </c>
      <c r="E69" s="238"/>
      <c r="F69" s="193">
        <v>1687104</v>
      </c>
      <c r="G69" s="240">
        <v>1847462</v>
      </c>
      <c r="H69" s="240">
        <v>1847462</v>
      </c>
      <c r="I69" s="240">
        <v>1847462</v>
      </c>
      <c r="J69" s="240">
        <v>1847462</v>
      </c>
      <c r="K69" s="240">
        <v>2032209</v>
      </c>
      <c r="L69" s="240">
        <v>2032209</v>
      </c>
      <c r="M69" s="240">
        <v>2032209</v>
      </c>
      <c r="N69" s="240">
        <v>2032209</v>
      </c>
      <c r="O69" s="240">
        <v>2032209</v>
      </c>
      <c r="P69" s="240">
        <v>2032209</v>
      </c>
      <c r="Q69" s="240">
        <v>2032209</v>
      </c>
      <c r="R69" s="198">
        <f t="shared" si="4"/>
        <v>23302415</v>
      </c>
      <c r="S69" s="294" t="s">
        <v>791</v>
      </c>
      <c r="T69" s="200"/>
      <c r="U69" s="239"/>
      <c r="V69" s="239"/>
      <c r="W69" s="239"/>
      <c r="BA69"/>
      <c r="BB69"/>
    </row>
    <row r="70" spans="1:54" s="190" customFormat="1" ht="14.25">
      <c r="A70" s="221"/>
      <c r="B70" s="180">
        <v>5005246282</v>
      </c>
      <c r="C70" s="183" t="str">
        <f>IFERROR(IF(VLOOKUP($B70,[1]勘定科目!$A:$H,HLOOKUP($E$5,[1]勘定科目!$F$1:$H$2,2,0),0)="","",VLOOKUP($B70,[1]勘定科目!$A:$E,2,0)),"")</f>
        <v>ＫＤＣシステム使用料（製）</v>
      </c>
      <c r="D70" s="232" t="str">
        <f>IF(C70="","",VLOOKUP($B70,[1]勘定科目!$A:$E,4,0))</f>
        <v>図書及び事務費</v>
      </c>
      <c r="E70" s="238"/>
      <c r="F70" s="193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198">
        <f t="shared" si="4"/>
        <v>0</v>
      </c>
      <c r="S70" s="294" t="s">
        <v>792</v>
      </c>
      <c r="T70" s="200"/>
      <c r="U70" s="239"/>
      <c r="V70" s="239"/>
      <c r="W70" s="239"/>
      <c r="BA70"/>
      <c r="BB70"/>
    </row>
    <row r="71" spans="1:54" s="190" customFormat="1" ht="14.25">
      <c r="A71" s="221"/>
      <c r="B71" s="180">
        <v>5005246282</v>
      </c>
      <c r="C71" s="183" t="str">
        <f>IFERROR(IF(VLOOKUP($B71,[1]勘定科目!$A:$H,HLOOKUP($E$5,[1]勘定科目!$F$1:$H$2,2,0),0)="","",VLOOKUP($B71,[1]勘定科目!$A:$E,2,0)),"")</f>
        <v>ＫＤＣシステム使用料（製）</v>
      </c>
      <c r="D71" s="232" t="str">
        <f>IF(C71="","",VLOOKUP($B71,[1]勘定科目!$A:$E,4,0))</f>
        <v>図書及び事務費</v>
      </c>
      <c r="E71" s="238"/>
      <c r="F71" s="193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198">
        <f t="shared" si="4"/>
        <v>0</v>
      </c>
      <c r="S71" s="294" t="s">
        <v>793</v>
      </c>
      <c r="T71" s="200"/>
      <c r="U71" s="239"/>
      <c r="V71" s="239"/>
      <c r="W71" s="239"/>
      <c r="BA71"/>
      <c r="BB71"/>
    </row>
    <row r="72" spans="1:54" s="190" customFormat="1" ht="14.25">
      <c r="A72" s="221"/>
      <c r="B72" s="180">
        <v>5005246282</v>
      </c>
      <c r="C72" s="183" t="str">
        <f>IFERROR(IF(VLOOKUP($B72,[1]勘定科目!$A:$H,HLOOKUP($E$5,[1]勘定科目!$F$1:$H$2,2,0),0)="","",VLOOKUP($B72,[1]勘定科目!$A:$E,2,0)),"")</f>
        <v>ＫＤＣシステム使用料（製）</v>
      </c>
      <c r="D72" s="232" t="str">
        <f>IF(C72="","",VLOOKUP($B72,[1]勘定科目!$A:$E,4,0))</f>
        <v>図書及び事務費</v>
      </c>
      <c r="E72" s="238"/>
      <c r="F72" s="193">
        <v>167040</v>
      </c>
      <c r="G72" s="240">
        <v>167040</v>
      </c>
      <c r="H72" s="240">
        <v>167040</v>
      </c>
      <c r="I72" s="240">
        <v>167040</v>
      </c>
      <c r="J72" s="240">
        <v>167040</v>
      </c>
      <c r="K72" s="240">
        <v>167040</v>
      </c>
      <c r="L72" s="240">
        <v>167040</v>
      </c>
      <c r="M72" s="240">
        <v>167040</v>
      </c>
      <c r="N72" s="240">
        <v>167040</v>
      </c>
      <c r="O72" s="240">
        <v>167040</v>
      </c>
      <c r="P72" s="240">
        <v>167040</v>
      </c>
      <c r="Q72" s="240">
        <v>167040</v>
      </c>
      <c r="R72" s="198">
        <f t="shared" si="4"/>
        <v>2004480</v>
      </c>
      <c r="S72" s="294" t="s">
        <v>794</v>
      </c>
      <c r="T72" s="200"/>
      <c r="U72" s="239"/>
      <c r="V72" s="239"/>
      <c r="W72" s="239"/>
      <c r="BA72"/>
      <c r="BB72"/>
    </row>
    <row r="73" spans="1:54" s="190" customFormat="1" ht="14.25">
      <c r="A73" s="221"/>
      <c r="B73" s="180">
        <v>5005246282</v>
      </c>
      <c r="C73" s="183" t="str">
        <f>IFERROR(IF(VLOOKUP($B73,[1]勘定科目!$A:$H,HLOOKUP($E$5,[1]勘定科目!$F$1:$H$2,2,0),0)="","",VLOOKUP($B73,[1]勘定科目!$A:$E,2,0)),"")</f>
        <v>ＫＤＣシステム使用料（製）</v>
      </c>
      <c r="D73" s="232" t="str">
        <f>IF(C73="","",VLOOKUP($B73,[1]勘定科目!$A:$E,4,0))</f>
        <v>図書及び事務費</v>
      </c>
      <c r="E73" s="238"/>
      <c r="F73" s="193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198">
        <f t="shared" si="4"/>
        <v>0</v>
      </c>
      <c r="S73" s="306" t="s">
        <v>795</v>
      </c>
      <c r="T73" s="200"/>
      <c r="U73" s="239"/>
      <c r="V73" s="239"/>
      <c r="W73" s="239"/>
      <c r="BA73"/>
      <c r="BB73"/>
    </row>
    <row r="74" spans="1:54" s="190" customFormat="1" ht="14.25">
      <c r="A74" s="221"/>
      <c r="B74" s="180">
        <v>5005246282</v>
      </c>
      <c r="C74" s="183" t="str">
        <f>IFERROR(IF(VLOOKUP($B74,[1]勘定科目!$A:$H,HLOOKUP($E$5,[1]勘定科目!$F$1:$H$2,2,0),0)="","",VLOOKUP($B74,[1]勘定科目!$A:$E,2,0)),"")</f>
        <v>ＫＤＣシステム使用料（製）</v>
      </c>
      <c r="D74" s="232" t="str">
        <f>IF(C74="","",VLOOKUP($B74,[1]勘定科目!$A:$E,4,0))</f>
        <v>図書及び事務費</v>
      </c>
      <c r="E74" s="238"/>
      <c r="F74" s="193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198">
        <f t="shared" si="4"/>
        <v>0</v>
      </c>
      <c r="S74" s="306" t="s">
        <v>796</v>
      </c>
      <c r="T74" s="200"/>
      <c r="U74" s="239"/>
      <c r="V74" s="239"/>
      <c r="W74" s="239"/>
      <c r="BA74"/>
      <c r="BB74"/>
    </row>
    <row r="75" spans="1:54" s="190" customFormat="1" ht="14.25">
      <c r="A75" s="221"/>
      <c r="B75" s="180">
        <v>5005246282</v>
      </c>
      <c r="C75" s="183" t="str">
        <f>IFERROR(IF(VLOOKUP($B75,[1]勘定科目!$A:$H,HLOOKUP($E$5,[1]勘定科目!$F$1:$H$2,2,0),0)="","",VLOOKUP($B75,[1]勘定科目!$A:$E,2,0)),"")</f>
        <v>ＫＤＣシステム使用料（製）</v>
      </c>
      <c r="D75" s="232" t="str">
        <f>IF(C75="","",VLOOKUP($B75,[1]勘定科目!$A:$E,4,0))</f>
        <v>図書及び事務費</v>
      </c>
      <c r="E75" s="238"/>
      <c r="F75" s="193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198">
        <f t="shared" si="4"/>
        <v>0</v>
      </c>
      <c r="S75" s="307" t="s">
        <v>713</v>
      </c>
      <c r="T75" s="200"/>
      <c r="U75" s="239"/>
      <c r="V75" s="239"/>
      <c r="W75" s="239"/>
      <c r="BA75"/>
      <c r="BB75"/>
    </row>
    <row r="76" spans="1:54" s="190" customFormat="1" ht="14.25">
      <c r="A76" s="221"/>
      <c r="B76" s="180">
        <v>5005046283</v>
      </c>
      <c r="C76" s="183" t="str">
        <f>IFERROR(IF(VLOOKUP($B76,[1]勘定科目!$A:$H,HLOOKUP($E$5,[1]勘定科目!$F$1:$H$2,2,0),0)="","",VLOOKUP($B76,[1]勘定科目!$A:$E,2,0)),"")</f>
        <v>年間保守料（製）</v>
      </c>
      <c r="D76" s="232" t="str">
        <f>IF(C76="","",VLOOKUP($B76,[1]勘定科目!$A:$E,4,0))</f>
        <v>修繕費</v>
      </c>
      <c r="E76" s="238"/>
      <c r="F76" s="193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198">
        <f t="shared" si="4"/>
        <v>0</v>
      </c>
      <c r="S76" s="307" t="s">
        <v>714</v>
      </c>
      <c r="T76" s="200"/>
      <c r="U76" s="239"/>
      <c r="V76" s="239"/>
      <c r="W76" s="239"/>
      <c r="BA76"/>
      <c r="BB76"/>
    </row>
    <row r="77" spans="1:54" s="190" customFormat="1" ht="14.25">
      <c r="A77" s="221"/>
      <c r="B77" s="180"/>
      <c r="C77" s="183" t="str">
        <f>IFERROR(IF(VLOOKUP($B77,[1]勘定科目!$A:$H,HLOOKUP($E$5,[1]勘定科目!$F$1:$H$2,2,0),0)="","",VLOOKUP($B77,[1]勘定科目!$A:$E,2,0)),"")</f>
        <v/>
      </c>
      <c r="D77" s="232" t="str">
        <f>IF(C77="","",VLOOKUP($B77,[1]勘定科目!$A:$E,4,0))</f>
        <v/>
      </c>
      <c r="E77" s="238"/>
      <c r="F77" s="193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198">
        <f t="shared" si="4"/>
        <v>0</v>
      </c>
      <c r="S77" s="294"/>
      <c r="T77" s="200"/>
      <c r="U77" s="239"/>
      <c r="V77" s="239"/>
      <c r="W77" s="239"/>
      <c r="BA77"/>
      <c r="BB77"/>
    </row>
    <row r="78" spans="1:54" s="190" customFormat="1" ht="16.5">
      <c r="A78" s="221"/>
      <c r="B78" s="180"/>
      <c r="C78" s="183" t="str">
        <f>IFERROR(IF(VLOOKUP($B78,[1]勘定科目!$A:$H,HLOOKUP($E$5,[1]勘定科目!$F$1:$H$2,2,0),0)="","",VLOOKUP($B78,[1]勘定科目!$A:$E,2,0)),"")</f>
        <v/>
      </c>
      <c r="D78" s="232" t="str">
        <f>IF(C78="","",VLOOKUP($B78,[1]勘定科目!$A:$E,4,0))</f>
        <v/>
      </c>
      <c r="E78" s="238"/>
      <c r="F78" s="193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198">
        <f t="shared" si="4"/>
        <v>0</v>
      </c>
      <c r="S78" s="303" t="s">
        <v>715</v>
      </c>
      <c r="T78" s="200"/>
      <c r="U78" s="239"/>
      <c r="V78" s="239"/>
      <c r="W78" s="239"/>
      <c r="BA78"/>
      <c r="BB78"/>
    </row>
    <row r="79" spans="1:54" s="190" customFormat="1" ht="14.25">
      <c r="A79" s="221"/>
      <c r="B79" s="180">
        <v>5005246281</v>
      </c>
      <c r="C79" s="183" t="str">
        <f>IFERROR(IF(VLOOKUP($B79,[1]勘定科目!$A:$H,HLOOKUP($E$5,[1]勘定科目!$F$1:$H$2,2,0),0)="","",VLOOKUP($B79,[1]勘定科目!$A:$E,2,0)),"")</f>
        <v>図書印刷費（製）</v>
      </c>
      <c r="D79" s="232" t="str">
        <f>IF(C79="","",VLOOKUP($B79,[1]勘定科目!$A:$E,4,0))</f>
        <v>図書及び事務費</v>
      </c>
      <c r="E79" s="238"/>
      <c r="F79" s="193"/>
      <c r="G79" s="240"/>
      <c r="H79" s="240"/>
      <c r="I79" s="240">
        <v>0</v>
      </c>
      <c r="J79" s="240">
        <v>66500</v>
      </c>
      <c r="K79" s="240">
        <v>0</v>
      </c>
      <c r="L79" s="240">
        <v>0</v>
      </c>
      <c r="M79" s="240"/>
      <c r="N79" s="240">
        <v>0</v>
      </c>
      <c r="O79" s="240">
        <v>0</v>
      </c>
      <c r="P79" s="240">
        <v>0</v>
      </c>
      <c r="Q79" s="240">
        <v>0</v>
      </c>
      <c r="R79" s="198">
        <f t="shared" si="4"/>
        <v>66500</v>
      </c>
      <c r="S79" s="294" t="s">
        <v>716</v>
      </c>
      <c r="T79" s="200"/>
      <c r="U79" s="239"/>
      <c r="V79" s="239"/>
      <c r="W79" s="239"/>
      <c r="BA79"/>
      <c r="BB79"/>
    </row>
    <row r="80" spans="1:54" s="190" customFormat="1" ht="14.25">
      <c r="A80" s="221"/>
      <c r="B80" s="180">
        <v>5005246281</v>
      </c>
      <c r="C80" s="183" t="str">
        <f>IFERROR(IF(VLOOKUP($B80,[1]勘定科目!$A:$H,HLOOKUP($E$5,[1]勘定科目!$F$1:$H$2,2,0),0)="","",VLOOKUP($B80,[1]勘定科目!$A:$E,2,0)),"")</f>
        <v>図書印刷費（製）</v>
      </c>
      <c r="D80" s="232" t="str">
        <f>IF(C80="","",VLOOKUP($B80,[1]勘定科目!$A:$E,4,0))</f>
        <v>図書及び事務費</v>
      </c>
      <c r="E80" s="238"/>
      <c r="F80" s="193"/>
      <c r="G80" s="240"/>
      <c r="H80" s="240"/>
      <c r="I80" s="240">
        <v>0</v>
      </c>
      <c r="J80" s="240">
        <v>3400</v>
      </c>
      <c r="K80" s="240">
        <v>0</v>
      </c>
      <c r="L80" s="240">
        <v>0</v>
      </c>
      <c r="M80" s="240"/>
      <c r="N80" s="240">
        <v>0</v>
      </c>
      <c r="O80" s="240">
        <v>0</v>
      </c>
      <c r="P80" s="240">
        <v>0</v>
      </c>
      <c r="Q80" s="240">
        <v>0</v>
      </c>
      <c r="R80" s="198">
        <f t="shared" si="4"/>
        <v>3400</v>
      </c>
      <c r="S80" s="294" t="s">
        <v>717</v>
      </c>
      <c r="T80" s="200"/>
      <c r="U80" s="239"/>
      <c r="V80" s="239"/>
      <c r="W80" s="239"/>
      <c r="BA80"/>
      <c r="BB80"/>
    </row>
    <row r="81" spans="1:54" s="190" customFormat="1" ht="14.25">
      <c r="A81" s="221"/>
      <c r="B81" s="180">
        <v>5005246288</v>
      </c>
      <c r="C81" s="183" t="str">
        <f>IFERROR(IF(VLOOKUP($B81,[1]勘定科目!$A:$H,HLOOKUP($E$5,[1]勘定科目!$F$1:$H$2,2,0),0)="","",VLOOKUP($B81,[1]勘定科目!$A:$E,2,0)),"")</f>
        <v>事務用品費（製）</v>
      </c>
      <c r="D81" s="232" t="str">
        <f>IF(C81="","",VLOOKUP($B81,[1]勘定科目!$A:$E,4,0))</f>
        <v>図書及び事務費</v>
      </c>
      <c r="E81" s="238"/>
      <c r="F81" s="193"/>
      <c r="G81" s="240"/>
      <c r="H81" s="240"/>
      <c r="I81" s="240">
        <v>0</v>
      </c>
      <c r="J81" s="240">
        <v>2200</v>
      </c>
      <c r="K81" s="240">
        <v>0</v>
      </c>
      <c r="L81" s="240">
        <v>0</v>
      </c>
      <c r="M81" s="240"/>
      <c r="N81" s="240">
        <v>0</v>
      </c>
      <c r="O81" s="240">
        <v>0</v>
      </c>
      <c r="P81" s="240">
        <v>0</v>
      </c>
      <c r="Q81" s="240">
        <v>0</v>
      </c>
      <c r="R81" s="198">
        <f t="shared" si="4"/>
        <v>2200</v>
      </c>
      <c r="S81" s="294" t="s">
        <v>718</v>
      </c>
      <c r="T81" s="200"/>
      <c r="U81" s="239"/>
      <c r="V81" s="239"/>
      <c r="W81" s="239"/>
      <c r="BA81"/>
      <c r="BB81"/>
    </row>
    <row r="82" spans="1:54" s="190" customFormat="1" ht="14.25">
      <c r="A82" s="221"/>
      <c r="B82" s="180">
        <v>5005246288</v>
      </c>
      <c r="C82" s="183" t="str">
        <f>IFERROR(IF(VLOOKUP($B82,[1]勘定科目!$A:$H,HLOOKUP($E$5,[1]勘定科目!$F$1:$H$2,2,0),0)="","",VLOOKUP($B82,[1]勘定科目!$A:$E,2,0)),"")</f>
        <v>事務用品費（製）</v>
      </c>
      <c r="D82" s="232" t="str">
        <f>IF(C82="","",VLOOKUP($B82,[1]勘定科目!$A:$E,4,0))</f>
        <v>図書及び事務費</v>
      </c>
      <c r="E82" s="238"/>
      <c r="F82" s="193"/>
      <c r="G82" s="240"/>
      <c r="H82" s="240"/>
      <c r="I82" s="240">
        <v>0</v>
      </c>
      <c r="J82" s="240">
        <v>9100</v>
      </c>
      <c r="K82" s="240">
        <v>0</v>
      </c>
      <c r="L82" s="240">
        <v>0</v>
      </c>
      <c r="M82" s="240"/>
      <c r="N82" s="240">
        <v>0</v>
      </c>
      <c r="O82" s="240">
        <v>0</v>
      </c>
      <c r="P82" s="240">
        <v>0</v>
      </c>
      <c r="Q82" s="240">
        <v>0</v>
      </c>
      <c r="R82" s="198">
        <f t="shared" si="4"/>
        <v>9100</v>
      </c>
      <c r="S82" s="294" t="s">
        <v>719</v>
      </c>
      <c r="T82" s="200"/>
      <c r="U82" s="239"/>
      <c r="V82" s="239"/>
      <c r="W82" s="239"/>
      <c r="BA82"/>
      <c r="BB82"/>
    </row>
    <row r="83" spans="1:54" s="190" customFormat="1" ht="14.25">
      <c r="A83" s="221"/>
      <c r="B83" s="180">
        <v>5005246281</v>
      </c>
      <c r="C83" s="183" t="str">
        <f>IFERROR(IF(VLOOKUP($B83,[1]勘定科目!$A:$H,HLOOKUP($E$5,[1]勘定科目!$F$1:$H$2,2,0),0)="","",VLOOKUP($B83,[1]勘定科目!$A:$E,2,0)),"")</f>
        <v>図書印刷費（製）</v>
      </c>
      <c r="D83" s="232" t="str">
        <f>IF(C83="","",VLOOKUP($B83,[1]勘定科目!$A:$E,4,0))</f>
        <v>図書及び事務費</v>
      </c>
      <c r="E83" s="238"/>
      <c r="F83" s="193"/>
      <c r="G83" s="240"/>
      <c r="H83" s="240"/>
      <c r="I83" s="240">
        <v>0</v>
      </c>
      <c r="J83" s="240">
        <v>12000</v>
      </c>
      <c r="K83" s="240">
        <v>0</v>
      </c>
      <c r="L83" s="240">
        <v>0</v>
      </c>
      <c r="M83" s="240"/>
      <c r="N83" s="240">
        <v>0</v>
      </c>
      <c r="O83" s="240">
        <v>0</v>
      </c>
      <c r="P83" s="240">
        <v>0</v>
      </c>
      <c r="Q83" s="240">
        <v>0</v>
      </c>
      <c r="R83" s="198">
        <f t="shared" si="4"/>
        <v>12000</v>
      </c>
      <c r="S83" s="294" t="s">
        <v>720</v>
      </c>
      <c r="T83" s="200"/>
      <c r="U83" s="239"/>
      <c r="V83" s="239"/>
      <c r="W83" s="239"/>
      <c r="BA83"/>
      <c r="BB83"/>
    </row>
    <row r="84" spans="1:54" s="190" customFormat="1" ht="14.25">
      <c r="A84" s="221"/>
      <c r="B84" s="180">
        <v>5004086291</v>
      </c>
      <c r="C84" s="183" t="str">
        <f>IFERROR(IF(VLOOKUP($B84,[1]勘定科目!$A:$H,HLOOKUP($E$5,[1]勘定科目!$F$1:$H$2,2,0),0)="","",VLOOKUP($B84,[1]勘定科目!$A:$E,2,0)),"")</f>
        <v>福利厚生費（製）</v>
      </c>
      <c r="D84" s="232" t="str">
        <f>IF(C84="","",VLOOKUP($B84,[1]勘定科目!$A:$E,4,0))</f>
        <v>福利厚生費</v>
      </c>
      <c r="E84" s="238"/>
      <c r="F84" s="193"/>
      <c r="G84" s="240"/>
      <c r="H84" s="240"/>
      <c r="I84" s="240">
        <v>210000</v>
      </c>
      <c r="J84" s="240">
        <v>0</v>
      </c>
      <c r="K84" s="240"/>
      <c r="L84" s="240"/>
      <c r="M84" s="240"/>
      <c r="N84" s="240">
        <v>0</v>
      </c>
      <c r="O84" s="240">
        <v>0</v>
      </c>
      <c r="P84" s="240">
        <v>0</v>
      </c>
      <c r="Q84" s="240">
        <v>0</v>
      </c>
      <c r="R84" s="198">
        <f t="shared" si="4"/>
        <v>210000</v>
      </c>
      <c r="S84" s="308" t="s">
        <v>797</v>
      </c>
      <c r="T84" s="200"/>
      <c r="U84" s="239"/>
      <c r="V84" s="239"/>
      <c r="W84" s="239"/>
      <c r="BA84"/>
      <c r="BB84"/>
    </row>
    <row r="85" spans="1:54" s="190" customFormat="1" ht="14.25">
      <c r="A85" s="221"/>
      <c r="B85" s="180">
        <v>5004086291</v>
      </c>
      <c r="C85" s="183" t="str">
        <f>IFERROR(IF(VLOOKUP($B85,[1]勘定科目!$A:$H,HLOOKUP($E$5,[1]勘定科目!$F$1:$H$2,2,0),0)="","",VLOOKUP($B85,[1]勘定科目!$A:$E,2,0)),"")</f>
        <v>福利厚生費（製）</v>
      </c>
      <c r="D85" s="232" t="str">
        <f>IF(C85="","",VLOOKUP($B85,[1]勘定科目!$A:$E,4,0))</f>
        <v>福利厚生費</v>
      </c>
      <c r="E85" s="238"/>
      <c r="F85" s="193"/>
      <c r="G85" s="240"/>
      <c r="H85" s="240"/>
      <c r="I85" s="240">
        <v>0</v>
      </c>
      <c r="J85" s="240"/>
      <c r="K85" s="240"/>
      <c r="L85" s="240"/>
      <c r="M85" s="240"/>
      <c r="N85" s="240"/>
      <c r="O85" s="240"/>
      <c r="P85" s="240"/>
      <c r="Q85" s="240"/>
      <c r="R85" s="198">
        <f t="shared" si="4"/>
        <v>0</v>
      </c>
      <c r="S85" s="308" t="s">
        <v>798</v>
      </c>
      <c r="T85" s="200"/>
      <c r="U85" s="239"/>
      <c r="V85" s="239"/>
      <c r="W85" s="239"/>
      <c r="BA85"/>
      <c r="BB85"/>
    </row>
    <row r="86" spans="1:54" s="190" customFormat="1" ht="14.25">
      <c r="A86" s="221"/>
      <c r="B86" s="180">
        <v>5004086291</v>
      </c>
      <c r="C86" s="183" t="str">
        <f>IFERROR(IF(VLOOKUP($B86,[1]勘定科目!$A:$H,HLOOKUP($E$5,[1]勘定科目!$F$1:$H$2,2,0),0)="","",VLOOKUP($B86,[1]勘定科目!$A:$E,2,0)),"")</f>
        <v>福利厚生費（製）</v>
      </c>
      <c r="D86" s="232" t="str">
        <f>IF(C86="","",VLOOKUP($B86,[1]勘定科目!$A:$E,4,0))</f>
        <v>福利厚生費</v>
      </c>
      <c r="E86" s="238"/>
      <c r="F86" s="193"/>
      <c r="G86" s="240"/>
      <c r="H86" s="240"/>
      <c r="I86" s="240">
        <v>0</v>
      </c>
      <c r="J86" s="240">
        <v>37000</v>
      </c>
      <c r="K86" s="240">
        <v>0</v>
      </c>
      <c r="L86" s="240">
        <v>0</v>
      </c>
      <c r="M86" s="240"/>
      <c r="N86" s="240">
        <v>0</v>
      </c>
      <c r="O86" s="240">
        <v>0</v>
      </c>
      <c r="P86" s="240">
        <v>0</v>
      </c>
      <c r="Q86" s="240">
        <v>0</v>
      </c>
      <c r="R86" s="198">
        <f t="shared" si="4"/>
        <v>37000</v>
      </c>
      <c r="S86" s="294" t="s">
        <v>799</v>
      </c>
      <c r="T86" s="200"/>
      <c r="U86" s="239"/>
      <c r="V86" s="239"/>
      <c r="W86" s="239"/>
      <c r="BA86"/>
      <c r="BB86"/>
    </row>
    <row r="87" spans="1:54" s="190" customFormat="1" ht="14.25">
      <c r="A87" s="221"/>
      <c r="B87" s="180">
        <v>5004086291</v>
      </c>
      <c r="C87" s="183" t="str">
        <f>IFERROR(IF(VLOOKUP($B87,[1]勘定科目!$A:$H,HLOOKUP($E$5,[1]勘定科目!$F$1:$H$2,2,0),0)="","",VLOOKUP($B87,[1]勘定科目!$A:$E,2,0)),"")</f>
        <v>福利厚生費（製）</v>
      </c>
      <c r="D87" s="232" t="str">
        <f>IF(C87="","",VLOOKUP($B87,[1]勘定科目!$A:$E,4,0))</f>
        <v>福利厚生費</v>
      </c>
      <c r="E87" s="238"/>
      <c r="F87" s="193">
        <v>3300000</v>
      </c>
      <c r="G87" s="240"/>
      <c r="H87" s="240"/>
      <c r="I87" s="240">
        <v>0</v>
      </c>
      <c r="J87" s="240">
        <v>330000</v>
      </c>
      <c r="K87" s="240">
        <v>0</v>
      </c>
      <c r="L87" s="240">
        <v>0</v>
      </c>
      <c r="M87" s="240"/>
      <c r="N87" s="240">
        <v>0</v>
      </c>
      <c r="O87" s="240">
        <v>0</v>
      </c>
      <c r="P87" s="240">
        <v>0</v>
      </c>
      <c r="Q87" s="240">
        <v>0</v>
      </c>
      <c r="R87" s="198">
        <f t="shared" si="4"/>
        <v>3630000</v>
      </c>
      <c r="S87" s="294" t="s">
        <v>800</v>
      </c>
      <c r="T87" s="200"/>
      <c r="U87" s="239"/>
      <c r="V87" s="239"/>
      <c r="W87" s="239"/>
      <c r="BA87"/>
      <c r="BB87"/>
    </row>
    <row r="88" spans="1:54" s="190" customFormat="1" ht="14.25">
      <c r="A88" s="221"/>
      <c r="B88" s="180">
        <v>5004086291</v>
      </c>
      <c r="C88" s="183" t="str">
        <f>IFERROR(IF(VLOOKUP($B88,[1]勘定科目!$A:$H,HLOOKUP($E$5,[1]勘定科目!$F$1:$H$2,2,0),0)="","",VLOOKUP($B88,[1]勘定科目!$A:$E,2,0)),"")</f>
        <v>福利厚生費（製）</v>
      </c>
      <c r="D88" s="232" t="str">
        <f>IF(C88="","",VLOOKUP($B88,[1]勘定科目!$A:$E,4,0))</f>
        <v>福利厚生費</v>
      </c>
      <c r="E88" s="238"/>
      <c r="F88" s="193"/>
      <c r="G88" s="240">
        <v>3500000</v>
      </c>
      <c r="H88" s="240"/>
      <c r="I88" s="240">
        <v>0</v>
      </c>
      <c r="J88" s="240">
        <v>0</v>
      </c>
      <c r="K88" s="240">
        <v>0</v>
      </c>
      <c r="L88" s="240">
        <v>175000</v>
      </c>
      <c r="M88" s="240"/>
      <c r="N88" s="240">
        <v>0</v>
      </c>
      <c r="O88" s="240">
        <v>0</v>
      </c>
      <c r="P88" s="240">
        <v>0</v>
      </c>
      <c r="Q88" s="240">
        <v>0</v>
      </c>
      <c r="R88" s="198">
        <f t="shared" si="4"/>
        <v>3675000</v>
      </c>
      <c r="S88" s="294" t="s">
        <v>801</v>
      </c>
      <c r="T88" s="200"/>
      <c r="U88" s="239"/>
      <c r="V88" s="239"/>
      <c r="W88" s="239"/>
      <c r="BA88"/>
      <c r="BB88"/>
    </row>
    <row r="89" spans="1:54" s="190" customFormat="1" ht="14.25">
      <c r="A89" s="221"/>
      <c r="B89" s="180">
        <v>5004086291</v>
      </c>
      <c r="C89" s="183" t="str">
        <f>IFERROR(IF(VLOOKUP($B89,[1]勘定科目!$A:$H,HLOOKUP($E$5,[1]勘定科目!$F$1:$H$2,2,0),0)="","",VLOOKUP($B89,[1]勘定科目!$A:$E,2,0)),"")</f>
        <v>福利厚生費（製）</v>
      </c>
      <c r="D89" s="232" t="str">
        <f>IF(C89="","",VLOOKUP($B89,[1]勘定科目!$A:$E,4,0))</f>
        <v>福利厚生費</v>
      </c>
      <c r="E89" s="238"/>
      <c r="F89" s="193"/>
      <c r="G89" s="240"/>
      <c r="H89" s="240"/>
      <c r="I89" s="240">
        <v>0</v>
      </c>
      <c r="J89" s="240">
        <v>0</v>
      </c>
      <c r="K89" s="240">
        <v>0</v>
      </c>
      <c r="L89" s="240">
        <v>0</v>
      </c>
      <c r="M89" s="240"/>
      <c r="N89" s="240">
        <v>0</v>
      </c>
      <c r="O89" s="240">
        <v>0</v>
      </c>
      <c r="P89" s="240">
        <v>0</v>
      </c>
      <c r="Q89" s="240">
        <v>0</v>
      </c>
      <c r="R89" s="198">
        <f t="shared" si="4"/>
        <v>0</v>
      </c>
      <c r="S89" s="294" t="s">
        <v>802</v>
      </c>
      <c r="T89" s="200"/>
      <c r="U89" s="239"/>
      <c r="V89" s="239"/>
      <c r="W89" s="239"/>
      <c r="BA89"/>
      <c r="BB89"/>
    </row>
    <row r="90" spans="1:54" s="190" customFormat="1" ht="14.25">
      <c r="A90" s="221"/>
      <c r="B90" s="180">
        <v>5004086291</v>
      </c>
      <c r="C90" s="183" t="str">
        <f>IFERROR(IF(VLOOKUP($B90,[1]勘定科目!$A:$H,HLOOKUP($E$5,[1]勘定科目!$F$1:$H$2,2,0),0)="","",VLOOKUP($B90,[1]勘定科目!$A:$E,2,0)),"")</f>
        <v>福利厚生費（製）</v>
      </c>
      <c r="D90" s="232" t="str">
        <f>IF(C90="","",VLOOKUP($B90,[1]勘定科目!$A:$E,4,0))</f>
        <v>福利厚生費</v>
      </c>
      <c r="E90" s="238"/>
      <c r="F90" s="193"/>
      <c r="G90" s="240"/>
      <c r="H90" s="240"/>
      <c r="I90" s="240">
        <v>0</v>
      </c>
      <c r="J90" s="240">
        <v>78000</v>
      </c>
      <c r="K90" s="240">
        <v>0</v>
      </c>
      <c r="L90" s="240">
        <v>0</v>
      </c>
      <c r="M90" s="240"/>
      <c r="N90" s="240">
        <v>0</v>
      </c>
      <c r="O90" s="240">
        <v>0</v>
      </c>
      <c r="P90" s="240">
        <v>0</v>
      </c>
      <c r="Q90" s="240">
        <v>0</v>
      </c>
      <c r="R90" s="198">
        <f t="shared" si="4"/>
        <v>78000</v>
      </c>
      <c r="S90" s="309" t="s">
        <v>803</v>
      </c>
      <c r="T90" s="200"/>
      <c r="U90" s="239"/>
      <c r="V90" s="239"/>
      <c r="W90" s="239"/>
      <c r="BA90"/>
      <c r="BB90"/>
    </row>
    <row r="91" spans="1:54" s="190" customFormat="1" ht="14.25">
      <c r="A91" s="221"/>
      <c r="B91" s="180">
        <v>5004086291</v>
      </c>
      <c r="C91" s="183" t="str">
        <f>IFERROR(IF(VLOOKUP($B91,[1]勘定科目!$A:$H,HLOOKUP($E$5,[1]勘定科目!$F$1:$H$2,2,0),0)="","",VLOOKUP($B91,[1]勘定科目!$A:$E,2,0)),"")</f>
        <v>福利厚生費（製）</v>
      </c>
      <c r="D91" s="232" t="str">
        <f>IF(C91="","",VLOOKUP($B91,[1]勘定科目!$A:$E,4,0))</f>
        <v>福利厚生費</v>
      </c>
      <c r="E91" s="238"/>
      <c r="F91" s="193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198">
        <f t="shared" si="4"/>
        <v>0</v>
      </c>
      <c r="S91" s="309" t="s">
        <v>804</v>
      </c>
      <c r="T91" s="200"/>
      <c r="U91" s="239"/>
      <c r="V91" s="239"/>
      <c r="W91" s="239"/>
      <c r="BA91"/>
      <c r="BB91"/>
    </row>
    <row r="92" spans="1:54" s="190" customFormat="1" ht="14.25">
      <c r="A92" s="221"/>
      <c r="B92" s="180">
        <v>5005246281</v>
      </c>
      <c r="C92" s="183" t="str">
        <f>IFERROR(IF(VLOOKUP($B92,[1]勘定科目!$A:$H,HLOOKUP($E$5,[1]勘定科目!$F$1:$H$2,2,0),0)="","",VLOOKUP($B92,[1]勘定科目!$A:$E,2,0)),"")</f>
        <v>図書印刷費（製）</v>
      </c>
      <c r="D92" s="232" t="str">
        <f>IF(C92="","",VLOOKUP($B92,[1]勘定科目!$A:$E,4,0))</f>
        <v>図書及び事務費</v>
      </c>
      <c r="E92" s="238"/>
      <c r="F92" s="193"/>
      <c r="G92" s="240"/>
      <c r="H92" s="240"/>
      <c r="I92" s="240">
        <v>0</v>
      </c>
      <c r="J92" s="240">
        <v>1525</v>
      </c>
      <c r="K92" s="240">
        <v>0</v>
      </c>
      <c r="L92" s="240">
        <v>0</v>
      </c>
      <c r="M92" s="240"/>
      <c r="N92" s="240">
        <v>0</v>
      </c>
      <c r="O92" s="240">
        <v>0</v>
      </c>
      <c r="P92" s="240">
        <v>0</v>
      </c>
      <c r="Q92" s="240">
        <v>0</v>
      </c>
      <c r="R92" s="198">
        <f t="shared" si="4"/>
        <v>1525</v>
      </c>
      <c r="S92" s="294" t="s">
        <v>805</v>
      </c>
      <c r="T92" s="200"/>
      <c r="U92" s="239"/>
      <c r="V92" s="239"/>
      <c r="W92" s="239"/>
      <c r="BA92"/>
      <c r="BB92"/>
    </row>
    <row r="93" spans="1:54" s="190" customFormat="1" ht="14.25">
      <c r="A93" s="221"/>
      <c r="B93" s="180">
        <v>5005246281</v>
      </c>
      <c r="C93" s="183" t="str">
        <f>IFERROR(IF(VLOOKUP($B93,[1]勘定科目!$A:$H,HLOOKUP($E$5,[1]勘定科目!$F$1:$H$2,2,0),0)="","",VLOOKUP($B93,[1]勘定科目!$A:$E,2,0)),"")</f>
        <v>図書印刷費（製）</v>
      </c>
      <c r="D93" s="232" t="str">
        <f>IF(C93="","",VLOOKUP($B93,[1]勘定科目!$A:$E,4,0))</f>
        <v>図書及び事務費</v>
      </c>
      <c r="E93" s="238"/>
      <c r="F93" s="193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198">
        <f t="shared" si="4"/>
        <v>0</v>
      </c>
      <c r="S93" s="305" t="s">
        <v>806</v>
      </c>
      <c r="T93" s="200"/>
      <c r="U93" s="239"/>
      <c r="V93" s="239"/>
      <c r="W93" s="239"/>
      <c r="BA93"/>
      <c r="BB93"/>
    </row>
    <row r="94" spans="1:54" s="190" customFormat="1" ht="14.25">
      <c r="A94" s="221"/>
      <c r="B94" s="180">
        <v>5005026371</v>
      </c>
      <c r="C94" s="183" t="str">
        <f>IFERROR(IF(VLOOKUP($B94,[1]勘定科目!$A:$H,HLOOKUP($E$5,[1]勘定科目!$F$1:$H$2,2,0),0)="","",VLOOKUP($B94,[1]勘定科目!$A:$E,2,0)),"")</f>
        <v>消耗工具器具備品費（製）</v>
      </c>
      <c r="D94" s="232" t="str">
        <f>IF(C94="","",VLOOKUP($B94,[1]勘定科目!$A:$E,4,0))</f>
        <v>消耗工具器具備品費</v>
      </c>
      <c r="E94" s="238"/>
      <c r="F94" s="193"/>
      <c r="G94" s="240"/>
      <c r="H94" s="240"/>
      <c r="I94" s="240"/>
      <c r="J94" s="240">
        <v>20000000</v>
      </c>
      <c r="K94" s="240"/>
      <c r="L94" s="240"/>
      <c r="M94" s="240"/>
      <c r="N94" s="240"/>
      <c r="O94" s="240"/>
      <c r="P94" s="240"/>
      <c r="Q94" s="240"/>
      <c r="R94" s="198">
        <f t="shared" si="4"/>
        <v>20000000</v>
      </c>
      <c r="S94" s="310" t="s">
        <v>807</v>
      </c>
      <c r="T94" s="200"/>
      <c r="U94" s="239"/>
      <c r="V94" s="239"/>
      <c r="W94" s="239"/>
      <c r="BA94"/>
      <c r="BB94"/>
    </row>
    <row r="95" spans="1:54" s="190" customFormat="1" ht="14.25">
      <c r="A95" s="221"/>
      <c r="B95" s="180">
        <v>5005026371</v>
      </c>
      <c r="C95" s="183" t="str">
        <f>IFERROR(IF(VLOOKUP($B95,[1]勘定科目!$A:$H,HLOOKUP($E$5,[1]勘定科目!$F$1:$H$2,2,0),0)="","",VLOOKUP($B95,[1]勘定科目!$A:$E,2,0)),"")</f>
        <v>消耗工具器具備品費（製）</v>
      </c>
      <c r="D95" s="232" t="str">
        <f>IF(C95="","",VLOOKUP($B95,[1]勘定科目!$A:$E,4,0))</f>
        <v>消耗工具器具備品費</v>
      </c>
      <c r="E95" s="238"/>
      <c r="F95" s="193">
        <v>0</v>
      </c>
      <c r="G95" s="240">
        <v>0</v>
      </c>
      <c r="H95" s="240">
        <v>0</v>
      </c>
      <c r="I95" s="240">
        <v>0</v>
      </c>
      <c r="J95" s="240">
        <v>0</v>
      </c>
      <c r="K95" s="240">
        <v>0</v>
      </c>
      <c r="L95" s="240">
        <v>0</v>
      </c>
      <c r="M95" s="240">
        <v>0</v>
      </c>
      <c r="N95" s="240">
        <v>0</v>
      </c>
      <c r="O95" s="240">
        <v>0</v>
      </c>
      <c r="P95" s="240">
        <v>0</v>
      </c>
      <c r="Q95" s="240">
        <v>0</v>
      </c>
      <c r="R95" s="198">
        <f t="shared" si="4"/>
        <v>0</v>
      </c>
      <c r="S95" s="294" t="s">
        <v>721</v>
      </c>
      <c r="T95" s="200"/>
      <c r="U95" s="239"/>
      <c r="V95" s="239"/>
      <c r="W95" s="239"/>
      <c r="BA95"/>
      <c r="BB95"/>
    </row>
    <row r="96" spans="1:54" s="190" customFormat="1" ht="14.25">
      <c r="A96" s="221"/>
      <c r="B96" s="180">
        <v>5005026371</v>
      </c>
      <c r="C96" s="183" t="str">
        <f>IFERROR(IF(VLOOKUP($B96,[1]勘定科目!$A:$H,HLOOKUP($E$5,[1]勘定科目!$F$1:$H$2,2,0),0)="","",VLOOKUP($B96,[1]勘定科目!$A:$E,2,0)),"")</f>
        <v>消耗工具器具備品費（製）</v>
      </c>
      <c r="D96" s="232" t="str">
        <f>IF(C96="","",VLOOKUP($B96,[1]勘定科目!$A:$E,4,0))</f>
        <v>消耗工具器具備品費</v>
      </c>
      <c r="E96" s="238"/>
      <c r="F96" s="193">
        <v>0</v>
      </c>
      <c r="G96" s="240">
        <v>0</v>
      </c>
      <c r="H96" s="240">
        <v>0</v>
      </c>
      <c r="I96" s="240">
        <v>0</v>
      </c>
      <c r="J96" s="240">
        <v>0</v>
      </c>
      <c r="K96" s="240">
        <v>0</v>
      </c>
      <c r="L96" s="240">
        <v>0</v>
      </c>
      <c r="M96" s="240">
        <v>0</v>
      </c>
      <c r="N96" s="240">
        <v>0</v>
      </c>
      <c r="O96" s="240">
        <v>0</v>
      </c>
      <c r="P96" s="240">
        <v>0</v>
      </c>
      <c r="Q96" s="240">
        <v>0</v>
      </c>
      <c r="R96" s="198">
        <f t="shared" si="4"/>
        <v>0</v>
      </c>
      <c r="S96" s="294" t="s">
        <v>722</v>
      </c>
      <c r="T96" s="200"/>
      <c r="U96" s="239"/>
      <c r="V96" s="239"/>
      <c r="W96" s="239"/>
      <c r="BA96"/>
      <c r="BB96"/>
    </row>
    <row r="97" spans="1:54" s="190" customFormat="1" ht="16.5">
      <c r="A97" s="221"/>
      <c r="B97" s="180"/>
      <c r="C97" s="183" t="str">
        <f>IFERROR(IF(VLOOKUP($B97,[1]勘定科目!$A:$H,HLOOKUP($E$5,[1]勘定科目!$F$1:$H$2,2,0),0)="","",VLOOKUP($B97,[1]勘定科目!$A:$E,2,0)),"")</f>
        <v/>
      </c>
      <c r="D97" s="232" t="str">
        <f>IF(C97="","",VLOOKUP($B97,[1]勘定科目!$A:$E,4,0))</f>
        <v/>
      </c>
      <c r="E97" s="238"/>
      <c r="F97" s="193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198">
        <f t="shared" si="4"/>
        <v>0</v>
      </c>
      <c r="S97" s="303" t="s">
        <v>723</v>
      </c>
      <c r="T97" s="200"/>
      <c r="U97" s="239"/>
      <c r="V97" s="239"/>
      <c r="W97" s="239"/>
      <c r="BA97"/>
      <c r="BB97"/>
    </row>
    <row r="98" spans="1:54" s="190" customFormat="1" ht="14.25">
      <c r="A98" s="221"/>
      <c r="B98" s="180">
        <v>5004046221</v>
      </c>
      <c r="C98" s="183" t="str">
        <f>IFERROR(IF(VLOOKUP($B98,[1]勘定科目!$A:$H,HLOOKUP($E$5,[1]勘定科目!$F$1:$H$2,2,0),0)="","",VLOOKUP($B98,[1]勘定科目!$A:$E,2,0)),"")</f>
        <v>雑給（直製）</v>
      </c>
      <c r="D98" s="232" t="str">
        <f>IF(C98="","",VLOOKUP($B98,[1]勘定科目!$A:$E,4,0))</f>
        <v>雑給</v>
      </c>
      <c r="E98" s="238"/>
      <c r="F98" s="193">
        <v>0</v>
      </c>
      <c r="G98" s="240">
        <v>0</v>
      </c>
      <c r="H98" s="240">
        <v>0</v>
      </c>
      <c r="I98" s="240">
        <v>0</v>
      </c>
      <c r="J98" s="240">
        <v>0</v>
      </c>
      <c r="K98" s="240">
        <v>0</v>
      </c>
      <c r="L98" s="240">
        <v>0</v>
      </c>
      <c r="M98" s="240">
        <v>0</v>
      </c>
      <c r="N98" s="240">
        <v>0</v>
      </c>
      <c r="O98" s="240">
        <v>0</v>
      </c>
      <c r="P98" s="240">
        <v>0</v>
      </c>
      <c r="Q98" s="240">
        <v>0</v>
      </c>
      <c r="R98" s="198">
        <f t="shared" si="4"/>
        <v>0</v>
      </c>
      <c r="S98" s="294" t="s">
        <v>808</v>
      </c>
      <c r="T98" s="200"/>
      <c r="U98" s="239"/>
      <c r="V98" s="239"/>
      <c r="W98" s="239"/>
      <c r="BA98"/>
      <c r="BB98"/>
    </row>
    <row r="99" spans="1:54" s="190" customFormat="1" ht="14.25">
      <c r="A99" s="221"/>
      <c r="B99" s="180">
        <v>5004086291</v>
      </c>
      <c r="C99" s="183" t="str">
        <f>IFERROR(IF(VLOOKUP($B99,[1]勘定科目!$A:$H,HLOOKUP($E$5,[1]勘定科目!$F$1:$H$2,2,0),0)="","",VLOOKUP($B99,[1]勘定科目!$A:$E,2,0)),"")</f>
        <v>福利厚生費（製）</v>
      </c>
      <c r="D99" s="232" t="str">
        <f>IF(C99="","",VLOOKUP($B99,[1]勘定科目!$A:$E,4,0))</f>
        <v>福利厚生費</v>
      </c>
      <c r="E99" s="238"/>
      <c r="F99" s="193">
        <v>0</v>
      </c>
      <c r="G99" s="240">
        <v>0</v>
      </c>
      <c r="H99" s="240">
        <v>0</v>
      </c>
      <c r="I99" s="240">
        <v>0</v>
      </c>
      <c r="J99" s="240">
        <v>0</v>
      </c>
      <c r="K99" s="240">
        <v>0</v>
      </c>
      <c r="L99" s="240">
        <v>0</v>
      </c>
      <c r="M99" s="240">
        <v>0</v>
      </c>
      <c r="N99" s="240">
        <v>0</v>
      </c>
      <c r="O99" s="240">
        <v>0</v>
      </c>
      <c r="P99" s="240">
        <v>0</v>
      </c>
      <c r="Q99" s="240">
        <v>0</v>
      </c>
      <c r="R99" s="198">
        <f t="shared" si="4"/>
        <v>0</v>
      </c>
      <c r="S99" s="294" t="s">
        <v>809</v>
      </c>
      <c r="T99" s="200"/>
      <c r="U99" s="239"/>
      <c r="V99" s="239"/>
      <c r="W99" s="239"/>
      <c r="BA99"/>
      <c r="BB99"/>
    </row>
    <row r="100" spans="1:54" s="190" customFormat="1" ht="14.25">
      <c r="A100" s="221"/>
      <c r="B100" s="180">
        <v>5004086291</v>
      </c>
      <c r="C100" s="183" t="str">
        <f>IFERROR(IF(VLOOKUP($B100,[1]勘定科目!$A:$H,HLOOKUP($E$5,[1]勘定科目!$F$1:$H$2,2,0),0)="","",VLOOKUP($B100,[1]勘定科目!$A:$E,2,0)),"")</f>
        <v>福利厚生費（製）</v>
      </c>
      <c r="D100" s="232" t="str">
        <f>IF(C100="","",VLOOKUP($B100,[1]勘定科目!$A:$E,4,0))</f>
        <v>福利厚生費</v>
      </c>
      <c r="E100" s="238"/>
      <c r="F100" s="193">
        <v>0</v>
      </c>
      <c r="G100" s="240">
        <v>0</v>
      </c>
      <c r="H100" s="240">
        <v>0</v>
      </c>
      <c r="I100" s="240">
        <v>0</v>
      </c>
      <c r="J100" s="240">
        <v>0</v>
      </c>
      <c r="K100" s="240">
        <v>0</v>
      </c>
      <c r="L100" s="240">
        <v>0</v>
      </c>
      <c r="M100" s="240">
        <v>0</v>
      </c>
      <c r="N100" s="240">
        <v>0</v>
      </c>
      <c r="O100" s="240">
        <v>0</v>
      </c>
      <c r="P100" s="240">
        <v>0</v>
      </c>
      <c r="Q100" s="240">
        <v>0</v>
      </c>
      <c r="R100" s="198">
        <f t="shared" si="4"/>
        <v>0</v>
      </c>
      <c r="S100" s="294" t="s">
        <v>724</v>
      </c>
      <c r="T100" s="200"/>
      <c r="U100" s="239"/>
      <c r="V100" s="239"/>
      <c r="W100" s="239"/>
      <c r="BA100"/>
      <c r="BB100"/>
    </row>
    <row r="101" spans="1:54" s="190" customFormat="1" ht="14.25">
      <c r="A101" s="221"/>
      <c r="B101" s="180">
        <v>5005196373</v>
      </c>
      <c r="C101" s="183" t="str">
        <f>IFERROR(IF(VLOOKUP($B101,[1]勘定科目!$A:$H,HLOOKUP($E$5,[1]勘定科目!$F$1:$H$2,2,0),0)="","",VLOOKUP($B101,[1]勘定科目!$A:$E,2,0)),"")</f>
        <v>試験研究用材料費</v>
      </c>
      <c r="D101" s="232" t="str">
        <f>IF(C101="","",VLOOKUP($B101,[1]勘定科目!$A:$E,4,0))</f>
        <v>試験研究費</v>
      </c>
      <c r="E101" s="238"/>
      <c r="F101" s="193">
        <v>0</v>
      </c>
      <c r="G101" s="240">
        <v>0</v>
      </c>
      <c r="H101" s="240">
        <v>0</v>
      </c>
      <c r="I101" s="240">
        <v>0</v>
      </c>
      <c r="J101" s="240">
        <v>0</v>
      </c>
      <c r="K101" s="240">
        <v>0</v>
      </c>
      <c r="L101" s="240">
        <v>0</v>
      </c>
      <c r="M101" s="240">
        <v>0</v>
      </c>
      <c r="N101" s="240">
        <v>0</v>
      </c>
      <c r="O101" s="240">
        <v>0</v>
      </c>
      <c r="P101" s="240">
        <v>0</v>
      </c>
      <c r="Q101" s="240">
        <v>0</v>
      </c>
      <c r="R101" s="198">
        <f t="shared" si="4"/>
        <v>0</v>
      </c>
      <c r="S101" s="294" t="s">
        <v>810</v>
      </c>
      <c r="T101" s="200"/>
      <c r="U101" s="239"/>
      <c r="V101" s="239"/>
      <c r="W101" s="239"/>
      <c r="BA101"/>
      <c r="BB101"/>
    </row>
    <row r="102" spans="1:54" s="190" customFormat="1" ht="14.25">
      <c r="A102" s="221"/>
      <c r="B102" s="180">
        <v>5005196373</v>
      </c>
      <c r="C102" s="183" t="str">
        <f>IFERROR(IF(VLOOKUP($B102,[1]勘定科目!$A:$H,HLOOKUP($E$5,[1]勘定科目!$F$1:$H$2,2,0),0)="","",VLOOKUP($B102,[1]勘定科目!$A:$E,2,0)),"")</f>
        <v>試験研究用材料費</v>
      </c>
      <c r="D102" s="232" t="str">
        <f>IF(C102="","",VLOOKUP($B102,[1]勘定科目!$A:$E,4,0))</f>
        <v>試験研究費</v>
      </c>
      <c r="E102" s="238"/>
      <c r="F102" s="193">
        <v>0</v>
      </c>
      <c r="G102" s="240">
        <v>0</v>
      </c>
      <c r="H102" s="240">
        <v>0</v>
      </c>
      <c r="I102" s="240">
        <v>0</v>
      </c>
      <c r="J102" s="240">
        <v>0</v>
      </c>
      <c r="K102" s="240">
        <v>0</v>
      </c>
      <c r="L102" s="240">
        <v>0</v>
      </c>
      <c r="M102" s="240">
        <v>0</v>
      </c>
      <c r="N102" s="240">
        <v>0</v>
      </c>
      <c r="O102" s="240">
        <v>0</v>
      </c>
      <c r="P102" s="240">
        <v>0</v>
      </c>
      <c r="Q102" s="240">
        <v>0</v>
      </c>
      <c r="R102" s="198">
        <f t="shared" si="4"/>
        <v>0</v>
      </c>
      <c r="S102" s="294" t="s">
        <v>810</v>
      </c>
      <c r="T102" s="200"/>
      <c r="U102" s="239"/>
      <c r="V102" s="239"/>
      <c r="W102" s="239"/>
      <c r="BA102"/>
      <c r="BB102"/>
    </row>
    <row r="103" spans="1:54" s="190" customFormat="1" ht="14.25">
      <c r="A103" s="221"/>
      <c r="B103" s="180">
        <v>5004086291</v>
      </c>
      <c r="C103" s="183" t="str">
        <f>IFERROR(IF(VLOOKUP($B103,[1]勘定科目!$A:$H,HLOOKUP($E$5,[1]勘定科目!$F$1:$H$2,2,0),0)="","",VLOOKUP($B103,[1]勘定科目!$A:$E,2,0)),"")</f>
        <v>福利厚生費（製）</v>
      </c>
      <c r="D103" s="232" t="str">
        <f>IF(C103="","",VLOOKUP($B103,[1]勘定科目!$A:$E,4,0))</f>
        <v>福利厚生費</v>
      </c>
      <c r="E103" s="238"/>
      <c r="F103" s="193">
        <v>0</v>
      </c>
      <c r="G103" s="240">
        <v>0</v>
      </c>
      <c r="H103" s="240">
        <v>0</v>
      </c>
      <c r="I103" s="240">
        <v>0</v>
      </c>
      <c r="J103" s="240">
        <v>0</v>
      </c>
      <c r="K103" s="240">
        <v>0</v>
      </c>
      <c r="L103" s="240">
        <v>0</v>
      </c>
      <c r="M103" s="240">
        <v>0</v>
      </c>
      <c r="N103" s="240">
        <v>0</v>
      </c>
      <c r="O103" s="240">
        <v>0</v>
      </c>
      <c r="P103" s="240">
        <v>0</v>
      </c>
      <c r="Q103" s="240">
        <v>0</v>
      </c>
      <c r="R103" s="198">
        <f t="shared" si="4"/>
        <v>0</v>
      </c>
      <c r="S103" s="294" t="s">
        <v>706</v>
      </c>
      <c r="T103" s="200"/>
      <c r="U103" s="239"/>
      <c r="V103" s="239"/>
      <c r="W103" s="239"/>
      <c r="BA103"/>
      <c r="BB103"/>
    </row>
    <row r="104" spans="1:54" s="190" customFormat="1" ht="14.25">
      <c r="A104" s="221"/>
      <c r="B104" s="180"/>
      <c r="C104" s="183" t="str">
        <f>IFERROR(IF(VLOOKUP($B104,[1]勘定科目!$A:$H,HLOOKUP($E$5,[1]勘定科目!$F$1:$H$2,2,0),0)="","",VLOOKUP($B104,[1]勘定科目!$A:$E,2,0)),"")</f>
        <v/>
      </c>
      <c r="D104" s="232" t="str">
        <f>IF(C104="","",VLOOKUP($B104,[1]勘定科目!$A:$E,4,0))</f>
        <v/>
      </c>
      <c r="E104" s="238"/>
      <c r="F104" s="193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198">
        <f t="shared" si="4"/>
        <v>0</v>
      </c>
      <c r="S104" s="294"/>
      <c r="T104" s="200"/>
      <c r="U104" s="239"/>
      <c r="V104" s="239"/>
      <c r="W104" s="239"/>
      <c r="BA104"/>
      <c r="BB104"/>
    </row>
    <row r="105" spans="1:54" s="190" customFormat="1" ht="16.5">
      <c r="A105" s="221"/>
      <c r="B105" s="180"/>
      <c r="C105" s="183" t="str">
        <f>IFERROR(IF(VLOOKUP($B105,[1]勘定科目!$A:$H,HLOOKUP($E$5,[1]勘定科目!$F$1:$H$2,2,0),0)="","",VLOOKUP($B105,[1]勘定科目!$A:$E,2,0)),"")</f>
        <v/>
      </c>
      <c r="D105" s="232" t="str">
        <f>IF(C105="","",VLOOKUP($B105,[1]勘定科目!$A:$E,4,0))</f>
        <v/>
      </c>
      <c r="E105" s="238"/>
      <c r="F105" s="193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198">
        <f t="shared" si="4"/>
        <v>0</v>
      </c>
      <c r="S105" s="303" t="s">
        <v>725</v>
      </c>
      <c r="T105" s="200"/>
      <c r="U105" s="239"/>
      <c r="V105" s="239"/>
      <c r="W105" s="239"/>
      <c r="BA105"/>
      <c r="BB105"/>
    </row>
    <row r="106" spans="1:54" s="190" customFormat="1" ht="14.25">
      <c r="A106" s="221"/>
      <c r="B106" s="180">
        <v>5005046282</v>
      </c>
      <c r="C106" s="183" t="str">
        <f>IFERROR(IF(VLOOKUP($B106,[1]勘定科目!$A:$H,HLOOKUP($E$5,[1]勘定科目!$F$1:$H$2,2,0),0)="","",VLOOKUP($B106,[1]勘定科目!$A:$E,2,0)),"")</f>
        <v>その他修繕費（製）</v>
      </c>
      <c r="D106" s="232" t="str">
        <f>IF(C106="","",VLOOKUP($B106,[1]勘定科目!$A:$E,4,0))</f>
        <v>修繕費</v>
      </c>
      <c r="E106" s="238"/>
      <c r="F106" s="193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198">
        <f t="shared" si="4"/>
        <v>0</v>
      </c>
      <c r="S106" s="307" t="s">
        <v>726</v>
      </c>
      <c r="T106" s="200"/>
      <c r="U106" s="239"/>
      <c r="V106" s="239"/>
      <c r="W106" s="239"/>
      <c r="BA106"/>
      <c r="BB106"/>
    </row>
    <row r="107" spans="1:54" s="190" customFormat="1" ht="14.25">
      <c r="A107" s="221"/>
      <c r="B107" s="180">
        <v>5005046282</v>
      </c>
      <c r="C107" s="183" t="str">
        <f>IFERROR(IF(VLOOKUP($B107,[1]勘定科目!$A:$H,HLOOKUP($E$5,[1]勘定科目!$F$1:$H$2,2,0),0)="","",VLOOKUP($B107,[1]勘定科目!$A:$E,2,0)),"")</f>
        <v>その他修繕費（製）</v>
      </c>
      <c r="D107" s="232" t="str">
        <f>IF(C107="","",VLOOKUP($B107,[1]勘定科目!$A:$E,4,0))</f>
        <v>修繕費</v>
      </c>
      <c r="E107" s="238"/>
      <c r="F107" s="193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198">
        <f t="shared" si="4"/>
        <v>0</v>
      </c>
      <c r="S107" s="311" t="s">
        <v>727</v>
      </c>
      <c r="T107" s="200"/>
      <c r="U107" s="239"/>
      <c r="V107" s="239"/>
      <c r="W107" s="239"/>
      <c r="BA107"/>
      <c r="BB107"/>
    </row>
    <row r="108" spans="1:54" s="190" customFormat="1" ht="14.25">
      <c r="A108" s="221"/>
      <c r="B108" s="180">
        <v>5005046282</v>
      </c>
      <c r="C108" s="183" t="str">
        <f>IFERROR(IF(VLOOKUP($B108,[1]勘定科目!$A:$H,HLOOKUP($E$5,[1]勘定科目!$F$1:$H$2,2,0),0)="","",VLOOKUP($B108,[1]勘定科目!$A:$E,2,0)),"")</f>
        <v>その他修繕費（製）</v>
      </c>
      <c r="D108" s="232" t="str">
        <f>IF(C108="","",VLOOKUP($B108,[1]勘定科目!$A:$E,4,0))</f>
        <v>修繕費</v>
      </c>
      <c r="E108" s="238"/>
      <c r="F108" s="193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198">
        <f t="shared" si="4"/>
        <v>0</v>
      </c>
      <c r="S108" s="307" t="s">
        <v>728</v>
      </c>
      <c r="T108" s="200"/>
      <c r="U108" s="239"/>
      <c r="V108" s="239"/>
      <c r="W108" s="239"/>
      <c r="BA108"/>
      <c r="BB108"/>
    </row>
    <row r="109" spans="1:54" s="190" customFormat="1" ht="14.25">
      <c r="A109" s="221"/>
      <c r="B109" s="180">
        <v>5005046282</v>
      </c>
      <c r="C109" s="183" t="str">
        <f>IFERROR(IF(VLOOKUP($B109,[1]勘定科目!$A:$H,HLOOKUP($E$5,[1]勘定科目!$F$1:$H$2,2,0),0)="","",VLOOKUP($B109,[1]勘定科目!$A:$E,2,0)),"")</f>
        <v>その他修繕費（製）</v>
      </c>
      <c r="D109" s="232" t="str">
        <f>IF(C109="","",VLOOKUP($B109,[1]勘定科目!$A:$E,4,0))</f>
        <v>修繕費</v>
      </c>
      <c r="E109" s="238"/>
      <c r="F109" s="193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198">
        <f t="shared" si="4"/>
        <v>0</v>
      </c>
      <c r="S109" s="307" t="s">
        <v>729</v>
      </c>
      <c r="T109" s="200"/>
      <c r="U109" s="239"/>
      <c r="V109" s="239"/>
      <c r="W109" s="239"/>
      <c r="BA109"/>
      <c r="BB109"/>
    </row>
    <row r="110" spans="1:54" s="190" customFormat="1" ht="14.25">
      <c r="A110" s="221"/>
      <c r="B110" s="180"/>
      <c r="C110" s="183" t="str">
        <f>IFERROR(IF(VLOOKUP($B110,[1]勘定科目!$A:$H,HLOOKUP($E$5,[1]勘定科目!$F$1:$H$2,2,0),0)="","",VLOOKUP($B110,[1]勘定科目!$A:$E,2,0)),"")</f>
        <v/>
      </c>
      <c r="D110" s="232" t="str">
        <f>IF(C110="","",VLOOKUP($B110,[1]勘定科目!$A:$E,4,0))</f>
        <v/>
      </c>
      <c r="E110" s="238"/>
      <c r="F110" s="193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198">
        <f t="shared" si="4"/>
        <v>0</v>
      </c>
      <c r="S110" s="307"/>
      <c r="T110" s="200"/>
      <c r="U110" s="239"/>
      <c r="V110" s="239"/>
      <c r="W110" s="239"/>
      <c r="BA110"/>
      <c r="BB110"/>
    </row>
    <row r="111" spans="1:54" s="190" customFormat="1" ht="16.5">
      <c r="A111" s="221"/>
      <c r="B111" s="180"/>
      <c r="C111" s="183" t="str">
        <f>IFERROR(IF(VLOOKUP($B111,[1]勘定科目!$A:$H,HLOOKUP($E$5,[1]勘定科目!$F$1:$H$2,2,0),0)="","",VLOOKUP($B111,[1]勘定科目!$A:$E,2,0)),"")</f>
        <v/>
      </c>
      <c r="D111" s="232" t="str">
        <f>IF(C111="","",VLOOKUP($B111,[1]勘定科目!$A:$E,4,0))</f>
        <v/>
      </c>
      <c r="E111" s="238"/>
      <c r="F111" s="193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198">
        <f t="shared" si="4"/>
        <v>0</v>
      </c>
      <c r="S111" s="303" t="s">
        <v>730</v>
      </c>
      <c r="T111" s="200"/>
      <c r="U111" s="239"/>
      <c r="V111" s="239"/>
      <c r="W111" s="239"/>
      <c r="BA111"/>
      <c r="BB111"/>
    </row>
    <row r="112" spans="1:54" s="190" customFormat="1" ht="14.25">
      <c r="A112" s="221"/>
      <c r="B112" s="180">
        <v>5006016244</v>
      </c>
      <c r="C112" s="183" t="str">
        <f>IFERROR(IF(VLOOKUP($B112,[1]勘定科目!$A:$H,HLOOKUP($E$5,[1]勘定科目!$F$1:$H$2,2,0),0)="","",VLOOKUP($B112,[1]勘定科目!$A:$E,2,0)),"")</f>
        <v>減価償却費（製）　工具器具備品</v>
      </c>
      <c r="D112" s="232" t="str">
        <f>IF(C112="","",VLOOKUP($B112,[1]勘定科目!$A:$E,4,0))</f>
        <v>減価償却費</v>
      </c>
      <c r="E112" s="238"/>
      <c r="F112" s="193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198">
        <f t="shared" si="4"/>
        <v>0</v>
      </c>
      <c r="S112" s="311" t="s">
        <v>811</v>
      </c>
      <c r="T112" s="200"/>
      <c r="U112" s="239"/>
      <c r="V112" s="239"/>
      <c r="W112" s="239"/>
      <c r="BA112"/>
      <c r="BB112"/>
    </row>
    <row r="113" spans="1:54" s="190" customFormat="1" ht="14.25">
      <c r="A113" s="221"/>
      <c r="B113" s="180">
        <v>5006016244</v>
      </c>
      <c r="C113" s="183" t="str">
        <f>IFERROR(IF(VLOOKUP($B113,[1]勘定科目!$A:$H,HLOOKUP($E$5,[1]勘定科目!$F$1:$H$2,2,0),0)="","",VLOOKUP($B113,[1]勘定科目!$A:$E,2,0)),"")</f>
        <v>減価償却費（製）　工具器具備品</v>
      </c>
      <c r="D113" s="232" t="str">
        <f>IF(C113="","",VLOOKUP($B113,[1]勘定科目!$A:$E,4,0))</f>
        <v>減価償却費</v>
      </c>
      <c r="E113" s="238"/>
      <c r="F113" s="193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198">
        <f t="shared" si="4"/>
        <v>0</v>
      </c>
      <c r="S113" s="311" t="s">
        <v>812</v>
      </c>
      <c r="T113" s="200"/>
      <c r="U113" s="239"/>
      <c r="V113" s="239"/>
      <c r="W113" s="239"/>
      <c r="BA113"/>
      <c r="BB113"/>
    </row>
    <row r="114" spans="1:54" s="190" customFormat="1" ht="14.25">
      <c r="A114" s="221"/>
      <c r="B114" s="180">
        <v>5006016244</v>
      </c>
      <c r="C114" s="183" t="str">
        <f>IFERROR(IF(VLOOKUP($B114,[1]勘定科目!$A:$H,HLOOKUP($E$5,[1]勘定科目!$F$1:$H$2,2,0),0)="","",VLOOKUP($B114,[1]勘定科目!$A:$E,2,0)),"")</f>
        <v>減価償却費（製）　工具器具備品</v>
      </c>
      <c r="D114" s="232" t="str">
        <f>IF(C114="","",VLOOKUP($B114,[1]勘定科目!$A:$E,4,0))</f>
        <v>減価償却費</v>
      </c>
      <c r="E114" s="238"/>
      <c r="F114" s="193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198">
        <f t="shared" si="4"/>
        <v>0</v>
      </c>
      <c r="S114" s="311" t="s">
        <v>813</v>
      </c>
      <c r="T114" s="200"/>
      <c r="U114" s="239"/>
      <c r="V114" s="239"/>
      <c r="W114" s="239"/>
      <c r="BA114"/>
      <c r="BB114"/>
    </row>
    <row r="115" spans="1:54" s="190" customFormat="1" ht="14.25">
      <c r="A115" s="221"/>
      <c r="B115" s="180">
        <v>5006016244</v>
      </c>
      <c r="C115" s="183" t="str">
        <f>IFERROR(IF(VLOOKUP($B115,[1]勘定科目!$A:$H,HLOOKUP($E$5,[1]勘定科目!$F$1:$H$2,2,0),0)="","",VLOOKUP($B115,[1]勘定科目!$A:$E,2,0)),"")</f>
        <v>減価償却費（製）　工具器具備品</v>
      </c>
      <c r="D115" s="232" t="str">
        <f>IF(C115="","",VLOOKUP($B115,[1]勘定科目!$A:$E,4,0))</f>
        <v>減価償却費</v>
      </c>
      <c r="E115" s="238"/>
      <c r="F115" s="193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198">
        <f t="shared" si="4"/>
        <v>0</v>
      </c>
      <c r="S115" s="311" t="s">
        <v>814</v>
      </c>
      <c r="T115" s="200"/>
      <c r="U115" s="239"/>
      <c r="V115" s="239"/>
      <c r="W115" s="239"/>
      <c r="BA115"/>
      <c r="BB115"/>
    </row>
    <row r="116" spans="1:54" s="190" customFormat="1" ht="14.25">
      <c r="A116" s="221"/>
      <c r="B116" s="180">
        <v>5006016244</v>
      </c>
      <c r="C116" s="183" t="str">
        <f>IFERROR(IF(VLOOKUP($B116,[1]勘定科目!$A:$H,HLOOKUP($E$5,[1]勘定科目!$F$1:$H$2,2,0),0)="","",VLOOKUP($B116,[1]勘定科目!$A:$E,2,0)),"")</f>
        <v>減価償却費（製）　工具器具備品</v>
      </c>
      <c r="D116" s="232" t="str">
        <f>IF(C116="","",VLOOKUP($B116,[1]勘定科目!$A:$E,4,0))</f>
        <v>減価償却費</v>
      </c>
      <c r="E116" s="238"/>
      <c r="F116" s="193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198">
        <f t="shared" si="4"/>
        <v>0</v>
      </c>
      <c r="S116" s="311" t="s">
        <v>815</v>
      </c>
      <c r="T116" s="200"/>
      <c r="U116" s="239"/>
      <c r="V116" s="239"/>
      <c r="W116" s="239"/>
      <c r="BA116"/>
      <c r="BB116"/>
    </row>
    <row r="117" spans="1:54" s="190" customFormat="1" ht="14.25">
      <c r="A117" s="221"/>
      <c r="B117" s="180">
        <v>5006016244</v>
      </c>
      <c r="C117" s="183" t="str">
        <f>IFERROR(IF(VLOOKUP($B117,[1]勘定科目!$A:$H,HLOOKUP($E$5,[1]勘定科目!$F$1:$H$2,2,0),0)="","",VLOOKUP($B117,[1]勘定科目!$A:$E,2,0)),"")</f>
        <v>減価償却費（製）　工具器具備品</v>
      </c>
      <c r="D117" s="232" t="str">
        <f>IF(C117="","",VLOOKUP($B117,[1]勘定科目!$A:$E,4,0))</f>
        <v>減価償却費</v>
      </c>
      <c r="E117" s="238"/>
      <c r="F117" s="193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198">
        <f t="shared" si="4"/>
        <v>0</v>
      </c>
      <c r="S117" s="311" t="s">
        <v>816</v>
      </c>
      <c r="T117" s="200"/>
      <c r="U117" s="239"/>
      <c r="V117" s="239"/>
      <c r="W117" s="239"/>
      <c r="BA117"/>
      <c r="BB117"/>
    </row>
    <row r="118" spans="1:54" s="190" customFormat="1" ht="14.25">
      <c r="A118" s="221"/>
      <c r="B118" s="180">
        <v>5006016244</v>
      </c>
      <c r="C118" s="183" t="str">
        <f>IFERROR(IF(VLOOKUP($B118,[1]勘定科目!$A:$H,HLOOKUP($E$5,[1]勘定科目!$F$1:$H$2,2,0),0)="","",VLOOKUP($B118,[1]勘定科目!$A:$E,2,0)),"")</f>
        <v>減価償却費（製）　工具器具備品</v>
      </c>
      <c r="D118" s="232" t="str">
        <f>IF(C118="","",VLOOKUP($B118,[1]勘定科目!$A:$E,4,0))</f>
        <v>減価償却費</v>
      </c>
      <c r="E118" s="238"/>
      <c r="F118" s="193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198">
        <f t="shared" si="4"/>
        <v>0</v>
      </c>
      <c r="S118" s="311" t="s">
        <v>817</v>
      </c>
      <c r="T118" s="200"/>
      <c r="U118" s="239"/>
      <c r="V118" s="239"/>
      <c r="W118" s="239"/>
      <c r="BA118"/>
      <c r="BB118"/>
    </row>
    <row r="119" spans="1:54" s="190" customFormat="1" ht="14.25">
      <c r="A119" s="221"/>
      <c r="B119" s="180">
        <v>5006016244</v>
      </c>
      <c r="C119" s="183" t="str">
        <f>IFERROR(IF(VLOOKUP($B119,[1]勘定科目!$A:$H,HLOOKUP($E$5,[1]勘定科目!$F$1:$H$2,2,0),0)="","",VLOOKUP($B119,[1]勘定科目!$A:$E,2,0)),"")</f>
        <v>減価償却費（製）　工具器具備品</v>
      </c>
      <c r="D119" s="232" t="str">
        <f>IF(C119="","",VLOOKUP($B119,[1]勘定科目!$A:$E,4,0))</f>
        <v>減価償却費</v>
      </c>
      <c r="E119" s="238"/>
      <c r="F119" s="193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198">
        <f t="shared" ref="R119:R182" si="5">SUM(F119:Q119)</f>
        <v>0</v>
      </c>
      <c r="S119" s="311" t="s">
        <v>818</v>
      </c>
      <c r="T119" s="200"/>
      <c r="U119" s="239"/>
      <c r="V119" s="239"/>
      <c r="W119" s="239"/>
      <c r="BA119"/>
      <c r="BB119"/>
    </row>
    <row r="120" spans="1:54" s="190" customFormat="1" ht="14.25">
      <c r="A120" s="221"/>
      <c r="B120" s="180">
        <v>5006016244</v>
      </c>
      <c r="C120" s="183" t="str">
        <f>IFERROR(IF(VLOOKUP($B120,[1]勘定科目!$A:$H,HLOOKUP($E$5,[1]勘定科目!$F$1:$H$2,2,0),0)="","",VLOOKUP($B120,[1]勘定科目!$A:$E,2,0)),"")</f>
        <v>減価償却費（製）　工具器具備品</v>
      </c>
      <c r="D120" s="232" t="str">
        <f>IF(C120="","",VLOOKUP($B120,[1]勘定科目!$A:$E,4,0))</f>
        <v>減価償却費</v>
      </c>
      <c r="E120" s="238"/>
      <c r="F120" s="193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198">
        <f t="shared" si="5"/>
        <v>0</v>
      </c>
      <c r="S120" s="311" t="s">
        <v>819</v>
      </c>
      <c r="T120" s="200"/>
      <c r="U120" s="239"/>
      <c r="V120" s="239"/>
      <c r="W120" s="239"/>
      <c r="BA120"/>
      <c r="BB120"/>
    </row>
    <row r="121" spans="1:54" s="190" customFormat="1" ht="14.25">
      <c r="A121" s="221"/>
      <c r="B121" s="180">
        <v>5006016244</v>
      </c>
      <c r="C121" s="183" t="str">
        <f>IFERROR(IF(VLOOKUP($B121,[1]勘定科目!$A:$H,HLOOKUP($E$5,[1]勘定科目!$F$1:$H$2,2,0),0)="","",VLOOKUP($B121,[1]勘定科目!$A:$E,2,0)),"")</f>
        <v>減価償却費（製）　工具器具備品</v>
      </c>
      <c r="D121" s="232" t="str">
        <f>IF(C121="","",VLOOKUP($B121,[1]勘定科目!$A:$E,4,0))</f>
        <v>減価償却費</v>
      </c>
      <c r="E121" s="238"/>
      <c r="F121" s="193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198">
        <f t="shared" si="5"/>
        <v>0</v>
      </c>
      <c r="S121" s="311" t="s">
        <v>820</v>
      </c>
      <c r="T121" s="200"/>
      <c r="U121" s="239"/>
      <c r="V121" s="239"/>
      <c r="W121" s="239"/>
      <c r="BA121"/>
      <c r="BB121"/>
    </row>
    <row r="122" spans="1:54" s="190" customFormat="1" ht="14.25">
      <c r="A122" s="221"/>
      <c r="B122" s="180">
        <v>5006016244</v>
      </c>
      <c r="C122" s="183" t="str">
        <f>IFERROR(IF(VLOOKUP($B122,[1]勘定科目!$A:$H,HLOOKUP($E$5,[1]勘定科目!$F$1:$H$2,2,0),0)="","",VLOOKUP($B122,[1]勘定科目!$A:$E,2,0)),"")</f>
        <v>減価償却費（製）　工具器具備品</v>
      </c>
      <c r="D122" s="232" t="str">
        <f>IF(C122="","",VLOOKUP($B122,[1]勘定科目!$A:$E,4,0))</f>
        <v>減価償却費</v>
      </c>
      <c r="E122" s="238"/>
      <c r="F122" s="193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198">
        <f t="shared" si="5"/>
        <v>0</v>
      </c>
      <c r="S122" s="311" t="s">
        <v>821</v>
      </c>
      <c r="T122" s="200"/>
      <c r="U122" s="239"/>
      <c r="V122" s="239"/>
      <c r="W122" s="239"/>
      <c r="BA122"/>
      <c r="BB122"/>
    </row>
    <row r="123" spans="1:54" s="190" customFormat="1" ht="14.25">
      <c r="A123" s="221"/>
      <c r="B123" s="180">
        <v>5006016244</v>
      </c>
      <c r="C123" s="183" t="str">
        <f>IFERROR(IF(VLOOKUP($B123,[1]勘定科目!$A:$H,HLOOKUP($E$5,[1]勘定科目!$F$1:$H$2,2,0),0)="","",VLOOKUP($B123,[1]勘定科目!$A:$E,2,0)),"")</f>
        <v>減価償却費（製）　工具器具備品</v>
      </c>
      <c r="D123" s="232" t="str">
        <f>IF(C123="","",VLOOKUP($B123,[1]勘定科目!$A:$E,4,0))</f>
        <v>減価償却費</v>
      </c>
      <c r="E123" s="238"/>
      <c r="F123" s="193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198">
        <f t="shared" si="5"/>
        <v>0</v>
      </c>
      <c r="S123" s="307" t="s">
        <v>822</v>
      </c>
      <c r="T123" s="200"/>
      <c r="U123" s="239"/>
      <c r="V123" s="239"/>
      <c r="W123" s="239"/>
      <c r="BA123"/>
      <c r="BB123"/>
    </row>
    <row r="124" spans="1:54" s="190" customFormat="1" ht="14.25">
      <c r="A124" s="221"/>
      <c r="B124" s="180">
        <v>5006016244</v>
      </c>
      <c r="C124" s="183" t="str">
        <f>IFERROR(IF(VLOOKUP($B124,[1]勘定科目!$A:$H,HLOOKUP($E$5,[1]勘定科目!$F$1:$H$2,2,0),0)="","",VLOOKUP($B124,[1]勘定科目!$A:$E,2,0)),"")</f>
        <v>減価償却費（製）　工具器具備品</v>
      </c>
      <c r="D124" s="232" t="str">
        <f>IF(C124="","",VLOOKUP($B124,[1]勘定科目!$A:$E,4,0))</f>
        <v>減価償却費</v>
      </c>
      <c r="E124" s="238"/>
      <c r="F124" s="193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198">
        <f t="shared" si="5"/>
        <v>0</v>
      </c>
      <c r="S124" s="307" t="s">
        <v>823</v>
      </c>
      <c r="T124" s="200"/>
      <c r="U124" s="239"/>
      <c r="V124" s="239"/>
      <c r="W124" s="239"/>
      <c r="BA124"/>
      <c r="BB124"/>
    </row>
    <row r="125" spans="1:54" s="190" customFormat="1" ht="14.25">
      <c r="A125" s="221"/>
      <c r="B125" s="180">
        <v>5006016244</v>
      </c>
      <c r="C125" s="183" t="str">
        <f>IFERROR(IF(VLOOKUP($B125,[1]勘定科目!$A:$H,HLOOKUP($E$5,[1]勘定科目!$F$1:$H$2,2,0),0)="","",VLOOKUP($B125,[1]勘定科目!$A:$E,2,0)),"")</f>
        <v>減価償却費（製）　工具器具備品</v>
      </c>
      <c r="D125" s="232" t="str">
        <f>IF(C125="","",VLOOKUP($B125,[1]勘定科目!$A:$E,4,0))</f>
        <v>減価償却費</v>
      </c>
      <c r="E125" s="238"/>
      <c r="F125" s="193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198">
        <f t="shared" si="5"/>
        <v>0</v>
      </c>
      <c r="S125" s="307"/>
      <c r="T125" s="200"/>
      <c r="U125" s="239"/>
      <c r="V125" s="239"/>
      <c r="W125" s="239"/>
      <c r="BA125"/>
      <c r="BB125"/>
    </row>
    <row r="126" spans="1:54" s="190" customFormat="1" ht="14.25">
      <c r="A126" s="221"/>
      <c r="B126" s="180">
        <v>5006016244</v>
      </c>
      <c r="C126" s="183" t="str">
        <f>IFERROR(IF(VLOOKUP($B126,[1]勘定科目!$A:$H,HLOOKUP($E$5,[1]勘定科目!$F$1:$H$2,2,0),0)="","",VLOOKUP($B126,[1]勘定科目!$A:$E,2,0)),"")</f>
        <v>減価償却費（製）　工具器具備品</v>
      </c>
      <c r="D126" s="232" t="str">
        <f>IF(C126="","",VLOOKUP($B126,[1]勘定科目!$A:$E,4,0))</f>
        <v>減価償却費</v>
      </c>
      <c r="E126" s="238"/>
      <c r="F126" s="193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198">
        <f t="shared" si="5"/>
        <v>0</v>
      </c>
      <c r="S126" s="312" t="s">
        <v>824</v>
      </c>
      <c r="T126" s="200"/>
      <c r="U126" s="239"/>
      <c r="V126" s="239"/>
      <c r="W126" s="239"/>
      <c r="BA126"/>
      <c r="BB126"/>
    </row>
    <row r="127" spans="1:54" s="190" customFormat="1" ht="14.25">
      <c r="A127" s="221"/>
      <c r="B127" s="180">
        <v>5006016257</v>
      </c>
      <c r="C127" s="183" t="str">
        <f>IFERROR(IF(VLOOKUP($B127,[1]勘定科目!$A:$H,HLOOKUP($E$5,[1]勘定科目!$F$1:$H$2,2,0),0)="","",VLOOKUP($B127,[1]勘定科目!$A:$E,2,0)),"")</f>
        <v>減価償却費（製）　ソフトウェア</v>
      </c>
      <c r="D127" s="232" t="str">
        <f>IF(C127="","",VLOOKUP($B127,[1]勘定科目!$A:$E,4,0))</f>
        <v>減価償却費</v>
      </c>
      <c r="E127" s="238"/>
      <c r="F127" s="193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198">
        <f t="shared" si="5"/>
        <v>0</v>
      </c>
      <c r="S127" s="307" t="s">
        <v>825</v>
      </c>
      <c r="T127" s="200"/>
      <c r="U127" s="239"/>
      <c r="V127" s="239"/>
      <c r="W127" s="239"/>
      <c r="BA127"/>
      <c r="BB127"/>
    </row>
    <row r="128" spans="1:54" s="190" customFormat="1" ht="14.25">
      <c r="A128" s="221"/>
      <c r="B128" s="180">
        <v>5006016244</v>
      </c>
      <c r="C128" s="183" t="str">
        <f>IFERROR(IF(VLOOKUP($B128,[1]勘定科目!$A:$H,HLOOKUP($E$5,[1]勘定科目!$F$1:$H$2,2,0),0)="","",VLOOKUP($B128,[1]勘定科目!$A:$E,2,0)),"")</f>
        <v>減価償却費（製）　工具器具備品</v>
      </c>
      <c r="D128" s="232" t="str">
        <f>IF(C128="","",VLOOKUP($B128,[1]勘定科目!$A:$E,4,0))</f>
        <v>減価償却費</v>
      </c>
      <c r="E128" s="238"/>
      <c r="F128" s="193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198">
        <f t="shared" si="5"/>
        <v>0</v>
      </c>
      <c r="S128" s="307" t="s">
        <v>826</v>
      </c>
      <c r="T128" s="200"/>
      <c r="U128" s="239"/>
      <c r="V128" s="239"/>
      <c r="W128" s="239"/>
      <c r="BA128"/>
      <c r="BB128"/>
    </row>
    <row r="129" spans="1:54" s="190" customFormat="1" ht="14.25">
      <c r="A129" s="221"/>
      <c r="B129" s="180">
        <v>5006016244</v>
      </c>
      <c r="C129" s="183" t="str">
        <f>IFERROR(IF(VLOOKUP($B129,[1]勘定科目!$A:$H,HLOOKUP($E$5,[1]勘定科目!$F$1:$H$2,2,0),0)="","",VLOOKUP($B129,[1]勘定科目!$A:$E,2,0)),"")</f>
        <v>減価償却費（製）　工具器具備品</v>
      </c>
      <c r="D129" s="232" t="str">
        <f>IF(C129="","",VLOOKUP($B129,[1]勘定科目!$A:$E,4,0))</f>
        <v>減価償却費</v>
      </c>
      <c r="E129" s="238"/>
      <c r="F129" s="193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198">
        <f t="shared" si="5"/>
        <v>0</v>
      </c>
      <c r="S129" s="307" t="s">
        <v>827</v>
      </c>
      <c r="T129" s="200"/>
      <c r="U129" s="239"/>
      <c r="V129" s="239"/>
      <c r="W129" s="239"/>
      <c r="BA129"/>
      <c r="BB129"/>
    </row>
    <row r="130" spans="1:54" s="190" customFormat="1" ht="14.25">
      <c r="A130" s="221"/>
      <c r="B130" s="180">
        <v>5006016244</v>
      </c>
      <c r="C130" s="183" t="str">
        <f>IFERROR(IF(VLOOKUP($B130,[1]勘定科目!$A:$H,HLOOKUP($E$5,[1]勘定科目!$F$1:$H$2,2,0),0)="","",VLOOKUP($B130,[1]勘定科目!$A:$E,2,0)),"")</f>
        <v>減価償却費（製）　工具器具備品</v>
      </c>
      <c r="D130" s="232" t="str">
        <f>IF(C130="","",VLOOKUP($B130,[1]勘定科目!$A:$E,4,0))</f>
        <v>減価償却費</v>
      </c>
      <c r="E130" s="238"/>
      <c r="F130" s="193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198">
        <f t="shared" si="5"/>
        <v>0</v>
      </c>
      <c r="S130" s="307" t="s">
        <v>828</v>
      </c>
      <c r="T130" s="200"/>
      <c r="U130" s="239"/>
      <c r="V130" s="239"/>
      <c r="W130" s="239"/>
      <c r="BA130"/>
      <c r="BB130"/>
    </row>
    <row r="131" spans="1:54" s="190" customFormat="1" ht="14.25">
      <c r="A131" s="221"/>
      <c r="B131" s="180">
        <v>5006016244</v>
      </c>
      <c r="C131" s="183" t="str">
        <f>IFERROR(IF(VLOOKUP($B131,[1]勘定科目!$A:$H,HLOOKUP($E$5,[1]勘定科目!$F$1:$H$2,2,0),0)="","",VLOOKUP($B131,[1]勘定科目!$A:$E,2,0)),"")</f>
        <v>減価償却費（製）　工具器具備品</v>
      </c>
      <c r="D131" s="232" t="str">
        <f>IF(C131="","",VLOOKUP($B131,[1]勘定科目!$A:$E,4,0))</f>
        <v>減価償却費</v>
      </c>
      <c r="E131" s="238"/>
      <c r="F131" s="193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198">
        <f t="shared" si="5"/>
        <v>0</v>
      </c>
      <c r="S131" s="307" t="s">
        <v>829</v>
      </c>
      <c r="T131" s="200"/>
      <c r="U131" s="239"/>
      <c r="V131" s="239"/>
      <c r="W131" s="239"/>
      <c r="BA131"/>
      <c r="BB131"/>
    </row>
    <row r="132" spans="1:54" s="190" customFormat="1" ht="16.5">
      <c r="A132" s="221"/>
      <c r="B132" s="180"/>
      <c r="C132" s="183" t="str">
        <f>IFERROR(IF(VLOOKUP($B132,[1]勘定科目!$A:$H,HLOOKUP($E$5,[1]勘定科目!$F$1:$H$2,2,0),0)="","",VLOOKUP($B132,[1]勘定科目!$A:$E,2,0)),"")</f>
        <v/>
      </c>
      <c r="D132" s="232" t="str">
        <f>IF(C132="","",VLOOKUP($B132,[1]勘定科目!$A:$E,4,0))</f>
        <v/>
      </c>
      <c r="E132" s="238"/>
      <c r="F132" s="193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198">
        <f t="shared" si="5"/>
        <v>0</v>
      </c>
      <c r="S132" s="303" t="s">
        <v>731</v>
      </c>
      <c r="T132" s="200"/>
      <c r="U132" s="239"/>
      <c r="V132" s="239"/>
      <c r="W132" s="239"/>
      <c r="BA132"/>
      <c r="BB132"/>
    </row>
    <row r="133" spans="1:54" s="190" customFormat="1" ht="14.25">
      <c r="A133" s="221"/>
      <c r="B133" s="180">
        <v>9114120007</v>
      </c>
      <c r="C133" s="183" t="str">
        <f>IFERROR(IF(VLOOKUP($B133,[1]勘定科目!$A:$H,HLOOKUP($E$5,[1]勘定科目!$F$1:$H$2,2,0),0)="","",VLOOKUP($B133,[1]勘定科目!$A:$E,2,0)),"")</f>
        <v>社内金利（固定資産）</v>
      </c>
      <c r="D133" s="232" t="str">
        <f>IF(C133="","",VLOOKUP($B133,[1]勘定科目!$A:$E,4,0))</f>
        <v>固定資産金利</v>
      </c>
      <c r="E133" s="238"/>
      <c r="F133" s="193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198">
        <f t="shared" si="5"/>
        <v>0</v>
      </c>
      <c r="S133" s="307" t="s">
        <v>830</v>
      </c>
      <c r="T133" s="200"/>
      <c r="U133" s="239"/>
      <c r="V133" s="239"/>
      <c r="W133" s="239"/>
      <c r="BA133"/>
      <c r="BB133"/>
    </row>
    <row r="134" spans="1:54" s="190" customFormat="1" ht="14.25">
      <c r="A134" s="221"/>
      <c r="B134" s="180">
        <v>9114120007</v>
      </c>
      <c r="C134" s="183" t="str">
        <f>IFERROR(IF(VLOOKUP($B134,[1]勘定科目!$A:$H,HLOOKUP($E$5,[1]勘定科目!$F$1:$H$2,2,0),0)="","",VLOOKUP($B134,[1]勘定科目!$A:$E,2,0)),"")</f>
        <v>社内金利（固定資産）</v>
      </c>
      <c r="D134" s="232" t="str">
        <f>IF(C134="","",VLOOKUP($B134,[1]勘定科目!$A:$E,4,0))</f>
        <v>固定資産金利</v>
      </c>
      <c r="E134" s="238"/>
      <c r="F134" s="193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198">
        <f t="shared" si="5"/>
        <v>0</v>
      </c>
      <c r="S134" s="307" t="s">
        <v>831</v>
      </c>
      <c r="T134" s="200"/>
      <c r="U134" s="239"/>
      <c r="V134" s="239"/>
      <c r="W134" s="239"/>
      <c r="BA134"/>
      <c r="BB134"/>
    </row>
    <row r="135" spans="1:54" s="190" customFormat="1" ht="14.25">
      <c r="A135" s="221"/>
      <c r="B135" s="180">
        <v>9114120007</v>
      </c>
      <c r="C135" s="183" t="str">
        <f>IFERROR(IF(VLOOKUP($B135,[1]勘定科目!$A:$H,HLOOKUP($E$5,[1]勘定科目!$F$1:$H$2,2,0),0)="","",VLOOKUP($B135,[1]勘定科目!$A:$E,2,0)),"")</f>
        <v>社内金利（固定資産）</v>
      </c>
      <c r="D135" s="232" t="str">
        <f>IF(C135="","",VLOOKUP($B135,[1]勘定科目!$A:$E,4,0))</f>
        <v>固定資産金利</v>
      </c>
      <c r="E135" s="238"/>
      <c r="F135" s="193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198">
        <f t="shared" si="5"/>
        <v>0</v>
      </c>
      <c r="S135" s="307" t="s">
        <v>832</v>
      </c>
      <c r="T135" s="200"/>
      <c r="U135" s="239"/>
      <c r="V135" s="239"/>
      <c r="W135" s="239"/>
      <c r="BA135"/>
      <c r="BB135"/>
    </row>
    <row r="136" spans="1:54" s="190" customFormat="1" ht="14.25">
      <c r="A136" s="221"/>
      <c r="B136" s="180">
        <v>9114120007</v>
      </c>
      <c r="C136" s="183" t="str">
        <f>IFERROR(IF(VLOOKUP($B136,[1]勘定科目!$A:$H,HLOOKUP($E$5,[1]勘定科目!$F$1:$H$2,2,0),0)="","",VLOOKUP($B136,[1]勘定科目!$A:$E,2,0)),"")</f>
        <v>社内金利（固定資産）</v>
      </c>
      <c r="D136" s="232" t="str">
        <f>IF(C136="","",VLOOKUP($B136,[1]勘定科目!$A:$E,4,0))</f>
        <v>固定資産金利</v>
      </c>
      <c r="E136" s="238"/>
      <c r="F136" s="193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198">
        <f t="shared" si="5"/>
        <v>0</v>
      </c>
      <c r="S136" s="307" t="s">
        <v>833</v>
      </c>
      <c r="T136" s="200"/>
      <c r="U136" s="239"/>
      <c r="V136" s="239"/>
      <c r="W136" s="239"/>
      <c r="BA136"/>
      <c r="BB136"/>
    </row>
    <row r="137" spans="1:54" s="190" customFormat="1" ht="14.25">
      <c r="A137" s="221"/>
      <c r="B137" s="180">
        <v>9114120007</v>
      </c>
      <c r="C137" s="183" t="str">
        <f>IFERROR(IF(VLOOKUP($B137,[1]勘定科目!$A:$H,HLOOKUP($E$5,[1]勘定科目!$F$1:$H$2,2,0),0)="","",VLOOKUP($B137,[1]勘定科目!$A:$E,2,0)),"")</f>
        <v>社内金利（固定資産）</v>
      </c>
      <c r="D137" s="232" t="str">
        <f>IF(C137="","",VLOOKUP($B137,[1]勘定科目!$A:$E,4,0))</f>
        <v>固定資産金利</v>
      </c>
      <c r="E137" s="238"/>
      <c r="F137" s="193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198">
        <f t="shared" si="5"/>
        <v>0</v>
      </c>
      <c r="S137" s="307" t="s">
        <v>834</v>
      </c>
      <c r="T137" s="200"/>
      <c r="U137" s="239"/>
      <c r="V137" s="239"/>
      <c r="W137" s="239"/>
      <c r="BA137"/>
      <c r="BB137"/>
    </row>
    <row r="138" spans="1:54" s="190" customFormat="1" ht="14.25">
      <c r="A138" s="221"/>
      <c r="B138" s="180">
        <v>9114120007</v>
      </c>
      <c r="C138" s="183" t="str">
        <f>IFERROR(IF(VLOOKUP($B138,[1]勘定科目!$A:$H,HLOOKUP($E$5,[1]勘定科目!$F$1:$H$2,2,0),0)="","",VLOOKUP($B138,[1]勘定科目!$A:$E,2,0)),"")</f>
        <v>社内金利（固定資産）</v>
      </c>
      <c r="D138" s="232" t="str">
        <f>IF(C138="","",VLOOKUP($B138,[1]勘定科目!$A:$E,4,0))</f>
        <v>固定資産金利</v>
      </c>
      <c r="E138" s="238"/>
      <c r="F138" s="193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198">
        <f t="shared" si="5"/>
        <v>0</v>
      </c>
      <c r="S138" s="307" t="s">
        <v>835</v>
      </c>
      <c r="T138" s="200"/>
      <c r="U138" s="239"/>
      <c r="V138" s="239"/>
      <c r="W138" s="239"/>
      <c r="BA138"/>
      <c r="BB138"/>
    </row>
    <row r="139" spans="1:54" s="190" customFormat="1" ht="14.25">
      <c r="A139" s="221"/>
      <c r="B139" s="180">
        <v>9114120007</v>
      </c>
      <c r="C139" s="183" t="str">
        <f>IFERROR(IF(VLOOKUP($B139,[1]勘定科目!$A:$H,HLOOKUP($E$5,[1]勘定科目!$F$1:$H$2,2,0),0)="","",VLOOKUP($B139,[1]勘定科目!$A:$E,2,0)),"")</f>
        <v>社内金利（固定資産）</v>
      </c>
      <c r="D139" s="232" t="str">
        <f>IF(C139="","",VLOOKUP($B139,[1]勘定科目!$A:$E,4,0))</f>
        <v>固定資産金利</v>
      </c>
      <c r="E139" s="238"/>
      <c r="F139" s="193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198">
        <f t="shared" si="5"/>
        <v>0</v>
      </c>
      <c r="S139" s="307" t="s">
        <v>836</v>
      </c>
      <c r="T139" s="200"/>
      <c r="U139" s="239"/>
      <c r="V139" s="239"/>
      <c r="W139" s="239"/>
      <c r="BA139"/>
      <c r="BB139"/>
    </row>
    <row r="140" spans="1:54" s="190" customFormat="1" ht="14.25">
      <c r="A140" s="221"/>
      <c r="B140" s="180">
        <v>9114120007</v>
      </c>
      <c r="C140" s="183" t="str">
        <f>IFERROR(IF(VLOOKUP($B140,[1]勘定科目!$A:$H,HLOOKUP($E$5,[1]勘定科目!$F$1:$H$2,2,0),0)="","",VLOOKUP($B140,[1]勘定科目!$A:$E,2,0)),"")</f>
        <v>社内金利（固定資産）</v>
      </c>
      <c r="D140" s="232" t="str">
        <f>IF(C140="","",VLOOKUP($B140,[1]勘定科目!$A:$E,4,0))</f>
        <v>固定資産金利</v>
      </c>
      <c r="E140" s="238"/>
      <c r="F140" s="193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198">
        <f t="shared" si="5"/>
        <v>0</v>
      </c>
      <c r="S140" s="307" t="s">
        <v>837</v>
      </c>
      <c r="T140" s="200"/>
      <c r="U140" s="239"/>
      <c r="V140" s="239"/>
      <c r="W140" s="239"/>
      <c r="BA140"/>
      <c r="BB140"/>
    </row>
    <row r="141" spans="1:54" s="190" customFormat="1" ht="14.25">
      <c r="A141" s="221"/>
      <c r="B141" s="180">
        <v>9114120007</v>
      </c>
      <c r="C141" s="183" t="str">
        <f>IFERROR(IF(VLOOKUP($B141,[1]勘定科目!$A:$H,HLOOKUP($E$5,[1]勘定科目!$F$1:$H$2,2,0),0)="","",VLOOKUP($B141,[1]勘定科目!$A:$E,2,0)),"")</f>
        <v>社内金利（固定資産）</v>
      </c>
      <c r="D141" s="232" t="str">
        <f>IF(C141="","",VLOOKUP($B141,[1]勘定科目!$A:$E,4,0))</f>
        <v>固定資産金利</v>
      </c>
      <c r="E141" s="238"/>
      <c r="F141" s="193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198">
        <f t="shared" si="5"/>
        <v>0</v>
      </c>
      <c r="S141" s="307" t="s">
        <v>838</v>
      </c>
      <c r="T141" s="200"/>
      <c r="U141" s="239"/>
      <c r="V141" s="239"/>
      <c r="W141" s="239"/>
      <c r="BA141"/>
      <c r="BB141"/>
    </row>
    <row r="142" spans="1:54" s="190" customFormat="1" ht="14.25">
      <c r="A142" s="221"/>
      <c r="B142" s="180">
        <v>9114120007</v>
      </c>
      <c r="C142" s="183" t="str">
        <f>IFERROR(IF(VLOOKUP($B142,[1]勘定科目!$A:$H,HLOOKUP($E$5,[1]勘定科目!$F$1:$H$2,2,0),0)="","",VLOOKUP($B142,[1]勘定科目!$A:$E,2,0)),"")</f>
        <v>社内金利（固定資産）</v>
      </c>
      <c r="D142" s="232" t="str">
        <f>IF(C142="","",VLOOKUP($B142,[1]勘定科目!$A:$E,4,0))</f>
        <v>固定資産金利</v>
      </c>
      <c r="E142" s="238"/>
      <c r="F142" s="193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198">
        <f t="shared" si="5"/>
        <v>0</v>
      </c>
      <c r="S142" s="307" t="s">
        <v>839</v>
      </c>
      <c r="T142" s="200"/>
      <c r="U142" s="239"/>
      <c r="V142" s="239"/>
      <c r="W142" s="239"/>
      <c r="BA142"/>
      <c r="BB142"/>
    </row>
    <row r="143" spans="1:54" s="190" customFormat="1" ht="14.25">
      <c r="A143" s="221"/>
      <c r="B143" s="180">
        <v>9114120007</v>
      </c>
      <c r="C143" s="183" t="str">
        <f>IFERROR(IF(VLOOKUP($B143,[1]勘定科目!$A:$H,HLOOKUP($E$5,[1]勘定科目!$F$1:$H$2,2,0),0)="","",VLOOKUP($B143,[1]勘定科目!$A:$E,2,0)),"")</f>
        <v>社内金利（固定資産）</v>
      </c>
      <c r="D143" s="232" t="str">
        <f>IF(C143="","",VLOOKUP($B143,[1]勘定科目!$A:$E,4,0))</f>
        <v>固定資産金利</v>
      </c>
      <c r="E143" s="238"/>
      <c r="F143" s="193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198">
        <f t="shared" si="5"/>
        <v>0</v>
      </c>
      <c r="S143" s="307" t="s">
        <v>840</v>
      </c>
      <c r="T143" s="200"/>
      <c r="U143" s="239"/>
      <c r="V143" s="239"/>
      <c r="W143" s="239"/>
      <c r="BA143"/>
      <c r="BB143"/>
    </row>
    <row r="144" spans="1:54" s="190" customFormat="1" ht="14.25">
      <c r="A144" s="221"/>
      <c r="B144" s="180">
        <v>9114120007</v>
      </c>
      <c r="C144" s="183" t="str">
        <f>IFERROR(IF(VLOOKUP($B144,[1]勘定科目!$A:$H,HLOOKUP($E$5,[1]勘定科目!$F$1:$H$2,2,0),0)="","",VLOOKUP($B144,[1]勘定科目!$A:$E,2,0)),"")</f>
        <v>社内金利（固定資産）</v>
      </c>
      <c r="D144" s="232" t="str">
        <f>IF(C144="","",VLOOKUP($B144,[1]勘定科目!$A:$E,4,0))</f>
        <v>固定資産金利</v>
      </c>
      <c r="E144" s="238"/>
      <c r="F144" s="193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198">
        <f t="shared" si="5"/>
        <v>0</v>
      </c>
      <c r="S144" s="307" t="s">
        <v>841</v>
      </c>
      <c r="T144" s="200"/>
      <c r="U144" s="239"/>
      <c r="V144" s="239"/>
      <c r="W144" s="239"/>
      <c r="BA144"/>
      <c r="BB144"/>
    </row>
    <row r="145" spans="1:54" s="190" customFormat="1" ht="14.25">
      <c r="A145" s="221"/>
      <c r="B145" s="180">
        <v>9114120007</v>
      </c>
      <c r="C145" s="183" t="str">
        <f>IFERROR(IF(VLOOKUP($B145,[1]勘定科目!$A:$H,HLOOKUP($E$5,[1]勘定科目!$F$1:$H$2,2,0),0)="","",VLOOKUP($B145,[1]勘定科目!$A:$E,2,0)),"")</f>
        <v>社内金利（固定資産）</v>
      </c>
      <c r="D145" s="232" t="str">
        <f>IF(C145="","",VLOOKUP($B145,[1]勘定科目!$A:$E,4,0))</f>
        <v>固定資産金利</v>
      </c>
      <c r="E145" s="238"/>
      <c r="F145" s="193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198">
        <f t="shared" si="5"/>
        <v>0</v>
      </c>
      <c r="S145" s="307" t="s">
        <v>842</v>
      </c>
      <c r="T145" s="200"/>
      <c r="U145" s="239"/>
      <c r="V145" s="239"/>
      <c r="W145" s="239"/>
      <c r="BA145"/>
      <c r="BB145"/>
    </row>
    <row r="146" spans="1:54" s="190" customFormat="1" ht="14.25">
      <c r="A146" s="221"/>
      <c r="B146" s="180">
        <v>9114120007</v>
      </c>
      <c r="C146" s="183" t="str">
        <f>IFERROR(IF(VLOOKUP($B146,[1]勘定科目!$A:$H,HLOOKUP($E$5,[1]勘定科目!$F$1:$H$2,2,0),0)="","",VLOOKUP($B146,[1]勘定科目!$A:$E,2,0)),"")</f>
        <v>社内金利（固定資産）</v>
      </c>
      <c r="D146" s="232" t="str">
        <f>IF(C146="","",VLOOKUP($B146,[1]勘定科目!$A:$E,4,0))</f>
        <v>固定資産金利</v>
      </c>
      <c r="E146" s="238"/>
      <c r="F146" s="193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198">
        <f t="shared" si="5"/>
        <v>0</v>
      </c>
      <c r="S146" s="307"/>
      <c r="T146" s="200"/>
      <c r="U146" s="239"/>
      <c r="V146" s="239"/>
      <c r="W146" s="239"/>
      <c r="BA146"/>
      <c r="BB146"/>
    </row>
    <row r="147" spans="1:54" s="190" customFormat="1" ht="14.25">
      <c r="A147" s="221"/>
      <c r="B147" s="180">
        <v>9114120007</v>
      </c>
      <c r="C147" s="183" t="str">
        <f>IFERROR(IF(VLOOKUP($B147,[1]勘定科目!$A:$H,HLOOKUP($E$5,[1]勘定科目!$F$1:$H$2,2,0),0)="","",VLOOKUP($B147,[1]勘定科目!$A:$E,2,0)),"")</f>
        <v>社内金利（固定資産）</v>
      </c>
      <c r="D147" s="232" t="str">
        <f>IF(C147="","",VLOOKUP($B147,[1]勘定科目!$A:$E,4,0))</f>
        <v>固定資産金利</v>
      </c>
      <c r="E147" s="238"/>
      <c r="F147" s="193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198">
        <f t="shared" si="5"/>
        <v>0</v>
      </c>
      <c r="S147" s="312" t="s">
        <v>843</v>
      </c>
      <c r="T147" s="200"/>
      <c r="U147" s="239"/>
      <c r="V147" s="239"/>
      <c r="W147" s="239"/>
      <c r="BA147"/>
      <c r="BB147"/>
    </row>
    <row r="148" spans="1:54" s="190" customFormat="1" ht="14.25">
      <c r="A148" s="221"/>
      <c r="B148" s="180">
        <v>9114120007</v>
      </c>
      <c r="C148" s="183" t="str">
        <f>IFERROR(IF(VLOOKUP($B148,[1]勘定科目!$A:$H,HLOOKUP($E$5,[1]勘定科目!$F$1:$H$2,2,0),0)="","",VLOOKUP($B148,[1]勘定科目!$A:$E,2,0)),"")</f>
        <v>社内金利（固定資産）</v>
      </c>
      <c r="D148" s="232" t="str">
        <f>IF(C148="","",VLOOKUP($B148,[1]勘定科目!$A:$E,4,0))</f>
        <v>固定資産金利</v>
      </c>
      <c r="E148" s="238"/>
      <c r="F148" s="193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198">
        <f t="shared" si="5"/>
        <v>0</v>
      </c>
      <c r="S148" s="307" t="s">
        <v>844</v>
      </c>
      <c r="T148" s="200"/>
      <c r="U148" s="239"/>
      <c r="V148" s="239"/>
      <c r="W148" s="239"/>
      <c r="BA148"/>
      <c r="BB148"/>
    </row>
    <row r="149" spans="1:54" s="190" customFormat="1" ht="14.25">
      <c r="A149" s="221"/>
      <c r="B149" s="180">
        <v>9114120007</v>
      </c>
      <c r="C149" s="183" t="str">
        <f>IFERROR(IF(VLOOKUP($B149,[1]勘定科目!$A:$H,HLOOKUP($E$5,[1]勘定科目!$F$1:$H$2,2,0),0)="","",VLOOKUP($B149,[1]勘定科目!$A:$E,2,0)),"")</f>
        <v>社内金利（固定資産）</v>
      </c>
      <c r="D149" s="232" t="str">
        <f>IF(C149="","",VLOOKUP($B149,[1]勘定科目!$A:$E,4,0))</f>
        <v>固定資産金利</v>
      </c>
      <c r="E149" s="238"/>
      <c r="F149" s="193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198">
        <f t="shared" si="5"/>
        <v>0</v>
      </c>
      <c r="S149" s="307" t="s">
        <v>845</v>
      </c>
      <c r="T149" s="200"/>
      <c r="U149" s="239"/>
      <c r="V149" s="239"/>
      <c r="W149" s="239"/>
      <c r="BA149"/>
      <c r="BB149"/>
    </row>
    <row r="150" spans="1:54" s="190" customFormat="1" ht="14.25">
      <c r="A150" s="221"/>
      <c r="B150" s="180">
        <v>9114120007</v>
      </c>
      <c r="C150" s="183" t="str">
        <f>IFERROR(IF(VLOOKUP($B150,[1]勘定科目!$A:$H,HLOOKUP($E$5,[1]勘定科目!$F$1:$H$2,2,0),0)="","",VLOOKUP($B150,[1]勘定科目!$A:$E,2,0)),"")</f>
        <v>社内金利（固定資産）</v>
      </c>
      <c r="D150" s="232" t="str">
        <f>IF(C150="","",VLOOKUP($B150,[1]勘定科目!$A:$E,4,0))</f>
        <v>固定資産金利</v>
      </c>
      <c r="E150" s="238"/>
      <c r="F150" s="193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198">
        <f t="shared" si="5"/>
        <v>0</v>
      </c>
      <c r="S150" s="307" t="s">
        <v>846</v>
      </c>
      <c r="T150" s="200"/>
      <c r="U150" s="239"/>
      <c r="V150" s="239"/>
      <c r="W150" s="239"/>
      <c r="BA150"/>
      <c r="BB150"/>
    </row>
    <row r="151" spans="1:54" s="190" customFormat="1" ht="14.25">
      <c r="A151" s="221"/>
      <c r="B151" s="180">
        <v>9114120007</v>
      </c>
      <c r="C151" s="183" t="str">
        <f>IFERROR(IF(VLOOKUP($B151,[1]勘定科目!$A:$H,HLOOKUP($E$5,[1]勘定科目!$F$1:$H$2,2,0),0)="","",VLOOKUP($B151,[1]勘定科目!$A:$E,2,0)),"")</f>
        <v>社内金利（固定資産）</v>
      </c>
      <c r="D151" s="232" t="str">
        <f>IF(C151="","",VLOOKUP($B151,[1]勘定科目!$A:$E,4,0))</f>
        <v>固定資産金利</v>
      </c>
      <c r="E151" s="238"/>
      <c r="F151" s="193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198">
        <f t="shared" si="5"/>
        <v>0</v>
      </c>
      <c r="S151" s="307" t="s">
        <v>847</v>
      </c>
      <c r="T151" s="200"/>
      <c r="U151" s="239"/>
      <c r="V151" s="239"/>
      <c r="W151" s="239"/>
      <c r="BA151"/>
      <c r="BB151"/>
    </row>
    <row r="152" spans="1:54" s="190" customFormat="1" ht="14.25">
      <c r="A152" s="221"/>
      <c r="B152" s="180">
        <v>9114120007</v>
      </c>
      <c r="C152" s="183" t="str">
        <f>IFERROR(IF(VLOOKUP($B152,[1]勘定科目!$A:$H,HLOOKUP($E$5,[1]勘定科目!$F$1:$H$2,2,0),0)="","",VLOOKUP($B152,[1]勘定科目!$A:$E,2,0)),"")</f>
        <v>社内金利（固定資産）</v>
      </c>
      <c r="D152" s="232" t="str">
        <f>IF(C152="","",VLOOKUP($B152,[1]勘定科目!$A:$E,4,0))</f>
        <v>固定資産金利</v>
      </c>
      <c r="E152" s="238"/>
      <c r="F152" s="193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198">
        <f t="shared" si="5"/>
        <v>0</v>
      </c>
      <c r="S152" s="307" t="s">
        <v>848</v>
      </c>
      <c r="T152" s="200"/>
      <c r="U152" s="239"/>
      <c r="V152" s="239"/>
      <c r="W152" s="239"/>
      <c r="BA152"/>
      <c r="BB152"/>
    </row>
    <row r="153" spans="1:54" s="190" customFormat="1" ht="16.5">
      <c r="A153" s="221"/>
      <c r="B153" s="180"/>
      <c r="C153" s="183" t="str">
        <f>IFERROR(IF(VLOOKUP($B153,[1]勘定科目!$A:$H,HLOOKUP($E$5,[1]勘定科目!$F$1:$H$2,2,0),0)="","",VLOOKUP($B153,[1]勘定科目!$A:$E,2,0)),"")</f>
        <v/>
      </c>
      <c r="D153" s="232" t="str">
        <f>IF(C153="","",VLOOKUP($B153,[1]勘定科目!$A:$E,4,0))</f>
        <v/>
      </c>
      <c r="E153" s="238"/>
      <c r="F153" s="193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198">
        <f t="shared" si="5"/>
        <v>0</v>
      </c>
      <c r="S153" s="303" t="s">
        <v>732</v>
      </c>
      <c r="T153" s="200"/>
      <c r="U153" s="239"/>
      <c r="V153" s="239"/>
      <c r="W153" s="239"/>
      <c r="BA153"/>
      <c r="BB153"/>
    </row>
    <row r="154" spans="1:54" s="190" customFormat="1" ht="14.25">
      <c r="A154" s="221"/>
      <c r="B154" s="180">
        <v>5005026371</v>
      </c>
      <c r="C154" s="183" t="str">
        <f>IFERROR(IF(VLOOKUP($B154,[1]勘定科目!$A:$H,HLOOKUP($E$5,[1]勘定科目!$F$1:$H$2,2,0),0)="","",VLOOKUP($B154,[1]勘定科目!$A:$E,2,0)),"")</f>
        <v>消耗工具器具備品費（製）</v>
      </c>
      <c r="D154" s="232" t="str">
        <f>IF(C154="","",VLOOKUP($B154,[1]勘定科目!$A:$E,4,0))</f>
        <v>消耗工具器具備品費</v>
      </c>
      <c r="E154" s="238"/>
      <c r="F154" s="193">
        <v>0</v>
      </c>
      <c r="G154" s="240">
        <v>0</v>
      </c>
      <c r="H154" s="240">
        <v>0</v>
      </c>
      <c r="I154" s="240">
        <v>0</v>
      </c>
      <c r="J154" s="240">
        <v>0</v>
      </c>
      <c r="K154" s="240">
        <v>0</v>
      </c>
      <c r="L154" s="240">
        <v>0</v>
      </c>
      <c r="M154" s="240">
        <v>0</v>
      </c>
      <c r="N154" s="240">
        <v>0</v>
      </c>
      <c r="O154" s="240">
        <v>0</v>
      </c>
      <c r="P154" s="240">
        <v>0</v>
      </c>
      <c r="Q154" s="240">
        <v>0</v>
      </c>
      <c r="R154" s="198">
        <f t="shared" si="5"/>
        <v>0</v>
      </c>
      <c r="S154" s="313" t="s">
        <v>733</v>
      </c>
      <c r="T154" s="200"/>
      <c r="U154" s="239"/>
      <c r="V154" s="239"/>
      <c r="W154" s="239"/>
      <c r="BA154"/>
      <c r="BB154"/>
    </row>
    <row r="155" spans="1:54" s="190" customFormat="1" ht="14.25">
      <c r="A155" s="221"/>
      <c r="B155" s="180">
        <v>5005026371</v>
      </c>
      <c r="C155" s="183" t="str">
        <f>IFERROR(IF(VLOOKUP($B155,[1]勘定科目!$A:$H,HLOOKUP($E$5,[1]勘定科目!$F$1:$H$2,2,0),0)="","",VLOOKUP($B155,[1]勘定科目!$A:$E,2,0)),"")</f>
        <v>消耗工具器具備品費（製）</v>
      </c>
      <c r="D155" s="232" t="str">
        <f>IF(C155="","",VLOOKUP($B155,[1]勘定科目!$A:$E,4,0))</f>
        <v>消耗工具器具備品費</v>
      </c>
      <c r="E155" s="238"/>
      <c r="F155" s="193">
        <v>0</v>
      </c>
      <c r="G155" s="240">
        <v>0</v>
      </c>
      <c r="H155" s="240">
        <v>0</v>
      </c>
      <c r="I155" s="240">
        <v>0</v>
      </c>
      <c r="J155" s="240">
        <v>0</v>
      </c>
      <c r="K155" s="240">
        <v>0</v>
      </c>
      <c r="L155" s="240">
        <v>0</v>
      </c>
      <c r="M155" s="240">
        <v>0</v>
      </c>
      <c r="N155" s="240">
        <v>0</v>
      </c>
      <c r="O155" s="240">
        <v>0</v>
      </c>
      <c r="P155" s="240">
        <v>0</v>
      </c>
      <c r="Q155" s="240">
        <v>0</v>
      </c>
      <c r="R155" s="198">
        <f t="shared" si="5"/>
        <v>0</v>
      </c>
      <c r="S155" s="313" t="s">
        <v>734</v>
      </c>
      <c r="T155" s="200"/>
      <c r="U155" s="239"/>
      <c r="V155" s="239"/>
      <c r="W155" s="239"/>
      <c r="BA155"/>
      <c r="BB155"/>
    </row>
    <row r="156" spans="1:54" s="190" customFormat="1" ht="14.25">
      <c r="A156" s="221"/>
      <c r="B156" s="180">
        <v>5005026371</v>
      </c>
      <c r="C156" s="183" t="str">
        <f>IFERROR(IF(VLOOKUP($B156,[1]勘定科目!$A:$H,HLOOKUP($E$5,[1]勘定科目!$F$1:$H$2,2,0),0)="","",VLOOKUP($B156,[1]勘定科目!$A:$E,2,0)),"")</f>
        <v>消耗工具器具備品費（製）</v>
      </c>
      <c r="D156" s="232" t="str">
        <f>IF(C156="","",VLOOKUP($B156,[1]勘定科目!$A:$E,4,0))</f>
        <v>消耗工具器具備品費</v>
      </c>
      <c r="E156" s="238"/>
      <c r="F156" s="193">
        <v>0</v>
      </c>
      <c r="G156" s="240">
        <v>0</v>
      </c>
      <c r="H156" s="240"/>
      <c r="I156" s="240"/>
      <c r="J156" s="240">
        <v>0</v>
      </c>
      <c r="K156" s="240"/>
      <c r="L156" s="240"/>
      <c r="M156" s="240"/>
      <c r="N156" s="240"/>
      <c r="O156" s="240"/>
      <c r="P156" s="240"/>
      <c r="Q156" s="240"/>
      <c r="R156" s="198">
        <f t="shared" si="5"/>
        <v>0</v>
      </c>
      <c r="S156" s="313" t="s">
        <v>735</v>
      </c>
      <c r="T156" s="200"/>
      <c r="U156" s="239"/>
      <c r="V156" s="239"/>
      <c r="W156" s="239"/>
      <c r="BA156"/>
      <c r="BB156"/>
    </row>
    <row r="157" spans="1:54" s="190" customFormat="1" ht="14.25">
      <c r="A157" s="221"/>
      <c r="B157" s="180">
        <v>5005026371</v>
      </c>
      <c r="C157" s="183" t="str">
        <f>IFERROR(IF(VLOOKUP($B157,[1]勘定科目!$A:$H,HLOOKUP($E$5,[1]勘定科目!$F$1:$H$2,2,0),0)="","",VLOOKUP($B157,[1]勘定科目!$A:$E,2,0)),"")</f>
        <v>消耗工具器具備品費（製）</v>
      </c>
      <c r="D157" s="232" t="str">
        <f>IF(C157="","",VLOOKUP($B157,[1]勘定科目!$A:$E,4,0))</f>
        <v>消耗工具器具備品費</v>
      </c>
      <c r="E157" s="238"/>
      <c r="F157" s="193">
        <v>0</v>
      </c>
      <c r="G157" s="240">
        <v>0</v>
      </c>
      <c r="H157" s="240"/>
      <c r="I157" s="240"/>
      <c r="J157" s="240">
        <v>0</v>
      </c>
      <c r="K157" s="240"/>
      <c r="L157" s="240"/>
      <c r="M157" s="240"/>
      <c r="N157" s="240"/>
      <c r="O157" s="240"/>
      <c r="P157" s="240"/>
      <c r="Q157" s="240"/>
      <c r="R157" s="198">
        <f t="shared" si="5"/>
        <v>0</v>
      </c>
      <c r="S157" s="313" t="s">
        <v>736</v>
      </c>
      <c r="T157" s="200"/>
      <c r="U157" s="239"/>
      <c r="V157" s="239"/>
      <c r="W157" s="239"/>
      <c r="BA157"/>
      <c r="BB157"/>
    </row>
    <row r="158" spans="1:54" s="190" customFormat="1" ht="14.25">
      <c r="A158" s="221"/>
      <c r="B158" s="180">
        <v>5005026371</v>
      </c>
      <c r="C158" s="183" t="str">
        <f>IFERROR(IF(VLOOKUP($B158,[1]勘定科目!$A:$H,HLOOKUP($E$5,[1]勘定科目!$F$1:$H$2,2,0),0)="","",VLOOKUP($B158,[1]勘定科目!$A:$E,2,0)),"")</f>
        <v>消耗工具器具備品費（製）</v>
      </c>
      <c r="D158" s="232" t="str">
        <f>IF(C158="","",VLOOKUP($B158,[1]勘定科目!$A:$E,4,0))</f>
        <v>消耗工具器具備品費</v>
      </c>
      <c r="E158" s="238"/>
      <c r="F158" s="193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198">
        <f t="shared" si="5"/>
        <v>0</v>
      </c>
      <c r="S158" s="294" t="s">
        <v>737</v>
      </c>
      <c r="T158" s="200"/>
      <c r="U158" s="239"/>
      <c r="V158" s="239"/>
      <c r="W158" s="239"/>
      <c r="BA158"/>
      <c r="BB158"/>
    </row>
    <row r="159" spans="1:54" s="190" customFormat="1" ht="14.25">
      <c r="A159" s="221"/>
      <c r="B159" s="180">
        <v>5005026371</v>
      </c>
      <c r="C159" s="183" t="str">
        <f>IFERROR(IF(VLOOKUP($B159,[1]勘定科目!$A:$H,HLOOKUP($E$5,[1]勘定科目!$F$1:$H$2,2,0),0)="","",VLOOKUP($B159,[1]勘定科目!$A:$E,2,0)),"")</f>
        <v>消耗工具器具備品費（製）</v>
      </c>
      <c r="D159" s="232" t="str">
        <f>IF(C159="","",VLOOKUP($B159,[1]勘定科目!$A:$E,4,0))</f>
        <v>消耗工具器具備品費</v>
      </c>
      <c r="E159" s="238"/>
      <c r="F159" s="193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198">
        <f t="shared" si="5"/>
        <v>0</v>
      </c>
      <c r="S159" s="294" t="s">
        <v>738</v>
      </c>
      <c r="T159" s="200"/>
      <c r="U159" s="239"/>
      <c r="V159" s="239"/>
      <c r="W159" s="239"/>
      <c r="BA159"/>
      <c r="BB159"/>
    </row>
    <row r="160" spans="1:54" s="190" customFormat="1" ht="14.25">
      <c r="A160" s="221"/>
      <c r="B160" s="180">
        <v>5005026371</v>
      </c>
      <c r="C160" s="183" t="str">
        <f>IFERROR(IF(VLOOKUP($B160,[1]勘定科目!$A:$H,HLOOKUP($E$5,[1]勘定科目!$F$1:$H$2,2,0),0)="","",VLOOKUP($B160,[1]勘定科目!$A:$E,2,0)),"")</f>
        <v>消耗工具器具備品費（製）</v>
      </c>
      <c r="D160" s="232" t="str">
        <f>IF(C160="","",VLOOKUP($B160,[1]勘定科目!$A:$E,4,0))</f>
        <v>消耗工具器具備品費</v>
      </c>
      <c r="E160" s="238"/>
      <c r="F160" s="193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198">
        <f t="shared" si="5"/>
        <v>0</v>
      </c>
      <c r="S160" s="294" t="s">
        <v>739</v>
      </c>
      <c r="T160" s="200"/>
      <c r="U160" s="239"/>
      <c r="V160" s="239"/>
      <c r="W160" s="239"/>
      <c r="BA160"/>
      <c r="BB160"/>
    </row>
    <row r="161" spans="1:54" s="190" customFormat="1" ht="16.5">
      <c r="A161" s="221"/>
      <c r="B161" s="180"/>
      <c r="C161" s="183" t="str">
        <f>IFERROR(IF(VLOOKUP($B161,[1]勘定科目!$A:$H,HLOOKUP($E$5,[1]勘定科目!$F$1:$H$2,2,0),0)="","",VLOOKUP($B161,[1]勘定科目!$A:$E,2,0)),"")</f>
        <v/>
      </c>
      <c r="D161" s="232" t="str">
        <f>IF(C161="","",VLOOKUP($B161,[1]勘定科目!$A:$E,4,0))</f>
        <v/>
      </c>
      <c r="E161" s="238"/>
      <c r="F161" s="193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198">
        <f t="shared" si="5"/>
        <v>0</v>
      </c>
      <c r="S161" s="303" t="s">
        <v>740</v>
      </c>
      <c r="T161" s="200"/>
      <c r="U161" s="239"/>
      <c r="V161" s="239"/>
      <c r="W161" s="239"/>
      <c r="BA161"/>
      <c r="BB161"/>
    </row>
    <row r="162" spans="1:54" s="190" customFormat="1" ht="14.25">
      <c r="A162" s="221"/>
      <c r="B162" s="180">
        <v>5005136281</v>
      </c>
      <c r="C162" s="183" t="str">
        <f>IFERROR(IF(VLOOKUP($B162,[1]勘定科目!$A:$H,HLOOKUP($E$5,[1]勘定科目!$F$1:$H$2,2,0),0)="","",VLOOKUP($B162,[1]勘定科目!$A:$E,2,0)),"")</f>
        <v>通信費（製）</v>
      </c>
      <c r="D162" s="232" t="str">
        <f>IF(C162="","",VLOOKUP($B162,[1]勘定科目!$A:$E,4,0))</f>
        <v>通信費</v>
      </c>
      <c r="E162" s="238"/>
      <c r="F162" s="193">
        <v>150000</v>
      </c>
      <c r="G162" s="240">
        <v>150000</v>
      </c>
      <c r="H162" s="240">
        <v>150000</v>
      </c>
      <c r="I162" s="240">
        <v>150000</v>
      </c>
      <c r="J162" s="240">
        <v>150000</v>
      </c>
      <c r="K162" s="240">
        <v>150000</v>
      </c>
      <c r="L162" s="240">
        <v>150000</v>
      </c>
      <c r="M162" s="240">
        <v>150000</v>
      </c>
      <c r="N162" s="240">
        <v>150000</v>
      </c>
      <c r="O162" s="240">
        <v>150000</v>
      </c>
      <c r="P162" s="240">
        <v>150000</v>
      </c>
      <c r="Q162" s="240">
        <v>150000</v>
      </c>
      <c r="R162" s="198">
        <f t="shared" si="5"/>
        <v>1800000</v>
      </c>
      <c r="S162" s="294" t="s">
        <v>741</v>
      </c>
      <c r="T162" s="200"/>
      <c r="U162" s="239"/>
      <c r="V162" s="239"/>
      <c r="W162" s="239"/>
      <c r="BA162"/>
      <c r="BB162"/>
    </row>
    <row r="163" spans="1:54" s="190" customFormat="1" ht="14.25">
      <c r="A163" s="221"/>
      <c r="B163" s="180">
        <v>5005136291</v>
      </c>
      <c r="C163" s="183" t="str">
        <f>IFERROR(IF(VLOOKUP($B163,[1]勘定科目!$A:$H,HLOOKUP($E$5,[1]勘定科目!$F$1:$H$2,2,0),0)="","",VLOOKUP($B163,[1]勘定科目!$A:$E,2,0)),"")</f>
        <v>郵送代（製）</v>
      </c>
      <c r="D163" s="232" t="str">
        <f>IF(C163="","",VLOOKUP($B163,[1]勘定科目!$A:$E,4,0))</f>
        <v>通信費</v>
      </c>
      <c r="E163" s="238"/>
      <c r="F163" s="193">
        <v>200000</v>
      </c>
      <c r="G163" s="240">
        <v>200000</v>
      </c>
      <c r="H163" s="240">
        <v>200000</v>
      </c>
      <c r="I163" s="240">
        <v>200000</v>
      </c>
      <c r="J163" s="240">
        <v>200000</v>
      </c>
      <c r="K163" s="240">
        <v>200000</v>
      </c>
      <c r="L163" s="240">
        <v>200000</v>
      </c>
      <c r="M163" s="240">
        <v>200000</v>
      </c>
      <c r="N163" s="240">
        <v>200000</v>
      </c>
      <c r="O163" s="240">
        <v>200000</v>
      </c>
      <c r="P163" s="240">
        <v>200000</v>
      </c>
      <c r="Q163" s="240">
        <v>200000</v>
      </c>
      <c r="R163" s="198">
        <f t="shared" si="5"/>
        <v>2400000</v>
      </c>
      <c r="S163" s="294" t="s">
        <v>742</v>
      </c>
      <c r="T163" s="200"/>
      <c r="U163" s="239"/>
      <c r="V163" s="239"/>
      <c r="W163" s="239"/>
      <c r="BA163"/>
      <c r="BB163"/>
    </row>
    <row r="164" spans="1:54" s="190" customFormat="1" ht="14.25">
      <c r="A164" s="221"/>
      <c r="B164" s="180">
        <v>5005076289</v>
      </c>
      <c r="C164" s="183" t="str">
        <f>IFERROR(IF(VLOOKUP($B164,[1]勘定科目!$A:$H,HLOOKUP($E$5,[1]勘定科目!$F$1:$H$2,2,0),0)="","",VLOOKUP($B164,[1]勘定科目!$A:$E,2,0)),"")</f>
        <v>クーリエ費用（製）</v>
      </c>
      <c r="D164" s="232" t="str">
        <f>IF(C164="","",VLOOKUP($B164,[1]勘定科目!$A:$E,4,0))</f>
        <v>荷造運賃</v>
      </c>
      <c r="E164" s="238"/>
      <c r="F164" s="193">
        <v>5078000</v>
      </c>
      <c r="G164" s="240">
        <v>5078000</v>
      </c>
      <c r="H164" s="240">
        <v>5078000</v>
      </c>
      <c r="I164" s="240">
        <v>5078000</v>
      </c>
      <c r="J164" s="240">
        <v>5078000</v>
      </c>
      <c r="K164" s="240">
        <v>5078000</v>
      </c>
      <c r="L164" s="240">
        <v>5078000</v>
      </c>
      <c r="M164" s="240">
        <v>5078000</v>
      </c>
      <c r="N164" s="240">
        <v>5078000</v>
      </c>
      <c r="O164" s="240">
        <v>5078000</v>
      </c>
      <c r="P164" s="240">
        <v>5078000</v>
      </c>
      <c r="Q164" s="240">
        <v>5078000</v>
      </c>
      <c r="R164" s="198">
        <f t="shared" si="5"/>
        <v>60936000</v>
      </c>
      <c r="S164" s="314" t="s">
        <v>743</v>
      </c>
      <c r="T164" s="200"/>
      <c r="U164" s="239"/>
      <c r="V164" s="239"/>
      <c r="W164" s="239"/>
      <c r="BA164"/>
      <c r="BB164"/>
    </row>
    <row r="165" spans="1:54" s="190" customFormat="1" ht="14.25">
      <c r="A165" s="221"/>
      <c r="B165" s="180">
        <v>9114120009</v>
      </c>
      <c r="C165" s="183" t="str">
        <f>IFERROR(IF(VLOOKUP($B165,[1]勘定科目!$A:$H,HLOOKUP($E$5,[1]勘定科目!$F$1:$H$2,2,0),0)="","",VLOOKUP($B165,[1]勘定科目!$A:$E,2,0)),"")</f>
        <v>社内金利（在庫）</v>
      </c>
      <c r="D165" s="232" t="str">
        <f>IF(C165="","",VLOOKUP($B165,[1]勘定科目!$A:$E,4,0))</f>
        <v>在庫金利</v>
      </c>
      <c r="E165" s="238"/>
      <c r="F165" s="193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198">
        <f t="shared" si="5"/>
        <v>0</v>
      </c>
      <c r="S165" s="314" t="s">
        <v>121</v>
      </c>
      <c r="T165" s="200"/>
      <c r="U165" s="239"/>
      <c r="V165" s="239"/>
      <c r="W165" s="239"/>
      <c r="BA165"/>
      <c r="BB165"/>
    </row>
    <row r="166" spans="1:54" s="190" customFormat="1" ht="16.5">
      <c r="A166" s="221"/>
      <c r="B166" s="180"/>
      <c r="C166" s="183" t="str">
        <f>IFERROR(IF(VLOOKUP($B166,[1]勘定科目!$A:$H,HLOOKUP($E$5,[1]勘定科目!$F$1:$H$2,2,0),0)="","",VLOOKUP($B166,[1]勘定科目!$A:$E,2,0)),"")</f>
        <v/>
      </c>
      <c r="D166" s="232" t="str">
        <f>IF(C166="","",VLOOKUP($B166,[1]勘定科目!$A:$E,4,0))</f>
        <v/>
      </c>
      <c r="E166" s="238"/>
      <c r="F166" s="193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198">
        <f t="shared" si="5"/>
        <v>0</v>
      </c>
      <c r="S166" s="303" t="s">
        <v>744</v>
      </c>
      <c r="T166" s="200"/>
      <c r="U166" s="239"/>
      <c r="V166" s="239"/>
      <c r="W166" s="239"/>
      <c r="BA166"/>
      <c r="BB166"/>
    </row>
    <row r="167" spans="1:54" s="190" customFormat="1" ht="14.25">
      <c r="A167" s="221"/>
      <c r="B167" s="180">
        <v>5005246286</v>
      </c>
      <c r="C167" s="183" t="str">
        <f>IFERROR(IF(VLOOKUP($B167,[1]勘定科目!$A:$H,HLOOKUP($E$5,[1]勘定科目!$F$1:$H$2,2,0),0)="","",VLOOKUP($B167,[1]勘定科目!$A:$E,2,0)),"")</f>
        <v>その他手数料（製）</v>
      </c>
      <c r="D167" s="232" t="str">
        <f>IF(C167="","",VLOOKUP($B167,[1]勘定科目!$A:$E,4,0))</f>
        <v>手数料</v>
      </c>
      <c r="E167" s="238"/>
      <c r="F167" s="193"/>
      <c r="G167" s="240"/>
      <c r="H167" s="240"/>
      <c r="I167" s="240"/>
      <c r="J167" s="240"/>
      <c r="K167" s="240">
        <v>2400000</v>
      </c>
      <c r="L167" s="240"/>
      <c r="M167" s="240"/>
      <c r="N167" s="240"/>
      <c r="O167" s="240"/>
      <c r="P167" s="240"/>
      <c r="Q167" s="240"/>
      <c r="R167" s="198">
        <f t="shared" si="5"/>
        <v>2400000</v>
      </c>
      <c r="S167" s="315" t="s">
        <v>745</v>
      </c>
      <c r="T167" s="200"/>
      <c r="U167" s="239"/>
      <c r="V167" s="239"/>
      <c r="W167" s="239"/>
      <c r="BA167"/>
      <c r="BB167"/>
    </row>
    <row r="168" spans="1:54" s="190" customFormat="1" ht="14.25">
      <c r="A168" s="221"/>
      <c r="B168" s="180">
        <v>5005246286</v>
      </c>
      <c r="C168" s="183" t="str">
        <f>IFERROR(IF(VLOOKUP($B168,[1]勘定科目!$A:$H,HLOOKUP($E$5,[1]勘定科目!$F$1:$H$2,2,0),0)="","",VLOOKUP($B168,[1]勘定科目!$A:$E,2,0)),"")</f>
        <v>その他手数料（製）</v>
      </c>
      <c r="D168" s="232" t="str">
        <f>IF(C168="","",VLOOKUP($B168,[1]勘定科目!$A:$E,4,0))</f>
        <v>手数料</v>
      </c>
      <c r="E168" s="238"/>
      <c r="F168" s="193"/>
      <c r="G168" s="240"/>
      <c r="H168" s="240"/>
      <c r="I168" s="240"/>
      <c r="J168" s="240"/>
      <c r="K168" s="240">
        <v>2500000</v>
      </c>
      <c r="L168" s="240"/>
      <c r="M168" s="240"/>
      <c r="N168" s="240"/>
      <c r="O168" s="240"/>
      <c r="P168" s="240"/>
      <c r="Q168" s="240"/>
      <c r="R168" s="198">
        <f t="shared" si="5"/>
        <v>2500000</v>
      </c>
      <c r="S168" s="315" t="s">
        <v>746</v>
      </c>
      <c r="T168" s="200"/>
      <c r="U168" s="239"/>
      <c r="V168" s="239"/>
      <c r="W168" s="239"/>
      <c r="BA168"/>
      <c r="BB168"/>
    </row>
    <row r="169" spans="1:54" s="190" customFormat="1" ht="14.25">
      <c r="A169" s="221"/>
      <c r="B169" s="180">
        <v>5005246286</v>
      </c>
      <c r="C169" s="183" t="str">
        <f>IFERROR(IF(VLOOKUP($B169,[1]勘定科目!$A:$H,HLOOKUP($E$5,[1]勘定科目!$F$1:$H$2,2,0),0)="","",VLOOKUP($B169,[1]勘定科目!$A:$E,2,0)),"")</f>
        <v>その他手数料（製）</v>
      </c>
      <c r="D169" s="232" t="str">
        <f>IF(C169="","",VLOOKUP($B169,[1]勘定科目!$A:$E,4,0))</f>
        <v>手数料</v>
      </c>
      <c r="E169" s="238"/>
      <c r="F169" s="193"/>
      <c r="G169" s="240"/>
      <c r="H169" s="240"/>
      <c r="I169" s="240"/>
      <c r="J169" s="240"/>
      <c r="K169" s="240"/>
      <c r="L169" s="240">
        <v>1500000</v>
      </c>
      <c r="M169" s="240"/>
      <c r="N169" s="240"/>
      <c r="O169" s="240"/>
      <c r="P169" s="240"/>
      <c r="Q169" s="240"/>
      <c r="R169" s="198">
        <f t="shared" si="5"/>
        <v>1500000</v>
      </c>
      <c r="S169" s="315" t="s">
        <v>747</v>
      </c>
      <c r="T169" s="200"/>
      <c r="U169" s="239"/>
      <c r="V169" s="239"/>
      <c r="W169" s="239"/>
      <c r="BA169"/>
      <c r="BB169"/>
    </row>
    <row r="170" spans="1:54" s="190" customFormat="1" ht="16.5">
      <c r="A170" s="221"/>
      <c r="B170" s="180"/>
      <c r="C170" s="183" t="str">
        <f>IFERROR(IF(VLOOKUP($B170,[1]勘定科目!$A:$H,HLOOKUP($E$5,[1]勘定科目!$F$1:$H$2,2,0),0)="","",VLOOKUP($B170,[1]勘定科目!$A:$E,2,0)),"")</f>
        <v/>
      </c>
      <c r="D170" s="232" t="str">
        <f>IF(C170="","",VLOOKUP($B170,[1]勘定科目!$A:$E,4,0))</f>
        <v/>
      </c>
      <c r="E170" s="238"/>
      <c r="F170" s="193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198">
        <f t="shared" si="5"/>
        <v>0</v>
      </c>
      <c r="S170" s="303" t="s">
        <v>748</v>
      </c>
      <c r="T170" s="200"/>
      <c r="U170" s="239"/>
      <c r="V170" s="239"/>
      <c r="W170" s="239"/>
      <c r="BA170"/>
      <c r="BB170"/>
    </row>
    <row r="171" spans="1:54" s="190" customFormat="1" ht="14.25">
      <c r="A171" s="221"/>
      <c r="B171" s="180">
        <v>5005196373</v>
      </c>
      <c r="C171" s="183" t="str">
        <f>IFERROR(IF(VLOOKUP($B171,[1]勘定科目!$A:$H,HLOOKUP($E$5,[1]勘定科目!$F$1:$H$2,2,0),0)="","",VLOOKUP($B171,[1]勘定科目!$A:$E,2,0)),"")</f>
        <v>試験研究用材料費</v>
      </c>
      <c r="D171" s="232" t="str">
        <f>IF(C171="","",VLOOKUP($B171,[1]勘定科目!$A:$E,4,0))</f>
        <v>試験研究費</v>
      </c>
      <c r="E171" s="238"/>
      <c r="F171" s="193"/>
      <c r="G171" s="240"/>
      <c r="H171" s="240"/>
      <c r="I171" s="240"/>
      <c r="J171" s="240"/>
      <c r="K171" s="240">
        <v>66816000</v>
      </c>
      <c r="L171" s="240"/>
      <c r="M171" s="240"/>
      <c r="N171" s="240"/>
      <c r="O171" s="240"/>
      <c r="P171" s="240"/>
      <c r="Q171" s="240"/>
      <c r="R171" s="198">
        <f t="shared" si="5"/>
        <v>66816000</v>
      </c>
      <c r="S171" s="316" t="s">
        <v>749</v>
      </c>
      <c r="T171" s="200"/>
      <c r="U171" s="239"/>
      <c r="V171" s="239"/>
      <c r="W171" s="239"/>
      <c r="BA171"/>
      <c r="BB171"/>
    </row>
    <row r="172" spans="1:54" s="190" customFormat="1" ht="14.25">
      <c r="A172" s="221"/>
      <c r="B172" s="180">
        <v>5005196373</v>
      </c>
      <c r="C172" s="183" t="str">
        <f>IFERROR(IF(VLOOKUP($B172,[1]勘定科目!$A:$H,HLOOKUP($E$5,[1]勘定科目!$F$1:$H$2,2,0),0)="","",VLOOKUP($B172,[1]勘定科目!$A:$E,2,0)),"")</f>
        <v>試験研究用材料費</v>
      </c>
      <c r="D172" s="232" t="str">
        <f>IF(C172="","",VLOOKUP($B172,[1]勘定科目!$A:$E,4,0))</f>
        <v>試験研究費</v>
      </c>
      <c r="E172" s="238"/>
      <c r="F172" s="193"/>
      <c r="G172" s="240"/>
      <c r="H172" s="240"/>
      <c r="I172" s="240"/>
      <c r="J172" s="240"/>
      <c r="K172" s="240"/>
      <c r="L172" s="240">
        <v>83520000</v>
      </c>
      <c r="M172" s="240"/>
      <c r="N172" s="240"/>
      <c r="O172" s="240"/>
      <c r="P172" s="240">
        <v>83520000</v>
      </c>
      <c r="Q172" s="240"/>
      <c r="R172" s="198">
        <f t="shared" si="5"/>
        <v>167040000</v>
      </c>
      <c r="S172" s="316" t="s">
        <v>750</v>
      </c>
      <c r="T172" s="200"/>
      <c r="U172" s="239"/>
      <c r="V172" s="239"/>
      <c r="W172" s="239"/>
      <c r="BA172"/>
      <c r="BB172"/>
    </row>
    <row r="173" spans="1:54" s="190" customFormat="1" ht="14.25">
      <c r="A173" s="221"/>
      <c r="B173" s="180"/>
      <c r="C173" s="183" t="str">
        <f>IFERROR(IF(VLOOKUP($B173,[1]勘定科目!$A:$H,HLOOKUP($E$5,[1]勘定科目!$F$1:$H$2,2,0),0)="","",VLOOKUP($B173,[1]勘定科目!$A:$E,2,0)),"")</f>
        <v/>
      </c>
      <c r="D173" s="232" t="str">
        <f>IF(C173="","",VLOOKUP($B173,[1]勘定科目!$A:$E,4,0))</f>
        <v/>
      </c>
      <c r="E173" s="238"/>
      <c r="F173" s="193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198">
        <f t="shared" si="5"/>
        <v>0</v>
      </c>
      <c r="S173" s="294"/>
      <c r="T173" s="200"/>
      <c r="U173" s="239"/>
      <c r="V173" s="239"/>
      <c r="W173" s="239"/>
      <c r="BA173"/>
      <c r="BB173"/>
    </row>
    <row r="174" spans="1:54" s="190" customFormat="1" ht="14.25">
      <c r="A174" s="221"/>
      <c r="B174" s="180">
        <v>5005196373</v>
      </c>
      <c r="C174" s="183" t="str">
        <f>IFERROR(IF(VLOOKUP($B174,[1]勘定科目!$A:$H,HLOOKUP($E$5,[1]勘定科目!$F$1:$H$2,2,0),0)="","",VLOOKUP($B174,[1]勘定科目!$A:$E,2,0)),"")</f>
        <v>試験研究用材料費</v>
      </c>
      <c r="D174" s="232" t="str">
        <f>IF(C174="","",VLOOKUP($B174,[1]勘定科目!$A:$E,4,0))</f>
        <v>試験研究費</v>
      </c>
      <c r="E174" s="238"/>
      <c r="F174" s="193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198">
        <f t="shared" si="5"/>
        <v>0</v>
      </c>
      <c r="S174" s="316" t="s">
        <v>849</v>
      </c>
      <c r="T174" s="200"/>
      <c r="U174" s="239"/>
      <c r="V174" s="239"/>
      <c r="W174" s="239"/>
      <c r="BA174"/>
      <c r="BB174"/>
    </row>
    <row r="175" spans="1:54" s="190" customFormat="1" ht="14.25">
      <c r="A175" s="221"/>
      <c r="B175" s="180">
        <v>5005196373</v>
      </c>
      <c r="C175" s="183" t="str">
        <f>IFERROR(IF(VLOOKUP($B175,[1]勘定科目!$A:$H,HLOOKUP($E$5,[1]勘定科目!$F$1:$H$2,2,0),0)="","",VLOOKUP($B175,[1]勘定科目!$A:$E,2,0)),"")</f>
        <v>試験研究用材料費</v>
      </c>
      <c r="D175" s="232" t="str">
        <f>IF(C175="","",VLOOKUP($B175,[1]勘定科目!$A:$E,4,0))</f>
        <v>試験研究費</v>
      </c>
      <c r="E175" s="238"/>
      <c r="F175" s="193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198">
        <f t="shared" si="5"/>
        <v>0</v>
      </c>
      <c r="S175" s="316" t="s">
        <v>850</v>
      </c>
      <c r="T175" s="200"/>
      <c r="U175" s="239"/>
      <c r="V175" s="239"/>
      <c r="W175" s="239"/>
      <c r="BA175"/>
      <c r="BB175"/>
    </row>
    <row r="176" spans="1:54" s="190" customFormat="1" ht="14.25">
      <c r="A176" s="221"/>
      <c r="B176" s="180">
        <v>5005196373</v>
      </c>
      <c r="C176" s="183" t="str">
        <f>IFERROR(IF(VLOOKUP($B176,[1]勘定科目!$A:$H,HLOOKUP($E$5,[1]勘定科目!$F$1:$H$2,2,0),0)="","",VLOOKUP($B176,[1]勘定科目!$A:$E,2,0)),"")</f>
        <v>試験研究用材料費</v>
      </c>
      <c r="D176" s="232" t="str">
        <f>IF(C176="","",VLOOKUP($B176,[1]勘定科目!$A:$E,4,0))</f>
        <v>試験研究費</v>
      </c>
      <c r="E176" s="238"/>
      <c r="F176" s="193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198">
        <f t="shared" si="5"/>
        <v>0</v>
      </c>
      <c r="S176" s="316" t="s">
        <v>851</v>
      </c>
      <c r="T176" s="200"/>
      <c r="U176" s="239"/>
      <c r="V176" s="239"/>
      <c r="W176" s="239"/>
      <c r="BA176"/>
      <c r="BB176"/>
    </row>
    <row r="177" spans="1:54" s="190" customFormat="1" ht="14.25">
      <c r="A177" s="221"/>
      <c r="B177" s="180">
        <v>5005196373</v>
      </c>
      <c r="C177" s="183" t="str">
        <f>IFERROR(IF(VLOOKUP($B177,[1]勘定科目!$A:$H,HLOOKUP($E$5,[1]勘定科目!$F$1:$H$2,2,0),0)="","",VLOOKUP($B177,[1]勘定科目!$A:$E,2,0)),"")</f>
        <v>試験研究用材料費</v>
      </c>
      <c r="D177" s="232" t="str">
        <f>IF(C177="","",VLOOKUP($B177,[1]勘定科目!$A:$E,4,0))</f>
        <v>試験研究費</v>
      </c>
      <c r="E177" s="238"/>
      <c r="F177" s="193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198">
        <f t="shared" si="5"/>
        <v>0</v>
      </c>
      <c r="S177" s="316" t="s">
        <v>852</v>
      </c>
      <c r="T177" s="200"/>
      <c r="U177" s="239"/>
      <c r="V177" s="239"/>
      <c r="W177" s="239"/>
      <c r="BA177"/>
      <c r="BB177"/>
    </row>
    <row r="178" spans="1:54" s="190" customFormat="1" ht="14.25">
      <c r="A178" s="221"/>
      <c r="B178" s="180">
        <v>5005196373</v>
      </c>
      <c r="C178" s="183" t="str">
        <f>IFERROR(IF(VLOOKUP($B178,[1]勘定科目!$A:$H,HLOOKUP($E$5,[1]勘定科目!$F$1:$H$2,2,0),0)="","",VLOOKUP($B178,[1]勘定科目!$A:$E,2,0)),"")</f>
        <v>試験研究用材料費</v>
      </c>
      <c r="D178" s="232" t="str">
        <f>IF(C178="","",VLOOKUP($B178,[1]勘定科目!$A:$E,4,0))</f>
        <v>試験研究費</v>
      </c>
      <c r="E178" s="238"/>
      <c r="F178" s="193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198">
        <f t="shared" si="5"/>
        <v>0</v>
      </c>
      <c r="S178" s="316" t="s">
        <v>853</v>
      </c>
      <c r="T178" s="200"/>
      <c r="U178" s="239"/>
      <c r="V178" s="239"/>
      <c r="W178" s="239"/>
      <c r="BA178"/>
      <c r="BB178"/>
    </row>
    <row r="179" spans="1:54" s="190" customFormat="1" ht="14.25">
      <c r="A179" s="221"/>
      <c r="B179" s="180">
        <v>5005196373</v>
      </c>
      <c r="C179" s="183" t="str">
        <f>IFERROR(IF(VLOOKUP($B179,[1]勘定科目!$A:$H,HLOOKUP($E$5,[1]勘定科目!$F$1:$H$2,2,0),0)="","",VLOOKUP($B179,[1]勘定科目!$A:$E,2,0)),"")</f>
        <v>試験研究用材料費</v>
      </c>
      <c r="D179" s="232" t="str">
        <f>IF(C179="","",VLOOKUP($B179,[1]勘定科目!$A:$E,4,0))</f>
        <v>試験研究費</v>
      </c>
      <c r="E179" s="238"/>
      <c r="F179" s="193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198">
        <f t="shared" si="5"/>
        <v>0</v>
      </c>
      <c r="S179" s="316" t="s">
        <v>854</v>
      </c>
      <c r="T179" s="200"/>
      <c r="U179" s="239"/>
      <c r="V179" s="239"/>
      <c r="W179" s="239"/>
      <c r="BA179"/>
      <c r="BB179"/>
    </row>
    <row r="180" spans="1:54" s="190" customFormat="1" ht="14.25">
      <c r="A180" s="221"/>
      <c r="B180" s="180">
        <v>5005196373</v>
      </c>
      <c r="C180" s="183" t="str">
        <f>IFERROR(IF(VLOOKUP($B180,[1]勘定科目!$A:$H,HLOOKUP($E$5,[1]勘定科目!$F$1:$H$2,2,0),0)="","",VLOOKUP($B180,[1]勘定科目!$A:$E,2,0)),"")</f>
        <v>試験研究用材料費</v>
      </c>
      <c r="D180" s="232" t="str">
        <f>IF(C180="","",VLOOKUP($B180,[1]勘定科目!$A:$E,4,0))</f>
        <v>試験研究費</v>
      </c>
      <c r="E180" s="238"/>
      <c r="F180" s="193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198">
        <f t="shared" si="5"/>
        <v>0</v>
      </c>
      <c r="S180" s="316" t="s">
        <v>855</v>
      </c>
      <c r="T180" s="200"/>
      <c r="U180" s="239"/>
      <c r="V180" s="239"/>
      <c r="W180" s="239"/>
      <c r="BA180"/>
      <c r="BB180"/>
    </row>
    <row r="181" spans="1:54" s="190" customFormat="1" ht="14.25">
      <c r="A181" s="221"/>
      <c r="B181" s="180">
        <v>5005196373</v>
      </c>
      <c r="C181" s="183" t="str">
        <f>IFERROR(IF(VLOOKUP($B181,[1]勘定科目!$A:$H,HLOOKUP($E$5,[1]勘定科目!$F$1:$H$2,2,0),0)="","",VLOOKUP($B181,[1]勘定科目!$A:$E,2,0)),"")</f>
        <v>試験研究用材料費</v>
      </c>
      <c r="D181" s="232" t="str">
        <f>IF(C181="","",VLOOKUP($B181,[1]勘定科目!$A:$E,4,0))</f>
        <v>試験研究費</v>
      </c>
      <c r="E181" s="238"/>
      <c r="F181" s="193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198">
        <f t="shared" si="5"/>
        <v>0</v>
      </c>
      <c r="S181" s="316" t="s">
        <v>856</v>
      </c>
      <c r="T181" s="200"/>
      <c r="U181" s="239"/>
      <c r="V181" s="239"/>
      <c r="W181" s="239"/>
      <c r="BA181"/>
      <c r="BB181"/>
    </row>
    <row r="182" spans="1:54" s="190" customFormat="1" ht="14.25">
      <c r="A182" s="221"/>
      <c r="B182" s="180">
        <v>5005196373</v>
      </c>
      <c r="C182" s="183" t="str">
        <f>IFERROR(IF(VLOOKUP($B182,[1]勘定科目!$A:$H,HLOOKUP($E$5,[1]勘定科目!$F$1:$H$2,2,0),0)="","",VLOOKUP($B182,[1]勘定科目!$A:$E,2,0)),"")</f>
        <v>試験研究用材料費</v>
      </c>
      <c r="D182" s="232" t="str">
        <f>IF(C182="","",VLOOKUP($B182,[1]勘定科目!$A:$E,4,0))</f>
        <v>試験研究費</v>
      </c>
      <c r="E182" s="238"/>
      <c r="F182" s="193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198">
        <f t="shared" si="5"/>
        <v>0</v>
      </c>
      <c r="S182" s="316" t="s">
        <v>857</v>
      </c>
      <c r="T182" s="200"/>
      <c r="U182" s="239"/>
      <c r="V182" s="239"/>
      <c r="W182" s="239"/>
      <c r="BA182"/>
      <c r="BB182"/>
    </row>
    <row r="183" spans="1:54" s="190" customFormat="1" ht="14.25">
      <c r="A183" s="221"/>
      <c r="B183" s="180">
        <v>5005196373</v>
      </c>
      <c r="C183" s="183" t="str">
        <f>IFERROR(IF(VLOOKUP($B183,[1]勘定科目!$A:$H,HLOOKUP($E$5,[1]勘定科目!$F$1:$H$2,2,0),0)="","",VLOOKUP($B183,[1]勘定科目!$A:$E,2,0)),"")</f>
        <v>試験研究用材料費</v>
      </c>
      <c r="D183" s="232" t="str">
        <f>IF(C183="","",VLOOKUP($B183,[1]勘定科目!$A:$E,4,0))</f>
        <v>試験研究費</v>
      </c>
      <c r="E183" s="238"/>
      <c r="F183" s="193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198">
        <f t="shared" ref="R183:R246" si="6">SUM(F183:Q183)</f>
        <v>0</v>
      </c>
      <c r="S183" s="316" t="s">
        <v>858</v>
      </c>
      <c r="T183" s="200"/>
      <c r="U183" s="239"/>
      <c r="V183" s="239"/>
      <c r="W183" s="239"/>
      <c r="BA183"/>
      <c r="BB183"/>
    </row>
    <row r="184" spans="1:54" s="190" customFormat="1" ht="14.25">
      <c r="A184" s="221"/>
      <c r="B184" s="180">
        <v>5005196373</v>
      </c>
      <c r="C184" s="183" t="str">
        <f>IFERROR(IF(VLOOKUP($B184,[1]勘定科目!$A:$H,HLOOKUP($E$5,[1]勘定科目!$F$1:$H$2,2,0),0)="","",VLOOKUP($B184,[1]勘定科目!$A:$E,2,0)),"")</f>
        <v>試験研究用材料費</v>
      </c>
      <c r="D184" s="232" t="str">
        <f>IF(C184="","",VLOOKUP($B184,[1]勘定科目!$A:$E,4,0))</f>
        <v>試験研究費</v>
      </c>
      <c r="E184" s="238"/>
      <c r="F184" s="193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198">
        <f t="shared" si="6"/>
        <v>0</v>
      </c>
      <c r="S184" s="316" t="s">
        <v>859</v>
      </c>
      <c r="T184" s="200"/>
      <c r="U184" s="239"/>
      <c r="V184" s="239"/>
      <c r="W184" s="239"/>
      <c r="BA184"/>
      <c r="BB184"/>
    </row>
    <row r="185" spans="1:54" s="190" customFormat="1" ht="14.25">
      <c r="A185" s="221"/>
      <c r="B185" s="180">
        <v>5005196373</v>
      </c>
      <c r="C185" s="183" t="str">
        <f>IFERROR(IF(VLOOKUP($B185,[1]勘定科目!$A:$H,HLOOKUP($E$5,[1]勘定科目!$F$1:$H$2,2,0),0)="","",VLOOKUP($B185,[1]勘定科目!$A:$E,2,0)),"")</f>
        <v>試験研究用材料費</v>
      </c>
      <c r="D185" s="232" t="str">
        <f>IF(C185="","",VLOOKUP($B185,[1]勘定科目!$A:$E,4,0))</f>
        <v>試験研究費</v>
      </c>
      <c r="E185" s="238"/>
      <c r="F185" s="193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198">
        <f t="shared" si="6"/>
        <v>0</v>
      </c>
      <c r="S185" s="316" t="s">
        <v>860</v>
      </c>
      <c r="T185" s="200"/>
      <c r="U185" s="239"/>
      <c r="V185" s="239"/>
      <c r="W185" s="239"/>
      <c r="BA185"/>
      <c r="BB185"/>
    </row>
    <row r="186" spans="1:54" s="190" customFormat="1" ht="14.25">
      <c r="A186" s="221"/>
      <c r="B186" s="180">
        <v>5005196373</v>
      </c>
      <c r="C186" s="183" t="str">
        <f>IFERROR(IF(VLOOKUP($B186,[1]勘定科目!$A:$H,HLOOKUP($E$5,[1]勘定科目!$F$1:$H$2,2,0),0)="","",VLOOKUP($B186,[1]勘定科目!$A:$E,2,0)),"")</f>
        <v>試験研究用材料費</v>
      </c>
      <c r="D186" s="232" t="str">
        <f>IF(C186="","",VLOOKUP($B186,[1]勘定科目!$A:$E,4,0))</f>
        <v>試験研究費</v>
      </c>
      <c r="E186" s="238"/>
      <c r="F186" s="193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198">
        <f t="shared" si="6"/>
        <v>0</v>
      </c>
      <c r="S186" s="316" t="s">
        <v>861</v>
      </c>
      <c r="T186" s="200"/>
      <c r="U186" s="239"/>
      <c r="V186" s="239"/>
      <c r="W186" s="239"/>
      <c r="BA186"/>
      <c r="BB186"/>
    </row>
    <row r="187" spans="1:54" s="190" customFormat="1" ht="14.25">
      <c r="A187" s="221"/>
      <c r="B187" s="180">
        <v>5005196373</v>
      </c>
      <c r="C187" s="183" t="str">
        <f>IFERROR(IF(VLOOKUP($B187,[1]勘定科目!$A:$H,HLOOKUP($E$5,[1]勘定科目!$F$1:$H$2,2,0),0)="","",VLOOKUP($B187,[1]勘定科目!$A:$E,2,0)),"")</f>
        <v>試験研究用材料費</v>
      </c>
      <c r="D187" s="232" t="str">
        <f>IF(C187="","",VLOOKUP($B187,[1]勘定科目!$A:$E,4,0))</f>
        <v>試験研究費</v>
      </c>
      <c r="E187" s="238"/>
      <c r="F187" s="193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198">
        <f t="shared" si="6"/>
        <v>0</v>
      </c>
      <c r="S187" s="316" t="s">
        <v>862</v>
      </c>
      <c r="T187" s="200"/>
      <c r="U187" s="239"/>
      <c r="V187" s="239"/>
      <c r="W187" s="239"/>
      <c r="BA187"/>
      <c r="BB187"/>
    </row>
    <row r="188" spans="1:54" s="190" customFormat="1" ht="14.25">
      <c r="A188" s="221"/>
      <c r="B188" s="180"/>
      <c r="C188" s="183" t="str">
        <f>IFERROR(IF(VLOOKUP($B188,[1]勘定科目!$A:$H,HLOOKUP($E$5,[1]勘定科目!$F$1:$H$2,2,0),0)="","",VLOOKUP($B188,[1]勘定科目!$A:$E,2,0)),"")</f>
        <v/>
      </c>
      <c r="D188" s="232" t="str">
        <f>IF(C188="","",VLOOKUP($B188,[1]勘定科目!$A:$E,4,0))</f>
        <v/>
      </c>
      <c r="E188" s="238"/>
      <c r="F188" s="193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198">
        <f t="shared" si="6"/>
        <v>0</v>
      </c>
      <c r="S188" s="294"/>
      <c r="T188" s="200"/>
      <c r="U188" s="239"/>
      <c r="V188" s="239"/>
      <c r="W188" s="239"/>
      <c r="BA188"/>
      <c r="BB188"/>
    </row>
    <row r="189" spans="1:54" s="190" customFormat="1" ht="14.25">
      <c r="A189" s="221"/>
      <c r="B189" s="180">
        <v>5005196373</v>
      </c>
      <c r="C189" s="183" t="str">
        <f>IFERROR(IF(VLOOKUP($B189,[1]勘定科目!$A:$H,HLOOKUP($E$5,[1]勘定科目!$F$1:$H$2,2,0),0)="","",VLOOKUP($B189,[1]勘定科目!$A:$E,2,0)),"")</f>
        <v>試験研究用材料費</v>
      </c>
      <c r="D189" s="232" t="str">
        <f>IF(C189="","",VLOOKUP($B189,[1]勘定科目!$A:$E,4,0))</f>
        <v>試験研究費</v>
      </c>
      <c r="E189" s="238"/>
      <c r="F189" s="193"/>
      <c r="G189" s="240"/>
      <c r="H189" s="240"/>
      <c r="I189" s="240"/>
      <c r="J189" s="240"/>
      <c r="K189" s="240">
        <v>18374400</v>
      </c>
      <c r="L189" s="240"/>
      <c r="M189" s="240"/>
      <c r="N189" s="240"/>
      <c r="O189" s="240"/>
      <c r="P189" s="240"/>
      <c r="Q189" s="240"/>
      <c r="R189" s="198">
        <f t="shared" si="6"/>
        <v>18374400</v>
      </c>
      <c r="S189" s="316" t="s">
        <v>751</v>
      </c>
      <c r="T189" s="200"/>
      <c r="U189" s="239"/>
      <c r="V189" s="239"/>
      <c r="W189" s="239"/>
      <c r="BA189"/>
      <c r="BB189"/>
    </row>
    <row r="190" spans="1:54" s="190" customFormat="1" ht="14.25">
      <c r="A190" s="221"/>
      <c r="B190" s="180">
        <v>5005196373</v>
      </c>
      <c r="C190" s="183" t="str">
        <f>IFERROR(IF(VLOOKUP($B190,[1]勘定科目!$A:$H,HLOOKUP($E$5,[1]勘定科目!$F$1:$H$2,2,0),0)="","",VLOOKUP($B190,[1]勘定科目!$A:$E,2,0)),"")</f>
        <v>試験研究用材料費</v>
      </c>
      <c r="D190" s="232" t="str">
        <f>IF(C190="","",VLOOKUP($B190,[1]勘定科目!$A:$E,4,0))</f>
        <v>試験研究費</v>
      </c>
      <c r="E190" s="238"/>
      <c r="F190" s="193"/>
      <c r="G190" s="240"/>
      <c r="H190" s="240"/>
      <c r="I190" s="240"/>
      <c r="J190" s="240"/>
      <c r="K190" s="240"/>
      <c r="L190" s="240"/>
      <c r="M190" s="240"/>
      <c r="N190" s="240"/>
      <c r="O190" s="240">
        <v>18374400</v>
      </c>
      <c r="P190" s="240"/>
      <c r="Q190" s="240"/>
      <c r="R190" s="198">
        <f t="shared" si="6"/>
        <v>18374400</v>
      </c>
      <c r="S190" s="316" t="s">
        <v>752</v>
      </c>
      <c r="T190" s="200"/>
      <c r="U190" s="239"/>
      <c r="V190" s="239"/>
      <c r="W190" s="239"/>
      <c r="BA190"/>
      <c r="BB190"/>
    </row>
    <row r="191" spans="1:54" s="190" customFormat="1" ht="14.25">
      <c r="A191" s="221"/>
      <c r="B191" s="180"/>
      <c r="C191" s="183" t="str">
        <f>IFERROR(IF(VLOOKUP($B191,[1]勘定科目!$A:$H,HLOOKUP($E$5,[1]勘定科目!$F$1:$H$2,2,0),0)="","",VLOOKUP($B191,[1]勘定科目!$A:$E,2,0)),"")</f>
        <v/>
      </c>
      <c r="D191" s="232" t="str">
        <f>IF(C191="","",VLOOKUP($B191,[1]勘定科目!$A:$E,4,0))</f>
        <v/>
      </c>
      <c r="E191" s="238"/>
      <c r="F191" s="193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198">
        <f t="shared" si="6"/>
        <v>0</v>
      </c>
      <c r="S191" s="294"/>
      <c r="T191" s="200"/>
      <c r="U191" s="239"/>
      <c r="V191" s="239"/>
      <c r="W191" s="239"/>
      <c r="BA191"/>
      <c r="BB191"/>
    </row>
    <row r="192" spans="1:54" s="190" customFormat="1" ht="14.25">
      <c r="A192" s="221"/>
      <c r="B192" s="180">
        <v>5005196373</v>
      </c>
      <c r="C192" s="183" t="str">
        <f>IFERROR(IF(VLOOKUP($B192,[1]勘定科目!$A:$H,HLOOKUP($E$5,[1]勘定科目!$F$1:$H$2,2,0),0)="","",VLOOKUP($B192,[1]勘定科目!$A:$E,2,0)),"")</f>
        <v>試験研究用材料費</v>
      </c>
      <c r="D192" s="232" t="str">
        <f>IF(C192="","",VLOOKUP($B192,[1]勘定科目!$A:$E,4,0))</f>
        <v>試験研究費</v>
      </c>
      <c r="E192" s="238"/>
      <c r="F192" s="193"/>
      <c r="G192" s="240"/>
      <c r="H192" s="240"/>
      <c r="I192" s="240"/>
      <c r="J192" s="240"/>
      <c r="K192" s="240">
        <v>2171520</v>
      </c>
      <c r="L192" s="240"/>
      <c r="M192" s="240"/>
      <c r="N192" s="240"/>
      <c r="O192" s="240"/>
      <c r="P192" s="240"/>
      <c r="Q192" s="240"/>
      <c r="R192" s="198">
        <f t="shared" si="6"/>
        <v>2171520</v>
      </c>
      <c r="S192" s="316" t="s">
        <v>753</v>
      </c>
      <c r="T192" s="200"/>
      <c r="U192" s="239"/>
      <c r="V192" s="239"/>
      <c r="W192" s="239"/>
      <c r="BA192"/>
      <c r="BB192"/>
    </row>
    <row r="193" spans="1:54" s="190" customFormat="1" ht="14.25">
      <c r="A193" s="221"/>
      <c r="B193" s="180">
        <v>5005196373</v>
      </c>
      <c r="C193" s="183" t="str">
        <f>IFERROR(IF(VLOOKUP($B193,[1]勘定科目!$A:$H,HLOOKUP($E$5,[1]勘定科目!$F$1:$H$2,2,0),0)="","",VLOOKUP($B193,[1]勘定科目!$A:$E,2,0)),"")</f>
        <v>試験研究用材料費</v>
      </c>
      <c r="D193" s="232" t="str">
        <f>IF(C193="","",VLOOKUP($B193,[1]勘定科目!$A:$E,4,0))</f>
        <v>試験研究費</v>
      </c>
      <c r="E193" s="238"/>
      <c r="F193" s="193"/>
      <c r="G193" s="240"/>
      <c r="H193" s="240"/>
      <c r="I193" s="240"/>
      <c r="J193" s="240"/>
      <c r="K193" s="240"/>
      <c r="L193" s="240"/>
      <c r="M193" s="240"/>
      <c r="N193" s="240"/>
      <c r="O193" s="240">
        <v>2171520</v>
      </c>
      <c r="P193" s="240"/>
      <c r="Q193" s="240"/>
      <c r="R193" s="198">
        <f t="shared" si="6"/>
        <v>2171520</v>
      </c>
      <c r="S193" s="316" t="s">
        <v>754</v>
      </c>
      <c r="T193" s="200"/>
      <c r="U193" s="239"/>
      <c r="V193" s="239"/>
      <c r="W193" s="239"/>
      <c r="BA193"/>
      <c r="BB193"/>
    </row>
    <row r="194" spans="1:54" s="190" customFormat="1" ht="14.25">
      <c r="A194" s="221"/>
      <c r="B194" s="180"/>
      <c r="C194" s="183" t="str">
        <f>IFERROR(IF(VLOOKUP($B194,[1]勘定科目!$A:$H,HLOOKUP($E$5,[1]勘定科目!$F$1:$H$2,2,0),0)="","",VLOOKUP($B194,[1]勘定科目!$A:$E,2,0)),"")</f>
        <v/>
      </c>
      <c r="D194" s="232" t="str">
        <f>IF(C194="","",VLOOKUP($B194,[1]勘定科目!$A:$E,4,0))</f>
        <v/>
      </c>
      <c r="E194" s="238"/>
      <c r="F194" s="193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198">
        <f t="shared" si="6"/>
        <v>0</v>
      </c>
      <c r="S194" s="294"/>
      <c r="T194" s="200"/>
      <c r="U194" s="239"/>
      <c r="V194" s="239"/>
      <c r="W194" s="239"/>
      <c r="BA194"/>
      <c r="BB194"/>
    </row>
    <row r="195" spans="1:54" s="190" customFormat="1" ht="14.25">
      <c r="A195" s="221"/>
      <c r="B195" s="180">
        <v>5005196373</v>
      </c>
      <c r="C195" s="183" t="str">
        <f>IFERROR(IF(VLOOKUP($B195,[1]勘定科目!$A:$H,HLOOKUP($E$5,[1]勘定科目!$F$1:$H$2,2,0),0)="","",VLOOKUP($B195,[1]勘定科目!$A:$E,2,0)),"")</f>
        <v>試験研究用材料費</v>
      </c>
      <c r="D195" s="232" t="str">
        <f>IF(C195="","",VLOOKUP($B195,[1]勘定科目!$A:$E,4,0))</f>
        <v>試験研究費</v>
      </c>
      <c r="E195" s="238"/>
      <c r="F195" s="193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198">
        <f t="shared" si="6"/>
        <v>0</v>
      </c>
      <c r="S195" s="316" t="s">
        <v>863</v>
      </c>
      <c r="T195" s="200"/>
      <c r="U195" s="239"/>
      <c r="V195" s="239"/>
      <c r="W195" s="239"/>
      <c r="BA195"/>
      <c r="BB195"/>
    </row>
    <row r="196" spans="1:54" s="190" customFormat="1" ht="14.25">
      <c r="A196" s="221"/>
      <c r="B196" s="180">
        <v>5005196373</v>
      </c>
      <c r="C196" s="183" t="str">
        <f>IFERROR(IF(VLOOKUP($B196,[1]勘定科目!$A:$H,HLOOKUP($E$5,[1]勘定科目!$F$1:$H$2,2,0),0)="","",VLOOKUP($B196,[1]勘定科目!$A:$E,2,0)),"")</f>
        <v>試験研究用材料費</v>
      </c>
      <c r="D196" s="232" t="str">
        <f>IF(C196="","",VLOOKUP($B196,[1]勘定科目!$A:$E,4,0))</f>
        <v>試験研究費</v>
      </c>
      <c r="E196" s="238"/>
      <c r="F196" s="193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198">
        <f t="shared" si="6"/>
        <v>0</v>
      </c>
      <c r="S196" s="316" t="s">
        <v>864</v>
      </c>
      <c r="T196" s="200"/>
      <c r="U196" s="239"/>
      <c r="V196" s="239"/>
      <c r="W196" s="239"/>
      <c r="BA196"/>
      <c r="BB196"/>
    </row>
    <row r="197" spans="1:54" s="190" customFormat="1" ht="14.25">
      <c r="A197" s="221"/>
      <c r="B197" s="180">
        <v>5005196373</v>
      </c>
      <c r="C197" s="183" t="str">
        <f>IFERROR(IF(VLOOKUP($B197,[1]勘定科目!$A:$H,HLOOKUP($E$5,[1]勘定科目!$F$1:$H$2,2,0),0)="","",VLOOKUP($B197,[1]勘定科目!$A:$E,2,0)),"")</f>
        <v>試験研究用材料費</v>
      </c>
      <c r="D197" s="232" t="str">
        <f>IF(C197="","",VLOOKUP($B197,[1]勘定科目!$A:$E,4,0))</f>
        <v>試験研究費</v>
      </c>
      <c r="E197" s="238"/>
      <c r="F197" s="193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198">
        <f t="shared" si="6"/>
        <v>0</v>
      </c>
      <c r="S197" s="316" t="s">
        <v>865</v>
      </c>
      <c r="T197" s="200"/>
      <c r="U197" s="239"/>
      <c r="V197" s="239"/>
      <c r="W197" s="239"/>
      <c r="BA197"/>
      <c r="BB197"/>
    </row>
    <row r="198" spans="1:54" s="190" customFormat="1" ht="14.25">
      <c r="A198" s="221"/>
      <c r="B198" s="180">
        <v>5005196373</v>
      </c>
      <c r="C198" s="183" t="str">
        <f>IFERROR(IF(VLOOKUP($B198,[1]勘定科目!$A:$H,HLOOKUP($E$5,[1]勘定科目!$F$1:$H$2,2,0),0)="","",VLOOKUP($B198,[1]勘定科目!$A:$E,2,0)),"")</f>
        <v>試験研究用材料費</v>
      </c>
      <c r="D198" s="232" t="str">
        <f>IF(C198="","",VLOOKUP($B198,[1]勘定科目!$A:$E,4,0))</f>
        <v>試験研究費</v>
      </c>
      <c r="E198" s="238"/>
      <c r="F198" s="193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198">
        <f t="shared" si="6"/>
        <v>0</v>
      </c>
      <c r="S198" s="316" t="s">
        <v>866</v>
      </c>
      <c r="T198" s="200"/>
      <c r="U198" s="239"/>
      <c r="V198" s="239"/>
      <c r="W198" s="239"/>
      <c r="BA198"/>
      <c r="BB198"/>
    </row>
    <row r="199" spans="1:54" s="190" customFormat="1" ht="14.25">
      <c r="A199" s="221"/>
      <c r="B199" s="180"/>
      <c r="C199" s="183" t="str">
        <f>IFERROR(IF(VLOOKUP($B199,[1]勘定科目!$A:$H,HLOOKUP($E$5,[1]勘定科目!$F$1:$H$2,2,0),0)="","",VLOOKUP($B199,[1]勘定科目!$A:$E,2,0)),"")</f>
        <v/>
      </c>
      <c r="D199" s="232" t="str">
        <f>IF(C199="","",VLOOKUP($B199,[1]勘定科目!$A:$E,4,0))</f>
        <v/>
      </c>
      <c r="E199" s="238"/>
      <c r="F199" s="193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198">
        <f t="shared" si="6"/>
        <v>0</v>
      </c>
      <c r="S199" s="294"/>
      <c r="T199" s="200"/>
      <c r="U199" s="239"/>
      <c r="V199" s="239"/>
      <c r="W199" s="239"/>
      <c r="BA199"/>
      <c r="BB199"/>
    </row>
    <row r="200" spans="1:54" s="190" customFormat="1" ht="14.25">
      <c r="A200" s="221"/>
      <c r="B200" s="180">
        <v>5005196373</v>
      </c>
      <c r="C200" s="183" t="str">
        <f>IFERROR(IF(VLOOKUP($B200,[1]勘定科目!$A:$H,HLOOKUP($E$5,[1]勘定科目!$F$1:$H$2,2,0),0)="","",VLOOKUP($B200,[1]勘定科目!$A:$E,2,0)),"")</f>
        <v>試験研究用材料費</v>
      </c>
      <c r="D200" s="232" t="str">
        <f>IF(C200="","",VLOOKUP($B200,[1]勘定科目!$A:$E,4,0))</f>
        <v>試験研究費</v>
      </c>
      <c r="E200" s="238"/>
      <c r="F200" s="193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198">
        <f t="shared" si="6"/>
        <v>0</v>
      </c>
      <c r="S200" s="316" t="s">
        <v>867</v>
      </c>
      <c r="T200" s="200"/>
      <c r="U200" s="239"/>
      <c r="V200" s="239"/>
      <c r="W200" s="239"/>
      <c r="BA200"/>
      <c r="BB200"/>
    </row>
    <row r="201" spans="1:54" s="190" customFormat="1" ht="14.25">
      <c r="A201" s="221"/>
      <c r="B201" s="180">
        <v>5005196373</v>
      </c>
      <c r="C201" s="183" t="str">
        <f>IFERROR(IF(VLOOKUP($B201,[1]勘定科目!$A:$H,HLOOKUP($E$5,[1]勘定科目!$F$1:$H$2,2,0),0)="","",VLOOKUP($B201,[1]勘定科目!$A:$E,2,0)),"")</f>
        <v>試験研究用材料費</v>
      </c>
      <c r="D201" s="232" t="str">
        <f>IF(C201="","",VLOOKUP($B201,[1]勘定科目!$A:$E,4,0))</f>
        <v>試験研究費</v>
      </c>
      <c r="E201" s="238"/>
      <c r="F201" s="193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198">
        <f t="shared" si="6"/>
        <v>0</v>
      </c>
      <c r="S201" s="316" t="s">
        <v>868</v>
      </c>
      <c r="T201" s="200"/>
      <c r="U201" s="239"/>
      <c r="V201" s="239"/>
      <c r="W201" s="239"/>
      <c r="BA201"/>
      <c r="BB201"/>
    </row>
    <row r="202" spans="1:54" s="190" customFormat="1" ht="14.25">
      <c r="A202" s="221"/>
      <c r="B202" s="180"/>
      <c r="C202" s="183" t="str">
        <f>IFERROR(IF(VLOOKUP($B202,[1]勘定科目!$A:$H,HLOOKUP($E$5,[1]勘定科目!$F$1:$H$2,2,0),0)="","",VLOOKUP($B202,[1]勘定科目!$A:$E,2,0)),"")</f>
        <v/>
      </c>
      <c r="D202" s="232" t="str">
        <f>IF(C202="","",VLOOKUP($B202,[1]勘定科目!$A:$E,4,0))</f>
        <v/>
      </c>
      <c r="E202" s="238"/>
      <c r="F202" s="193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198">
        <f t="shared" si="6"/>
        <v>0</v>
      </c>
      <c r="S202" s="294"/>
      <c r="T202" s="200"/>
      <c r="U202" s="239"/>
      <c r="V202" s="239"/>
      <c r="W202" s="239"/>
      <c r="BA202"/>
      <c r="BB202"/>
    </row>
    <row r="203" spans="1:54" s="190" customFormat="1" ht="14.25">
      <c r="A203" s="221"/>
      <c r="B203" s="180">
        <v>5005196373</v>
      </c>
      <c r="C203" s="183" t="str">
        <f>IFERROR(IF(VLOOKUP($B203,[1]勘定科目!$A:$H,HLOOKUP($E$5,[1]勘定科目!$F$1:$H$2,2,0),0)="","",VLOOKUP($B203,[1]勘定科目!$A:$E,2,0)),"")</f>
        <v>試験研究用材料費</v>
      </c>
      <c r="D203" s="232" t="str">
        <f>IF(C203="","",VLOOKUP($B203,[1]勘定科目!$A:$E,4,0))</f>
        <v>試験研究費</v>
      </c>
      <c r="E203" s="238"/>
      <c r="F203" s="193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198">
        <f t="shared" si="6"/>
        <v>0</v>
      </c>
      <c r="S203" s="294" t="s">
        <v>755</v>
      </c>
      <c r="T203" s="200"/>
      <c r="U203" s="239"/>
      <c r="V203" s="239"/>
      <c r="W203" s="239"/>
      <c r="BA203"/>
      <c r="BB203"/>
    </row>
    <row r="204" spans="1:54" s="190" customFormat="1" ht="14.25">
      <c r="A204" s="221"/>
      <c r="B204" s="180">
        <v>5005196373</v>
      </c>
      <c r="C204" s="183" t="str">
        <f>IFERROR(IF(VLOOKUP($B204,[1]勘定科目!$A:$H,HLOOKUP($E$5,[1]勘定科目!$F$1:$H$2,2,0),0)="","",VLOOKUP($B204,[1]勘定科目!$A:$E,2,0)),"")</f>
        <v>試験研究用材料費</v>
      </c>
      <c r="D204" s="232" t="str">
        <f>IF(C204="","",VLOOKUP($B204,[1]勘定科目!$A:$E,4,0))</f>
        <v>試験研究費</v>
      </c>
      <c r="E204" s="238"/>
      <c r="F204" s="193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198">
        <f t="shared" si="6"/>
        <v>0</v>
      </c>
      <c r="S204" s="294" t="s">
        <v>756</v>
      </c>
      <c r="T204" s="200"/>
      <c r="U204" s="239"/>
      <c r="V204" s="239"/>
      <c r="W204" s="239"/>
      <c r="BA204"/>
      <c r="BB204"/>
    </row>
    <row r="205" spans="1:54" s="190" customFormat="1" ht="14.25">
      <c r="A205" s="221"/>
      <c r="B205" s="180">
        <v>5005196373</v>
      </c>
      <c r="C205" s="183" t="str">
        <f>IFERROR(IF(VLOOKUP($B205,[1]勘定科目!$A:$H,HLOOKUP($E$5,[1]勘定科目!$F$1:$H$2,2,0),0)="","",VLOOKUP($B205,[1]勘定科目!$A:$E,2,0)),"")</f>
        <v>試験研究用材料費</v>
      </c>
      <c r="D205" s="232" t="str">
        <f>IF(C205="","",VLOOKUP($B205,[1]勘定科目!$A:$E,4,0))</f>
        <v>試験研究費</v>
      </c>
      <c r="E205" s="238"/>
      <c r="F205" s="193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198">
        <f t="shared" si="6"/>
        <v>0</v>
      </c>
      <c r="S205" s="294" t="s">
        <v>869</v>
      </c>
      <c r="T205" s="200"/>
      <c r="U205" s="239"/>
      <c r="V205" s="239"/>
      <c r="W205" s="239"/>
      <c r="BA205"/>
      <c r="BB205"/>
    </row>
    <row r="206" spans="1:54" s="190" customFormat="1" ht="14.25">
      <c r="A206" s="221"/>
      <c r="B206" s="180"/>
      <c r="C206" s="183" t="str">
        <f>IFERROR(IF(VLOOKUP($B206,[1]勘定科目!$A:$H,HLOOKUP($E$5,[1]勘定科目!$F$1:$H$2,2,0),0)="","",VLOOKUP($B206,[1]勘定科目!$A:$E,2,0)),"")</f>
        <v/>
      </c>
      <c r="D206" s="232" t="str">
        <f>IF(C206="","",VLOOKUP($B206,[1]勘定科目!$A:$E,4,0))</f>
        <v/>
      </c>
      <c r="E206" s="238"/>
      <c r="F206" s="193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198">
        <f t="shared" si="6"/>
        <v>0</v>
      </c>
      <c r="S206" s="294"/>
      <c r="T206" s="200"/>
      <c r="U206" s="239"/>
      <c r="V206" s="239"/>
      <c r="W206" s="239"/>
      <c r="BA206"/>
      <c r="BB206"/>
    </row>
    <row r="207" spans="1:54" s="190" customFormat="1" ht="16.5">
      <c r="A207" s="221"/>
      <c r="B207" s="180"/>
      <c r="C207" s="183" t="str">
        <f>IFERROR(IF(VLOOKUP($B207,[1]勘定科目!$A:$H,HLOOKUP($E$5,[1]勘定科目!$F$1:$H$2,2,0),0)="","",VLOOKUP($B207,[1]勘定科目!$A:$E,2,0)),"")</f>
        <v/>
      </c>
      <c r="D207" s="232" t="str">
        <f>IF(C207="","",VLOOKUP($B207,[1]勘定科目!$A:$E,4,0))</f>
        <v/>
      </c>
      <c r="E207" s="238"/>
      <c r="F207" s="193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198">
        <f t="shared" si="6"/>
        <v>0</v>
      </c>
      <c r="S207" s="317" t="s">
        <v>870</v>
      </c>
      <c r="T207" s="200"/>
      <c r="U207" s="239"/>
      <c r="V207" s="239"/>
      <c r="W207" s="239"/>
      <c r="BA207"/>
      <c r="BB207"/>
    </row>
    <row r="208" spans="1:54" s="190" customFormat="1" ht="14.25">
      <c r="A208" s="221"/>
      <c r="B208" s="180">
        <v>5004086293</v>
      </c>
      <c r="C208" s="183" t="str">
        <f>IFERROR(IF(VLOOKUP($B208,[1]勘定科目!$A:$H,HLOOKUP($E$5,[1]勘定科目!$F$1:$H$2,2,0),0)="","",VLOOKUP($B208,[1]勘定科目!$A:$E,2,0)),"")</f>
        <v>教育訓練費（製）</v>
      </c>
      <c r="D208" s="232" t="str">
        <f>IF(C208="","",VLOOKUP($B208,[1]勘定科目!$A:$E,4,0))</f>
        <v>募集教育費</v>
      </c>
      <c r="E208" s="238"/>
      <c r="F208" s="193">
        <v>0</v>
      </c>
      <c r="G208" s="240"/>
      <c r="H208" s="240"/>
      <c r="I208" s="240"/>
      <c r="J208" s="240"/>
      <c r="K208" s="240"/>
      <c r="L208" s="240">
        <v>0</v>
      </c>
      <c r="M208" s="240"/>
      <c r="N208" s="240"/>
      <c r="O208" s="240"/>
      <c r="P208" s="240"/>
      <c r="Q208" s="240"/>
      <c r="R208" s="198">
        <f t="shared" si="6"/>
        <v>0</v>
      </c>
      <c r="S208" s="318" t="s">
        <v>757</v>
      </c>
      <c r="T208" s="200"/>
      <c r="U208" s="239"/>
      <c r="V208" s="239"/>
      <c r="W208" s="239"/>
      <c r="BA208"/>
      <c r="BB208"/>
    </row>
    <row r="209" spans="1:54" s="190" customFormat="1" ht="14.25">
      <c r="A209" s="221"/>
      <c r="B209" s="180">
        <v>5005116291</v>
      </c>
      <c r="C209" s="183" t="str">
        <f>IFERROR(IF(VLOOKUP($B209,[1]勘定科目!$A:$H,HLOOKUP($E$5,[1]勘定科目!$F$1:$H$2,2,0),0)="","",VLOOKUP($B209,[1]勘定科目!$A:$E,2,0)),"")</f>
        <v>ベトナム国内交通費（製）</v>
      </c>
      <c r="D209" s="232" t="str">
        <f>IF(C209="","",VLOOKUP($B209,[1]勘定科目!$A:$E,4,0))</f>
        <v>旅費交通費</v>
      </c>
      <c r="E209" s="238"/>
      <c r="F209" s="193"/>
      <c r="G209" s="240">
        <v>0</v>
      </c>
      <c r="H209" s="240"/>
      <c r="I209" s="240"/>
      <c r="J209" s="240"/>
      <c r="K209" s="240"/>
      <c r="L209" s="240"/>
      <c r="M209" s="240">
        <v>0</v>
      </c>
      <c r="N209" s="240"/>
      <c r="O209" s="240"/>
      <c r="P209" s="240"/>
      <c r="Q209" s="240"/>
      <c r="R209" s="198">
        <f t="shared" si="6"/>
        <v>0</v>
      </c>
      <c r="S209" s="318" t="s">
        <v>758</v>
      </c>
      <c r="T209" s="200"/>
      <c r="U209" s="239"/>
      <c r="V209" s="239"/>
      <c r="W209" s="239"/>
      <c r="BA209"/>
      <c r="BB209"/>
    </row>
    <row r="210" spans="1:54" s="190" customFormat="1" ht="14.25">
      <c r="A210" s="221"/>
      <c r="B210" s="180">
        <v>5005116291</v>
      </c>
      <c r="C210" s="183" t="str">
        <f>IFERROR(IF(VLOOKUP($B210,[1]勘定科目!$A:$H,HLOOKUP($E$5,[1]勘定科目!$F$1:$H$2,2,0),0)="","",VLOOKUP($B210,[1]勘定科目!$A:$E,2,0)),"")</f>
        <v>ベトナム国内交通費（製）</v>
      </c>
      <c r="D210" s="232" t="str">
        <f>IF(C210="","",VLOOKUP($B210,[1]勘定科目!$A:$E,4,0))</f>
        <v>旅費交通費</v>
      </c>
      <c r="E210" s="238"/>
      <c r="F210" s="193">
        <v>0</v>
      </c>
      <c r="G210" s="240"/>
      <c r="H210" s="240"/>
      <c r="I210" s="240"/>
      <c r="J210" s="240"/>
      <c r="K210" s="240"/>
      <c r="L210" s="240">
        <v>0</v>
      </c>
      <c r="M210" s="240"/>
      <c r="N210" s="240"/>
      <c r="O210" s="240"/>
      <c r="P210" s="240"/>
      <c r="Q210" s="240"/>
      <c r="R210" s="198">
        <f t="shared" si="6"/>
        <v>0</v>
      </c>
      <c r="S210" s="318" t="s">
        <v>759</v>
      </c>
      <c r="T210" s="200"/>
      <c r="U210" s="239"/>
      <c r="V210" s="239"/>
      <c r="W210" s="239"/>
      <c r="BA210"/>
      <c r="BB210"/>
    </row>
    <row r="211" spans="1:54" s="190" customFormat="1" ht="14.25">
      <c r="A211" s="221"/>
      <c r="B211" s="180"/>
      <c r="C211" s="183" t="str">
        <f>IFERROR(IF(VLOOKUP($B211,[1]勘定科目!$A:$H,HLOOKUP($E$5,[1]勘定科目!$F$1:$H$2,2,0),0)="","",VLOOKUP($B211,[1]勘定科目!$A:$E,2,0)),"")</f>
        <v/>
      </c>
      <c r="D211" s="232" t="str">
        <f>IF(C211="","",VLOOKUP($B211,[1]勘定科目!$A:$E,4,0))</f>
        <v/>
      </c>
      <c r="E211" s="238"/>
      <c r="F211" s="193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198">
        <f t="shared" si="6"/>
        <v>0</v>
      </c>
      <c r="S211" s="319"/>
      <c r="T211" s="200"/>
      <c r="U211" s="239"/>
      <c r="V211" s="239"/>
      <c r="W211" s="239"/>
      <c r="BA211"/>
      <c r="BB211"/>
    </row>
    <row r="212" spans="1:54" s="190" customFormat="1" ht="16.5">
      <c r="A212" s="221"/>
      <c r="B212" s="180"/>
      <c r="C212" s="183" t="str">
        <f>IFERROR(IF(VLOOKUP($B212,[1]勘定科目!$A:$H,HLOOKUP($E$5,[1]勘定科目!$F$1:$H$2,2,0),0)="","",VLOOKUP($B212,[1]勘定科目!$A:$E,2,0)),"")</f>
        <v/>
      </c>
      <c r="D212" s="232" t="str">
        <f>IF(C212="","",VLOOKUP($B212,[1]勘定科目!$A:$E,4,0))</f>
        <v/>
      </c>
      <c r="E212" s="238"/>
      <c r="F212" s="193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198">
        <f t="shared" si="6"/>
        <v>0</v>
      </c>
      <c r="S212" s="317" t="s">
        <v>871</v>
      </c>
      <c r="T212" s="200"/>
      <c r="U212" s="239"/>
      <c r="V212" s="239"/>
      <c r="W212" s="239"/>
      <c r="BA212"/>
      <c r="BB212"/>
    </row>
    <row r="213" spans="1:54" s="190" customFormat="1" ht="14.25">
      <c r="A213" s="221"/>
      <c r="B213" s="180">
        <v>5005116291</v>
      </c>
      <c r="C213" s="183" t="str">
        <f>IFERROR(IF(VLOOKUP($B213,[1]勘定科目!$A:$H,HLOOKUP($E$5,[1]勘定科目!$F$1:$H$2,2,0),0)="","",VLOOKUP($B213,[1]勘定科目!$A:$E,2,0)),"")</f>
        <v>ベトナム国内交通費（製）</v>
      </c>
      <c r="D213" s="232" t="str">
        <f>IF(C213="","",VLOOKUP($B213,[1]勘定科目!$A:$E,4,0))</f>
        <v>旅費交通費</v>
      </c>
      <c r="E213" s="238"/>
      <c r="F213" s="193">
        <v>0</v>
      </c>
      <c r="G213" s="240">
        <v>0</v>
      </c>
      <c r="H213" s="240">
        <v>0</v>
      </c>
      <c r="I213" s="240">
        <v>0</v>
      </c>
      <c r="J213" s="240">
        <v>400000</v>
      </c>
      <c r="K213" s="240">
        <v>0</v>
      </c>
      <c r="L213" s="240">
        <v>0</v>
      </c>
      <c r="M213" s="240">
        <v>0</v>
      </c>
      <c r="N213" s="240">
        <v>0</v>
      </c>
      <c r="O213" s="240">
        <v>400000</v>
      </c>
      <c r="P213" s="240">
        <v>0</v>
      </c>
      <c r="Q213" s="240">
        <v>0</v>
      </c>
      <c r="R213" s="198">
        <f t="shared" si="6"/>
        <v>800000</v>
      </c>
      <c r="S213" s="294" t="s">
        <v>760</v>
      </c>
      <c r="T213" s="200"/>
      <c r="U213" s="239"/>
      <c r="V213" s="239"/>
      <c r="W213" s="239"/>
      <c r="BA213"/>
      <c r="BB213"/>
    </row>
    <row r="214" spans="1:54" s="190" customFormat="1" ht="14.25">
      <c r="A214" s="221"/>
      <c r="B214" s="180">
        <v>5004086293</v>
      </c>
      <c r="C214" s="183" t="str">
        <f>IFERROR(IF(VLOOKUP($B214,[1]勘定科目!$A:$H,HLOOKUP($E$5,[1]勘定科目!$F$1:$H$2,2,0),0)="","",VLOOKUP($B214,[1]勘定科目!$A:$E,2,0)),"")</f>
        <v>教育訓練費（製）</v>
      </c>
      <c r="D214" s="232" t="str">
        <f>IF(C214="","",VLOOKUP($B214,[1]勘定科目!$A:$E,4,0))</f>
        <v>募集教育費</v>
      </c>
      <c r="E214" s="238"/>
      <c r="F214" s="193">
        <v>0</v>
      </c>
      <c r="G214" s="240">
        <v>0</v>
      </c>
      <c r="H214" s="240">
        <v>0</v>
      </c>
      <c r="I214" s="240">
        <v>0</v>
      </c>
      <c r="J214" s="240">
        <v>1600000</v>
      </c>
      <c r="K214" s="240">
        <v>0</v>
      </c>
      <c r="L214" s="240">
        <v>0</v>
      </c>
      <c r="M214" s="240">
        <v>0</v>
      </c>
      <c r="N214" s="240">
        <v>0</v>
      </c>
      <c r="O214" s="240">
        <v>1600000</v>
      </c>
      <c r="P214" s="240">
        <v>0</v>
      </c>
      <c r="Q214" s="240">
        <v>0</v>
      </c>
      <c r="R214" s="198">
        <f t="shared" si="6"/>
        <v>3200000</v>
      </c>
      <c r="S214" s="294" t="s">
        <v>761</v>
      </c>
      <c r="T214" s="200"/>
      <c r="U214" s="239"/>
      <c r="V214" s="239"/>
      <c r="W214" s="239"/>
      <c r="BA214"/>
      <c r="BB214"/>
    </row>
    <row r="215" spans="1:54" s="190" customFormat="1" ht="14.25">
      <c r="A215" s="221"/>
      <c r="B215" s="180">
        <v>5005116291</v>
      </c>
      <c r="C215" s="183" t="str">
        <f>IFERROR(IF(VLOOKUP($B215,[1]勘定科目!$A:$H,HLOOKUP($E$5,[1]勘定科目!$F$1:$H$2,2,0),0)="","",VLOOKUP($B215,[1]勘定科目!$A:$E,2,0)),"")</f>
        <v>ベトナム国内交通費（製）</v>
      </c>
      <c r="D215" s="232" t="str">
        <f>IF(C215="","",VLOOKUP($B215,[1]勘定科目!$A:$E,4,0))</f>
        <v>旅費交通費</v>
      </c>
      <c r="E215" s="238"/>
      <c r="F215" s="193">
        <v>0</v>
      </c>
      <c r="G215" s="240">
        <v>0</v>
      </c>
      <c r="H215" s="240">
        <v>0</v>
      </c>
      <c r="I215" s="240">
        <v>0</v>
      </c>
      <c r="J215" s="240">
        <v>0</v>
      </c>
      <c r="K215" s="240">
        <v>0</v>
      </c>
      <c r="L215" s="240">
        <v>0</v>
      </c>
      <c r="M215" s="240">
        <v>0</v>
      </c>
      <c r="N215" s="240">
        <v>0</v>
      </c>
      <c r="O215" s="240">
        <v>0</v>
      </c>
      <c r="P215" s="240">
        <v>0</v>
      </c>
      <c r="Q215" s="240">
        <v>0</v>
      </c>
      <c r="R215" s="198">
        <f t="shared" si="6"/>
        <v>0</v>
      </c>
      <c r="S215" s="294" t="s">
        <v>762</v>
      </c>
      <c r="T215" s="200"/>
      <c r="U215" s="239"/>
      <c r="V215" s="239"/>
      <c r="W215" s="239"/>
      <c r="BA215"/>
      <c r="BB215"/>
    </row>
    <row r="216" spans="1:54" s="190" customFormat="1" ht="14.25">
      <c r="A216" s="221"/>
      <c r="B216" s="180">
        <v>5004086293</v>
      </c>
      <c r="C216" s="183" t="str">
        <f>IFERROR(IF(VLOOKUP($B216,[1]勘定科目!$A:$H,HLOOKUP($E$5,[1]勘定科目!$F$1:$H$2,2,0),0)="","",VLOOKUP($B216,[1]勘定科目!$A:$E,2,0)),"")</f>
        <v>教育訓練費（製）</v>
      </c>
      <c r="D216" s="232" t="str">
        <f>IF(C216="","",VLOOKUP($B216,[1]勘定科目!$A:$E,4,0))</f>
        <v>募集教育費</v>
      </c>
      <c r="E216" s="238"/>
      <c r="F216" s="193">
        <v>0</v>
      </c>
      <c r="G216" s="240">
        <v>0</v>
      </c>
      <c r="H216" s="240">
        <v>0</v>
      </c>
      <c r="I216" s="240">
        <v>0</v>
      </c>
      <c r="J216" s="240">
        <v>3000000</v>
      </c>
      <c r="K216" s="240">
        <v>0</v>
      </c>
      <c r="L216" s="240">
        <v>0</v>
      </c>
      <c r="M216" s="240">
        <v>0</v>
      </c>
      <c r="N216" s="240">
        <v>0</v>
      </c>
      <c r="O216" s="240">
        <v>3000000</v>
      </c>
      <c r="P216" s="240">
        <v>0</v>
      </c>
      <c r="Q216" s="240">
        <v>0</v>
      </c>
      <c r="R216" s="198">
        <f t="shared" si="6"/>
        <v>6000000</v>
      </c>
      <c r="S216" s="294" t="s">
        <v>763</v>
      </c>
      <c r="T216" s="200"/>
      <c r="U216" s="239"/>
      <c r="V216" s="239"/>
      <c r="W216" s="239"/>
      <c r="BA216"/>
      <c r="BB216"/>
    </row>
    <row r="217" spans="1:54" s="190" customFormat="1" ht="16.5">
      <c r="A217" s="221"/>
      <c r="B217" s="180"/>
      <c r="C217" s="183" t="str">
        <f>IFERROR(IF(VLOOKUP($B217,[1]勘定科目!$A:$H,HLOOKUP($E$5,[1]勘定科目!$F$1:$H$2,2,0),0)="","",VLOOKUP($B217,[1]勘定科目!$A:$E,2,0)),"")</f>
        <v/>
      </c>
      <c r="D217" s="232" t="str">
        <f>IF(C217="","",VLOOKUP($B217,[1]勘定科目!$A:$E,4,0))</f>
        <v/>
      </c>
      <c r="E217" s="238"/>
      <c r="F217" s="193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198">
        <f t="shared" si="6"/>
        <v>0</v>
      </c>
      <c r="S217" s="303" t="s">
        <v>872</v>
      </c>
      <c r="T217" s="200"/>
      <c r="U217" s="239"/>
      <c r="V217" s="239"/>
      <c r="W217" s="239"/>
      <c r="BA217"/>
      <c r="BB217"/>
    </row>
    <row r="218" spans="1:54" s="190" customFormat="1" ht="16.5">
      <c r="A218" s="221"/>
      <c r="B218" s="180"/>
      <c r="C218" s="183" t="str">
        <f>IFERROR(IF(VLOOKUP($B218,[1]勘定科目!$A:$H,HLOOKUP($E$5,[1]勘定科目!$F$1:$H$2,2,0),0)="","",VLOOKUP($B218,[1]勘定科目!$A:$E,2,0)),"")</f>
        <v/>
      </c>
      <c r="D218" s="232" t="str">
        <f>IF(C218="","",VLOOKUP($B218,[1]勘定科目!$A:$E,4,0))</f>
        <v/>
      </c>
      <c r="E218" s="238"/>
      <c r="F218" s="193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198">
        <f t="shared" si="6"/>
        <v>0</v>
      </c>
      <c r="S218" s="303" t="s">
        <v>764</v>
      </c>
      <c r="T218" s="200"/>
      <c r="U218" s="239"/>
      <c r="V218" s="239"/>
      <c r="W218" s="239"/>
      <c r="BA218"/>
      <c r="BB218"/>
    </row>
    <row r="219" spans="1:54" s="190" customFormat="1" ht="14.25">
      <c r="A219" s="221"/>
      <c r="B219" s="180">
        <v>5005116292</v>
      </c>
      <c r="C219" s="183" t="str">
        <f>IFERROR(IF(VLOOKUP($B219,[1]勘定科目!$A:$H,HLOOKUP($E$5,[1]勘定科目!$F$1:$H$2,2,0),0)="","",VLOOKUP($B219,[1]勘定科目!$A:$E,2,0)),"")</f>
        <v>海外渡航費（製）</v>
      </c>
      <c r="D219" s="232" t="str">
        <f>IF(C219="","",VLOOKUP($B219,[1]勘定科目!$A:$E,4,0))</f>
        <v>渡航費</v>
      </c>
      <c r="E219" s="238"/>
      <c r="F219" s="193">
        <v>0</v>
      </c>
      <c r="G219" s="240">
        <v>4420000</v>
      </c>
      <c r="H219" s="240">
        <v>0</v>
      </c>
      <c r="I219" s="240">
        <v>0</v>
      </c>
      <c r="J219" s="240">
        <v>0</v>
      </c>
      <c r="K219" s="240">
        <v>4220000</v>
      </c>
      <c r="L219" s="240">
        <v>0</v>
      </c>
      <c r="M219" s="240">
        <v>0</v>
      </c>
      <c r="N219" s="240">
        <v>0</v>
      </c>
      <c r="O219" s="240">
        <v>0</v>
      </c>
      <c r="P219" s="240">
        <v>4220000</v>
      </c>
      <c r="Q219" s="240">
        <v>0</v>
      </c>
      <c r="R219" s="198">
        <f t="shared" si="6"/>
        <v>12860000</v>
      </c>
      <c r="S219" s="294" t="s">
        <v>873</v>
      </c>
      <c r="T219" s="200"/>
      <c r="U219" s="239"/>
      <c r="V219" s="239"/>
      <c r="W219" s="239"/>
      <c r="BA219"/>
      <c r="BB219"/>
    </row>
    <row r="220" spans="1:54" s="190" customFormat="1" ht="14.25">
      <c r="A220" s="221"/>
      <c r="B220" s="180">
        <v>5005116292</v>
      </c>
      <c r="C220" s="183" t="str">
        <f>IFERROR(IF(VLOOKUP($B220,[1]勘定科目!$A:$H,HLOOKUP($E$5,[1]勘定科目!$F$1:$H$2,2,0),0)="","",VLOOKUP($B220,[1]勘定科目!$A:$E,2,0)),"")</f>
        <v>海外渡航費（製）</v>
      </c>
      <c r="D220" s="232" t="str">
        <f>IF(C220="","",VLOOKUP($B220,[1]勘定科目!$A:$E,4,0))</f>
        <v>渡航費</v>
      </c>
      <c r="E220" s="238"/>
      <c r="F220" s="193">
        <v>0</v>
      </c>
      <c r="G220" s="240">
        <v>0</v>
      </c>
      <c r="H220" s="240">
        <v>888650</v>
      </c>
      <c r="I220" s="240">
        <v>0</v>
      </c>
      <c r="J220" s="240">
        <v>0</v>
      </c>
      <c r="K220" s="240">
        <v>0</v>
      </c>
      <c r="L220" s="240">
        <v>888650</v>
      </c>
      <c r="M220" s="240">
        <v>0</v>
      </c>
      <c r="N220" s="240">
        <v>0</v>
      </c>
      <c r="O220" s="240">
        <v>0</v>
      </c>
      <c r="P220" s="240">
        <v>0</v>
      </c>
      <c r="Q220" s="240">
        <v>888650</v>
      </c>
      <c r="R220" s="198">
        <f t="shared" si="6"/>
        <v>2665950</v>
      </c>
      <c r="S220" s="294" t="s">
        <v>874</v>
      </c>
      <c r="T220" s="200"/>
      <c r="U220" s="239"/>
      <c r="V220" s="239"/>
      <c r="W220" s="239"/>
      <c r="BA220"/>
      <c r="BB220"/>
    </row>
    <row r="221" spans="1:54" s="190" customFormat="1" ht="14.25">
      <c r="A221" s="221"/>
      <c r="B221" s="180">
        <v>5005116292</v>
      </c>
      <c r="C221" s="183" t="str">
        <f>IFERROR(IF(VLOOKUP($B221,[1]勘定科目!$A:$H,HLOOKUP($E$5,[1]勘定科目!$F$1:$H$2,2,0),0)="","",VLOOKUP($B221,[1]勘定科目!$A:$E,2,0)),"")</f>
        <v>海外渡航費（製）</v>
      </c>
      <c r="D221" s="232" t="str">
        <f>IF(C221="","",VLOOKUP($B221,[1]勘定科目!$A:$E,4,0))</f>
        <v>渡航費</v>
      </c>
      <c r="E221" s="238"/>
      <c r="F221" s="193">
        <v>0</v>
      </c>
      <c r="G221" s="240">
        <v>0</v>
      </c>
      <c r="H221" s="240">
        <v>35550000</v>
      </c>
      <c r="I221" s="240">
        <v>0</v>
      </c>
      <c r="J221" s="240">
        <v>0</v>
      </c>
      <c r="K221" s="240">
        <v>0</v>
      </c>
      <c r="L221" s="240">
        <v>35550000</v>
      </c>
      <c r="M221" s="240">
        <v>0</v>
      </c>
      <c r="N221" s="240">
        <v>0</v>
      </c>
      <c r="O221" s="240">
        <v>0</v>
      </c>
      <c r="P221" s="240">
        <v>0</v>
      </c>
      <c r="Q221" s="240">
        <v>35550000</v>
      </c>
      <c r="R221" s="198">
        <f t="shared" si="6"/>
        <v>106650000</v>
      </c>
      <c r="S221" s="294" t="s">
        <v>875</v>
      </c>
      <c r="T221" s="200"/>
      <c r="U221" s="239"/>
      <c r="V221" s="239"/>
      <c r="W221" s="239"/>
      <c r="BA221"/>
      <c r="BB221"/>
    </row>
    <row r="222" spans="1:54" s="190" customFormat="1" ht="14.25">
      <c r="A222" s="221"/>
      <c r="B222" s="180">
        <v>5005116292</v>
      </c>
      <c r="C222" s="183" t="str">
        <f>IFERROR(IF(VLOOKUP($B222,[1]勘定科目!$A:$H,HLOOKUP($E$5,[1]勘定科目!$F$1:$H$2,2,0),0)="","",VLOOKUP($B222,[1]勘定科目!$A:$E,2,0)),"")</f>
        <v>海外渡航費（製）</v>
      </c>
      <c r="D222" s="232" t="str">
        <f>IF(C222="","",VLOOKUP($B222,[1]勘定科目!$A:$E,4,0))</f>
        <v>渡航費</v>
      </c>
      <c r="E222" s="238"/>
      <c r="F222" s="193">
        <v>0</v>
      </c>
      <c r="G222" s="240">
        <v>0</v>
      </c>
      <c r="H222" s="240">
        <v>26307000</v>
      </c>
      <c r="I222" s="240">
        <v>0</v>
      </c>
      <c r="J222" s="240">
        <v>0</v>
      </c>
      <c r="K222" s="240">
        <v>0</v>
      </c>
      <c r="L222" s="240">
        <v>26307000</v>
      </c>
      <c r="M222" s="240">
        <v>0</v>
      </c>
      <c r="N222" s="240">
        <v>0</v>
      </c>
      <c r="O222" s="240">
        <v>0</v>
      </c>
      <c r="P222" s="240">
        <v>0</v>
      </c>
      <c r="Q222" s="240">
        <v>26307000</v>
      </c>
      <c r="R222" s="198">
        <f t="shared" si="6"/>
        <v>78921000</v>
      </c>
      <c r="S222" s="294" t="s">
        <v>876</v>
      </c>
      <c r="T222" s="200"/>
      <c r="U222" s="239"/>
      <c r="V222" s="239"/>
      <c r="W222" s="239"/>
      <c r="BA222"/>
      <c r="BB222"/>
    </row>
    <row r="223" spans="1:54" s="190" customFormat="1" ht="14.25">
      <c r="A223" s="221"/>
      <c r="B223" s="180">
        <v>5005116292</v>
      </c>
      <c r="C223" s="183" t="str">
        <f>IFERROR(IF(VLOOKUP($B223,[1]勘定科目!$A:$H,HLOOKUP($E$5,[1]勘定科目!$F$1:$H$2,2,0),0)="","",VLOOKUP($B223,[1]勘定科目!$A:$E,2,0)),"")</f>
        <v>海外渡航費（製）</v>
      </c>
      <c r="D223" s="232" t="str">
        <f>IF(C223="","",VLOOKUP($B223,[1]勘定科目!$A:$E,4,0))</f>
        <v>渡航費</v>
      </c>
      <c r="E223" s="238"/>
      <c r="F223" s="193">
        <v>0</v>
      </c>
      <c r="G223" s="240">
        <v>0</v>
      </c>
      <c r="H223" s="240">
        <v>3000000</v>
      </c>
      <c r="I223" s="240">
        <v>0</v>
      </c>
      <c r="J223" s="240">
        <v>0</v>
      </c>
      <c r="K223" s="240">
        <v>0</v>
      </c>
      <c r="L223" s="240">
        <v>3000000</v>
      </c>
      <c r="M223" s="240">
        <v>0</v>
      </c>
      <c r="N223" s="240">
        <v>0</v>
      </c>
      <c r="O223" s="240">
        <v>0</v>
      </c>
      <c r="P223" s="240">
        <v>0</v>
      </c>
      <c r="Q223" s="240">
        <v>3000000</v>
      </c>
      <c r="R223" s="198">
        <f t="shared" si="6"/>
        <v>9000000</v>
      </c>
      <c r="S223" s="294" t="s">
        <v>877</v>
      </c>
      <c r="T223" s="200"/>
      <c r="U223" s="239"/>
      <c r="V223" s="239"/>
      <c r="W223" s="239"/>
      <c r="BA223"/>
      <c r="BB223"/>
    </row>
    <row r="224" spans="1:54" s="190" customFormat="1" ht="14.25">
      <c r="A224" s="221"/>
      <c r="B224" s="180">
        <v>5005116292</v>
      </c>
      <c r="C224" s="183" t="str">
        <f>IFERROR(IF(VLOOKUP($B224,[1]勘定科目!$A:$H,HLOOKUP($E$5,[1]勘定科目!$F$1:$H$2,2,0),0)="","",VLOOKUP($B224,[1]勘定科目!$A:$E,2,0)),"")</f>
        <v>海外渡航費（製）</v>
      </c>
      <c r="D224" s="232" t="str">
        <f>IF(C224="","",VLOOKUP($B224,[1]勘定科目!$A:$E,4,0))</f>
        <v>渡航費</v>
      </c>
      <c r="E224" s="238"/>
      <c r="F224" s="193">
        <v>0</v>
      </c>
      <c r="G224" s="240">
        <v>0</v>
      </c>
      <c r="H224" s="240">
        <v>27717299.999999996</v>
      </c>
      <c r="I224" s="240">
        <v>0</v>
      </c>
      <c r="J224" s="240">
        <v>0</v>
      </c>
      <c r="K224" s="240">
        <v>0</v>
      </c>
      <c r="L224" s="240">
        <v>27717299.999999996</v>
      </c>
      <c r="M224" s="240">
        <v>0</v>
      </c>
      <c r="N224" s="240">
        <v>0</v>
      </c>
      <c r="O224" s="240">
        <v>0</v>
      </c>
      <c r="P224" s="240">
        <v>0</v>
      </c>
      <c r="Q224" s="240">
        <v>27717299.999999996</v>
      </c>
      <c r="R224" s="198">
        <f t="shared" si="6"/>
        <v>83151899.999999985</v>
      </c>
      <c r="S224" s="294" t="s">
        <v>878</v>
      </c>
      <c r="T224" s="200"/>
      <c r="U224" s="239"/>
      <c r="V224" s="239"/>
      <c r="W224" s="239"/>
      <c r="BA224"/>
      <c r="BB224"/>
    </row>
    <row r="225" spans="1:54" s="190" customFormat="1" ht="14.25">
      <c r="A225" s="221"/>
      <c r="B225" s="180">
        <v>5005116292</v>
      </c>
      <c r="C225" s="183" t="str">
        <f>IFERROR(IF(VLOOKUP($B225,[1]勘定科目!$A:$H,HLOOKUP($E$5,[1]勘定科目!$F$1:$H$2,2,0),0)="","",VLOOKUP($B225,[1]勘定科目!$A:$E,2,0)),"")</f>
        <v>海外渡航費（製）</v>
      </c>
      <c r="D225" s="232" t="str">
        <f>IF(C225="","",VLOOKUP($B225,[1]勘定科目!$A:$E,4,0))</f>
        <v>渡航費</v>
      </c>
      <c r="E225" s="238"/>
      <c r="F225" s="193">
        <v>0</v>
      </c>
      <c r="G225" s="240">
        <v>0</v>
      </c>
      <c r="H225" s="240">
        <v>0</v>
      </c>
      <c r="I225" s="240">
        <v>0</v>
      </c>
      <c r="J225" s="240">
        <v>0</v>
      </c>
      <c r="K225" s="240">
        <v>0</v>
      </c>
      <c r="L225" s="240">
        <v>710699.99999999988</v>
      </c>
      <c r="M225" s="240">
        <v>0</v>
      </c>
      <c r="N225" s="240">
        <v>0</v>
      </c>
      <c r="O225" s="240">
        <v>0</v>
      </c>
      <c r="P225" s="240">
        <v>0</v>
      </c>
      <c r="Q225" s="240">
        <v>0</v>
      </c>
      <c r="R225" s="198">
        <f t="shared" si="6"/>
        <v>710699.99999999988</v>
      </c>
      <c r="S225" s="294" t="s">
        <v>879</v>
      </c>
      <c r="T225" s="200"/>
      <c r="U225" s="239"/>
      <c r="V225" s="239"/>
      <c r="W225" s="239"/>
      <c r="BA225"/>
      <c r="BB225"/>
    </row>
    <row r="226" spans="1:54" s="190" customFormat="1" ht="14.25">
      <c r="A226" s="221"/>
      <c r="B226" s="180">
        <v>5005246286</v>
      </c>
      <c r="C226" s="183" t="str">
        <f>IFERROR(IF(VLOOKUP($B226,[1]勘定科目!$A:$H,HLOOKUP($E$5,[1]勘定科目!$F$1:$H$2,2,0),0)="","",VLOOKUP($B226,[1]勘定科目!$A:$E,2,0)),"")</f>
        <v>その他手数料（製）</v>
      </c>
      <c r="D226" s="232" t="str">
        <f>IF(C226="","",VLOOKUP($B226,[1]勘定科目!$A:$E,4,0))</f>
        <v>手数料</v>
      </c>
      <c r="E226" s="238"/>
      <c r="F226" s="193">
        <v>0</v>
      </c>
      <c r="G226" s="240">
        <v>200000</v>
      </c>
      <c r="H226" s="240">
        <v>0</v>
      </c>
      <c r="I226" s="240">
        <v>0</v>
      </c>
      <c r="J226" s="240">
        <v>0</v>
      </c>
      <c r="K226" s="240">
        <v>200000</v>
      </c>
      <c r="L226" s="240">
        <v>0</v>
      </c>
      <c r="M226" s="240">
        <v>0</v>
      </c>
      <c r="N226" s="240">
        <v>0</v>
      </c>
      <c r="O226" s="240">
        <v>0</v>
      </c>
      <c r="P226" s="240">
        <v>200000</v>
      </c>
      <c r="Q226" s="240">
        <v>0</v>
      </c>
      <c r="R226" s="198">
        <f t="shared" si="6"/>
        <v>600000</v>
      </c>
      <c r="S226" s="294" t="s">
        <v>880</v>
      </c>
      <c r="T226" s="200"/>
      <c r="U226" s="239"/>
      <c r="V226" s="239"/>
      <c r="W226" s="239"/>
      <c r="BA226"/>
      <c r="BB226"/>
    </row>
    <row r="227" spans="1:54" s="190" customFormat="1" ht="14.25">
      <c r="A227" s="221"/>
      <c r="B227" s="180"/>
      <c r="C227" s="183" t="str">
        <f>IFERROR(IF(VLOOKUP($B227,[1]勘定科目!$A:$H,HLOOKUP($E$5,[1]勘定科目!$F$1:$H$2,2,0),0)="","",VLOOKUP($B227,[1]勘定科目!$A:$E,2,0)),"")</f>
        <v/>
      </c>
      <c r="D227" s="232" t="str">
        <f>IF(C227="","",VLOOKUP($B227,[1]勘定科目!$A:$E,4,0))</f>
        <v/>
      </c>
      <c r="E227" s="238"/>
      <c r="F227" s="193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198">
        <f t="shared" si="6"/>
        <v>0</v>
      </c>
      <c r="S227" s="294"/>
      <c r="T227" s="200"/>
      <c r="U227" s="239"/>
      <c r="V227" s="239"/>
      <c r="W227" s="239"/>
      <c r="BA227"/>
      <c r="BB227"/>
    </row>
    <row r="228" spans="1:54" s="190" customFormat="1" ht="16.5">
      <c r="A228" s="221"/>
      <c r="B228" s="180"/>
      <c r="C228" s="183" t="str">
        <f>IFERROR(IF(VLOOKUP($B228,[1]勘定科目!$A:$H,HLOOKUP($E$5,[1]勘定科目!$F$1:$H$2,2,0),0)="","",VLOOKUP($B228,[1]勘定科目!$A:$E,2,0)),"")</f>
        <v/>
      </c>
      <c r="D228" s="232" t="str">
        <f>IF(C228="","",VLOOKUP($B228,[1]勘定科目!$A:$E,4,0))</f>
        <v/>
      </c>
      <c r="E228" s="238"/>
      <c r="F228" s="193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198">
        <f t="shared" si="6"/>
        <v>0</v>
      </c>
      <c r="S228" s="303" t="s">
        <v>765</v>
      </c>
      <c r="T228" s="200"/>
      <c r="U228" s="239"/>
      <c r="V228" s="239"/>
      <c r="W228" s="239"/>
      <c r="BA228"/>
      <c r="BB228"/>
    </row>
    <row r="229" spans="1:54" s="190" customFormat="1" ht="16.5">
      <c r="A229" s="221"/>
      <c r="B229" s="180"/>
      <c r="C229" s="183" t="str">
        <f>IFERROR(IF(VLOOKUP($B229,[1]勘定科目!$A:$H,HLOOKUP($E$5,[1]勘定科目!$F$1:$H$2,2,0),0)="","",VLOOKUP($B229,[1]勘定科目!$A:$E,2,0)),"")</f>
        <v/>
      </c>
      <c r="D229" s="232" t="str">
        <f>IF(C229="","",VLOOKUP($B229,[1]勘定科目!$A:$E,4,0))</f>
        <v/>
      </c>
      <c r="E229" s="238"/>
      <c r="F229" s="193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198">
        <f t="shared" si="6"/>
        <v>0</v>
      </c>
      <c r="S229" s="303"/>
      <c r="T229" s="200"/>
      <c r="U229" s="239"/>
      <c r="V229" s="239"/>
      <c r="W229" s="239"/>
      <c r="BA229"/>
      <c r="BB229"/>
    </row>
    <row r="230" spans="1:54" s="190" customFormat="1" ht="16.5">
      <c r="A230" s="221"/>
      <c r="B230" s="180"/>
      <c r="C230" s="183" t="str">
        <f>IFERROR(IF(VLOOKUP($B230,[1]勘定科目!$A:$H,HLOOKUP($E$5,[1]勘定科目!$F$1:$H$2,2,0),0)="","",VLOOKUP($B230,[1]勘定科目!$A:$E,2,0)),"")</f>
        <v/>
      </c>
      <c r="D230" s="232" t="str">
        <f>IF(C230="","",VLOOKUP($B230,[1]勘定科目!$A:$E,4,0))</f>
        <v/>
      </c>
      <c r="E230" s="238"/>
      <c r="F230" s="193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198">
        <f t="shared" si="6"/>
        <v>0</v>
      </c>
      <c r="S230" s="303" t="s">
        <v>766</v>
      </c>
      <c r="T230" s="200"/>
      <c r="U230" s="239"/>
      <c r="V230" s="239"/>
      <c r="W230" s="239"/>
      <c r="BA230"/>
      <c r="BB230"/>
    </row>
    <row r="231" spans="1:54" s="190" customFormat="1" ht="14.25">
      <c r="A231" s="221"/>
      <c r="B231" s="180">
        <v>5005116292</v>
      </c>
      <c r="C231" s="183" t="str">
        <f>IFERROR(IF(VLOOKUP($B231,[1]勘定科目!$A:$H,HLOOKUP($E$5,[1]勘定科目!$F$1:$H$2,2,0),0)="","",VLOOKUP($B231,[1]勘定科目!$A:$E,2,0)),"")</f>
        <v>海外渡航費（製）</v>
      </c>
      <c r="D231" s="232" t="str">
        <f>IF(C231="","",VLOOKUP($B231,[1]勘定科目!$A:$E,4,0))</f>
        <v>渡航費</v>
      </c>
      <c r="E231" s="238"/>
      <c r="F231" s="193">
        <v>0</v>
      </c>
      <c r="G231" s="240">
        <v>0</v>
      </c>
      <c r="H231" s="240">
        <v>0</v>
      </c>
      <c r="I231" s="240">
        <v>0</v>
      </c>
      <c r="J231" s="240">
        <v>0</v>
      </c>
      <c r="K231" s="240">
        <v>0</v>
      </c>
      <c r="L231" s="240">
        <v>0</v>
      </c>
      <c r="M231" s="240">
        <v>0</v>
      </c>
      <c r="N231" s="240">
        <v>0</v>
      </c>
      <c r="O231" s="240">
        <v>0</v>
      </c>
      <c r="P231" s="240">
        <v>0</v>
      </c>
      <c r="Q231" s="240">
        <v>0</v>
      </c>
      <c r="R231" s="198">
        <f t="shared" si="6"/>
        <v>0</v>
      </c>
      <c r="S231" s="294" t="s">
        <v>767</v>
      </c>
      <c r="T231" s="200"/>
      <c r="U231" s="239"/>
      <c r="V231" s="239"/>
      <c r="W231" s="239"/>
      <c r="BA231"/>
      <c r="BB231"/>
    </row>
    <row r="232" spans="1:54" s="190" customFormat="1" ht="14.25">
      <c r="A232" s="221"/>
      <c r="B232" s="180">
        <v>5005116292</v>
      </c>
      <c r="C232" s="183" t="str">
        <f>IFERROR(IF(VLOOKUP($B232,[1]勘定科目!$A:$H,HLOOKUP($E$5,[1]勘定科目!$F$1:$H$2,2,0),0)="","",VLOOKUP($B232,[1]勘定科目!$A:$E,2,0)),"")</f>
        <v>海外渡航費（製）</v>
      </c>
      <c r="D232" s="232" t="str">
        <f>IF(C232="","",VLOOKUP($B232,[1]勘定科目!$A:$E,4,0))</f>
        <v>渡航費</v>
      </c>
      <c r="E232" s="238"/>
      <c r="F232" s="193">
        <v>0</v>
      </c>
      <c r="G232" s="240">
        <v>0</v>
      </c>
      <c r="H232" s="240">
        <v>0</v>
      </c>
      <c r="I232" s="240">
        <v>0</v>
      </c>
      <c r="J232" s="240">
        <v>0</v>
      </c>
      <c r="K232" s="240">
        <v>0</v>
      </c>
      <c r="L232" s="240">
        <v>0</v>
      </c>
      <c r="M232" s="240">
        <v>0</v>
      </c>
      <c r="N232" s="240">
        <v>0</v>
      </c>
      <c r="O232" s="240">
        <v>0</v>
      </c>
      <c r="P232" s="240">
        <v>0</v>
      </c>
      <c r="Q232" s="240">
        <v>0</v>
      </c>
      <c r="R232" s="198">
        <f t="shared" si="6"/>
        <v>0</v>
      </c>
      <c r="S232" s="294" t="s">
        <v>768</v>
      </c>
      <c r="T232" s="200"/>
      <c r="U232" s="239"/>
      <c r="V232" s="239"/>
      <c r="W232" s="239"/>
      <c r="BA232"/>
      <c r="BB232"/>
    </row>
    <row r="233" spans="1:54" s="190" customFormat="1" ht="14.25">
      <c r="A233" s="221"/>
      <c r="B233" s="180">
        <v>5005116292</v>
      </c>
      <c r="C233" s="183" t="str">
        <f>IFERROR(IF(VLOOKUP($B233,[1]勘定科目!$A:$H,HLOOKUP($E$5,[1]勘定科目!$F$1:$H$2,2,0),0)="","",VLOOKUP($B233,[1]勘定科目!$A:$E,2,0)),"")</f>
        <v>海外渡航費（製）</v>
      </c>
      <c r="D233" s="232" t="str">
        <f>IF(C233="","",VLOOKUP($B233,[1]勘定科目!$A:$E,4,0))</f>
        <v>渡航費</v>
      </c>
      <c r="E233" s="238"/>
      <c r="F233" s="193">
        <v>0</v>
      </c>
      <c r="G233" s="240">
        <v>0</v>
      </c>
      <c r="H233" s="240">
        <v>0</v>
      </c>
      <c r="I233" s="240">
        <v>0</v>
      </c>
      <c r="J233" s="240">
        <v>0</v>
      </c>
      <c r="K233" s="240">
        <v>0</v>
      </c>
      <c r="L233" s="240">
        <v>0</v>
      </c>
      <c r="M233" s="240">
        <v>0</v>
      </c>
      <c r="N233" s="240">
        <v>0</v>
      </c>
      <c r="O233" s="240">
        <v>0</v>
      </c>
      <c r="P233" s="240">
        <v>0</v>
      </c>
      <c r="Q233" s="240">
        <v>0</v>
      </c>
      <c r="R233" s="198">
        <f t="shared" si="6"/>
        <v>0</v>
      </c>
      <c r="S233" s="294" t="s">
        <v>769</v>
      </c>
      <c r="T233" s="200"/>
      <c r="U233" s="239"/>
      <c r="V233" s="239"/>
      <c r="W233" s="239"/>
      <c r="BA233"/>
      <c r="BB233"/>
    </row>
    <row r="234" spans="1:54" s="190" customFormat="1" ht="14.25">
      <c r="A234" s="221"/>
      <c r="B234" s="180">
        <v>5005116292</v>
      </c>
      <c r="C234" s="183" t="str">
        <f>IFERROR(IF(VLOOKUP($B234,[1]勘定科目!$A:$H,HLOOKUP($E$5,[1]勘定科目!$F$1:$H$2,2,0),0)="","",VLOOKUP($B234,[1]勘定科目!$A:$E,2,0)),"")</f>
        <v>海外渡航費（製）</v>
      </c>
      <c r="D234" s="232" t="str">
        <f>IF(C234="","",VLOOKUP($B234,[1]勘定科目!$A:$E,4,0))</f>
        <v>渡航費</v>
      </c>
      <c r="E234" s="238"/>
      <c r="F234" s="193">
        <v>0</v>
      </c>
      <c r="G234" s="240">
        <v>0</v>
      </c>
      <c r="H234" s="240">
        <v>0</v>
      </c>
      <c r="I234" s="240">
        <v>0</v>
      </c>
      <c r="J234" s="240">
        <v>0</v>
      </c>
      <c r="K234" s="240">
        <v>0</v>
      </c>
      <c r="L234" s="240">
        <v>0</v>
      </c>
      <c r="M234" s="240">
        <v>0</v>
      </c>
      <c r="N234" s="240">
        <v>0</v>
      </c>
      <c r="O234" s="240">
        <v>0</v>
      </c>
      <c r="P234" s="240">
        <v>0</v>
      </c>
      <c r="Q234" s="240">
        <v>0</v>
      </c>
      <c r="R234" s="198">
        <f t="shared" si="6"/>
        <v>0</v>
      </c>
      <c r="S234" s="294" t="s">
        <v>770</v>
      </c>
      <c r="T234" s="200"/>
      <c r="U234" s="239"/>
      <c r="V234" s="239"/>
      <c r="W234" s="239"/>
      <c r="BA234"/>
      <c r="BB234"/>
    </row>
    <row r="235" spans="1:54" s="190" customFormat="1" ht="16.5">
      <c r="A235" s="221"/>
      <c r="B235" s="180"/>
      <c r="C235" s="183" t="str">
        <f>IFERROR(IF(VLOOKUP($B235,[1]勘定科目!$A:$H,HLOOKUP($E$5,[1]勘定科目!$F$1:$H$2,2,0),0)="","",VLOOKUP($B235,[1]勘定科目!$A:$E,2,0)),"")</f>
        <v/>
      </c>
      <c r="D235" s="232" t="str">
        <f>IF(C235="","",VLOOKUP($B235,[1]勘定科目!$A:$E,4,0))</f>
        <v/>
      </c>
      <c r="E235" s="238"/>
      <c r="F235" s="193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198">
        <f t="shared" si="6"/>
        <v>0</v>
      </c>
      <c r="S235" s="303" t="s">
        <v>881</v>
      </c>
      <c r="T235" s="200"/>
      <c r="U235" s="239"/>
      <c r="V235" s="239"/>
      <c r="W235" s="239"/>
      <c r="BA235"/>
      <c r="BB235"/>
    </row>
    <row r="236" spans="1:54" s="190" customFormat="1" ht="14.25">
      <c r="A236" s="221"/>
      <c r="B236" s="180">
        <v>5005046282</v>
      </c>
      <c r="C236" s="183" t="str">
        <f>IFERROR(IF(VLOOKUP($B236,[1]勘定科目!$A:$H,HLOOKUP($E$5,[1]勘定科目!$F$1:$H$2,2,0),0)="","",VLOOKUP($B236,[1]勘定科目!$A:$E,2,0)),"")</f>
        <v>その他修繕費（製）</v>
      </c>
      <c r="D236" s="232" t="str">
        <f>IF(C236="","",VLOOKUP($B236,[1]勘定科目!$A:$E,4,0))</f>
        <v>修繕費</v>
      </c>
      <c r="E236" s="238"/>
      <c r="F236" s="193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198">
        <f t="shared" si="6"/>
        <v>0</v>
      </c>
      <c r="S236" s="313" t="s">
        <v>771</v>
      </c>
      <c r="T236" s="200"/>
      <c r="U236" s="239"/>
      <c r="V236" s="239"/>
      <c r="W236" s="239"/>
      <c r="BA236"/>
      <c r="BB236"/>
    </row>
    <row r="237" spans="1:54" s="190" customFormat="1" ht="14.25">
      <c r="A237" s="221"/>
      <c r="B237" s="180">
        <v>5005046282</v>
      </c>
      <c r="C237" s="183" t="str">
        <f>IFERROR(IF(VLOOKUP($B237,[1]勘定科目!$A:$H,HLOOKUP($E$5,[1]勘定科目!$F$1:$H$2,2,0),0)="","",VLOOKUP($B237,[1]勘定科目!$A:$E,2,0)),"")</f>
        <v>その他修繕費（製）</v>
      </c>
      <c r="D237" s="232" t="str">
        <f>IF(C237="","",VLOOKUP($B237,[1]勘定科目!$A:$E,4,0))</f>
        <v>修繕費</v>
      </c>
      <c r="E237" s="238"/>
      <c r="F237" s="193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198">
        <f t="shared" si="6"/>
        <v>0</v>
      </c>
      <c r="S237" s="313" t="s">
        <v>772</v>
      </c>
      <c r="T237" s="200"/>
      <c r="U237" s="239"/>
      <c r="V237" s="239"/>
      <c r="W237" s="239"/>
      <c r="BA237"/>
      <c r="BB237"/>
    </row>
    <row r="238" spans="1:54" s="190" customFormat="1" ht="14.25">
      <c r="A238" s="221"/>
      <c r="B238" s="180">
        <v>5005046282</v>
      </c>
      <c r="C238" s="183" t="str">
        <f>IFERROR(IF(VLOOKUP($B238,[1]勘定科目!$A:$H,HLOOKUP($E$5,[1]勘定科目!$F$1:$H$2,2,0),0)="","",VLOOKUP($B238,[1]勘定科目!$A:$E,2,0)),"")</f>
        <v>その他修繕費（製）</v>
      </c>
      <c r="D238" s="232" t="str">
        <f>IF(C238="","",VLOOKUP($B238,[1]勘定科目!$A:$E,4,0))</f>
        <v>修繕費</v>
      </c>
      <c r="E238" s="238"/>
      <c r="F238" s="193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198">
        <f t="shared" si="6"/>
        <v>0</v>
      </c>
      <c r="S238" s="313" t="s">
        <v>773</v>
      </c>
      <c r="T238" s="200"/>
      <c r="U238" s="239"/>
      <c r="V238" s="239"/>
      <c r="W238" s="239"/>
      <c r="BA238"/>
      <c r="BB238"/>
    </row>
    <row r="239" spans="1:54" s="190" customFormat="1" ht="14.25">
      <c r="A239" s="221"/>
      <c r="B239" s="180">
        <v>5005046282</v>
      </c>
      <c r="C239" s="183" t="str">
        <f>IFERROR(IF(VLOOKUP($B239,[1]勘定科目!$A:$H,HLOOKUP($E$5,[1]勘定科目!$F$1:$H$2,2,0),0)="","",VLOOKUP($B239,[1]勘定科目!$A:$E,2,0)),"")</f>
        <v>その他修繕費（製）</v>
      </c>
      <c r="D239" s="232" t="str">
        <f>IF(C239="","",VLOOKUP($B239,[1]勘定科目!$A:$E,4,0))</f>
        <v>修繕費</v>
      </c>
      <c r="E239" s="238"/>
      <c r="F239" s="193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198">
        <f t="shared" si="6"/>
        <v>0</v>
      </c>
      <c r="S239" s="313" t="s">
        <v>774</v>
      </c>
      <c r="T239" s="200"/>
      <c r="U239" s="239"/>
      <c r="V239" s="239"/>
      <c r="W239" s="239"/>
      <c r="BA239"/>
      <c r="BB239"/>
    </row>
    <row r="240" spans="1:54" s="190" customFormat="1" ht="14.25">
      <c r="A240" s="221"/>
      <c r="B240" s="180">
        <v>5005046282</v>
      </c>
      <c r="C240" s="183" t="str">
        <f>IFERROR(IF(VLOOKUP($B240,[1]勘定科目!$A:$H,HLOOKUP($E$5,[1]勘定科目!$F$1:$H$2,2,0),0)="","",VLOOKUP($B240,[1]勘定科目!$A:$E,2,0)),"")</f>
        <v>その他修繕費（製）</v>
      </c>
      <c r="D240" s="232" t="str">
        <f>IF(C240="","",VLOOKUP($B240,[1]勘定科目!$A:$E,4,0))</f>
        <v>修繕費</v>
      </c>
      <c r="E240" s="238"/>
      <c r="F240" s="193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198">
        <f t="shared" si="6"/>
        <v>0</v>
      </c>
      <c r="S240" s="313" t="s">
        <v>775</v>
      </c>
      <c r="T240" s="200"/>
      <c r="U240" s="239"/>
      <c r="V240" s="239"/>
      <c r="W240" s="239"/>
      <c r="BA240"/>
      <c r="BB240"/>
    </row>
    <row r="241" spans="1:54" s="190" customFormat="1" ht="14.25">
      <c r="A241" s="221"/>
      <c r="B241" s="180">
        <v>5005046282</v>
      </c>
      <c r="C241" s="183" t="str">
        <f>IFERROR(IF(VLOOKUP($B241,[1]勘定科目!$A:$H,HLOOKUP($E$5,[1]勘定科目!$F$1:$H$2,2,0),0)="","",VLOOKUP($B241,[1]勘定科目!$A:$E,2,0)),"")</f>
        <v>その他修繕費（製）</v>
      </c>
      <c r="D241" s="232" t="str">
        <f>IF(C241="","",VLOOKUP($B241,[1]勘定科目!$A:$E,4,0))</f>
        <v>修繕費</v>
      </c>
      <c r="E241" s="238"/>
      <c r="F241" s="193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198">
        <f t="shared" si="6"/>
        <v>0</v>
      </c>
      <c r="S241" s="313" t="s">
        <v>776</v>
      </c>
      <c r="T241" s="200"/>
      <c r="U241" s="239"/>
      <c r="V241" s="239"/>
      <c r="W241" s="239"/>
      <c r="BA241"/>
      <c r="BB241"/>
    </row>
    <row r="242" spans="1:54" s="190" customFormat="1" ht="14.25">
      <c r="A242" s="221"/>
      <c r="B242" s="180">
        <v>5005046282</v>
      </c>
      <c r="C242" s="183" t="str">
        <f>IFERROR(IF(VLOOKUP($B242,[1]勘定科目!$A:$H,HLOOKUP($E$5,[1]勘定科目!$F$1:$H$2,2,0),0)="","",VLOOKUP($B242,[1]勘定科目!$A:$E,2,0)),"")</f>
        <v>その他修繕費（製）</v>
      </c>
      <c r="D242" s="232" t="str">
        <f>IF(C242="","",VLOOKUP($B242,[1]勘定科目!$A:$E,4,0))</f>
        <v>修繕費</v>
      </c>
      <c r="E242" s="238"/>
      <c r="F242" s="193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198">
        <f t="shared" si="6"/>
        <v>0</v>
      </c>
      <c r="S242" s="313" t="s">
        <v>777</v>
      </c>
      <c r="T242" s="200"/>
      <c r="U242" s="239"/>
      <c r="V242" s="239"/>
      <c r="W242" s="239"/>
      <c r="BA242"/>
      <c r="BB242"/>
    </row>
    <row r="243" spans="1:54" s="190" customFormat="1" ht="14.25">
      <c r="A243" s="221"/>
      <c r="B243" s="180">
        <v>5005046282</v>
      </c>
      <c r="C243" s="183" t="str">
        <f>IFERROR(IF(VLOOKUP($B243,[1]勘定科目!$A:$H,HLOOKUP($E$5,[1]勘定科目!$F$1:$H$2,2,0),0)="","",VLOOKUP($B243,[1]勘定科目!$A:$E,2,0)),"")</f>
        <v>その他修繕費（製）</v>
      </c>
      <c r="D243" s="232" t="str">
        <f>IF(C243="","",VLOOKUP($B243,[1]勘定科目!$A:$E,4,0))</f>
        <v>修繕費</v>
      </c>
      <c r="E243" s="238"/>
      <c r="F243" s="193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198">
        <f t="shared" si="6"/>
        <v>0</v>
      </c>
      <c r="S243" s="313" t="s">
        <v>778</v>
      </c>
      <c r="T243" s="200"/>
      <c r="U243" s="239"/>
      <c r="V243" s="239"/>
      <c r="W243" s="239"/>
      <c r="BA243"/>
      <c r="BB243"/>
    </row>
    <row r="244" spans="1:54" s="190" customFormat="1" ht="13.5">
      <c r="A244" s="221"/>
      <c r="B244" s="180"/>
      <c r="C244" s="183" t="str">
        <f>IFERROR(IF(VLOOKUP($B244,[1]勘定科目!$A:$H,HLOOKUP($E$5,[1]勘定科目!$F$1:$H$2,2,0),0)="","",VLOOKUP($B244,[1]勘定科目!$A:$E,2,0)),"")</f>
        <v/>
      </c>
      <c r="D244" s="232" t="str">
        <f>IF(C244="","",VLOOKUP($B244,[1]勘定科目!$A:$E,4,0))</f>
        <v/>
      </c>
      <c r="E244" s="238"/>
      <c r="F244" s="193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198">
        <f t="shared" si="6"/>
        <v>0</v>
      </c>
      <c r="S244" s="199"/>
      <c r="T244" s="200"/>
      <c r="U244" s="239"/>
      <c r="V244" s="239"/>
      <c r="W244" s="239"/>
      <c r="BA244"/>
      <c r="BB244"/>
    </row>
    <row r="245" spans="1:54" s="190" customFormat="1" ht="13.5">
      <c r="A245" s="221"/>
      <c r="B245" s="180"/>
      <c r="C245" s="183" t="str">
        <f>IFERROR(IF(VLOOKUP($B245,[1]勘定科目!$A:$H,HLOOKUP($E$5,[1]勘定科目!$F$1:$H$2,2,0),0)="","",VLOOKUP($B245,[1]勘定科目!$A:$E,2,0)),"")</f>
        <v/>
      </c>
      <c r="D245" s="232" t="str">
        <f>IF(C245="","",VLOOKUP($B245,[1]勘定科目!$A:$E,4,0))</f>
        <v/>
      </c>
      <c r="E245" s="238"/>
      <c r="F245" s="193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198">
        <f t="shared" si="6"/>
        <v>0</v>
      </c>
      <c r="S245" s="199"/>
      <c r="T245" s="200"/>
      <c r="U245" s="239"/>
      <c r="V245" s="239"/>
      <c r="W245" s="239"/>
      <c r="BA245"/>
      <c r="BB245"/>
    </row>
    <row r="246" spans="1:54" s="190" customFormat="1" ht="13.5">
      <c r="A246" s="221"/>
      <c r="B246" s="180"/>
      <c r="C246" s="183" t="str">
        <f>IFERROR(IF(VLOOKUP($B246,[1]勘定科目!$A:$H,HLOOKUP($E$5,[1]勘定科目!$F$1:$H$2,2,0),0)="","",VLOOKUP($B246,[1]勘定科目!$A:$E,2,0)),"")</f>
        <v/>
      </c>
      <c r="D246" s="232" t="str">
        <f>IF(C246="","",VLOOKUP($B246,[1]勘定科目!$A:$E,4,0))</f>
        <v/>
      </c>
      <c r="E246" s="238"/>
      <c r="F246" s="193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198">
        <f t="shared" si="6"/>
        <v>0</v>
      </c>
      <c r="S246" s="199"/>
      <c r="T246" s="200"/>
      <c r="U246" s="239"/>
      <c r="V246" s="239"/>
      <c r="W246" s="239"/>
      <c r="BA246"/>
      <c r="BB246"/>
    </row>
    <row r="247" spans="1:54" s="190" customFormat="1" ht="13.5">
      <c r="A247" s="221"/>
      <c r="B247" s="180"/>
      <c r="C247" s="183" t="str">
        <f>IFERROR(IF(VLOOKUP($B247,[1]勘定科目!$A:$H,HLOOKUP($E$5,[1]勘定科目!$F$1:$H$2,2,0),0)="","",VLOOKUP($B247,[1]勘定科目!$A:$E,2,0)),"")</f>
        <v/>
      </c>
      <c r="D247" s="232" t="str">
        <f>IF(C247="","",VLOOKUP($B247,[1]勘定科目!$A:$E,4,0))</f>
        <v/>
      </c>
      <c r="E247" s="238"/>
      <c r="F247" s="193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198">
        <f t="shared" ref="R247:R310" si="7">SUM(F247:Q247)</f>
        <v>0</v>
      </c>
      <c r="S247" s="199"/>
      <c r="T247" s="200"/>
      <c r="U247" s="239"/>
      <c r="V247" s="239"/>
      <c r="W247" s="239"/>
      <c r="BA247"/>
      <c r="BB247"/>
    </row>
    <row r="248" spans="1:54" s="190" customFormat="1" ht="13.5">
      <c r="A248" s="221"/>
      <c r="B248" s="180"/>
      <c r="C248" s="183" t="str">
        <f>IFERROR(IF(VLOOKUP($B248,[1]勘定科目!$A:$H,HLOOKUP($E$5,[1]勘定科目!$F$1:$H$2,2,0),0)="","",VLOOKUP($B248,[1]勘定科目!$A:$E,2,0)),"")</f>
        <v/>
      </c>
      <c r="D248" s="232" t="str">
        <f>IF(C248="","",VLOOKUP($B248,[1]勘定科目!$A:$E,4,0))</f>
        <v/>
      </c>
      <c r="E248" s="238"/>
      <c r="F248" s="193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198">
        <f t="shared" si="7"/>
        <v>0</v>
      </c>
      <c r="S248" s="199"/>
      <c r="T248" s="200"/>
      <c r="U248" s="239"/>
      <c r="V248" s="239"/>
      <c r="W248" s="239"/>
      <c r="BA248"/>
      <c r="BB248"/>
    </row>
    <row r="249" spans="1:54" s="190" customFormat="1" ht="13.5">
      <c r="A249" s="221"/>
      <c r="B249" s="180"/>
      <c r="C249" s="183" t="str">
        <f>IFERROR(IF(VLOOKUP($B249,[1]勘定科目!$A:$H,HLOOKUP($E$5,[1]勘定科目!$F$1:$H$2,2,0),0)="","",VLOOKUP($B249,[1]勘定科目!$A:$E,2,0)),"")</f>
        <v/>
      </c>
      <c r="D249" s="232" t="str">
        <f>IF(C249="","",VLOOKUP($B249,[1]勘定科目!$A:$E,4,0))</f>
        <v/>
      </c>
      <c r="E249" s="238"/>
      <c r="F249" s="193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198">
        <f t="shared" si="7"/>
        <v>0</v>
      </c>
      <c r="S249" s="199"/>
      <c r="T249" s="200"/>
      <c r="U249" s="239"/>
      <c r="V249" s="239"/>
      <c r="W249" s="239"/>
      <c r="BA249"/>
      <c r="BB249"/>
    </row>
    <row r="250" spans="1:54" s="190" customFormat="1" ht="13.5">
      <c r="A250" s="221"/>
      <c r="B250" s="180"/>
      <c r="C250" s="183" t="str">
        <f>IFERROR(IF(VLOOKUP($B250,[1]勘定科目!$A:$H,HLOOKUP($E$5,[1]勘定科目!$F$1:$H$2,2,0),0)="","",VLOOKUP($B250,[1]勘定科目!$A:$E,2,0)),"")</f>
        <v/>
      </c>
      <c r="D250" s="232" t="str">
        <f>IF(C250="","",VLOOKUP($B250,[1]勘定科目!$A:$E,4,0))</f>
        <v/>
      </c>
      <c r="E250" s="238"/>
      <c r="F250" s="193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198">
        <f t="shared" si="7"/>
        <v>0</v>
      </c>
      <c r="S250" s="199"/>
      <c r="T250" s="200"/>
      <c r="U250" s="239"/>
      <c r="V250" s="239"/>
      <c r="W250" s="239"/>
      <c r="BA250"/>
      <c r="BB250"/>
    </row>
    <row r="251" spans="1:54" s="190" customFormat="1" ht="13.5">
      <c r="A251" s="221"/>
      <c r="B251" s="180"/>
      <c r="C251" s="183" t="str">
        <f>IFERROR(IF(VLOOKUP($B251,[1]勘定科目!$A:$H,HLOOKUP($E$5,[1]勘定科目!$F$1:$H$2,2,0),0)="","",VLOOKUP($B251,[1]勘定科目!$A:$E,2,0)),"")</f>
        <v/>
      </c>
      <c r="D251" s="232" t="str">
        <f>IF(C251="","",VLOOKUP($B251,[1]勘定科目!$A:$E,4,0))</f>
        <v/>
      </c>
      <c r="E251" s="238"/>
      <c r="F251" s="193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198">
        <f t="shared" si="7"/>
        <v>0</v>
      </c>
      <c r="S251" s="199"/>
      <c r="T251" s="200"/>
      <c r="U251" s="239"/>
      <c r="V251" s="239"/>
      <c r="W251" s="239"/>
      <c r="BA251"/>
      <c r="BB251"/>
    </row>
    <row r="252" spans="1:54" s="190" customFormat="1" ht="13.5">
      <c r="A252" s="221"/>
      <c r="B252" s="180"/>
      <c r="C252" s="183" t="str">
        <f>IFERROR(IF(VLOOKUP($B252,[1]勘定科目!$A:$H,HLOOKUP($E$5,[1]勘定科目!$F$1:$H$2,2,0),0)="","",VLOOKUP($B252,[1]勘定科目!$A:$E,2,0)),"")</f>
        <v/>
      </c>
      <c r="D252" s="232" t="str">
        <f>IF(C252="","",VLOOKUP($B252,[1]勘定科目!$A:$E,4,0))</f>
        <v/>
      </c>
      <c r="E252" s="238"/>
      <c r="F252" s="193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198">
        <f t="shared" si="7"/>
        <v>0</v>
      </c>
      <c r="S252" s="199"/>
      <c r="T252" s="200"/>
      <c r="U252" s="239"/>
      <c r="V252" s="239"/>
      <c r="W252" s="239"/>
      <c r="BA252"/>
      <c r="BB252"/>
    </row>
    <row r="253" spans="1:54" s="190" customFormat="1" ht="13.5">
      <c r="A253" s="221"/>
      <c r="B253" s="180"/>
      <c r="C253" s="183" t="str">
        <f>IFERROR(IF(VLOOKUP($B253,[1]勘定科目!$A:$H,HLOOKUP($E$5,[1]勘定科目!$F$1:$H$2,2,0),0)="","",VLOOKUP($B253,[1]勘定科目!$A:$E,2,0)),"")</f>
        <v/>
      </c>
      <c r="D253" s="232" t="str">
        <f>IF(C253="","",VLOOKUP($B253,[1]勘定科目!$A:$E,4,0))</f>
        <v/>
      </c>
      <c r="E253" s="238"/>
      <c r="F253" s="193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198">
        <f t="shared" si="7"/>
        <v>0</v>
      </c>
      <c r="S253" s="199"/>
      <c r="T253" s="200"/>
      <c r="U253" s="239"/>
      <c r="V253" s="239"/>
      <c r="W253" s="239"/>
      <c r="BA253"/>
      <c r="BB253"/>
    </row>
    <row r="254" spans="1:54" s="190" customFormat="1" ht="13.5">
      <c r="A254" s="221"/>
      <c r="B254" s="180"/>
      <c r="C254" s="183" t="str">
        <f>IFERROR(IF(VLOOKUP($B254,[1]勘定科目!$A:$H,HLOOKUP($E$5,[1]勘定科目!$F$1:$H$2,2,0),0)="","",VLOOKUP($B254,[1]勘定科目!$A:$E,2,0)),"")</f>
        <v/>
      </c>
      <c r="D254" s="232" t="str">
        <f>IF(C254="","",VLOOKUP($B254,[1]勘定科目!$A:$E,4,0))</f>
        <v/>
      </c>
      <c r="E254" s="238"/>
      <c r="F254" s="193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198">
        <f t="shared" si="7"/>
        <v>0</v>
      </c>
      <c r="S254" s="199"/>
      <c r="T254" s="200"/>
      <c r="U254" s="239"/>
      <c r="V254" s="239"/>
      <c r="W254" s="239"/>
      <c r="BA254"/>
      <c r="BB254"/>
    </row>
    <row r="255" spans="1:54" s="190" customFormat="1" ht="13.5">
      <c r="A255" s="221"/>
      <c r="B255" s="180"/>
      <c r="C255" s="183" t="str">
        <f>IFERROR(IF(VLOOKUP($B255,[1]勘定科目!$A:$H,HLOOKUP($E$5,[1]勘定科目!$F$1:$H$2,2,0),0)="","",VLOOKUP($B255,[1]勘定科目!$A:$E,2,0)),"")</f>
        <v/>
      </c>
      <c r="D255" s="232" t="str">
        <f>IF(C255="","",VLOOKUP($B255,[1]勘定科目!$A:$E,4,0))</f>
        <v/>
      </c>
      <c r="E255" s="238"/>
      <c r="F255" s="193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198">
        <f t="shared" si="7"/>
        <v>0</v>
      </c>
      <c r="S255" s="199"/>
      <c r="T255" s="200"/>
      <c r="U255" s="239"/>
      <c r="V255" s="239"/>
      <c r="W255" s="239"/>
      <c r="BA255"/>
      <c r="BB255"/>
    </row>
    <row r="256" spans="1:54" s="190" customFormat="1" ht="13.5">
      <c r="A256" s="221"/>
      <c r="B256" s="180"/>
      <c r="C256" s="183" t="str">
        <f>IFERROR(IF(VLOOKUP($B256,[1]勘定科目!$A:$H,HLOOKUP($E$5,[1]勘定科目!$F$1:$H$2,2,0),0)="","",VLOOKUP($B256,[1]勘定科目!$A:$E,2,0)),"")</f>
        <v/>
      </c>
      <c r="D256" s="232" t="str">
        <f>IF(C256="","",VLOOKUP($B256,[1]勘定科目!$A:$E,4,0))</f>
        <v/>
      </c>
      <c r="E256" s="238"/>
      <c r="F256" s="193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198">
        <f t="shared" si="7"/>
        <v>0</v>
      </c>
      <c r="S256" s="199"/>
      <c r="T256" s="200"/>
      <c r="U256" s="239"/>
      <c r="V256" s="239"/>
      <c r="W256" s="239"/>
      <c r="BA256"/>
      <c r="BB256"/>
    </row>
    <row r="257" spans="1:54" s="190" customFormat="1" ht="13.5">
      <c r="A257" s="221"/>
      <c r="B257" s="180"/>
      <c r="C257" s="183" t="str">
        <f>IFERROR(IF(VLOOKUP($B257,[1]勘定科目!$A:$H,HLOOKUP($E$5,[1]勘定科目!$F$1:$H$2,2,0),0)="","",VLOOKUP($B257,[1]勘定科目!$A:$E,2,0)),"")</f>
        <v/>
      </c>
      <c r="D257" s="232" t="str">
        <f>IF(C257="","",VLOOKUP($B257,[1]勘定科目!$A:$E,4,0))</f>
        <v/>
      </c>
      <c r="E257" s="238"/>
      <c r="F257" s="193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198">
        <f t="shared" si="7"/>
        <v>0</v>
      </c>
      <c r="S257" s="199"/>
      <c r="T257" s="200"/>
      <c r="U257" s="239"/>
      <c r="V257" s="239"/>
      <c r="W257" s="239"/>
      <c r="BA257"/>
      <c r="BB257"/>
    </row>
    <row r="258" spans="1:54" s="190" customFormat="1" ht="13.5">
      <c r="A258" s="221"/>
      <c r="B258" s="180"/>
      <c r="C258" s="183" t="str">
        <f>IFERROR(IF(VLOOKUP($B258,[1]勘定科目!$A:$H,HLOOKUP($E$5,[1]勘定科目!$F$1:$H$2,2,0),0)="","",VLOOKUP($B258,[1]勘定科目!$A:$E,2,0)),"")</f>
        <v/>
      </c>
      <c r="D258" s="232" t="str">
        <f>IF(C258="","",VLOOKUP($B258,[1]勘定科目!$A:$E,4,0))</f>
        <v/>
      </c>
      <c r="E258" s="238"/>
      <c r="F258" s="193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198">
        <f t="shared" si="7"/>
        <v>0</v>
      </c>
      <c r="S258" s="199"/>
      <c r="T258" s="200"/>
      <c r="U258" s="239"/>
      <c r="V258" s="239"/>
      <c r="W258" s="239"/>
      <c r="BA258"/>
      <c r="BB258"/>
    </row>
    <row r="259" spans="1:54" s="190" customFormat="1" ht="13.5">
      <c r="A259" s="221"/>
      <c r="B259" s="180"/>
      <c r="C259" s="183" t="str">
        <f>IFERROR(IF(VLOOKUP($B259,[1]勘定科目!$A:$H,HLOOKUP($E$5,[1]勘定科目!$F$1:$H$2,2,0),0)="","",VLOOKUP($B259,[1]勘定科目!$A:$E,2,0)),"")</f>
        <v/>
      </c>
      <c r="D259" s="232" t="str">
        <f>IF(C259="","",VLOOKUP($B259,[1]勘定科目!$A:$E,4,0))</f>
        <v/>
      </c>
      <c r="E259" s="238"/>
      <c r="F259" s="193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198">
        <f t="shared" si="7"/>
        <v>0</v>
      </c>
      <c r="S259" s="199"/>
      <c r="T259" s="200"/>
      <c r="U259" s="239"/>
      <c r="V259" s="239"/>
      <c r="W259" s="239"/>
      <c r="BA259"/>
      <c r="BB259"/>
    </row>
    <row r="260" spans="1:54" s="190" customFormat="1" ht="13.5">
      <c r="A260" s="221"/>
      <c r="B260" s="180"/>
      <c r="C260" s="183" t="str">
        <f>IFERROR(IF(VLOOKUP($B260,[1]勘定科目!$A:$H,HLOOKUP($E$5,[1]勘定科目!$F$1:$H$2,2,0),0)="","",VLOOKUP($B260,[1]勘定科目!$A:$E,2,0)),"")</f>
        <v/>
      </c>
      <c r="D260" s="232" t="str">
        <f>IF(C260="","",VLOOKUP($B260,[1]勘定科目!$A:$E,4,0))</f>
        <v/>
      </c>
      <c r="E260" s="238"/>
      <c r="F260" s="193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198">
        <f t="shared" si="7"/>
        <v>0</v>
      </c>
      <c r="S260" s="199"/>
      <c r="T260" s="200"/>
      <c r="U260" s="239"/>
      <c r="V260" s="239"/>
      <c r="W260" s="239"/>
      <c r="BA260"/>
      <c r="BB260"/>
    </row>
    <row r="261" spans="1:54" s="190" customFormat="1" ht="13.5">
      <c r="A261" s="221"/>
      <c r="B261" s="180"/>
      <c r="C261" s="183" t="str">
        <f>IFERROR(IF(VLOOKUP($B261,[1]勘定科目!$A:$H,HLOOKUP($E$5,[1]勘定科目!$F$1:$H$2,2,0),0)="","",VLOOKUP($B261,[1]勘定科目!$A:$E,2,0)),"")</f>
        <v/>
      </c>
      <c r="D261" s="232" t="str">
        <f>IF(C261="","",VLOOKUP($B261,[1]勘定科目!$A:$E,4,0))</f>
        <v/>
      </c>
      <c r="E261" s="238"/>
      <c r="F261" s="193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198">
        <f t="shared" si="7"/>
        <v>0</v>
      </c>
      <c r="S261" s="199"/>
      <c r="T261" s="200"/>
      <c r="U261" s="239"/>
      <c r="V261" s="239"/>
      <c r="W261" s="239"/>
      <c r="BA261"/>
      <c r="BB261"/>
    </row>
    <row r="262" spans="1:54" s="190" customFormat="1" ht="13.5">
      <c r="A262" s="221"/>
      <c r="B262" s="180"/>
      <c r="C262" s="183" t="str">
        <f>IFERROR(IF(VLOOKUP($B262,[1]勘定科目!$A:$H,HLOOKUP($E$5,[1]勘定科目!$F$1:$H$2,2,0),0)="","",VLOOKUP($B262,[1]勘定科目!$A:$E,2,0)),"")</f>
        <v/>
      </c>
      <c r="D262" s="232" t="str">
        <f>IF(C262="","",VLOOKUP($B262,[1]勘定科目!$A:$E,4,0))</f>
        <v/>
      </c>
      <c r="E262" s="238"/>
      <c r="F262" s="193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198">
        <f t="shared" si="7"/>
        <v>0</v>
      </c>
      <c r="S262" s="199"/>
      <c r="T262" s="200"/>
      <c r="U262" s="239"/>
      <c r="V262" s="239"/>
      <c r="W262" s="239"/>
      <c r="BA262"/>
      <c r="BB262"/>
    </row>
    <row r="263" spans="1:54" s="190" customFormat="1" ht="13.5">
      <c r="A263" s="221"/>
      <c r="B263" s="180"/>
      <c r="C263" s="183" t="str">
        <f>IFERROR(IF(VLOOKUP($B263,[1]勘定科目!$A:$H,HLOOKUP($E$5,[1]勘定科目!$F$1:$H$2,2,0),0)="","",VLOOKUP($B263,[1]勘定科目!$A:$E,2,0)),"")</f>
        <v/>
      </c>
      <c r="D263" s="232" t="str">
        <f>IF(C263="","",VLOOKUP($B263,[1]勘定科目!$A:$E,4,0))</f>
        <v/>
      </c>
      <c r="E263" s="238"/>
      <c r="F263" s="193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198">
        <f t="shared" si="7"/>
        <v>0</v>
      </c>
      <c r="S263" s="199"/>
      <c r="T263" s="200"/>
      <c r="U263" s="239"/>
      <c r="V263" s="239"/>
      <c r="W263" s="239"/>
      <c r="BA263"/>
      <c r="BB263"/>
    </row>
    <row r="264" spans="1:54" s="190" customFormat="1" ht="13.5">
      <c r="A264" s="221"/>
      <c r="B264" s="180"/>
      <c r="C264" s="183" t="str">
        <f>IFERROR(IF(VLOOKUP($B264,[1]勘定科目!$A:$H,HLOOKUP($E$5,[1]勘定科目!$F$1:$H$2,2,0),0)="","",VLOOKUP($B264,[1]勘定科目!$A:$E,2,0)),"")</f>
        <v/>
      </c>
      <c r="D264" s="232" t="str">
        <f>IF(C264="","",VLOOKUP($B264,[1]勘定科目!$A:$E,4,0))</f>
        <v/>
      </c>
      <c r="E264" s="238"/>
      <c r="F264" s="193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198">
        <f t="shared" si="7"/>
        <v>0</v>
      </c>
      <c r="S264" s="199"/>
      <c r="T264" s="200"/>
      <c r="U264" s="239"/>
      <c r="V264" s="239"/>
      <c r="W264" s="239"/>
      <c r="BA264"/>
      <c r="BB264"/>
    </row>
    <row r="265" spans="1:54" s="190" customFormat="1" ht="13.5">
      <c r="A265" s="221"/>
      <c r="B265" s="180"/>
      <c r="C265" s="183" t="str">
        <f>IFERROR(IF(VLOOKUP($B265,[1]勘定科目!$A:$H,HLOOKUP($E$5,[1]勘定科目!$F$1:$H$2,2,0),0)="","",VLOOKUP($B265,[1]勘定科目!$A:$E,2,0)),"")</f>
        <v/>
      </c>
      <c r="D265" s="232" t="str">
        <f>IF(C265="","",VLOOKUP($B265,[1]勘定科目!$A:$E,4,0))</f>
        <v/>
      </c>
      <c r="E265" s="238"/>
      <c r="F265" s="193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198">
        <f t="shared" si="7"/>
        <v>0</v>
      </c>
      <c r="S265" s="199"/>
      <c r="T265" s="200"/>
      <c r="U265" s="239"/>
      <c r="V265" s="239"/>
      <c r="W265" s="239"/>
      <c r="BA265"/>
      <c r="BB265"/>
    </row>
    <row r="266" spans="1:54" s="190" customFormat="1" ht="13.5">
      <c r="A266" s="221"/>
      <c r="B266" s="180"/>
      <c r="C266" s="183" t="str">
        <f>IFERROR(IF(VLOOKUP($B266,[1]勘定科目!$A:$H,HLOOKUP($E$5,[1]勘定科目!$F$1:$H$2,2,0),0)="","",VLOOKUP($B266,[1]勘定科目!$A:$E,2,0)),"")</f>
        <v/>
      </c>
      <c r="D266" s="232" t="str">
        <f>IF(C266="","",VLOOKUP($B266,[1]勘定科目!$A:$E,4,0))</f>
        <v/>
      </c>
      <c r="E266" s="238"/>
      <c r="F266" s="193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198">
        <f t="shared" si="7"/>
        <v>0</v>
      </c>
      <c r="S266" s="199"/>
      <c r="T266" s="200"/>
      <c r="U266" s="239"/>
      <c r="V266" s="239"/>
      <c r="W266" s="239"/>
      <c r="BA266"/>
      <c r="BB266"/>
    </row>
    <row r="267" spans="1:54" s="190" customFormat="1" ht="13.5">
      <c r="A267" s="221"/>
      <c r="B267" s="180"/>
      <c r="C267" s="183" t="str">
        <f>IFERROR(IF(VLOOKUP($B267,[1]勘定科目!$A:$H,HLOOKUP($E$5,[1]勘定科目!$F$1:$H$2,2,0),0)="","",VLOOKUP($B267,[1]勘定科目!$A:$E,2,0)),"")</f>
        <v/>
      </c>
      <c r="D267" s="232" t="str">
        <f>IF(C267="","",VLOOKUP($B267,[1]勘定科目!$A:$E,4,0))</f>
        <v/>
      </c>
      <c r="E267" s="238"/>
      <c r="F267" s="193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198">
        <f t="shared" si="7"/>
        <v>0</v>
      </c>
      <c r="S267" s="199"/>
      <c r="T267" s="200"/>
      <c r="U267" s="239"/>
      <c r="V267" s="239"/>
      <c r="W267" s="239"/>
      <c r="BA267"/>
      <c r="BB267"/>
    </row>
    <row r="268" spans="1:54" s="190" customFormat="1" ht="13.5">
      <c r="A268" s="221"/>
      <c r="B268" s="180"/>
      <c r="C268" s="183" t="str">
        <f>IFERROR(IF(VLOOKUP($B268,[1]勘定科目!$A:$H,HLOOKUP($E$5,[1]勘定科目!$F$1:$H$2,2,0),0)="","",VLOOKUP($B268,[1]勘定科目!$A:$E,2,0)),"")</f>
        <v/>
      </c>
      <c r="D268" s="232" t="str">
        <f>IF(C268="","",VLOOKUP($B268,[1]勘定科目!$A:$E,4,0))</f>
        <v/>
      </c>
      <c r="E268" s="238"/>
      <c r="F268" s="193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198">
        <f t="shared" si="7"/>
        <v>0</v>
      </c>
      <c r="S268" s="199"/>
      <c r="T268" s="200"/>
      <c r="U268" s="239"/>
      <c r="V268" s="239"/>
      <c r="W268" s="239"/>
      <c r="BA268"/>
      <c r="BB268"/>
    </row>
    <row r="269" spans="1:54" s="190" customFormat="1" ht="13.5">
      <c r="A269" s="221"/>
      <c r="B269" s="180"/>
      <c r="C269" s="183" t="str">
        <f>IFERROR(IF(VLOOKUP($B269,[1]勘定科目!$A:$H,HLOOKUP($E$5,[1]勘定科目!$F$1:$H$2,2,0),0)="","",VLOOKUP($B269,[1]勘定科目!$A:$E,2,0)),"")</f>
        <v/>
      </c>
      <c r="D269" s="232" t="str">
        <f>IF(C269="","",VLOOKUP($B269,[1]勘定科目!$A:$E,4,0))</f>
        <v/>
      </c>
      <c r="E269" s="238"/>
      <c r="F269" s="193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198">
        <f t="shared" si="7"/>
        <v>0</v>
      </c>
      <c r="S269" s="199"/>
      <c r="T269" s="200"/>
      <c r="U269" s="239"/>
      <c r="V269" s="239"/>
      <c r="W269" s="239"/>
      <c r="BA269"/>
      <c r="BB269"/>
    </row>
    <row r="270" spans="1:54" s="190" customFormat="1" ht="13.5">
      <c r="A270" s="221"/>
      <c r="B270" s="180"/>
      <c r="C270" s="183" t="str">
        <f>IFERROR(IF(VLOOKUP($B270,[1]勘定科目!$A:$H,HLOOKUP($E$5,[1]勘定科目!$F$1:$H$2,2,0),0)="","",VLOOKUP($B270,[1]勘定科目!$A:$E,2,0)),"")</f>
        <v/>
      </c>
      <c r="D270" s="232" t="str">
        <f>IF(C270="","",VLOOKUP($B270,[1]勘定科目!$A:$E,4,0))</f>
        <v/>
      </c>
      <c r="E270" s="238"/>
      <c r="F270" s="193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198">
        <f t="shared" si="7"/>
        <v>0</v>
      </c>
      <c r="S270" s="199"/>
      <c r="T270" s="200"/>
      <c r="U270" s="239"/>
      <c r="V270" s="239"/>
      <c r="W270" s="239"/>
      <c r="BA270"/>
      <c r="BB270"/>
    </row>
    <row r="271" spans="1:54" s="190" customFormat="1" ht="13.5">
      <c r="A271" s="221"/>
      <c r="B271" s="180"/>
      <c r="C271" s="183" t="str">
        <f>IFERROR(IF(VLOOKUP($B271,[1]勘定科目!$A:$H,HLOOKUP($E$5,[1]勘定科目!$F$1:$H$2,2,0),0)="","",VLOOKUP($B271,[1]勘定科目!$A:$E,2,0)),"")</f>
        <v/>
      </c>
      <c r="D271" s="232" t="str">
        <f>IF(C271="","",VLOOKUP($B271,[1]勘定科目!$A:$E,4,0))</f>
        <v/>
      </c>
      <c r="E271" s="238"/>
      <c r="F271" s="193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198">
        <f t="shared" si="7"/>
        <v>0</v>
      </c>
      <c r="S271" s="199"/>
      <c r="T271" s="200"/>
      <c r="U271" s="239"/>
      <c r="V271" s="239"/>
      <c r="W271" s="239"/>
      <c r="BA271"/>
      <c r="BB271"/>
    </row>
    <row r="272" spans="1:54" s="190" customFormat="1" ht="13.5">
      <c r="A272" s="221"/>
      <c r="B272" s="180"/>
      <c r="C272" s="183" t="str">
        <f>IFERROR(IF(VLOOKUP($B272,[1]勘定科目!$A:$H,HLOOKUP($E$5,[1]勘定科目!$F$1:$H$2,2,0),0)="","",VLOOKUP($B272,[1]勘定科目!$A:$E,2,0)),"")</f>
        <v/>
      </c>
      <c r="D272" s="232" t="str">
        <f>IF(C272="","",VLOOKUP($B272,[1]勘定科目!$A:$E,4,0))</f>
        <v/>
      </c>
      <c r="E272" s="238"/>
      <c r="F272" s="193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198">
        <f t="shared" si="7"/>
        <v>0</v>
      </c>
      <c r="S272" s="199"/>
      <c r="T272" s="200"/>
      <c r="U272" s="239"/>
      <c r="V272" s="239"/>
      <c r="W272" s="239"/>
      <c r="BA272"/>
      <c r="BB272"/>
    </row>
    <row r="273" spans="1:54" s="190" customFormat="1" ht="13.5">
      <c r="A273" s="221"/>
      <c r="B273" s="180"/>
      <c r="C273" s="183" t="str">
        <f>IFERROR(IF(VLOOKUP($B273,[1]勘定科目!$A:$H,HLOOKUP($E$5,[1]勘定科目!$F$1:$H$2,2,0),0)="","",VLOOKUP($B273,[1]勘定科目!$A:$E,2,0)),"")</f>
        <v/>
      </c>
      <c r="D273" s="232" t="str">
        <f>IF(C273="","",VLOOKUP($B273,[1]勘定科目!$A:$E,4,0))</f>
        <v/>
      </c>
      <c r="E273" s="238"/>
      <c r="F273" s="193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198">
        <f t="shared" si="7"/>
        <v>0</v>
      </c>
      <c r="S273" s="199"/>
      <c r="T273" s="200"/>
      <c r="U273" s="239"/>
      <c r="V273" s="239"/>
      <c r="W273" s="239"/>
      <c r="BA273"/>
      <c r="BB273"/>
    </row>
    <row r="274" spans="1:54" s="190" customFormat="1" ht="13.5">
      <c r="A274" s="221"/>
      <c r="B274" s="180"/>
      <c r="C274" s="183" t="str">
        <f>IFERROR(IF(VLOOKUP($B274,[1]勘定科目!$A:$H,HLOOKUP($E$5,[1]勘定科目!$F$1:$H$2,2,0),0)="","",VLOOKUP($B274,[1]勘定科目!$A:$E,2,0)),"")</f>
        <v/>
      </c>
      <c r="D274" s="232" t="str">
        <f>IF(C274="","",VLOOKUP($B274,[1]勘定科目!$A:$E,4,0))</f>
        <v/>
      </c>
      <c r="E274" s="238"/>
      <c r="F274" s="193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198">
        <f t="shared" si="7"/>
        <v>0</v>
      </c>
      <c r="S274" s="199"/>
      <c r="T274" s="200"/>
      <c r="U274" s="239"/>
      <c r="V274" s="239"/>
      <c r="W274" s="239"/>
      <c r="BA274"/>
      <c r="BB274"/>
    </row>
    <row r="275" spans="1:54" s="190" customFormat="1" ht="13.5">
      <c r="A275" s="221"/>
      <c r="B275" s="180"/>
      <c r="C275" s="183" t="str">
        <f>IFERROR(IF(VLOOKUP($B275,[1]勘定科目!$A:$H,HLOOKUP($E$5,[1]勘定科目!$F$1:$H$2,2,0),0)="","",VLOOKUP($B275,[1]勘定科目!$A:$E,2,0)),"")</f>
        <v/>
      </c>
      <c r="D275" s="232" t="str">
        <f>IF(C275="","",VLOOKUP($B275,[1]勘定科目!$A:$E,4,0))</f>
        <v/>
      </c>
      <c r="E275" s="238"/>
      <c r="F275" s="193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198">
        <f t="shared" si="7"/>
        <v>0</v>
      </c>
      <c r="S275" s="199"/>
      <c r="T275" s="200"/>
      <c r="U275" s="239"/>
      <c r="V275" s="239"/>
      <c r="W275" s="239"/>
      <c r="BA275"/>
      <c r="BB275"/>
    </row>
    <row r="276" spans="1:54" s="190" customFormat="1" ht="13.5">
      <c r="A276" s="221"/>
      <c r="B276" s="180"/>
      <c r="C276" s="183" t="str">
        <f>IFERROR(IF(VLOOKUP($B276,[1]勘定科目!$A:$H,HLOOKUP($E$5,[1]勘定科目!$F$1:$H$2,2,0),0)="","",VLOOKUP($B276,[1]勘定科目!$A:$E,2,0)),"")</f>
        <v/>
      </c>
      <c r="D276" s="232" t="str">
        <f>IF(C276="","",VLOOKUP($B276,[1]勘定科目!$A:$E,4,0))</f>
        <v/>
      </c>
      <c r="E276" s="238"/>
      <c r="F276" s="193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198">
        <f t="shared" si="7"/>
        <v>0</v>
      </c>
      <c r="S276" s="199"/>
      <c r="T276" s="200"/>
      <c r="U276" s="239"/>
      <c r="V276" s="239"/>
      <c r="W276" s="239"/>
      <c r="BA276"/>
      <c r="BB276"/>
    </row>
    <row r="277" spans="1:54" s="190" customFormat="1" ht="13.5">
      <c r="A277" s="221"/>
      <c r="B277" s="180"/>
      <c r="C277" s="183" t="str">
        <f>IFERROR(IF(VLOOKUP($B277,[1]勘定科目!$A:$H,HLOOKUP($E$5,[1]勘定科目!$F$1:$H$2,2,0),0)="","",VLOOKUP($B277,[1]勘定科目!$A:$E,2,0)),"")</f>
        <v/>
      </c>
      <c r="D277" s="232" t="str">
        <f>IF(C277="","",VLOOKUP($B277,[1]勘定科目!$A:$E,4,0))</f>
        <v/>
      </c>
      <c r="E277" s="238"/>
      <c r="F277" s="193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198">
        <f t="shared" si="7"/>
        <v>0</v>
      </c>
      <c r="S277" s="199"/>
      <c r="T277" s="200"/>
      <c r="U277" s="239"/>
      <c r="V277" s="239"/>
      <c r="W277" s="239"/>
      <c r="BA277"/>
      <c r="BB277"/>
    </row>
    <row r="278" spans="1:54" s="190" customFormat="1" ht="13.5">
      <c r="A278" s="221"/>
      <c r="B278" s="180"/>
      <c r="C278" s="183" t="str">
        <f>IFERROR(IF(VLOOKUP($B278,[1]勘定科目!$A:$H,HLOOKUP($E$5,[1]勘定科目!$F$1:$H$2,2,0),0)="","",VLOOKUP($B278,[1]勘定科目!$A:$E,2,0)),"")</f>
        <v/>
      </c>
      <c r="D278" s="232" t="str">
        <f>IF(C278="","",VLOOKUP($B278,[1]勘定科目!$A:$E,4,0))</f>
        <v/>
      </c>
      <c r="E278" s="238"/>
      <c r="F278" s="193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198">
        <f t="shared" si="7"/>
        <v>0</v>
      </c>
      <c r="S278" s="199"/>
      <c r="T278" s="200"/>
      <c r="U278" s="239"/>
      <c r="V278" s="239"/>
      <c r="W278" s="239"/>
      <c r="BA278"/>
      <c r="BB278"/>
    </row>
    <row r="279" spans="1:54" s="190" customFormat="1" ht="13.5">
      <c r="A279" s="221"/>
      <c r="B279" s="180"/>
      <c r="C279" s="183" t="str">
        <f>IFERROR(IF(VLOOKUP($B279,[1]勘定科目!$A:$H,HLOOKUP($E$5,[1]勘定科目!$F$1:$H$2,2,0),0)="","",VLOOKUP($B279,[1]勘定科目!$A:$E,2,0)),"")</f>
        <v/>
      </c>
      <c r="D279" s="232" t="str">
        <f>IF(C279="","",VLOOKUP($B279,[1]勘定科目!$A:$E,4,0))</f>
        <v/>
      </c>
      <c r="E279" s="238"/>
      <c r="F279" s="193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198">
        <f t="shared" si="7"/>
        <v>0</v>
      </c>
      <c r="S279" s="199"/>
      <c r="T279" s="200"/>
      <c r="U279" s="239"/>
      <c r="V279" s="239"/>
      <c r="W279" s="239"/>
      <c r="BA279"/>
      <c r="BB279"/>
    </row>
    <row r="280" spans="1:54" s="190" customFormat="1" ht="13.5">
      <c r="A280" s="221"/>
      <c r="B280" s="180"/>
      <c r="C280" s="183" t="str">
        <f>IFERROR(IF(VLOOKUP($B280,[1]勘定科目!$A:$H,HLOOKUP($E$5,[1]勘定科目!$F$1:$H$2,2,0),0)="","",VLOOKUP($B280,[1]勘定科目!$A:$E,2,0)),"")</f>
        <v/>
      </c>
      <c r="D280" s="232" t="str">
        <f>IF(C280="","",VLOOKUP($B280,[1]勘定科目!$A:$E,4,0))</f>
        <v/>
      </c>
      <c r="E280" s="238"/>
      <c r="F280" s="193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198">
        <f t="shared" si="7"/>
        <v>0</v>
      </c>
      <c r="S280" s="199"/>
      <c r="T280" s="200"/>
      <c r="U280" s="239"/>
      <c r="V280" s="239"/>
      <c r="W280" s="239"/>
      <c r="BA280"/>
      <c r="BB280"/>
    </row>
    <row r="281" spans="1:54" s="190" customFormat="1" ht="13.5">
      <c r="A281" s="221"/>
      <c r="B281" s="180"/>
      <c r="C281" s="183" t="str">
        <f>IFERROR(IF(VLOOKUP($B281,[1]勘定科目!$A:$H,HLOOKUP($E$5,[1]勘定科目!$F$1:$H$2,2,0),0)="","",VLOOKUP($B281,[1]勘定科目!$A:$E,2,0)),"")</f>
        <v/>
      </c>
      <c r="D281" s="232" t="str">
        <f>IF(C281="","",VLOOKUP($B281,[1]勘定科目!$A:$E,4,0))</f>
        <v/>
      </c>
      <c r="E281" s="238"/>
      <c r="F281" s="193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198">
        <f t="shared" si="7"/>
        <v>0</v>
      </c>
      <c r="S281" s="199"/>
      <c r="T281" s="200"/>
      <c r="U281" s="239"/>
      <c r="V281" s="239"/>
      <c r="W281" s="239"/>
      <c r="BA281"/>
      <c r="BB281"/>
    </row>
    <row r="282" spans="1:54" s="190" customFormat="1" ht="13.5">
      <c r="A282" s="221"/>
      <c r="B282" s="180"/>
      <c r="C282" s="183" t="str">
        <f>IFERROR(IF(VLOOKUP($B282,[1]勘定科目!$A:$H,HLOOKUP($E$5,[1]勘定科目!$F$1:$H$2,2,0),0)="","",VLOOKUP($B282,[1]勘定科目!$A:$E,2,0)),"")</f>
        <v/>
      </c>
      <c r="D282" s="232" t="str">
        <f>IF(C282="","",VLOOKUP($B282,[1]勘定科目!$A:$E,4,0))</f>
        <v/>
      </c>
      <c r="E282" s="238"/>
      <c r="F282" s="193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198">
        <f t="shared" si="7"/>
        <v>0</v>
      </c>
      <c r="S282" s="199"/>
      <c r="T282" s="200"/>
      <c r="U282" s="239"/>
      <c r="V282" s="239"/>
      <c r="W282" s="239"/>
      <c r="BA282"/>
      <c r="BB282"/>
    </row>
    <row r="283" spans="1:54" s="190" customFormat="1" ht="13.5">
      <c r="A283" s="221"/>
      <c r="B283" s="180"/>
      <c r="C283" s="183" t="str">
        <f>IFERROR(IF(VLOOKUP($B283,[1]勘定科目!$A:$H,HLOOKUP($E$5,[1]勘定科目!$F$1:$H$2,2,0),0)="","",VLOOKUP($B283,[1]勘定科目!$A:$E,2,0)),"")</f>
        <v/>
      </c>
      <c r="D283" s="232" t="str">
        <f>IF(C283="","",VLOOKUP($B283,[1]勘定科目!$A:$E,4,0))</f>
        <v/>
      </c>
      <c r="E283" s="238"/>
      <c r="F283" s="193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198">
        <f t="shared" si="7"/>
        <v>0</v>
      </c>
      <c r="S283" s="199"/>
      <c r="T283" s="200"/>
      <c r="U283" s="239"/>
      <c r="V283" s="239"/>
      <c r="W283" s="239"/>
      <c r="BA283"/>
      <c r="BB283"/>
    </row>
    <row r="284" spans="1:54" s="190" customFormat="1" ht="13.5">
      <c r="A284" s="221"/>
      <c r="B284" s="180"/>
      <c r="C284" s="183" t="str">
        <f>IFERROR(IF(VLOOKUP($B284,[1]勘定科目!$A:$H,HLOOKUP($E$5,[1]勘定科目!$F$1:$H$2,2,0),0)="","",VLOOKUP($B284,[1]勘定科目!$A:$E,2,0)),"")</f>
        <v/>
      </c>
      <c r="D284" s="232" t="str">
        <f>IF(C284="","",VLOOKUP($B284,[1]勘定科目!$A:$E,4,0))</f>
        <v/>
      </c>
      <c r="E284" s="238"/>
      <c r="F284" s="193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198">
        <f t="shared" si="7"/>
        <v>0</v>
      </c>
      <c r="S284" s="199"/>
      <c r="T284" s="200"/>
      <c r="U284" s="239"/>
      <c r="V284" s="239"/>
      <c r="W284" s="239"/>
      <c r="BA284"/>
      <c r="BB284"/>
    </row>
    <row r="285" spans="1:54" s="190" customFormat="1" ht="13.5">
      <c r="A285" s="221"/>
      <c r="B285" s="180"/>
      <c r="C285" s="183" t="str">
        <f>IFERROR(IF(VLOOKUP($B285,[1]勘定科目!$A:$H,HLOOKUP($E$5,[1]勘定科目!$F$1:$H$2,2,0),0)="","",VLOOKUP($B285,[1]勘定科目!$A:$E,2,0)),"")</f>
        <v/>
      </c>
      <c r="D285" s="232" t="str">
        <f>IF(C285="","",VLOOKUP($B285,[1]勘定科目!$A:$E,4,0))</f>
        <v/>
      </c>
      <c r="E285" s="238"/>
      <c r="F285" s="193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198">
        <f t="shared" si="7"/>
        <v>0</v>
      </c>
      <c r="S285" s="199"/>
      <c r="T285" s="200"/>
      <c r="U285" s="239"/>
      <c r="V285" s="239"/>
      <c r="W285" s="239"/>
      <c r="BA285"/>
      <c r="BB285"/>
    </row>
    <row r="286" spans="1:54" s="190" customFormat="1" ht="13.5">
      <c r="A286" s="221"/>
      <c r="B286" s="180"/>
      <c r="C286" s="183" t="str">
        <f>IFERROR(IF(VLOOKUP($B286,[1]勘定科目!$A:$H,HLOOKUP($E$5,[1]勘定科目!$F$1:$H$2,2,0),0)="","",VLOOKUP($B286,[1]勘定科目!$A:$E,2,0)),"")</f>
        <v/>
      </c>
      <c r="D286" s="232" t="str">
        <f>IF(C286="","",VLOOKUP($B286,[1]勘定科目!$A:$E,4,0))</f>
        <v/>
      </c>
      <c r="E286" s="238"/>
      <c r="F286" s="193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198">
        <f t="shared" si="7"/>
        <v>0</v>
      </c>
      <c r="S286" s="199"/>
      <c r="T286" s="200"/>
      <c r="U286" s="239"/>
      <c r="V286" s="239"/>
      <c r="W286" s="239"/>
      <c r="BA286"/>
      <c r="BB286"/>
    </row>
    <row r="287" spans="1:54" s="190" customFormat="1" ht="13.5">
      <c r="A287" s="221"/>
      <c r="B287" s="180"/>
      <c r="C287" s="183" t="str">
        <f>IFERROR(IF(VLOOKUP($B287,[1]勘定科目!$A:$H,HLOOKUP($E$5,[1]勘定科目!$F$1:$H$2,2,0),0)="","",VLOOKUP($B287,[1]勘定科目!$A:$E,2,0)),"")</f>
        <v/>
      </c>
      <c r="D287" s="232" t="str">
        <f>IF(C287="","",VLOOKUP($B287,[1]勘定科目!$A:$E,4,0))</f>
        <v/>
      </c>
      <c r="E287" s="238"/>
      <c r="F287" s="193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198">
        <f t="shared" si="7"/>
        <v>0</v>
      </c>
      <c r="S287" s="199"/>
      <c r="T287" s="200"/>
      <c r="U287" s="239"/>
      <c r="V287" s="239"/>
      <c r="W287" s="239"/>
      <c r="BA287"/>
      <c r="BB287"/>
    </row>
    <row r="288" spans="1:54" s="190" customFormat="1" ht="13.5">
      <c r="A288" s="221"/>
      <c r="B288" s="180"/>
      <c r="C288" s="183" t="str">
        <f>IFERROR(IF(VLOOKUP($B288,[1]勘定科目!$A:$H,HLOOKUP($E$5,[1]勘定科目!$F$1:$H$2,2,0),0)="","",VLOOKUP($B288,[1]勘定科目!$A:$E,2,0)),"")</f>
        <v/>
      </c>
      <c r="D288" s="232" t="str">
        <f>IF(C288="","",VLOOKUP($B288,[1]勘定科目!$A:$E,4,0))</f>
        <v/>
      </c>
      <c r="E288" s="238"/>
      <c r="F288" s="193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198">
        <f t="shared" si="7"/>
        <v>0</v>
      </c>
      <c r="S288" s="199"/>
      <c r="T288" s="200"/>
      <c r="U288" s="239"/>
      <c r="V288" s="239"/>
      <c r="W288" s="239"/>
      <c r="BA288"/>
      <c r="BB288"/>
    </row>
    <row r="289" spans="1:54" s="190" customFormat="1" ht="13.5">
      <c r="A289" s="221"/>
      <c r="B289" s="180"/>
      <c r="C289" s="183" t="str">
        <f>IFERROR(IF(VLOOKUP($B289,[1]勘定科目!$A:$H,HLOOKUP($E$5,[1]勘定科目!$F$1:$H$2,2,0),0)="","",VLOOKUP($B289,[1]勘定科目!$A:$E,2,0)),"")</f>
        <v/>
      </c>
      <c r="D289" s="232" t="str">
        <f>IF(C289="","",VLOOKUP($B289,[1]勘定科目!$A:$E,4,0))</f>
        <v/>
      </c>
      <c r="E289" s="238"/>
      <c r="F289" s="193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198">
        <f t="shared" si="7"/>
        <v>0</v>
      </c>
      <c r="S289" s="199"/>
      <c r="T289" s="200"/>
      <c r="U289" s="239"/>
      <c r="V289" s="239"/>
      <c r="W289" s="239"/>
      <c r="BA289"/>
      <c r="BB289"/>
    </row>
    <row r="290" spans="1:54" s="190" customFormat="1" ht="13.5">
      <c r="A290" s="221"/>
      <c r="B290" s="180"/>
      <c r="C290" s="183" t="str">
        <f>IFERROR(IF(VLOOKUP($B290,[1]勘定科目!$A:$H,HLOOKUP($E$5,[1]勘定科目!$F$1:$H$2,2,0),0)="","",VLOOKUP($B290,[1]勘定科目!$A:$E,2,0)),"")</f>
        <v/>
      </c>
      <c r="D290" s="232" t="str">
        <f>IF(C290="","",VLOOKUP($B290,[1]勘定科目!$A:$E,4,0))</f>
        <v/>
      </c>
      <c r="E290" s="238"/>
      <c r="F290" s="193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198">
        <f t="shared" si="7"/>
        <v>0</v>
      </c>
      <c r="S290" s="199"/>
      <c r="T290" s="200"/>
      <c r="U290" s="239"/>
      <c r="V290" s="239"/>
      <c r="W290" s="239"/>
      <c r="BA290"/>
      <c r="BB290"/>
    </row>
    <row r="291" spans="1:54" s="190" customFormat="1" ht="13.5">
      <c r="A291" s="221"/>
      <c r="B291" s="180"/>
      <c r="C291" s="183" t="str">
        <f>IFERROR(IF(VLOOKUP($B291,[1]勘定科目!$A:$H,HLOOKUP($E$5,[1]勘定科目!$F$1:$H$2,2,0),0)="","",VLOOKUP($B291,[1]勘定科目!$A:$E,2,0)),"")</f>
        <v/>
      </c>
      <c r="D291" s="232" t="str">
        <f>IF(C291="","",VLOOKUP($B291,[1]勘定科目!$A:$E,4,0))</f>
        <v/>
      </c>
      <c r="E291" s="238"/>
      <c r="F291" s="193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198">
        <f t="shared" si="7"/>
        <v>0</v>
      </c>
      <c r="S291" s="199"/>
      <c r="T291" s="200"/>
      <c r="U291" s="239"/>
      <c r="V291" s="239"/>
      <c r="W291" s="239"/>
      <c r="BA291"/>
      <c r="BB291"/>
    </row>
    <row r="292" spans="1:54" s="190" customFormat="1" ht="13.5">
      <c r="A292" s="221"/>
      <c r="B292" s="180"/>
      <c r="C292" s="183" t="str">
        <f>IFERROR(IF(VLOOKUP($B292,[1]勘定科目!$A:$H,HLOOKUP($E$5,[1]勘定科目!$F$1:$H$2,2,0),0)="","",VLOOKUP($B292,[1]勘定科目!$A:$E,2,0)),"")</f>
        <v/>
      </c>
      <c r="D292" s="232" t="str">
        <f>IF(C292="","",VLOOKUP($B292,[1]勘定科目!$A:$E,4,0))</f>
        <v/>
      </c>
      <c r="E292" s="238"/>
      <c r="F292" s="193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198">
        <f t="shared" si="7"/>
        <v>0</v>
      </c>
      <c r="S292" s="199"/>
      <c r="T292" s="200"/>
      <c r="U292" s="239"/>
      <c r="V292" s="239"/>
      <c r="W292" s="239"/>
      <c r="BA292"/>
      <c r="BB292"/>
    </row>
    <row r="293" spans="1:54" s="190" customFormat="1" ht="13.5">
      <c r="A293" s="221"/>
      <c r="B293" s="180"/>
      <c r="C293" s="183" t="str">
        <f>IFERROR(IF(VLOOKUP($B293,[1]勘定科目!$A:$H,HLOOKUP($E$5,[1]勘定科目!$F$1:$H$2,2,0),0)="","",VLOOKUP($B293,[1]勘定科目!$A:$E,2,0)),"")</f>
        <v/>
      </c>
      <c r="D293" s="232" t="str">
        <f>IF(C293="","",VLOOKUP($B293,[1]勘定科目!$A:$E,4,0))</f>
        <v/>
      </c>
      <c r="E293" s="238"/>
      <c r="F293" s="193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198">
        <f t="shared" si="7"/>
        <v>0</v>
      </c>
      <c r="S293" s="199"/>
      <c r="T293" s="200"/>
      <c r="U293" s="239"/>
      <c r="V293" s="239"/>
      <c r="W293" s="239"/>
      <c r="BA293"/>
      <c r="BB293"/>
    </row>
    <row r="294" spans="1:54" s="190" customFormat="1" ht="13.5">
      <c r="A294" s="221"/>
      <c r="B294" s="180"/>
      <c r="C294" s="183" t="str">
        <f>IFERROR(IF(VLOOKUP($B294,[1]勘定科目!$A:$H,HLOOKUP($E$5,[1]勘定科目!$F$1:$H$2,2,0),0)="","",VLOOKUP($B294,[1]勘定科目!$A:$E,2,0)),"")</f>
        <v/>
      </c>
      <c r="D294" s="232" t="str">
        <f>IF(C294="","",VLOOKUP($B294,[1]勘定科目!$A:$E,4,0))</f>
        <v/>
      </c>
      <c r="E294" s="238"/>
      <c r="F294" s="193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198">
        <f t="shared" si="7"/>
        <v>0</v>
      </c>
      <c r="S294" s="199"/>
      <c r="T294" s="200"/>
      <c r="U294" s="239"/>
      <c r="V294" s="239"/>
      <c r="W294" s="239"/>
      <c r="BA294"/>
      <c r="BB294"/>
    </row>
    <row r="295" spans="1:54" s="190" customFormat="1" ht="13.5">
      <c r="A295" s="221"/>
      <c r="B295" s="180"/>
      <c r="C295" s="183" t="str">
        <f>IFERROR(IF(VLOOKUP($B295,[1]勘定科目!$A:$H,HLOOKUP($E$5,[1]勘定科目!$F$1:$H$2,2,0),0)="","",VLOOKUP($B295,[1]勘定科目!$A:$E,2,0)),"")</f>
        <v/>
      </c>
      <c r="D295" s="232" t="str">
        <f>IF(C295="","",VLOOKUP($B295,[1]勘定科目!$A:$E,4,0))</f>
        <v/>
      </c>
      <c r="E295" s="238"/>
      <c r="F295" s="193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198">
        <f t="shared" si="7"/>
        <v>0</v>
      </c>
      <c r="S295" s="199"/>
      <c r="T295" s="200"/>
      <c r="U295" s="239"/>
      <c r="V295" s="239"/>
      <c r="W295" s="239"/>
      <c r="BA295"/>
      <c r="BB295"/>
    </row>
    <row r="296" spans="1:54" s="190" customFormat="1" ht="13.5">
      <c r="A296" s="221"/>
      <c r="B296" s="180"/>
      <c r="C296" s="183" t="str">
        <f>IFERROR(IF(VLOOKUP($B296,[1]勘定科目!$A:$H,HLOOKUP($E$5,[1]勘定科目!$F$1:$H$2,2,0),0)="","",VLOOKUP($B296,[1]勘定科目!$A:$E,2,0)),"")</f>
        <v/>
      </c>
      <c r="D296" s="232" t="str">
        <f>IF(C296="","",VLOOKUP($B296,[1]勘定科目!$A:$E,4,0))</f>
        <v/>
      </c>
      <c r="E296" s="238"/>
      <c r="F296" s="193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198">
        <f t="shared" si="7"/>
        <v>0</v>
      </c>
      <c r="S296" s="199"/>
      <c r="T296" s="200"/>
      <c r="U296" s="239"/>
      <c r="V296" s="239"/>
      <c r="W296" s="239"/>
      <c r="BA296"/>
      <c r="BB296"/>
    </row>
    <row r="297" spans="1:54" s="190" customFormat="1" ht="13.5">
      <c r="A297" s="221"/>
      <c r="B297" s="180"/>
      <c r="C297" s="183" t="str">
        <f>IFERROR(IF(VLOOKUP($B297,[1]勘定科目!$A:$H,HLOOKUP($E$5,[1]勘定科目!$F$1:$H$2,2,0),0)="","",VLOOKUP($B297,[1]勘定科目!$A:$E,2,0)),"")</f>
        <v/>
      </c>
      <c r="D297" s="232" t="str">
        <f>IF(C297="","",VLOOKUP($B297,[1]勘定科目!$A:$E,4,0))</f>
        <v/>
      </c>
      <c r="E297" s="238"/>
      <c r="F297" s="193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198">
        <f t="shared" si="7"/>
        <v>0</v>
      </c>
      <c r="S297" s="199"/>
      <c r="T297" s="200"/>
      <c r="U297" s="239"/>
      <c r="V297" s="239"/>
      <c r="W297" s="239"/>
      <c r="BA297"/>
      <c r="BB297"/>
    </row>
    <row r="298" spans="1:54" s="190" customFormat="1" ht="13.5">
      <c r="A298" s="221"/>
      <c r="B298" s="180"/>
      <c r="C298" s="183" t="str">
        <f>IFERROR(IF(VLOOKUP($B298,[1]勘定科目!$A:$H,HLOOKUP($E$5,[1]勘定科目!$F$1:$H$2,2,0),0)="","",VLOOKUP($B298,[1]勘定科目!$A:$E,2,0)),"")</f>
        <v/>
      </c>
      <c r="D298" s="232" t="str">
        <f>IF(C298="","",VLOOKUP($B298,[1]勘定科目!$A:$E,4,0))</f>
        <v/>
      </c>
      <c r="E298" s="238"/>
      <c r="F298" s="193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198">
        <f t="shared" si="7"/>
        <v>0</v>
      </c>
      <c r="S298" s="199"/>
      <c r="T298" s="200"/>
      <c r="U298" s="239"/>
      <c r="V298" s="239"/>
      <c r="W298" s="239"/>
      <c r="BA298"/>
      <c r="BB298"/>
    </row>
    <row r="299" spans="1:54" s="190" customFormat="1" ht="13.5">
      <c r="A299" s="221"/>
      <c r="B299" s="180"/>
      <c r="C299" s="183" t="str">
        <f>IFERROR(IF(VLOOKUP($B299,[1]勘定科目!$A:$H,HLOOKUP($E$5,[1]勘定科目!$F$1:$H$2,2,0),0)="","",VLOOKUP($B299,[1]勘定科目!$A:$E,2,0)),"")</f>
        <v/>
      </c>
      <c r="D299" s="232" t="str">
        <f>IF(C299="","",VLOOKUP($B299,[1]勘定科目!$A:$E,4,0))</f>
        <v/>
      </c>
      <c r="E299" s="238"/>
      <c r="F299" s="193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198">
        <f t="shared" si="7"/>
        <v>0</v>
      </c>
      <c r="S299" s="199"/>
      <c r="T299" s="200"/>
      <c r="U299" s="239"/>
      <c r="V299" s="239"/>
      <c r="W299" s="239"/>
      <c r="BA299"/>
      <c r="BB299"/>
    </row>
    <row r="300" spans="1:54" s="190" customFormat="1" ht="13.5">
      <c r="A300" s="221"/>
      <c r="B300" s="180"/>
      <c r="C300" s="183" t="str">
        <f>IFERROR(IF(VLOOKUP($B300,[1]勘定科目!$A:$H,HLOOKUP($E$5,[1]勘定科目!$F$1:$H$2,2,0),0)="","",VLOOKUP($B300,[1]勘定科目!$A:$E,2,0)),"")</f>
        <v/>
      </c>
      <c r="D300" s="232" t="str">
        <f>IF(C300="","",VLOOKUP($B300,[1]勘定科目!$A:$E,4,0))</f>
        <v/>
      </c>
      <c r="E300" s="238"/>
      <c r="F300" s="193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198">
        <f t="shared" si="7"/>
        <v>0</v>
      </c>
      <c r="S300" s="199"/>
      <c r="T300" s="200"/>
      <c r="U300" s="239"/>
      <c r="V300" s="239"/>
      <c r="W300" s="239"/>
      <c r="BA300"/>
      <c r="BB300"/>
    </row>
    <row r="301" spans="1:54" s="190" customFormat="1" ht="13.5">
      <c r="A301" s="221"/>
      <c r="B301" s="180"/>
      <c r="C301" s="183" t="str">
        <f>IFERROR(IF(VLOOKUP($B301,[1]勘定科目!$A:$H,HLOOKUP($E$5,[1]勘定科目!$F$1:$H$2,2,0),0)="","",VLOOKUP($B301,[1]勘定科目!$A:$E,2,0)),"")</f>
        <v/>
      </c>
      <c r="D301" s="232" t="str">
        <f>IF(C301="","",VLOOKUP($B301,[1]勘定科目!$A:$E,4,0))</f>
        <v/>
      </c>
      <c r="E301" s="238"/>
      <c r="F301" s="193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198">
        <f t="shared" si="7"/>
        <v>0</v>
      </c>
      <c r="S301" s="199"/>
      <c r="T301" s="200"/>
      <c r="U301" s="239"/>
      <c r="V301" s="239"/>
      <c r="W301" s="239"/>
      <c r="BA301"/>
      <c r="BB301"/>
    </row>
    <row r="302" spans="1:54" s="190" customFormat="1" ht="13.5">
      <c r="A302" s="221"/>
      <c r="B302" s="180"/>
      <c r="C302" s="183" t="str">
        <f>IFERROR(IF(VLOOKUP($B302,[1]勘定科目!$A:$H,HLOOKUP($E$5,[1]勘定科目!$F$1:$H$2,2,0),0)="","",VLOOKUP($B302,[1]勘定科目!$A:$E,2,0)),"")</f>
        <v/>
      </c>
      <c r="D302" s="232" t="str">
        <f>IF(C302="","",VLOOKUP($B302,[1]勘定科目!$A:$E,4,0))</f>
        <v/>
      </c>
      <c r="E302" s="238"/>
      <c r="F302" s="193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198">
        <f t="shared" si="7"/>
        <v>0</v>
      </c>
      <c r="S302" s="199"/>
      <c r="T302" s="200"/>
      <c r="U302" s="239"/>
      <c r="V302" s="239"/>
      <c r="W302" s="239"/>
      <c r="BA302"/>
      <c r="BB302"/>
    </row>
    <row r="303" spans="1:54" s="190" customFormat="1" ht="13.5">
      <c r="A303" s="221"/>
      <c r="B303" s="180"/>
      <c r="C303" s="183" t="str">
        <f>IFERROR(IF(VLOOKUP($B303,[1]勘定科目!$A:$H,HLOOKUP($E$5,[1]勘定科目!$F$1:$H$2,2,0),0)="","",VLOOKUP($B303,[1]勘定科目!$A:$E,2,0)),"")</f>
        <v/>
      </c>
      <c r="D303" s="232" t="str">
        <f>IF(C303="","",VLOOKUP($B303,[1]勘定科目!$A:$E,4,0))</f>
        <v/>
      </c>
      <c r="E303" s="238"/>
      <c r="F303" s="193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198">
        <f t="shared" si="7"/>
        <v>0</v>
      </c>
      <c r="S303" s="199"/>
      <c r="T303" s="200"/>
      <c r="U303" s="239"/>
      <c r="V303" s="239"/>
      <c r="W303" s="239"/>
      <c r="BA303"/>
      <c r="BB303"/>
    </row>
    <row r="304" spans="1:54" s="190" customFormat="1" ht="13.5">
      <c r="A304" s="221"/>
      <c r="B304" s="180"/>
      <c r="C304" s="183" t="str">
        <f>IFERROR(IF(VLOOKUP($B304,[1]勘定科目!$A:$H,HLOOKUP($E$5,[1]勘定科目!$F$1:$H$2,2,0),0)="","",VLOOKUP($B304,[1]勘定科目!$A:$E,2,0)),"")</f>
        <v/>
      </c>
      <c r="D304" s="232" t="str">
        <f>IF(C304="","",VLOOKUP($B304,[1]勘定科目!$A:$E,4,0))</f>
        <v/>
      </c>
      <c r="E304" s="238"/>
      <c r="F304" s="193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198">
        <f t="shared" si="7"/>
        <v>0</v>
      </c>
      <c r="S304" s="199"/>
      <c r="T304" s="200"/>
      <c r="U304" s="239"/>
      <c r="V304" s="239"/>
      <c r="W304" s="239"/>
      <c r="BA304"/>
      <c r="BB304"/>
    </row>
    <row r="305" spans="1:54" s="190" customFormat="1" ht="13.5">
      <c r="A305" s="221"/>
      <c r="B305" s="180"/>
      <c r="C305" s="183" t="str">
        <f>IFERROR(IF(VLOOKUP($B305,[1]勘定科目!$A:$H,HLOOKUP($E$5,[1]勘定科目!$F$1:$H$2,2,0),0)="","",VLOOKUP($B305,[1]勘定科目!$A:$E,2,0)),"")</f>
        <v/>
      </c>
      <c r="D305" s="232" t="str">
        <f>IF(C305="","",VLOOKUP($B305,[1]勘定科目!$A:$E,4,0))</f>
        <v/>
      </c>
      <c r="E305" s="238"/>
      <c r="F305" s="193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198">
        <f t="shared" si="7"/>
        <v>0</v>
      </c>
      <c r="S305" s="199"/>
      <c r="T305" s="200"/>
      <c r="U305" s="239"/>
      <c r="V305" s="239"/>
      <c r="W305" s="239"/>
      <c r="BA305"/>
      <c r="BB305"/>
    </row>
    <row r="306" spans="1:54" s="190" customFormat="1" ht="13.5">
      <c r="A306" s="221"/>
      <c r="B306" s="180"/>
      <c r="C306" s="183" t="str">
        <f>IFERROR(IF(VLOOKUP($B306,[1]勘定科目!$A:$H,HLOOKUP($E$5,[1]勘定科目!$F$1:$H$2,2,0),0)="","",VLOOKUP($B306,[1]勘定科目!$A:$E,2,0)),"")</f>
        <v/>
      </c>
      <c r="D306" s="232" t="str">
        <f>IF(C306="","",VLOOKUP($B306,[1]勘定科目!$A:$E,4,0))</f>
        <v/>
      </c>
      <c r="E306" s="238"/>
      <c r="F306" s="193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198">
        <f t="shared" si="7"/>
        <v>0</v>
      </c>
      <c r="S306" s="199"/>
      <c r="T306" s="200"/>
      <c r="U306" s="239"/>
      <c r="V306" s="239"/>
      <c r="W306" s="239"/>
      <c r="BA306"/>
      <c r="BB306"/>
    </row>
    <row r="307" spans="1:54" s="190" customFormat="1" ht="13.5">
      <c r="A307" s="221"/>
      <c r="B307" s="180"/>
      <c r="C307" s="183" t="str">
        <f>IFERROR(IF(VLOOKUP($B307,[1]勘定科目!$A:$H,HLOOKUP($E$5,[1]勘定科目!$F$1:$H$2,2,0),0)="","",VLOOKUP($B307,[1]勘定科目!$A:$E,2,0)),"")</f>
        <v/>
      </c>
      <c r="D307" s="232" t="str">
        <f>IF(C307="","",VLOOKUP($B307,[1]勘定科目!$A:$E,4,0))</f>
        <v/>
      </c>
      <c r="E307" s="238"/>
      <c r="F307" s="193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198">
        <f t="shared" si="7"/>
        <v>0</v>
      </c>
      <c r="S307" s="199"/>
      <c r="T307" s="200"/>
      <c r="U307" s="239"/>
      <c r="V307" s="239"/>
      <c r="W307" s="239"/>
      <c r="BA307"/>
      <c r="BB307"/>
    </row>
    <row r="308" spans="1:54" s="190" customFormat="1" ht="13.5">
      <c r="A308" s="221"/>
      <c r="B308" s="180"/>
      <c r="C308" s="183" t="str">
        <f>IFERROR(IF(VLOOKUP($B308,[1]勘定科目!$A:$H,HLOOKUP($E$5,[1]勘定科目!$F$1:$H$2,2,0),0)="","",VLOOKUP($B308,[1]勘定科目!$A:$E,2,0)),"")</f>
        <v/>
      </c>
      <c r="D308" s="232" t="str">
        <f>IF(C308="","",VLOOKUP($B308,[1]勘定科目!$A:$E,4,0))</f>
        <v/>
      </c>
      <c r="E308" s="238"/>
      <c r="F308" s="193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198">
        <f t="shared" si="7"/>
        <v>0</v>
      </c>
      <c r="S308" s="199"/>
      <c r="T308" s="200"/>
      <c r="U308" s="239"/>
      <c r="V308" s="239"/>
      <c r="W308" s="239"/>
      <c r="BA308"/>
      <c r="BB308"/>
    </row>
    <row r="309" spans="1:54" s="190" customFormat="1" ht="13.5">
      <c r="A309" s="221"/>
      <c r="B309" s="180"/>
      <c r="C309" s="183" t="str">
        <f>IFERROR(IF(VLOOKUP($B309,[1]勘定科目!$A:$H,HLOOKUP($E$5,[1]勘定科目!$F$1:$H$2,2,0),0)="","",VLOOKUP($B309,[1]勘定科目!$A:$E,2,0)),"")</f>
        <v/>
      </c>
      <c r="D309" s="232" t="str">
        <f>IF(C309="","",VLOOKUP($B309,[1]勘定科目!$A:$E,4,0))</f>
        <v/>
      </c>
      <c r="E309" s="238"/>
      <c r="F309" s="193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198">
        <f t="shared" si="7"/>
        <v>0</v>
      </c>
      <c r="S309" s="199"/>
      <c r="T309" s="200"/>
      <c r="U309" s="239"/>
      <c r="V309" s="239"/>
      <c r="W309" s="239"/>
      <c r="BA309"/>
      <c r="BB309"/>
    </row>
    <row r="310" spans="1:54" s="190" customFormat="1" ht="13.5">
      <c r="A310" s="221"/>
      <c r="B310" s="180"/>
      <c r="C310" s="183" t="str">
        <f>IFERROR(IF(VLOOKUP($B310,[1]勘定科目!$A:$H,HLOOKUP($E$5,[1]勘定科目!$F$1:$H$2,2,0),0)="","",VLOOKUP($B310,[1]勘定科目!$A:$E,2,0)),"")</f>
        <v/>
      </c>
      <c r="D310" s="232" t="str">
        <f>IF(C310="","",VLOOKUP($B310,[1]勘定科目!$A:$E,4,0))</f>
        <v/>
      </c>
      <c r="E310" s="238"/>
      <c r="F310" s="193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198">
        <f t="shared" si="7"/>
        <v>0</v>
      </c>
      <c r="S310" s="199"/>
      <c r="T310" s="200"/>
      <c r="U310" s="239"/>
      <c r="V310" s="239"/>
      <c r="W310" s="239"/>
      <c r="BA310"/>
      <c r="BB310"/>
    </row>
    <row r="311" spans="1:54" s="190" customFormat="1" ht="13.5">
      <c r="A311" s="221"/>
      <c r="B311" s="180"/>
      <c r="C311" s="183" t="str">
        <f>IFERROR(IF(VLOOKUP($B311,[1]勘定科目!$A:$H,HLOOKUP($E$5,[1]勘定科目!$F$1:$H$2,2,0),0)="","",VLOOKUP($B311,[1]勘定科目!$A:$E,2,0)),"")</f>
        <v/>
      </c>
      <c r="D311" s="232" t="str">
        <f>IF(C311="","",VLOOKUP($B311,[1]勘定科目!$A:$E,4,0))</f>
        <v/>
      </c>
      <c r="E311" s="238"/>
      <c r="F311" s="193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198">
        <f t="shared" ref="R311:R374" si="8">SUM(F311:Q311)</f>
        <v>0</v>
      </c>
      <c r="S311" s="199"/>
      <c r="T311" s="200"/>
      <c r="U311" s="239"/>
      <c r="V311" s="239"/>
      <c r="W311" s="239"/>
      <c r="BA311"/>
      <c r="BB311"/>
    </row>
    <row r="312" spans="1:54" s="190" customFormat="1" ht="13.5">
      <c r="A312" s="221"/>
      <c r="B312" s="180"/>
      <c r="C312" s="183" t="str">
        <f>IFERROR(IF(VLOOKUP($B312,[1]勘定科目!$A:$H,HLOOKUP($E$5,[1]勘定科目!$F$1:$H$2,2,0),0)="","",VLOOKUP($B312,[1]勘定科目!$A:$E,2,0)),"")</f>
        <v/>
      </c>
      <c r="D312" s="232" t="str">
        <f>IF(C312="","",VLOOKUP($B312,[1]勘定科目!$A:$E,4,0))</f>
        <v/>
      </c>
      <c r="E312" s="238"/>
      <c r="F312" s="193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198">
        <f t="shared" si="8"/>
        <v>0</v>
      </c>
      <c r="S312" s="199"/>
      <c r="T312" s="200"/>
      <c r="U312" s="239"/>
      <c r="V312" s="239"/>
      <c r="W312" s="239"/>
      <c r="BA312"/>
      <c r="BB312"/>
    </row>
    <row r="313" spans="1:54" s="190" customFormat="1" ht="13.5">
      <c r="A313" s="221"/>
      <c r="B313" s="180"/>
      <c r="C313" s="183" t="str">
        <f>IFERROR(IF(VLOOKUP($B313,[1]勘定科目!$A:$H,HLOOKUP($E$5,[1]勘定科目!$F$1:$H$2,2,0),0)="","",VLOOKUP($B313,[1]勘定科目!$A:$E,2,0)),"")</f>
        <v/>
      </c>
      <c r="D313" s="232" t="str">
        <f>IF(C313="","",VLOOKUP($B313,[1]勘定科目!$A:$E,4,0))</f>
        <v/>
      </c>
      <c r="E313" s="238"/>
      <c r="F313" s="193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198">
        <f t="shared" si="8"/>
        <v>0</v>
      </c>
      <c r="S313" s="199"/>
      <c r="T313" s="200"/>
      <c r="U313" s="239"/>
      <c r="V313" s="239"/>
      <c r="W313" s="239"/>
      <c r="BA313"/>
      <c r="BB313"/>
    </row>
    <row r="314" spans="1:54" s="190" customFormat="1" ht="13.5">
      <c r="A314" s="221"/>
      <c r="B314" s="180"/>
      <c r="C314" s="183" t="str">
        <f>IFERROR(IF(VLOOKUP($B314,[1]勘定科目!$A:$H,HLOOKUP($E$5,[1]勘定科目!$F$1:$H$2,2,0),0)="","",VLOOKUP($B314,[1]勘定科目!$A:$E,2,0)),"")</f>
        <v/>
      </c>
      <c r="D314" s="232" t="str">
        <f>IF(C314="","",VLOOKUP($B314,[1]勘定科目!$A:$E,4,0))</f>
        <v/>
      </c>
      <c r="E314" s="238"/>
      <c r="F314" s="193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198">
        <f t="shared" si="8"/>
        <v>0</v>
      </c>
      <c r="S314" s="199"/>
      <c r="T314" s="200"/>
      <c r="U314" s="239"/>
      <c r="V314" s="239"/>
      <c r="W314" s="239"/>
      <c r="BA314"/>
      <c r="BB314"/>
    </row>
    <row r="315" spans="1:54" s="190" customFormat="1" ht="13.5">
      <c r="A315" s="221"/>
      <c r="B315" s="180"/>
      <c r="C315" s="183" t="str">
        <f>IFERROR(IF(VLOOKUP($B315,[1]勘定科目!$A:$H,HLOOKUP($E$5,[1]勘定科目!$F$1:$H$2,2,0),0)="","",VLOOKUP($B315,[1]勘定科目!$A:$E,2,0)),"")</f>
        <v/>
      </c>
      <c r="D315" s="232" t="str">
        <f>IF(C315="","",VLOOKUP($B315,[1]勘定科目!$A:$E,4,0))</f>
        <v/>
      </c>
      <c r="E315" s="238"/>
      <c r="F315" s="193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198">
        <f t="shared" si="8"/>
        <v>0</v>
      </c>
      <c r="S315" s="199"/>
      <c r="T315" s="200"/>
      <c r="U315" s="239"/>
      <c r="V315" s="239"/>
      <c r="W315" s="239"/>
      <c r="BA315"/>
      <c r="BB315"/>
    </row>
    <row r="316" spans="1:54" s="190" customFormat="1" ht="13.5">
      <c r="A316" s="221"/>
      <c r="B316" s="180"/>
      <c r="C316" s="183" t="str">
        <f>IFERROR(IF(VLOOKUP($B316,[1]勘定科目!$A:$H,HLOOKUP($E$5,[1]勘定科目!$F$1:$H$2,2,0),0)="","",VLOOKUP($B316,[1]勘定科目!$A:$E,2,0)),"")</f>
        <v/>
      </c>
      <c r="D316" s="232" t="str">
        <f>IF(C316="","",VLOOKUP($B316,[1]勘定科目!$A:$E,4,0))</f>
        <v/>
      </c>
      <c r="E316" s="238"/>
      <c r="F316" s="193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198">
        <f t="shared" si="8"/>
        <v>0</v>
      </c>
      <c r="S316" s="199"/>
      <c r="T316" s="200"/>
      <c r="U316" s="239"/>
      <c r="V316" s="239"/>
      <c r="W316" s="239"/>
      <c r="BA316"/>
      <c r="BB316"/>
    </row>
    <row r="317" spans="1:54" s="190" customFormat="1" ht="13.5">
      <c r="A317" s="221"/>
      <c r="B317" s="180"/>
      <c r="C317" s="183" t="str">
        <f>IFERROR(IF(VLOOKUP($B317,[1]勘定科目!$A:$H,HLOOKUP($E$5,[1]勘定科目!$F$1:$H$2,2,0),0)="","",VLOOKUP($B317,[1]勘定科目!$A:$E,2,0)),"")</f>
        <v/>
      </c>
      <c r="D317" s="232" t="str">
        <f>IF(C317="","",VLOOKUP($B317,[1]勘定科目!$A:$E,4,0))</f>
        <v/>
      </c>
      <c r="E317" s="238"/>
      <c r="F317" s="193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198">
        <f t="shared" si="8"/>
        <v>0</v>
      </c>
      <c r="S317" s="199"/>
      <c r="T317" s="200"/>
      <c r="U317" s="239"/>
      <c r="V317" s="239"/>
      <c r="W317" s="239"/>
      <c r="BA317"/>
      <c r="BB317"/>
    </row>
    <row r="318" spans="1:54" s="190" customFormat="1" ht="13.5">
      <c r="A318" s="182"/>
      <c r="B318" s="178"/>
      <c r="C318" s="183" t="str">
        <f>IFERROR(IF(VLOOKUP($B318,[1]勘定科目!$A:$H,HLOOKUP($E$5,[1]勘定科目!$F$1:$H$2,2,0),0)="","",VLOOKUP($B318,[1]勘定科目!$A:$E,2,0)),"")</f>
        <v/>
      </c>
      <c r="D318" s="232" t="str">
        <f>IF(C318="","",VLOOKUP($B318,[1]勘定科目!$A:$E,4,0))</f>
        <v/>
      </c>
      <c r="E318" s="238"/>
      <c r="F318" s="233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198">
        <f t="shared" si="8"/>
        <v>0</v>
      </c>
      <c r="S318" s="199"/>
      <c r="T318" s="200"/>
      <c r="U318" s="239"/>
      <c r="V318" s="239"/>
      <c r="W318" s="239"/>
      <c r="BA318"/>
      <c r="BB318"/>
    </row>
    <row r="319" spans="1:54" s="190" customFormat="1" ht="13.5">
      <c r="A319" s="182"/>
      <c r="B319" s="178"/>
      <c r="C319" s="183" t="str">
        <f>IFERROR(IF(VLOOKUP($B319,[1]勘定科目!$A:$H,HLOOKUP($E$5,[1]勘定科目!$F$1:$H$2,2,0),0)="","",VLOOKUP($B319,[1]勘定科目!$A:$E,2,0)),"")</f>
        <v/>
      </c>
      <c r="D319" s="232" t="str">
        <f>IF(C319="","",VLOOKUP($B319,[1]勘定科目!$A:$E,4,0))</f>
        <v/>
      </c>
      <c r="E319" s="238"/>
      <c r="F319" s="233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198">
        <f t="shared" si="8"/>
        <v>0</v>
      </c>
      <c r="S319" s="199"/>
      <c r="T319" s="200"/>
      <c r="U319" s="239"/>
      <c r="V319" s="239"/>
      <c r="W319" s="239"/>
      <c r="BA319"/>
      <c r="BB319"/>
    </row>
    <row r="320" spans="1:54" s="190" customFormat="1" ht="13.5">
      <c r="A320" s="182"/>
      <c r="B320" s="178"/>
      <c r="C320" s="183" t="str">
        <f>IFERROR(IF(VLOOKUP($B320,[1]勘定科目!$A:$H,HLOOKUP($E$5,[1]勘定科目!$F$1:$H$2,2,0),0)="","",VLOOKUP($B320,[1]勘定科目!$A:$E,2,0)),"")</f>
        <v/>
      </c>
      <c r="D320" s="232" t="str">
        <f>IF(C320="","",VLOOKUP($B320,[1]勘定科目!$A:$E,4,0))</f>
        <v/>
      </c>
      <c r="E320" s="238"/>
      <c r="F320" s="233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198">
        <f t="shared" si="8"/>
        <v>0</v>
      </c>
      <c r="S320" s="199"/>
      <c r="T320" s="200"/>
      <c r="U320" s="239"/>
      <c r="V320" s="239"/>
      <c r="W320" s="239"/>
      <c r="BA320"/>
      <c r="BB320"/>
    </row>
    <row r="321" spans="1:54" s="190" customFormat="1" ht="13.5">
      <c r="A321" s="182"/>
      <c r="B321" s="178"/>
      <c r="C321" s="183" t="str">
        <f>IFERROR(IF(VLOOKUP($B321,[1]勘定科目!$A:$H,HLOOKUP($E$5,[1]勘定科目!$F$1:$H$2,2,0),0)="","",VLOOKUP($B321,[1]勘定科目!$A:$E,2,0)),"")</f>
        <v/>
      </c>
      <c r="D321" s="232" t="str">
        <f>IF(C321="","",VLOOKUP($B321,[1]勘定科目!$A:$E,4,0))</f>
        <v/>
      </c>
      <c r="E321" s="238"/>
      <c r="F321" s="233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198">
        <f t="shared" si="8"/>
        <v>0</v>
      </c>
      <c r="S321" s="199"/>
      <c r="T321" s="200"/>
      <c r="U321" s="239"/>
      <c r="V321" s="239"/>
      <c r="W321" s="239"/>
      <c r="BA321"/>
      <c r="BB321"/>
    </row>
    <row r="322" spans="1:54" s="190" customFormat="1" ht="13.5">
      <c r="A322" s="182"/>
      <c r="B322" s="178"/>
      <c r="C322" s="183" t="str">
        <f>IFERROR(IF(VLOOKUP($B322,[1]勘定科目!$A:$H,HLOOKUP($E$5,[1]勘定科目!$F$1:$H$2,2,0),0)="","",VLOOKUP($B322,[1]勘定科目!$A:$E,2,0)),"")</f>
        <v/>
      </c>
      <c r="D322" s="232" t="str">
        <f>IF(C322="","",VLOOKUP($B322,[1]勘定科目!$A:$E,4,0))</f>
        <v/>
      </c>
      <c r="E322" s="238"/>
      <c r="F322" s="233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198">
        <f t="shared" si="8"/>
        <v>0</v>
      </c>
      <c r="S322" s="199"/>
      <c r="T322" s="200"/>
      <c r="U322" s="239"/>
      <c r="V322" s="239"/>
      <c r="W322" s="239"/>
      <c r="BA322"/>
      <c r="BB322"/>
    </row>
    <row r="323" spans="1:54" s="190" customFormat="1" ht="13.5">
      <c r="A323" s="182"/>
      <c r="B323" s="178"/>
      <c r="C323" s="183" t="str">
        <f>IFERROR(IF(VLOOKUP($B323,[1]勘定科目!$A:$H,HLOOKUP($E$5,[1]勘定科目!$F$1:$H$2,2,0),0)="","",VLOOKUP($B323,[1]勘定科目!$A:$E,2,0)),"")</f>
        <v/>
      </c>
      <c r="D323" s="232" t="str">
        <f>IF(C323="","",VLOOKUP($B323,[1]勘定科目!$A:$E,4,0))</f>
        <v/>
      </c>
      <c r="E323" s="238"/>
      <c r="F323" s="233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198">
        <f t="shared" si="8"/>
        <v>0</v>
      </c>
      <c r="S323" s="199"/>
      <c r="T323" s="200"/>
      <c r="U323" s="239"/>
      <c r="V323" s="239"/>
      <c r="W323" s="239"/>
      <c r="BA323"/>
      <c r="BB323"/>
    </row>
    <row r="324" spans="1:54" s="190" customFormat="1" ht="13.5">
      <c r="A324" s="182"/>
      <c r="B324" s="178"/>
      <c r="C324" s="183" t="str">
        <f>IFERROR(IF(VLOOKUP($B324,[1]勘定科目!$A:$H,HLOOKUP($E$5,[1]勘定科目!$F$1:$H$2,2,0),0)="","",VLOOKUP($B324,[1]勘定科目!$A:$E,2,0)),"")</f>
        <v/>
      </c>
      <c r="D324" s="232" t="str">
        <f>IF(C324="","",VLOOKUP($B324,[1]勘定科目!$A:$E,4,0))</f>
        <v/>
      </c>
      <c r="E324" s="238"/>
      <c r="F324" s="233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198">
        <f t="shared" si="8"/>
        <v>0</v>
      </c>
      <c r="S324" s="199"/>
      <c r="T324" s="200"/>
      <c r="U324" s="239"/>
      <c r="V324" s="239"/>
      <c r="W324" s="239"/>
      <c r="BA324"/>
      <c r="BB324"/>
    </row>
    <row r="325" spans="1:54" s="190" customFormat="1" ht="13.5">
      <c r="A325" s="182"/>
      <c r="B325" s="178"/>
      <c r="C325" s="183" t="str">
        <f>IFERROR(IF(VLOOKUP($B325,[1]勘定科目!$A:$H,HLOOKUP($E$5,[1]勘定科目!$F$1:$H$2,2,0),0)="","",VLOOKUP($B325,[1]勘定科目!$A:$E,2,0)),"")</f>
        <v/>
      </c>
      <c r="D325" s="232" t="str">
        <f>IF(C325="","",VLOOKUP($B325,[1]勘定科目!$A:$E,4,0))</f>
        <v/>
      </c>
      <c r="E325" s="238"/>
      <c r="F325" s="233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198">
        <f t="shared" si="8"/>
        <v>0</v>
      </c>
      <c r="S325" s="199"/>
      <c r="T325" s="200"/>
      <c r="U325" s="239"/>
      <c r="V325" s="239"/>
      <c r="W325" s="239"/>
      <c r="BA325"/>
      <c r="BB325"/>
    </row>
    <row r="326" spans="1:54" s="190" customFormat="1" ht="13.5">
      <c r="A326" s="182"/>
      <c r="B326" s="178"/>
      <c r="C326" s="183" t="str">
        <f>IFERROR(IF(VLOOKUP($B326,[1]勘定科目!$A:$H,HLOOKUP($E$5,[1]勘定科目!$F$1:$H$2,2,0),0)="","",VLOOKUP($B326,[1]勘定科目!$A:$E,2,0)),"")</f>
        <v/>
      </c>
      <c r="D326" s="232" t="str">
        <f>IF(C326="","",VLOOKUP($B326,[1]勘定科目!$A:$E,4,0))</f>
        <v/>
      </c>
      <c r="E326" s="238"/>
      <c r="F326" s="233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198">
        <f t="shared" si="8"/>
        <v>0</v>
      </c>
      <c r="S326" s="199"/>
      <c r="T326" s="200"/>
      <c r="U326" s="239"/>
      <c r="V326" s="239"/>
      <c r="W326" s="239"/>
      <c r="BA326"/>
      <c r="BB326"/>
    </row>
    <row r="327" spans="1:54" s="190" customFormat="1" ht="13.5">
      <c r="A327" s="182"/>
      <c r="B327" s="178"/>
      <c r="C327" s="183" t="str">
        <f>IFERROR(IF(VLOOKUP($B327,[1]勘定科目!$A:$H,HLOOKUP($E$5,[1]勘定科目!$F$1:$H$2,2,0),0)="","",VLOOKUP($B327,[1]勘定科目!$A:$E,2,0)),"")</f>
        <v/>
      </c>
      <c r="D327" s="232" t="str">
        <f>IF(C327="","",VLOOKUP($B327,[1]勘定科目!$A:$E,4,0))</f>
        <v/>
      </c>
      <c r="E327" s="238"/>
      <c r="F327" s="233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198">
        <f t="shared" si="8"/>
        <v>0</v>
      </c>
      <c r="S327" s="199"/>
      <c r="T327" s="200"/>
      <c r="U327" s="239"/>
      <c r="V327" s="239"/>
      <c r="W327" s="239"/>
      <c r="BA327"/>
      <c r="BB327"/>
    </row>
    <row r="328" spans="1:54" s="190" customFormat="1" ht="13.5">
      <c r="A328" s="182"/>
      <c r="B328" s="178"/>
      <c r="C328" s="183" t="str">
        <f>IFERROR(IF(VLOOKUP($B328,[1]勘定科目!$A:$H,HLOOKUP($E$5,[1]勘定科目!$F$1:$H$2,2,0),0)="","",VLOOKUP($B328,[1]勘定科目!$A:$E,2,0)),"")</f>
        <v/>
      </c>
      <c r="D328" s="232" t="str">
        <f>IF(C328="","",VLOOKUP($B328,[1]勘定科目!$A:$E,4,0))</f>
        <v/>
      </c>
      <c r="E328" s="238"/>
      <c r="F328" s="233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198">
        <f t="shared" si="8"/>
        <v>0</v>
      </c>
      <c r="S328" s="199"/>
      <c r="T328" s="200"/>
      <c r="U328" s="239"/>
      <c r="V328" s="239"/>
      <c r="W328" s="239"/>
      <c r="BA328"/>
      <c r="BB328"/>
    </row>
    <row r="329" spans="1:54" s="190" customFormat="1" ht="13.5">
      <c r="A329" s="182"/>
      <c r="B329" s="178"/>
      <c r="C329" s="183" t="str">
        <f>IFERROR(IF(VLOOKUP($B329,[1]勘定科目!$A:$H,HLOOKUP($E$5,[1]勘定科目!$F$1:$H$2,2,0),0)="","",VLOOKUP($B329,[1]勘定科目!$A:$E,2,0)),"")</f>
        <v/>
      </c>
      <c r="D329" s="232" t="str">
        <f>IF(C329="","",VLOOKUP($B329,[1]勘定科目!$A:$E,4,0))</f>
        <v/>
      </c>
      <c r="E329" s="238"/>
      <c r="F329" s="233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198">
        <f t="shared" si="8"/>
        <v>0</v>
      </c>
      <c r="S329" s="199"/>
      <c r="T329" s="200"/>
      <c r="U329" s="239"/>
      <c r="V329" s="239"/>
      <c r="W329" s="239"/>
      <c r="BA329"/>
      <c r="BB329"/>
    </row>
    <row r="330" spans="1:54" s="190" customFormat="1" ht="13.5">
      <c r="A330" s="182"/>
      <c r="B330" s="178"/>
      <c r="C330" s="183" t="str">
        <f>IFERROR(IF(VLOOKUP($B330,[1]勘定科目!$A:$H,HLOOKUP($E$5,[1]勘定科目!$F$1:$H$2,2,0),0)="","",VLOOKUP($B330,[1]勘定科目!$A:$E,2,0)),"")</f>
        <v/>
      </c>
      <c r="D330" s="232" t="str">
        <f>IF(C330="","",VLOOKUP($B330,[1]勘定科目!$A:$E,4,0))</f>
        <v/>
      </c>
      <c r="E330" s="238"/>
      <c r="F330" s="233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198">
        <f t="shared" si="8"/>
        <v>0</v>
      </c>
      <c r="S330" s="199"/>
      <c r="T330" s="200"/>
      <c r="U330" s="239"/>
      <c r="V330" s="239"/>
      <c r="W330" s="239"/>
      <c r="BA330"/>
      <c r="BB330"/>
    </row>
    <row r="331" spans="1:54" s="190" customFormat="1" ht="13.5">
      <c r="A331" s="182"/>
      <c r="B331" s="178"/>
      <c r="C331" s="183" t="str">
        <f>IFERROR(IF(VLOOKUP($B331,[1]勘定科目!$A:$H,HLOOKUP($E$5,[1]勘定科目!$F$1:$H$2,2,0),0)="","",VLOOKUP($B331,[1]勘定科目!$A:$E,2,0)),"")</f>
        <v/>
      </c>
      <c r="D331" s="232" t="str">
        <f>IF(C331="","",VLOOKUP($B331,[1]勘定科目!$A:$E,4,0))</f>
        <v/>
      </c>
      <c r="E331" s="238"/>
      <c r="F331" s="233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198">
        <f t="shared" si="8"/>
        <v>0</v>
      </c>
      <c r="S331" s="199"/>
      <c r="T331" s="200"/>
      <c r="U331" s="239"/>
      <c r="V331" s="239"/>
      <c r="W331" s="239"/>
      <c r="BA331"/>
      <c r="BB331"/>
    </row>
    <row r="332" spans="1:54" s="190" customFormat="1" ht="13.5">
      <c r="A332" s="182"/>
      <c r="B332" s="178"/>
      <c r="C332" s="183" t="str">
        <f>IFERROR(IF(VLOOKUP($B332,[1]勘定科目!$A:$H,HLOOKUP($E$5,[1]勘定科目!$F$1:$H$2,2,0),0)="","",VLOOKUP($B332,[1]勘定科目!$A:$E,2,0)),"")</f>
        <v/>
      </c>
      <c r="D332" s="232" t="str">
        <f>IF(C332="","",VLOOKUP($B332,[1]勘定科目!$A:$E,4,0))</f>
        <v/>
      </c>
      <c r="E332" s="238"/>
      <c r="F332" s="233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198">
        <f t="shared" si="8"/>
        <v>0</v>
      </c>
      <c r="S332" s="199"/>
      <c r="T332" s="200"/>
      <c r="U332" s="239"/>
      <c r="V332" s="239"/>
      <c r="W332" s="239"/>
      <c r="BA332"/>
      <c r="BB332"/>
    </row>
    <row r="333" spans="1:54" s="190" customFormat="1" ht="13.5">
      <c r="A333" s="182"/>
      <c r="B333" s="178"/>
      <c r="C333" s="183" t="str">
        <f>IFERROR(IF(VLOOKUP($B333,[1]勘定科目!$A:$H,HLOOKUP($E$5,[1]勘定科目!$F$1:$H$2,2,0),0)="","",VLOOKUP($B333,[1]勘定科目!$A:$E,2,0)),"")</f>
        <v/>
      </c>
      <c r="D333" s="232" t="str">
        <f>IF(C333="","",VLOOKUP($B333,[1]勘定科目!$A:$E,4,0))</f>
        <v/>
      </c>
      <c r="E333" s="238"/>
      <c r="F333" s="233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198">
        <f t="shared" si="8"/>
        <v>0</v>
      </c>
      <c r="S333" s="199"/>
      <c r="T333" s="200"/>
      <c r="U333" s="239"/>
      <c r="V333" s="239"/>
      <c r="W333" s="239"/>
      <c r="BA333"/>
      <c r="BB333"/>
    </row>
    <row r="334" spans="1:54" s="190" customFormat="1" ht="13.5">
      <c r="A334" s="182"/>
      <c r="B334" s="178"/>
      <c r="C334" s="183" t="str">
        <f>IFERROR(IF(VLOOKUP($B334,[1]勘定科目!$A:$H,HLOOKUP($E$5,[1]勘定科目!$F$1:$H$2,2,0),0)="","",VLOOKUP($B334,[1]勘定科目!$A:$E,2,0)),"")</f>
        <v/>
      </c>
      <c r="D334" s="232" t="str">
        <f>IF(C334="","",VLOOKUP($B334,[1]勘定科目!$A:$E,4,0))</f>
        <v/>
      </c>
      <c r="E334" s="238"/>
      <c r="F334" s="233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198">
        <f t="shared" si="8"/>
        <v>0</v>
      </c>
      <c r="S334" s="199"/>
      <c r="T334" s="200"/>
      <c r="U334" s="239"/>
      <c r="V334" s="239"/>
      <c r="W334" s="239"/>
      <c r="BA334"/>
      <c r="BB334"/>
    </row>
    <row r="335" spans="1:54" s="190" customFormat="1" ht="13.5">
      <c r="A335" s="182"/>
      <c r="B335" s="178"/>
      <c r="C335" s="183" t="str">
        <f>IFERROR(IF(VLOOKUP($B335,[1]勘定科目!$A:$H,HLOOKUP($E$5,[1]勘定科目!$F$1:$H$2,2,0),0)="","",VLOOKUP($B335,[1]勘定科目!$A:$E,2,0)),"")</f>
        <v/>
      </c>
      <c r="D335" s="232" t="str">
        <f>IF(C335="","",VLOOKUP($B335,[1]勘定科目!$A:$E,4,0))</f>
        <v/>
      </c>
      <c r="E335" s="238"/>
      <c r="F335" s="233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198">
        <f t="shared" si="8"/>
        <v>0</v>
      </c>
      <c r="S335" s="199"/>
      <c r="T335" s="200"/>
      <c r="U335" s="239"/>
      <c r="V335" s="239"/>
      <c r="W335" s="239"/>
      <c r="BA335"/>
      <c r="BB335"/>
    </row>
    <row r="336" spans="1:54" s="190" customFormat="1" ht="13.5">
      <c r="A336" s="182"/>
      <c r="B336" s="178"/>
      <c r="C336" s="183" t="str">
        <f>IFERROR(IF(VLOOKUP($B336,[1]勘定科目!$A:$H,HLOOKUP($E$5,[1]勘定科目!$F$1:$H$2,2,0),0)="","",VLOOKUP($B336,[1]勘定科目!$A:$E,2,0)),"")</f>
        <v/>
      </c>
      <c r="D336" s="232" t="str">
        <f>IF(C336="","",VLOOKUP($B336,[1]勘定科目!$A:$E,4,0))</f>
        <v/>
      </c>
      <c r="E336" s="238"/>
      <c r="F336" s="233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198">
        <f t="shared" si="8"/>
        <v>0</v>
      </c>
      <c r="S336" s="199"/>
      <c r="T336" s="200"/>
      <c r="U336" s="239"/>
      <c r="V336" s="239"/>
      <c r="W336" s="239"/>
      <c r="BA336"/>
      <c r="BB336"/>
    </row>
    <row r="337" spans="1:54" s="190" customFormat="1" ht="13.5">
      <c r="A337" s="182"/>
      <c r="B337" s="178"/>
      <c r="C337" s="183" t="str">
        <f>IFERROR(IF(VLOOKUP($B337,[1]勘定科目!$A:$H,HLOOKUP($E$5,[1]勘定科目!$F$1:$H$2,2,0),0)="","",VLOOKUP($B337,[1]勘定科目!$A:$E,2,0)),"")</f>
        <v/>
      </c>
      <c r="D337" s="232" t="str">
        <f>IF(C337="","",VLOOKUP($B337,[1]勘定科目!$A:$E,4,0))</f>
        <v/>
      </c>
      <c r="E337" s="238"/>
      <c r="F337" s="233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198">
        <f t="shared" si="8"/>
        <v>0</v>
      </c>
      <c r="S337" s="199"/>
      <c r="T337" s="200"/>
      <c r="U337" s="239"/>
      <c r="V337" s="239"/>
      <c r="W337" s="239"/>
      <c r="BA337"/>
      <c r="BB337"/>
    </row>
    <row r="338" spans="1:54" s="190" customFormat="1" ht="13.5">
      <c r="A338" s="182"/>
      <c r="B338" s="178"/>
      <c r="C338" s="183" t="str">
        <f>IFERROR(IF(VLOOKUP($B338,[1]勘定科目!$A:$H,HLOOKUP($E$5,[1]勘定科目!$F$1:$H$2,2,0),0)="","",VLOOKUP($B338,[1]勘定科目!$A:$E,2,0)),"")</f>
        <v/>
      </c>
      <c r="D338" s="232" t="str">
        <f>IF(C338="","",VLOOKUP($B338,[1]勘定科目!$A:$E,4,0))</f>
        <v/>
      </c>
      <c r="E338" s="238"/>
      <c r="F338" s="233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198">
        <f t="shared" si="8"/>
        <v>0</v>
      </c>
      <c r="S338" s="199"/>
      <c r="T338" s="200"/>
      <c r="U338" s="239"/>
      <c r="V338" s="239"/>
      <c r="W338" s="239"/>
      <c r="BA338"/>
      <c r="BB338"/>
    </row>
    <row r="339" spans="1:54" s="190" customFormat="1" ht="13.5">
      <c r="A339" s="182"/>
      <c r="B339" s="178"/>
      <c r="C339" s="183" t="str">
        <f>IFERROR(IF(VLOOKUP($B339,[1]勘定科目!$A:$H,HLOOKUP($E$5,[1]勘定科目!$F$1:$H$2,2,0),0)="","",VLOOKUP($B339,[1]勘定科目!$A:$E,2,0)),"")</f>
        <v/>
      </c>
      <c r="D339" s="232" t="str">
        <f>IF(C339="","",VLOOKUP($B339,[1]勘定科目!$A:$E,4,0))</f>
        <v/>
      </c>
      <c r="E339" s="238"/>
      <c r="F339" s="233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198">
        <f t="shared" si="8"/>
        <v>0</v>
      </c>
      <c r="S339" s="199"/>
      <c r="T339" s="200"/>
      <c r="U339" s="239"/>
      <c r="V339" s="239"/>
      <c r="W339" s="239"/>
      <c r="BA339"/>
      <c r="BB339"/>
    </row>
    <row r="340" spans="1:54" s="190" customFormat="1" ht="13.5">
      <c r="A340" s="182"/>
      <c r="B340" s="178"/>
      <c r="C340" s="183" t="str">
        <f>IFERROR(IF(VLOOKUP($B340,[1]勘定科目!$A:$H,HLOOKUP($E$5,[1]勘定科目!$F$1:$H$2,2,0),0)="","",VLOOKUP($B340,[1]勘定科目!$A:$E,2,0)),"")</f>
        <v/>
      </c>
      <c r="D340" s="232" t="str">
        <f>IF(C340="","",VLOOKUP($B340,[1]勘定科目!$A:$E,4,0))</f>
        <v/>
      </c>
      <c r="E340" s="238"/>
      <c r="F340" s="233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198">
        <f t="shared" si="8"/>
        <v>0</v>
      </c>
      <c r="S340" s="199"/>
      <c r="T340" s="200"/>
      <c r="U340" s="239"/>
      <c r="V340" s="239"/>
      <c r="W340" s="239"/>
      <c r="BA340"/>
      <c r="BB340"/>
    </row>
    <row r="341" spans="1:54" s="190" customFormat="1" ht="13.5">
      <c r="A341" s="182"/>
      <c r="B341" s="178"/>
      <c r="C341" s="183" t="str">
        <f>IFERROR(IF(VLOOKUP($B341,[1]勘定科目!$A:$H,HLOOKUP($E$5,[1]勘定科目!$F$1:$H$2,2,0),0)="","",VLOOKUP($B341,[1]勘定科目!$A:$E,2,0)),"")</f>
        <v/>
      </c>
      <c r="D341" s="232" t="str">
        <f>IF(C341="","",VLOOKUP($B341,[1]勘定科目!$A:$E,4,0))</f>
        <v/>
      </c>
      <c r="E341" s="238"/>
      <c r="F341" s="233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198">
        <f t="shared" si="8"/>
        <v>0</v>
      </c>
      <c r="S341" s="199"/>
      <c r="T341" s="200"/>
      <c r="U341" s="239"/>
      <c r="V341" s="239"/>
      <c r="W341" s="239"/>
      <c r="BA341"/>
      <c r="BB341"/>
    </row>
    <row r="342" spans="1:54" s="190" customFormat="1" ht="13.5">
      <c r="A342" s="182"/>
      <c r="B342" s="178"/>
      <c r="C342" s="183" t="str">
        <f>IFERROR(IF(VLOOKUP($B342,[1]勘定科目!$A:$H,HLOOKUP($E$5,[1]勘定科目!$F$1:$H$2,2,0),0)="","",VLOOKUP($B342,[1]勘定科目!$A:$E,2,0)),"")</f>
        <v/>
      </c>
      <c r="D342" s="232" t="str">
        <f>IF(C342="","",VLOOKUP($B342,[1]勘定科目!$A:$E,4,0))</f>
        <v/>
      </c>
      <c r="E342" s="238"/>
      <c r="F342" s="233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198">
        <f t="shared" si="8"/>
        <v>0</v>
      </c>
      <c r="S342" s="199"/>
      <c r="T342" s="200"/>
      <c r="U342" s="239"/>
      <c r="V342" s="239"/>
      <c r="W342" s="239"/>
      <c r="BA342"/>
      <c r="BB342"/>
    </row>
    <row r="343" spans="1:54" s="190" customFormat="1" ht="13.5">
      <c r="A343" s="182"/>
      <c r="B343" s="178"/>
      <c r="C343" s="183" t="str">
        <f>IFERROR(IF(VLOOKUP($B343,[1]勘定科目!$A:$H,HLOOKUP($E$5,[1]勘定科目!$F$1:$H$2,2,0),0)="","",VLOOKUP($B343,[1]勘定科目!$A:$E,2,0)),"")</f>
        <v/>
      </c>
      <c r="D343" s="232" t="str">
        <f>IF(C343="","",VLOOKUP($B343,[1]勘定科目!$A:$E,4,0))</f>
        <v/>
      </c>
      <c r="E343" s="238"/>
      <c r="F343" s="233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198">
        <f t="shared" si="8"/>
        <v>0</v>
      </c>
      <c r="S343" s="199"/>
      <c r="T343" s="200"/>
      <c r="U343" s="239"/>
      <c r="V343" s="239"/>
      <c r="W343" s="239"/>
      <c r="BA343"/>
      <c r="BB343"/>
    </row>
    <row r="344" spans="1:54" s="190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2" t="str">
        <f>IF(C344="","",VLOOKUP($B344,勘定科目!$A:$E,4,0))</f>
        <v/>
      </c>
      <c r="E344" s="238"/>
      <c r="F344" s="233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198">
        <f t="shared" si="8"/>
        <v>0</v>
      </c>
      <c r="S344" s="199"/>
      <c r="T344" s="200"/>
      <c r="U344" s="239"/>
      <c r="V344" s="239"/>
      <c r="W344" s="239"/>
      <c r="BA344"/>
      <c r="BB344"/>
    </row>
    <row r="345" spans="1:54" s="190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2" t="str">
        <f>IF(C345="","",VLOOKUP($B345,勘定科目!$A:$E,4,0))</f>
        <v/>
      </c>
      <c r="E345" s="238"/>
      <c r="F345" s="233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198">
        <f t="shared" si="8"/>
        <v>0</v>
      </c>
      <c r="S345" s="199"/>
      <c r="T345" s="200"/>
      <c r="U345" s="239"/>
      <c r="V345" s="239"/>
      <c r="W345" s="239"/>
      <c r="BA345"/>
      <c r="BB345"/>
    </row>
    <row r="346" spans="1:54" s="190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2" t="str">
        <f>IF(C346="","",VLOOKUP($B346,勘定科目!$A:$E,4,0))</f>
        <v/>
      </c>
      <c r="E346" s="238"/>
      <c r="F346" s="233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198">
        <f t="shared" si="8"/>
        <v>0</v>
      </c>
      <c r="S346" s="199"/>
      <c r="T346" s="200"/>
      <c r="U346" s="239"/>
      <c r="V346" s="239"/>
      <c r="W346" s="239"/>
      <c r="BA346"/>
      <c r="BB346"/>
    </row>
    <row r="347" spans="1:54" s="190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2" t="str">
        <f>IF(C347="","",VLOOKUP($B347,勘定科目!$A:$E,4,0))</f>
        <v/>
      </c>
      <c r="E347" s="238"/>
      <c r="F347" s="233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198">
        <f t="shared" si="8"/>
        <v>0</v>
      </c>
      <c r="S347" s="199"/>
      <c r="T347" s="200"/>
      <c r="U347" s="239"/>
      <c r="V347" s="239"/>
      <c r="W347" s="239"/>
      <c r="BA347"/>
      <c r="BB347"/>
    </row>
    <row r="348" spans="1:54" s="190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2" t="str">
        <f>IF(C348="","",VLOOKUP($B348,勘定科目!$A:$E,4,0))</f>
        <v/>
      </c>
      <c r="E348" s="238"/>
      <c r="F348" s="233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198">
        <f t="shared" si="8"/>
        <v>0</v>
      </c>
      <c r="S348" s="199"/>
      <c r="T348" s="200"/>
      <c r="U348" s="239"/>
      <c r="V348" s="239"/>
      <c r="W348" s="239"/>
      <c r="BA348"/>
      <c r="BB348"/>
    </row>
    <row r="349" spans="1:54" s="190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2" t="str">
        <f>IF(C349="","",VLOOKUP($B349,勘定科目!$A:$E,4,0))</f>
        <v/>
      </c>
      <c r="E349" s="238"/>
      <c r="F349" s="233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198">
        <f t="shared" si="8"/>
        <v>0</v>
      </c>
      <c r="S349" s="199"/>
      <c r="T349" s="200"/>
      <c r="U349" s="239"/>
      <c r="V349" s="239"/>
      <c r="W349" s="239"/>
      <c r="BA349"/>
      <c r="BB349"/>
    </row>
    <row r="350" spans="1:54" s="190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2" t="str">
        <f>IF(C350="","",VLOOKUP($B350,勘定科目!$A:$E,4,0))</f>
        <v/>
      </c>
      <c r="E350" s="238"/>
      <c r="F350" s="233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198">
        <f t="shared" si="8"/>
        <v>0</v>
      </c>
      <c r="S350" s="199"/>
      <c r="T350" s="200"/>
      <c r="U350" s="239"/>
      <c r="V350" s="239"/>
      <c r="W350" s="239"/>
      <c r="BA350"/>
      <c r="BB350"/>
    </row>
    <row r="351" spans="1:54" s="190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2" t="str">
        <f>IF(C351="","",VLOOKUP($B351,勘定科目!$A:$E,4,0))</f>
        <v/>
      </c>
      <c r="E351" s="238"/>
      <c r="F351" s="233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198">
        <f t="shared" si="8"/>
        <v>0</v>
      </c>
      <c r="S351" s="199"/>
      <c r="T351" s="200"/>
      <c r="U351" s="239"/>
      <c r="V351" s="239"/>
      <c r="W351" s="239"/>
      <c r="BA351"/>
      <c r="BB351"/>
    </row>
    <row r="352" spans="1:54" s="190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2" t="str">
        <f>IF(C352="","",VLOOKUP($B352,勘定科目!$A:$E,4,0))</f>
        <v/>
      </c>
      <c r="E352" s="238"/>
      <c r="F352" s="233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198">
        <f t="shared" si="8"/>
        <v>0</v>
      </c>
      <c r="S352" s="199"/>
      <c r="T352" s="200"/>
      <c r="U352" s="239"/>
      <c r="V352" s="239"/>
      <c r="W352" s="239"/>
      <c r="BA352"/>
      <c r="BB352"/>
    </row>
    <row r="353" spans="1:54" s="190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2" t="str">
        <f>IF(C353="","",VLOOKUP($B353,勘定科目!$A:$E,4,0))</f>
        <v/>
      </c>
      <c r="E353" s="238"/>
      <c r="F353" s="233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198">
        <f t="shared" si="8"/>
        <v>0</v>
      </c>
      <c r="S353" s="199"/>
      <c r="T353" s="200"/>
      <c r="U353" s="239"/>
      <c r="V353" s="239"/>
      <c r="W353" s="239"/>
      <c r="BA353"/>
      <c r="BB353"/>
    </row>
    <row r="354" spans="1:54" s="190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2" t="str">
        <f>IF(C354="","",VLOOKUP($B354,勘定科目!$A:$E,4,0))</f>
        <v/>
      </c>
      <c r="E354" s="238"/>
      <c r="F354" s="233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198">
        <f t="shared" si="8"/>
        <v>0</v>
      </c>
      <c r="S354" s="199"/>
      <c r="T354" s="200"/>
      <c r="U354" s="239"/>
      <c r="V354" s="239"/>
      <c r="W354" s="239"/>
      <c r="BA354"/>
      <c r="BB354"/>
    </row>
    <row r="355" spans="1:54" s="190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2" t="str">
        <f>IF(C355="","",VLOOKUP($B355,勘定科目!$A:$E,4,0))</f>
        <v/>
      </c>
      <c r="E355" s="238"/>
      <c r="F355" s="233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198">
        <f t="shared" si="8"/>
        <v>0</v>
      </c>
      <c r="S355" s="199"/>
      <c r="T355" s="200"/>
      <c r="U355" s="239"/>
      <c r="V355" s="239"/>
      <c r="W355" s="239"/>
      <c r="BA355"/>
      <c r="BB355"/>
    </row>
    <row r="356" spans="1:54" s="190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2" t="str">
        <f>IF(C356="","",VLOOKUP($B356,勘定科目!$A:$E,4,0))</f>
        <v/>
      </c>
      <c r="E356" s="238"/>
      <c r="F356" s="233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198">
        <f t="shared" si="8"/>
        <v>0</v>
      </c>
      <c r="S356" s="199"/>
      <c r="T356" s="200"/>
      <c r="U356" s="239"/>
      <c r="V356" s="239"/>
      <c r="W356" s="239"/>
      <c r="BA356"/>
      <c r="BB356"/>
    </row>
    <row r="357" spans="1:54" s="190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2" t="str">
        <f>IF(C357="","",VLOOKUP($B357,勘定科目!$A:$E,4,0))</f>
        <v/>
      </c>
      <c r="E357" s="238"/>
      <c r="F357" s="233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198">
        <f t="shared" si="8"/>
        <v>0</v>
      </c>
      <c r="S357" s="199"/>
      <c r="T357" s="200"/>
      <c r="U357" s="239"/>
      <c r="V357" s="239"/>
      <c r="W357" s="239"/>
      <c r="BA357"/>
      <c r="BB357"/>
    </row>
    <row r="358" spans="1:54" s="190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2" t="str">
        <f>IF(C358="","",VLOOKUP($B358,勘定科目!$A:$E,4,0))</f>
        <v/>
      </c>
      <c r="E358" s="238"/>
      <c r="F358" s="233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198">
        <f t="shared" si="8"/>
        <v>0</v>
      </c>
      <c r="S358" s="199"/>
      <c r="T358" s="200"/>
      <c r="U358" s="239"/>
      <c r="V358" s="239"/>
      <c r="W358" s="239"/>
      <c r="BA358"/>
      <c r="BB358"/>
    </row>
    <row r="359" spans="1:54" s="190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2" t="str">
        <f>IF(C359="","",VLOOKUP($B359,勘定科目!$A:$E,4,0))</f>
        <v/>
      </c>
      <c r="E359" s="238"/>
      <c r="F359" s="233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198">
        <f t="shared" si="8"/>
        <v>0</v>
      </c>
      <c r="S359" s="199"/>
      <c r="T359" s="200"/>
      <c r="U359" s="239"/>
      <c r="V359" s="239"/>
      <c r="W359" s="239"/>
      <c r="BA359"/>
      <c r="BB359"/>
    </row>
    <row r="360" spans="1:54" s="190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2" t="str">
        <f>IF(C360="","",VLOOKUP($B360,勘定科目!$A:$E,4,0))</f>
        <v/>
      </c>
      <c r="E360" s="238"/>
      <c r="F360" s="233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198">
        <f t="shared" si="8"/>
        <v>0</v>
      </c>
      <c r="S360" s="199"/>
      <c r="T360" s="200"/>
      <c r="U360" s="239"/>
      <c r="V360" s="239"/>
      <c r="W360" s="239"/>
      <c r="BA360"/>
      <c r="BB360"/>
    </row>
    <row r="361" spans="1:54" s="190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2" t="str">
        <f>IF(C361="","",VLOOKUP($B361,勘定科目!$A:$E,4,0))</f>
        <v/>
      </c>
      <c r="E361" s="238"/>
      <c r="F361" s="233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198">
        <f t="shared" si="8"/>
        <v>0</v>
      </c>
      <c r="S361" s="199"/>
      <c r="T361" s="200"/>
      <c r="U361" s="239"/>
      <c r="V361" s="239"/>
      <c r="W361" s="239"/>
      <c r="BA361"/>
      <c r="BB361"/>
    </row>
    <row r="362" spans="1:54" s="190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2" t="str">
        <f>IF(C362="","",VLOOKUP($B362,勘定科目!$A:$E,4,0))</f>
        <v/>
      </c>
      <c r="E362" s="238"/>
      <c r="F362" s="233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198">
        <f t="shared" si="8"/>
        <v>0</v>
      </c>
      <c r="S362" s="199"/>
      <c r="T362" s="200"/>
      <c r="U362" s="239"/>
      <c r="V362" s="239"/>
      <c r="W362" s="239"/>
      <c r="BA362"/>
      <c r="BB362"/>
    </row>
    <row r="363" spans="1:54" s="190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2" t="str">
        <f>IF(C363="","",VLOOKUP($B363,勘定科目!$A:$E,4,0))</f>
        <v/>
      </c>
      <c r="E363" s="238"/>
      <c r="F363" s="233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198">
        <f t="shared" si="8"/>
        <v>0</v>
      </c>
      <c r="S363" s="199"/>
      <c r="T363" s="200"/>
      <c r="U363" s="239"/>
      <c r="V363" s="239"/>
      <c r="W363" s="239"/>
      <c r="BA363"/>
      <c r="BB363"/>
    </row>
    <row r="364" spans="1:54" s="190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2" t="str">
        <f>IF(C364="","",VLOOKUP($B364,勘定科目!$A:$E,4,0))</f>
        <v/>
      </c>
      <c r="E364" s="238"/>
      <c r="F364" s="233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198">
        <f t="shared" si="8"/>
        <v>0</v>
      </c>
      <c r="S364" s="199"/>
      <c r="T364" s="200"/>
      <c r="U364" s="239"/>
      <c r="V364" s="239"/>
      <c r="W364" s="239"/>
      <c r="BA364"/>
      <c r="BB364"/>
    </row>
    <row r="365" spans="1:54" s="190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2" t="str">
        <f>IF(C365="","",VLOOKUP($B365,勘定科目!$A:$E,4,0))</f>
        <v/>
      </c>
      <c r="E365" s="238"/>
      <c r="F365" s="233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198">
        <f t="shared" si="8"/>
        <v>0</v>
      </c>
      <c r="S365" s="199"/>
      <c r="T365" s="200"/>
      <c r="U365" s="239"/>
      <c r="V365" s="239"/>
      <c r="W365" s="239"/>
      <c r="BA365"/>
      <c r="BB365"/>
    </row>
    <row r="366" spans="1:54" s="190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2" t="str">
        <f>IF(C366="","",VLOOKUP($B366,勘定科目!$A:$E,4,0))</f>
        <v/>
      </c>
      <c r="E366" s="238"/>
      <c r="F366" s="233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198">
        <f t="shared" si="8"/>
        <v>0</v>
      </c>
      <c r="S366" s="199"/>
      <c r="T366" s="200"/>
      <c r="U366" s="239"/>
      <c r="V366" s="239"/>
      <c r="W366" s="239"/>
      <c r="BA366"/>
      <c r="BB366"/>
    </row>
    <row r="367" spans="1:54" s="190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2" t="str">
        <f>IF(C367="","",VLOOKUP($B367,勘定科目!$A:$E,4,0))</f>
        <v/>
      </c>
      <c r="E367" s="238"/>
      <c r="F367" s="233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198">
        <f t="shared" si="8"/>
        <v>0</v>
      </c>
      <c r="S367" s="199"/>
      <c r="T367" s="200"/>
      <c r="U367" s="239"/>
      <c r="V367" s="239"/>
      <c r="W367" s="239"/>
      <c r="BA367"/>
      <c r="BB367"/>
    </row>
    <row r="368" spans="1:54" s="190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2" t="str">
        <f>IF(C368="","",VLOOKUP($B368,勘定科目!$A:$E,4,0))</f>
        <v/>
      </c>
      <c r="E368" s="238"/>
      <c r="F368" s="233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198">
        <f t="shared" si="8"/>
        <v>0</v>
      </c>
      <c r="S368" s="199"/>
      <c r="T368" s="200"/>
      <c r="U368" s="239"/>
      <c r="V368" s="239"/>
      <c r="W368" s="239"/>
      <c r="BA368"/>
      <c r="BB368"/>
    </row>
    <row r="369" spans="1:54" s="190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2" t="str">
        <f>IF(C369="","",VLOOKUP($B369,勘定科目!$A:$E,4,0))</f>
        <v/>
      </c>
      <c r="E369" s="238"/>
      <c r="F369" s="233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198">
        <f t="shared" si="8"/>
        <v>0</v>
      </c>
      <c r="S369" s="199"/>
      <c r="T369" s="200"/>
      <c r="U369" s="239"/>
      <c r="V369" s="239"/>
      <c r="W369" s="239"/>
      <c r="BA369"/>
      <c r="BB369"/>
    </row>
    <row r="370" spans="1:54" s="190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2" t="str">
        <f>IF(C370="","",VLOOKUP($B370,勘定科目!$A:$E,4,0))</f>
        <v/>
      </c>
      <c r="E370" s="238"/>
      <c r="F370" s="233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198">
        <f t="shared" si="8"/>
        <v>0</v>
      </c>
      <c r="S370" s="199"/>
      <c r="T370" s="200"/>
      <c r="U370" s="239"/>
      <c r="V370" s="239"/>
      <c r="W370" s="239"/>
      <c r="BA370"/>
      <c r="BB370"/>
    </row>
    <row r="371" spans="1:54" s="190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2" t="str">
        <f>IF(C371="","",VLOOKUP($B371,勘定科目!$A:$E,4,0))</f>
        <v/>
      </c>
      <c r="E371" s="238"/>
      <c r="F371" s="233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198">
        <f t="shared" si="8"/>
        <v>0</v>
      </c>
      <c r="S371" s="199"/>
      <c r="T371" s="200"/>
      <c r="U371" s="239"/>
      <c r="V371" s="239"/>
      <c r="W371" s="239"/>
      <c r="BA371"/>
      <c r="BB371"/>
    </row>
    <row r="372" spans="1:54" s="190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2" t="str">
        <f>IF(C372="","",VLOOKUP($B372,勘定科目!$A:$E,4,0))</f>
        <v/>
      </c>
      <c r="E372" s="238"/>
      <c r="F372" s="233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198">
        <f t="shared" si="8"/>
        <v>0</v>
      </c>
      <c r="S372" s="199"/>
      <c r="T372" s="200"/>
      <c r="U372" s="239"/>
      <c r="V372" s="239"/>
      <c r="W372" s="239"/>
      <c r="BA372"/>
      <c r="BB372"/>
    </row>
    <row r="373" spans="1:54" s="190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2" t="str">
        <f>IF(C373="","",VLOOKUP($B373,勘定科目!$A:$E,4,0))</f>
        <v/>
      </c>
      <c r="E373" s="238"/>
      <c r="F373" s="233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198">
        <f t="shared" si="8"/>
        <v>0</v>
      </c>
      <c r="S373" s="199"/>
      <c r="T373" s="200"/>
      <c r="U373" s="239"/>
      <c r="V373" s="239"/>
      <c r="W373" s="239"/>
      <c r="BA373"/>
      <c r="BB373"/>
    </row>
    <row r="374" spans="1:54" s="190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2" t="str">
        <f>IF(C374="","",VLOOKUP($B374,勘定科目!$A:$E,4,0))</f>
        <v/>
      </c>
      <c r="E374" s="238"/>
      <c r="F374" s="233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198">
        <f t="shared" si="8"/>
        <v>0</v>
      </c>
      <c r="S374" s="199"/>
      <c r="T374" s="200"/>
      <c r="U374" s="239"/>
      <c r="V374" s="239"/>
      <c r="W374" s="239"/>
      <c r="BA374"/>
      <c r="BB374"/>
    </row>
    <row r="375" spans="1:54" s="190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2" t="str">
        <f>IF(C375="","",VLOOKUP($B375,勘定科目!$A:$E,4,0))</f>
        <v/>
      </c>
      <c r="E375" s="238"/>
      <c r="F375" s="233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198">
        <f t="shared" ref="R375:R438" si="9">SUM(F375:Q375)</f>
        <v>0</v>
      </c>
      <c r="S375" s="199"/>
      <c r="T375" s="200"/>
      <c r="U375" s="239"/>
      <c r="V375" s="239"/>
      <c r="W375" s="239"/>
      <c r="BA375"/>
      <c r="BB375"/>
    </row>
    <row r="376" spans="1:54" s="190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2" t="str">
        <f>IF(C376="","",VLOOKUP($B376,勘定科目!$A:$E,4,0))</f>
        <v/>
      </c>
      <c r="E376" s="238"/>
      <c r="F376" s="233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198">
        <f t="shared" si="9"/>
        <v>0</v>
      </c>
      <c r="S376" s="199"/>
      <c r="T376" s="200"/>
      <c r="U376" s="239"/>
      <c r="V376" s="239"/>
      <c r="W376" s="239"/>
      <c r="BA376"/>
      <c r="BB376"/>
    </row>
    <row r="377" spans="1:54" s="190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2" t="str">
        <f>IF(C377="","",VLOOKUP($B377,勘定科目!$A:$E,4,0))</f>
        <v/>
      </c>
      <c r="E377" s="238"/>
      <c r="F377" s="233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198">
        <f t="shared" si="9"/>
        <v>0</v>
      </c>
      <c r="S377" s="199"/>
      <c r="T377" s="200"/>
      <c r="U377" s="239"/>
      <c r="V377" s="239"/>
      <c r="W377" s="239"/>
      <c r="BA377"/>
      <c r="BB377"/>
    </row>
    <row r="378" spans="1:54" s="190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2" t="str">
        <f>IF(C378="","",VLOOKUP($B378,勘定科目!$A:$E,4,0))</f>
        <v/>
      </c>
      <c r="E378" s="238"/>
      <c r="F378" s="233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198">
        <f t="shared" si="9"/>
        <v>0</v>
      </c>
      <c r="S378" s="199"/>
      <c r="T378" s="200"/>
      <c r="U378" s="239"/>
      <c r="V378" s="239"/>
      <c r="W378" s="239"/>
      <c r="BA378"/>
      <c r="BB378"/>
    </row>
    <row r="379" spans="1:54" s="190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2" t="str">
        <f>IF(C379="","",VLOOKUP($B379,勘定科目!$A:$E,4,0))</f>
        <v/>
      </c>
      <c r="E379" s="238"/>
      <c r="F379" s="233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198">
        <f t="shared" si="9"/>
        <v>0</v>
      </c>
      <c r="S379" s="199"/>
      <c r="T379" s="200"/>
      <c r="U379" s="239"/>
      <c r="V379" s="239"/>
      <c r="W379" s="239"/>
      <c r="BA379"/>
      <c r="BB379"/>
    </row>
    <row r="380" spans="1:54" s="190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2" t="str">
        <f>IF(C380="","",VLOOKUP($B380,勘定科目!$A:$E,4,0))</f>
        <v/>
      </c>
      <c r="E380" s="238"/>
      <c r="F380" s="233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198">
        <f t="shared" si="9"/>
        <v>0</v>
      </c>
      <c r="S380" s="199"/>
      <c r="T380" s="200"/>
      <c r="U380" s="239"/>
      <c r="V380" s="239"/>
      <c r="W380" s="239"/>
      <c r="BA380"/>
      <c r="BB380"/>
    </row>
    <row r="381" spans="1:54" s="190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2" t="str">
        <f>IF(C381="","",VLOOKUP($B381,勘定科目!$A:$E,4,0))</f>
        <v/>
      </c>
      <c r="E381" s="238"/>
      <c r="F381" s="233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198">
        <f t="shared" si="9"/>
        <v>0</v>
      </c>
      <c r="S381" s="199"/>
      <c r="T381" s="200"/>
      <c r="U381" s="239"/>
      <c r="V381" s="239"/>
      <c r="W381" s="239"/>
      <c r="BA381"/>
      <c r="BB381"/>
    </row>
    <row r="382" spans="1:54" s="190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2" t="str">
        <f>IF(C382="","",VLOOKUP($B382,勘定科目!$A:$E,4,0))</f>
        <v/>
      </c>
      <c r="E382" s="238"/>
      <c r="F382" s="233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198">
        <f t="shared" si="9"/>
        <v>0</v>
      </c>
      <c r="S382" s="199"/>
      <c r="T382" s="200"/>
      <c r="U382" s="239"/>
      <c r="V382" s="239"/>
      <c r="W382" s="239"/>
      <c r="BA382"/>
      <c r="BB382"/>
    </row>
    <row r="383" spans="1:54" s="190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2" t="str">
        <f>IF(C383="","",VLOOKUP($B383,勘定科目!$A:$E,4,0))</f>
        <v/>
      </c>
      <c r="E383" s="238"/>
      <c r="F383" s="233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198">
        <f t="shared" si="9"/>
        <v>0</v>
      </c>
      <c r="S383" s="199"/>
      <c r="T383" s="200"/>
      <c r="U383" s="239"/>
      <c r="V383" s="239"/>
      <c r="W383" s="239"/>
      <c r="BA383"/>
      <c r="BB383"/>
    </row>
    <row r="384" spans="1:54" s="190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2" t="str">
        <f>IF(C384="","",VLOOKUP($B384,勘定科目!$A:$E,4,0))</f>
        <v/>
      </c>
      <c r="E384" s="238"/>
      <c r="F384" s="233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198">
        <f t="shared" si="9"/>
        <v>0</v>
      </c>
      <c r="S384" s="199"/>
      <c r="T384" s="200"/>
      <c r="U384" s="239"/>
      <c r="V384" s="239"/>
      <c r="W384" s="239"/>
      <c r="BA384"/>
      <c r="BB384"/>
    </row>
    <row r="385" spans="1:54" s="190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2" t="str">
        <f>IF(C385="","",VLOOKUP($B385,勘定科目!$A:$E,4,0))</f>
        <v/>
      </c>
      <c r="E385" s="238"/>
      <c r="F385" s="233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198">
        <f t="shared" si="9"/>
        <v>0</v>
      </c>
      <c r="S385" s="199"/>
      <c r="T385" s="200"/>
      <c r="U385" s="239"/>
      <c r="V385" s="239"/>
      <c r="W385" s="239"/>
      <c r="BA385"/>
      <c r="BB385"/>
    </row>
    <row r="386" spans="1:54" s="190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2" t="str">
        <f>IF(C386="","",VLOOKUP($B386,勘定科目!$A:$E,4,0))</f>
        <v/>
      </c>
      <c r="E386" s="238"/>
      <c r="F386" s="233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198">
        <f t="shared" si="9"/>
        <v>0</v>
      </c>
      <c r="S386" s="199"/>
      <c r="T386" s="200"/>
      <c r="U386" s="239"/>
      <c r="V386" s="239"/>
      <c r="W386" s="239"/>
      <c r="BA386"/>
      <c r="BB386"/>
    </row>
    <row r="387" spans="1:54" s="190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2" t="str">
        <f>IF(C387="","",VLOOKUP($B387,勘定科目!$A:$E,4,0))</f>
        <v/>
      </c>
      <c r="E387" s="238"/>
      <c r="F387" s="233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198">
        <f t="shared" si="9"/>
        <v>0</v>
      </c>
      <c r="S387" s="199"/>
      <c r="T387" s="200"/>
      <c r="U387" s="239"/>
      <c r="V387" s="239"/>
      <c r="W387" s="239"/>
      <c r="BA387"/>
      <c r="BB387"/>
    </row>
    <row r="388" spans="1:54" s="190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2" t="str">
        <f>IF(C388="","",VLOOKUP($B388,勘定科目!$A:$E,4,0))</f>
        <v/>
      </c>
      <c r="E388" s="238"/>
      <c r="F388" s="233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198">
        <f t="shared" si="9"/>
        <v>0</v>
      </c>
      <c r="S388" s="199"/>
      <c r="T388" s="200"/>
      <c r="U388" s="239"/>
      <c r="V388" s="239"/>
      <c r="W388" s="239"/>
      <c r="BA388"/>
      <c r="BB388"/>
    </row>
    <row r="389" spans="1:54" s="190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2" t="str">
        <f>IF(C389="","",VLOOKUP($B389,勘定科目!$A:$E,4,0))</f>
        <v/>
      </c>
      <c r="E389" s="238"/>
      <c r="F389" s="233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198">
        <f t="shared" si="9"/>
        <v>0</v>
      </c>
      <c r="S389" s="199"/>
      <c r="T389" s="200"/>
      <c r="U389" s="239"/>
      <c r="V389" s="239"/>
      <c r="W389" s="239"/>
      <c r="BA389"/>
      <c r="BB389"/>
    </row>
    <row r="390" spans="1:54" s="190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2" t="str">
        <f>IF(C390="","",VLOOKUP($B390,勘定科目!$A:$E,4,0))</f>
        <v/>
      </c>
      <c r="E390" s="238"/>
      <c r="F390" s="233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198">
        <f t="shared" si="9"/>
        <v>0</v>
      </c>
      <c r="S390" s="199"/>
      <c r="T390" s="200"/>
      <c r="U390" s="239"/>
      <c r="V390" s="239"/>
      <c r="W390" s="239"/>
      <c r="BA390"/>
      <c r="BB390"/>
    </row>
    <row r="391" spans="1:54" s="190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2" t="str">
        <f>IF(C391="","",VLOOKUP($B391,勘定科目!$A:$E,4,0))</f>
        <v/>
      </c>
      <c r="E391" s="238"/>
      <c r="F391" s="233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198">
        <f t="shared" si="9"/>
        <v>0</v>
      </c>
      <c r="S391" s="199"/>
      <c r="T391" s="200"/>
      <c r="U391" s="239"/>
      <c r="V391" s="239"/>
      <c r="W391" s="239"/>
      <c r="BA391"/>
      <c r="BB391"/>
    </row>
    <row r="392" spans="1:54" s="190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2" t="str">
        <f>IF(C392="","",VLOOKUP($B392,勘定科目!$A:$E,4,0))</f>
        <v/>
      </c>
      <c r="E392" s="238"/>
      <c r="F392" s="233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198">
        <f t="shared" si="9"/>
        <v>0</v>
      </c>
      <c r="S392" s="199"/>
      <c r="T392" s="200"/>
      <c r="U392" s="239"/>
      <c r="V392" s="239"/>
      <c r="W392" s="239"/>
      <c r="BA392"/>
      <c r="BB392"/>
    </row>
    <row r="393" spans="1:54" s="190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2" t="str">
        <f>IF(C393="","",VLOOKUP($B393,勘定科目!$A:$E,4,0))</f>
        <v/>
      </c>
      <c r="E393" s="238"/>
      <c r="F393" s="233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198">
        <f t="shared" si="9"/>
        <v>0</v>
      </c>
      <c r="S393" s="199"/>
      <c r="T393" s="200"/>
      <c r="U393" s="239"/>
      <c r="V393" s="239"/>
      <c r="W393" s="239"/>
      <c r="BA393"/>
      <c r="BB393"/>
    </row>
    <row r="394" spans="1:54" s="190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2" t="str">
        <f>IF(C394="","",VLOOKUP($B394,勘定科目!$A:$E,4,0))</f>
        <v/>
      </c>
      <c r="E394" s="238"/>
      <c r="F394" s="233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198">
        <f t="shared" si="9"/>
        <v>0</v>
      </c>
      <c r="S394" s="199"/>
      <c r="T394" s="200"/>
      <c r="U394" s="239"/>
      <c r="V394" s="239"/>
      <c r="W394" s="239"/>
      <c r="BA394"/>
      <c r="BB394"/>
    </row>
    <row r="395" spans="1:54" s="190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2" t="str">
        <f>IF(C395="","",VLOOKUP($B395,勘定科目!$A:$E,4,0))</f>
        <v/>
      </c>
      <c r="E395" s="238"/>
      <c r="F395" s="233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198">
        <f t="shared" si="9"/>
        <v>0</v>
      </c>
      <c r="S395" s="199"/>
      <c r="T395" s="200"/>
      <c r="U395" s="239"/>
      <c r="V395" s="239"/>
      <c r="W395" s="239"/>
      <c r="BA395"/>
      <c r="BB395"/>
    </row>
    <row r="396" spans="1:54" s="190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2" t="str">
        <f>IF(C396="","",VLOOKUP($B396,勘定科目!$A:$E,4,0))</f>
        <v/>
      </c>
      <c r="E396" s="238"/>
      <c r="F396" s="233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198">
        <f t="shared" si="9"/>
        <v>0</v>
      </c>
      <c r="S396" s="199"/>
      <c r="T396" s="200"/>
      <c r="U396" s="239"/>
      <c r="V396" s="239"/>
      <c r="W396" s="239"/>
      <c r="BA396"/>
      <c r="BB396"/>
    </row>
    <row r="397" spans="1:54" s="190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2" t="str">
        <f>IF(C397="","",VLOOKUP($B397,勘定科目!$A:$E,4,0))</f>
        <v/>
      </c>
      <c r="E397" s="238"/>
      <c r="F397" s="233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198">
        <f t="shared" si="9"/>
        <v>0</v>
      </c>
      <c r="S397" s="199"/>
      <c r="T397" s="200"/>
      <c r="U397" s="239"/>
      <c r="V397" s="239"/>
      <c r="W397" s="239"/>
      <c r="BA397"/>
      <c r="BB397"/>
    </row>
    <row r="398" spans="1:54" s="190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2" t="str">
        <f>IF(C398="","",VLOOKUP($B398,勘定科目!$A:$E,4,0))</f>
        <v/>
      </c>
      <c r="E398" s="238"/>
      <c r="F398" s="233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198">
        <f t="shared" si="9"/>
        <v>0</v>
      </c>
      <c r="S398" s="199"/>
      <c r="T398" s="200"/>
      <c r="U398" s="239"/>
      <c r="V398" s="239"/>
      <c r="W398" s="239"/>
      <c r="BA398"/>
      <c r="BB398"/>
    </row>
    <row r="399" spans="1:54" s="190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2" t="str">
        <f>IF(C399="","",VLOOKUP($B399,勘定科目!$A:$E,4,0))</f>
        <v/>
      </c>
      <c r="E399" s="238"/>
      <c r="F399" s="233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198">
        <f t="shared" si="9"/>
        <v>0</v>
      </c>
      <c r="S399" s="199"/>
      <c r="T399" s="200"/>
      <c r="U399" s="239"/>
      <c r="V399" s="239"/>
      <c r="W399" s="239"/>
      <c r="BA399"/>
      <c r="BB399"/>
    </row>
    <row r="400" spans="1:54" s="190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2" t="str">
        <f>IF(C400="","",VLOOKUP($B400,勘定科目!$A:$E,4,0))</f>
        <v/>
      </c>
      <c r="E400" s="238"/>
      <c r="F400" s="233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198">
        <f t="shared" si="9"/>
        <v>0</v>
      </c>
      <c r="S400" s="199"/>
      <c r="T400" s="200"/>
      <c r="U400" s="239"/>
      <c r="V400" s="239"/>
      <c r="W400" s="239"/>
      <c r="BA400"/>
      <c r="BB400"/>
    </row>
    <row r="401" spans="1:54" s="190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2" t="str">
        <f>IF(C401="","",VLOOKUP($B401,勘定科目!$A:$E,4,0))</f>
        <v/>
      </c>
      <c r="E401" s="238"/>
      <c r="F401" s="233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198">
        <f t="shared" si="9"/>
        <v>0</v>
      </c>
      <c r="S401" s="199"/>
      <c r="T401" s="200"/>
      <c r="U401" s="239"/>
      <c r="V401" s="239"/>
      <c r="W401" s="239"/>
      <c r="BA401"/>
      <c r="BB401"/>
    </row>
    <row r="402" spans="1:54" s="190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2" t="str">
        <f>IF(C402="","",VLOOKUP($B402,勘定科目!$A:$E,4,0))</f>
        <v/>
      </c>
      <c r="E402" s="238"/>
      <c r="F402" s="233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198">
        <f t="shared" si="9"/>
        <v>0</v>
      </c>
      <c r="S402" s="199"/>
      <c r="T402" s="200"/>
      <c r="U402" s="239"/>
      <c r="V402" s="239"/>
      <c r="W402" s="239"/>
      <c r="BA402"/>
      <c r="BB402"/>
    </row>
    <row r="403" spans="1:54" s="190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2" t="str">
        <f>IF(C403="","",VLOOKUP($B403,勘定科目!$A:$E,4,0))</f>
        <v/>
      </c>
      <c r="E403" s="238"/>
      <c r="F403" s="233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198">
        <f t="shared" si="9"/>
        <v>0</v>
      </c>
      <c r="S403" s="199"/>
      <c r="T403" s="200"/>
      <c r="U403" s="239"/>
      <c r="V403" s="239"/>
      <c r="W403" s="239"/>
      <c r="BA403"/>
      <c r="BB403"/>
    </row>
    <row r="404" spans="1:54" s="190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2" t="str">
        <f>IF(C404="","",VLOOKUP($B404,勘定科目!$A:$E,4,0))</f>
        <v/>
      </c>
      <c r="E404" s="238"/>
      <c r="F404" s="233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198">
        <f t="shared" si="9"/>
        <v>0</v>
      </c>
      <c r="S404" s="199"/>
      <c r="T404" s="200"/>
      <c r="U404" s="239"/>
      <c r="V404" s="239"/>
      <c r="W404" s="239"/>
      <c r="BA404"/>
      <c r="BB404"/>
    </row>
    <row r="405" spans="1:54" s="190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2" t="str">
        <f>IF(C405="","",VLOOKUP($B405,勘定科目!$A:$E,4,0))</f>
        <v/>
      </c>
      <c r="E405" s="238"/>
      <c r="F405" s="233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198">
        <f t="shared" si="9"/>
        <v>0</v>
      </c>
      <c r="S405" s="199"/>
      <c r="T405" s="200"/>
      <c r="U405" s="239"/>
      <c r="V405" s="239"/>
      <c r="W405" s="239"/>
      <c r="BA405"/>
      <c r="BB405"/>
    </row>
    <row r="406" spans="1:54" s="190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2" t="str">
        <f>IF(C406="","",VLOOKUP($B406,勘定科目!$A:$E,4,0))</f>
        <v/>
      </c>
      <c r="E406" s="238"/>
      <c r="F406" s="233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198">
        <f t="shared" si="9"/>
        <v>0</v>
      </c>
      <c r="S406" s="199"/>
      <c r="T406" s="200"/>
      <c r="U406" s="239"/>
      <c r="V406" s="239"/>
      <c r="W406" s="239"/>
      <c r="BA406"/>
      <c r="BB406"/>
    </row>
    <row r="407" spans="1:54" s="190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2" t="str">
        <f>IF(C407="","",VLOOKUP($B407,勘定科目!$A:$E,4,0))</f>
        <v/>
      </c>
      <c r="E407" s="238"/>
      <c r="F407" s="233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198">
        <f t="shared" si="9"/>
        <v>0</v>
      </c>
      <c r="S407" s="199"/>
      <c r="T407" s="200"/>
      <c r="U407" s="239"/>
      <c r="V407" s="239"/>
      <c r="W407" s="239"/>
      <c r="BA407"/>
      <c r="BB407"/>
    </row>
    <row r="408" spans="1:54" s="190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2" t="str">
        <f>IF(C408="","",VLOOKUP($B408,勘定科目!$A:$E,4,0))</f>
        <v/>
      </c>
      <c r="E408" s="238"/>
      <c r="F408" s="233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198">
        <f t="shared" si="9"/>
        <v>0</v>
      </c>
      <c r="S408" s="199"/>
      <c r="T408" s="200"/>
      <c r="U408" s="239"/>
      <c r="V408" s="239"/>
      <c r="W408" s="239"/>
      <c r="BA408"/>
      <c r="BB408"/>
    </row>
    <row r="409" spans="1:54" s="190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2" t="str">
        <f>IF(C409="","",VLOOKUP($B409,勘定科目!$A:$E,4,0))</f>
        <v/>
      </c>
      <c r="E409" s="238"/>
      <c r="F409" s="233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198">
        <f t="shared" si="9"/>
        <v>0</v>
      </c>
      <c r="S409" s="199"/>
      <c r="T409" s="200"/>
      <c r="U409" s="239"/>
      <c r="V409" s="239"/>
      <c r="W409" s="239"/>
      <c r="BA409"/>
      <c r="BB409"/>
    </row>
    <row r="410" spans="1:54" s="190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2" t="str">
        <f>IF(C410="","",VLOOKUP($B410,勘定科目!$A:$E,4,0))</f>
        <v/>
      </c>
      <c r="E410" s="238"/>
      <c r="F410" s="233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198">
        <f t="shared" si="9"/>
        <v>0</v>
      </c>
      <c r="S410" s="199"/>
      <c r="T410" s="200"/>
      <c r="U410" s="239"/>
      <c r="V410" s="239"/>
      <c r="W410" s="239"/>
      <c r="BA410"/>
      <c r="BB410"/>
    </row>
    <row r="411" spans="1:54" s="190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2" t="str">
        <f>IF(C411="","",VLOOKUP($B411,勘定科目!$A:$E,4,0))</f>
        <v/>
      </c>
      <c r="E411" s="238"/>
      <c r="F411" s="233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198">
        <f t="shared" si="9"/>
        <v>0</v>
      </c>
      <c r="S411" s="199"/>
      <c r="T411" s="200"/>
      <c r="U411" s="239"/>
      <c r="V411" s="239"/>
      <c r="W411" s="239"/>
      <c r="BA411"/>
      <c r="BB411"/>
    </row>
    <row r="412" spans="1:54" s="190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2" t="str">
        <f>IF(C412="","",VLOOKUP($B412,勘定科目!$A:$E,4,0))</f>
        <v/>
      </c>
      <c r="E412" s="238"/>
      <c r="F412" s="233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198">
        <f t="shared" si="9"/>
        <v>0</v>
      </c>
      <c r="S412" s="199"/>
      <c r="T412" s="200"/>
      <c r="U412" s="239"/>
      <c r="V412" s="239"/>
      <c r="W412" s="239"/>
      <c r="BA412"/>
      <c r="BB412"/>
    </row>
    <row r="413" spans="1:54" s="190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2" t="str">
        <f>IF(C413="","",VLOOKUP($B413,勘定科目!$A:$E,4,0))</f>
        <v/>
      </c>
      <c r="E413" s="238"/>
      <c r="F413" s="233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198">
        <f t="shared" si="9"/>
        <v>0</v>
      </c>
      <c r="S413" s="199"/>
      <c r="T413" s="200"/>
      <c r="U413" s="239"/>
      <c r="V413" s="239"/>
      <c r="W413" s="239"/>
      <c r="BA413"/>
      <c r="BB413"/>
    </row>
    <row r="414" spans="1:54" s="190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2" t="str">
        <f>IF(C414="","",VLOOKUP($B414,勘定科目!$A:$E,4,0))</f>
        <v/>
      </c>
      <c r="E414" s="238"/>
      <c r="F414" s="233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198">
        <f t="shared" si="9"/>
        <v>0</v>
      </c>
      <c r="S414" s="199"/>
      <c r="T414" s="200"/>
      <c r="U414" s="239"/>
      <c r="V414" s="239"/>
      <c r="W414" s="239"/>
      <c r="BA414"/>
      <c r="BB414"/>
    </row>
    <row r="415" spans="1:54" s="190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2" t="str">
        <f>IF(C415="","",VLOOKUP($B415,勘定科目!$A:$E,4,0))</f>
        <v/>
      </c>
      <c r="E415" s="238"/>
      <c r="F415" s="233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198">
        <f t="shared" si="9"/>
        <v>0</v>
      </c>
      <c r="S415" s="199"/>
      <c r="T415" s="200"/>
      <c r="U415" s="239"/>
      <c r="V415" s="239"/>
      <c r="W415" s="239"/>
      <c r="BA415"/>
      <c r="BB415"/>
    </row>
    <row r="416" spans="1:54" s="190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2" t="str">
        <f>IF(C416="","",VLOOKUP($B416,勘定科目!$A:$E,4,0))</f>
        <v/>
      </c>
      <c r="E416" s="238"/>
      <c r="F416" s="233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198">
        <f t="shared" si="9"/>
        <v>0</v>
      </c>
      <c r="S416" s="199"/>
      <c r="T416" s="200"/>
      <c r="U416" s="239"/>
      <c r="V416" s="239"/>
      <c r="W416" s="239"/>
      <c r="BA416"/>
      <c r="BB416"/>
    </row>
    <row r="417" spans="1:54" s="190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2" t="str">
        <f>IF(C417="","",VLOOKUP($B417,勘定科目!$A:$E,4,0))</f>
        <v/>
      </c>
      <c r="E417" s="238"/>
      <c r="F417" s="233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198">
        <f t="shared" si="9"/>
        <v>0</v>
      </c>
      <c r="S417" s="199"/>
      <c r="T417" s="200"/>
      <c r="U417" s="239"/>
      <c r="V417" s="239"/>
      <c r="W417" s="239"/>
      <c r="BA417"/>
      <c r="BB417"/>
    </row>
    <row r="418" spans="1:54" s="190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2" t="str">
        <f>IF(C418="","",VLOOKUP($B418,勘定科目!$A:$E,4,0))</f>
        <v/>
      </c>
      <c r="E418" s="238"/>
      <c r="F418" s="233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198">
        <f t="shared" si="9"/>
        <v>0</v>
      </c>
      <c r="S418" s="199"/>
      <c r="T418" s="200"/>
      <c r="U418" s="239"/>
      <c r="V418" s="239"/>
      <c r="W418" s="239"/>
      <c r="BA418"/>
      <c r="BB418"/>
    </row>
    <row r="419" spans="1:54" s="190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2" t="str">
        <f>IF(C419="","",VLOOKUP($B419,勘定科目!$A:$E,4,0))</f>
        <v/>
      </c>
      <c r="E419" s="238"/>
      <c r="F419" s="233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198">
        <f t="shared" si="9"/>
        <v>0</v>
      </c>
      <c r="S419" s="199"/>
      <c r="T419" s="200"/>
      <c r="U419" s="239"/>
      <c r="V419" s="239"/>
      <c r="W419" s="239"/>
      <c r="BA419"/>
      <c r="BB419"/>
    </row>
    <row r="420" spans="1:54" s="190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2" t="str">
        <f>IF(C420="","",VLOOKUP($B420,勘定科目!$A:$E,4,0))</f>
        <v/>
      </c>
      <c r="E420" s="238"/>
      <c r="F420" s="233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198">
        <f t="shared" si="9"/>
        <v>0</v>
      </c>
      <c r="S420" s="199"/>
      <c r="T420" s="200"/>
      <c r="U420" s="239"/>
      <c r="V420" s="239"/>
      <c r="W420" s="239"/>
      <c r="BA420"/>
      <c r="BB420"/>
    </row>
    <row r="421" spans="1:54" s="190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2" t="str">
        <f>IF(C421="","",VLOOKUP($B421,勘定科目!$A:$E,4,0))</f>
        <v/>
      </c>
      <c r="E421" s="238"/>
      <c r="F421" s="233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198">
        <f t="shared" si="9"/>
        <v>0</v>
      </c>
      <c r="S421" s="199"/>
      <c r="T421" s="200"/>
      <c r="U421" s="239"/>
      <c r="V421" s="239"/>
      <c r="W421" s="239"/>
      <c r="BA421"/>
      <c r="BB421"/>
    </row>
    <row r="422" spans="1:54" s="190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2" t="str">
        <f>IF(C422="","",VLOOKUP($B422,勘定科目!$A:$E,4,0))</f>
        <v/>
      </c>
      <c r="E422" s="238"/>
      <c r="F422" s="233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198">
        <f t="shared" si="9"/>
        <v>0</v>
      </c>
      <c r="S422" s="199"/>
      <c r="T422" s="200"/>
      <c r="U422" s="239"/>
      <c r="V422" s="239"/>
      <c r="W422" s="239"/>
      <c r="BA422"/>
      <c r="BB422"/>
    </row>
    <row r="423" spans="1:54" s="190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2" t="str">
        <f>IF(C423="","",VLOOKUP($B423,勘定科目!$A:$E,4,0))</f>
        <v/>
      </c>
      <c r="E423" s="238"/>
      <c r="F423" s="233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198">
        <f t="shared" si="9"/>
        <v>0</v>
      </c>
      <c r="S423" s="199"/>
      <c r="T423" s="200"/>
      <c r="U423" s="239"/>
      <c r="V423" s="239"/>
      <c r="W423" s="239"/>
      <c r="BA423"/>
      <c r="BB423"/>
    </row>
    <row r="424" spans="1:54" s="190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2" t="str">
        <f>IF(C424="","",VLOOKUP($B424,勘定科目!$A:$E,4,0))</f>
        <v/>
      </c>
      <c r="E424" s="238"/>
      <c r="F424" s="233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198">
        <f t="shared" si="9"/>
        <v>0</v>
      </c>
      <c r="S424" s="199"/>
      <c r="T424" s="200"/>
      <c r="U424" s="239"/>
      <c r="V424" s="239"/>
      <c r="W424" s="239"/>
      <c r="BA424"/>
      <c r="BB424"/>
    </row>
    <row r="425" spans="1:54" s="190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2" t="str">
        <f>IF(C425="","",VLOOKUP($B425,勘定科目!$A:$E,4,0))</f>
        <v/>
      </c>
      <c r="E425" s="238"/>
      <c r="F425" s="233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198">
        <f t="shared" si="9"/>
        <v>0</v>
      </c>
      <c r="S425" s="199"/>
      <c r="T425" s="200"/>
      <c r="U425" s="239"/>
      <c r="V425" s="239"/>
      <c r="W425" s="239"/>
      <c r="BA425"/>
      <c r="BB425"/>
    </row>
    <row r="426" spans="1:54" s="190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2" t="str">
        <f>IF(C426="","",VLOOKUP($B426,勘定科目!$A:$E,4,0))</f>
        <v/>
      </c>
      <c r="E426" s="238"/>
      <c r="F426" s="233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198">
        <f t="shared" si="9"/>
        <v>0</v>
      </c>
      <c r="S426" s="199"/>
      <c r="T426" s="200"/>
      <c r="U426" s="239"/>
      <c r="V426" s="239"/>
      <c r="W426" s="239"/>
      <c r="BA426"/>
      <c r="BB426"/>
    </row>
    <row r="427" spans="1:54" s="190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2" t="str">
        <f>IF(C427="","",VLOOKUP($B427,勘定科目!$A:$E,4,0))</f>
        <v/>
      </c>
      <c r="E427" s="238"/>
      <c r="F427" s="233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198">
        <f t="shared" si="9"/>
        <v>0</v>
      </c>
      <c r="S427" s="199"/>
      <c r="T427" s="200"/>
      <c r="U427" s="239"/>
      <c r="V427" s="239"/>
      <c r="W427" s="239"/>
      <c r="BA427"/>
      <c r="BB427"/>
    </row>
    <row r="428" spans="1:54" s="190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2" t="str">
        <f>IF(C428="","",VLOOKUP($B428,勘定科目!$A:$E,4,0))</f>
        <v/>
      </c>
      <c r="E428" s="238"/>
      <c r="F428" s="233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198">
        <f t="shared" si="9"/>
        <v>0</v>
      </c>
      <c r="S428" s="199"/>
      <c r="T428" s="200"/>
      <c r="U428" s="239"/>
      <c r="V428" s="239"/>
      <c r="W428" s="239"/>
      <c r="BA428"/>
      <c r="BB428"/>
    </row>
    <row r="429" spans="1:54" s="190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2" t="str">
        <f>IF(C429="","",VLOOKUP($B429,勘定科目!$A:$E,4,0))</f>
        <v/>
      </c>
      <c r="E429" s="238"/>
      <c r="F429" s="233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198">
        <f t="shared" si="9"/>
        <v>0</v>
      </c>
      <c r="S429" s="199"/>
      <c r="T429" s="200"/>
      <c r="U429" s="239"/>
      <c r="V429" s="239"/>
      <c r="W429" s="239"/>
      <c r="BA429"/>
      <c r="BB429"/>
    </row>
    <row r="430" spans="1:54" s="190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2" t="str">
        <f>IF(C430="","",VLOOKUP($B430,勘定科目!$A:$E,4,0))</f>
        <v/>
      </c>
      <c r="E430" s="238"/>
      <c r="F430" s="233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198">
        <f t="shared" si="9"/>
        <v>0</v>
      </c>
      <c r="S430" s="199"/>
      <c r="T430" s="200"/>
      <c r="U430" s="239"/>
      <c r="V430" s="239"/>
      <c r="W430" s="239"/>
      <c r="BA430"/>
      <c r="BB430"/>
    </row>
    <row r="431" spans="1:54" s="190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2" t="str">
        <f>IF(C431="","",VLOOKUP($B431,勘定科目!$A:$E,4,0))</f>
        <v/>
      </c>
      <c r="E431" s="238"/>
      <c r="F431" s="233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198">
        <f t="shared" si="9"/>
        <v>0</v>
      </c>
      <c r="S431" s="199"/>
      <c r="T431" s="200"/>
      <c r="U431" s="239"/>
      <c r="V431" s="239"/>
      <c r="W431" s="239"/>
      <c r="BA431"/>
      <c r="BB431"/>
    </row>
    <row r="432" spans="1:54" s="190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2" t="str">
        <f>IF(C432="","",VLOOKUP($B432,勘定科目!$A:$E,4,0))</f>
        <v/>
      </c>
      <c r="E432" s="238"/>
      <c r="F432" s="233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198">
        <f t="shared" si="9"/>
        <v>0</v>
      </c>
      <c r="S432" s="199"/>
      <c r="T432" s="200"/>
      <c r="U432" s="239"/>
      <c r="V432" s="239"/>
      <c r="W432" s="239"/>
      <c r="BA432"/>
      <c r="BB432"/>
    </row>
    <row r="433" spans="1:54" s="190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2" t="str">
        <f>IF(C433="","",VLOOKUP($B433,勘定科目!$A:$E,4,0))</f>
        <v/>
      </c>
      <c r="E433" s="238"/>
      <c r="F433" s="233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198">
        <f t="shared" si="9"/>
        <v>0</v>
      </c>
      <c r="S433" s="199"/>
      <c r="T433" s="200"/>
      <c r="U433" s="239"/>
      <c r="V433" s="239"/>
      <c r="W433" s="239"/>
      <c r="BA433"/>
      <c r="BB433"/>
    </row>
    <row r="434" spans="1:54" s="190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2" t="str">
        <f>IF(C434="","",VLOOKUP($B434,勘定科目!$A:$E,4,0))</f>
        <v/>
      </c>
      <c r="E434" s="238"/>
      <c r="F434" s="233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198">
        <f t="shared" si="9"/>
        <v>0</v>
      </c>
      <c r="S434" s="199"/>
      <c r="T434" s="200"/>
      <c r="U434" s="239"/>
      <c r="V434" s="239"/>
      <c r="W434" s="239"/>
      <c r="BA434"/>
      <c r="BB434"/>
    </row>
    <row r="435" spans="1:54" s="190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2" t="str">
        <f>IF(C435="","",VLOOKUP($B435,勘定科目!$A:$E,4,0))</f>
        <v/>
      </c>
      <c r="E435" s="238"/>
      <c r="F435" s="233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198">
        <f t="shared" si="9"/>
        <v>0</v>
      </c>
      <c r="S435" s="199"/>
      <c r="T435" s="200"/>
      <c r="U435" s="239"/>
      <c r="V435" s="239"/>
      <c r="W435" s="239"/>
      <c r="BA435"/>
      <c r="BB435"/>
    </row>
    <row r="436" spans="1:54" s="190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2" t="str">
        <f>IF(C436="","",VLOOKUP($B436,勘定科目!$A:$E,4,0))</f>
        <v/>
      </c>
      <c r="E436" s="238"/>
      <c r="F436" s="233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198">
        <f t="shared" si="9"/>
        <v>0</v>
      </c>
      <c r="S436" s="199"/>
      <c r="T436" s="200"/>
      <c r="U436" s="239"/>
      <c r="V436" s="239"/>
      <c r="W436" s="239"/>
      <c r="BA436"/>
      <c r="BB436"/>
    </row>
    <row r="437" spans="1:54" s="190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2" t="str">
        <f>IF(C437="","",VLOOKUP($B437,勘定科目!$A:$E,4,0))</f>
        <v/>
      </c>
      <c r="E437" s="238"/>
      <c r="F437" s="233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198">
        <f t="shared" si="9"/>
        <v>0</v>
      </c>
      <c r="S437" s="199"/>
      <c r="T437" s="200"/>
      <c r="U437" s="239"/>
      <c r="V437" s="239"/>
      <c r="W437" s="239"/>
      <c r="BA437"/>
      <c r="BB437"/>
    </row>
    <row r="438" spans="1:54" s="190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2" t="str">
        <f>IF(C438="","",VLOOKUP($B438,勘定科目!$A:$E,4,0))</f>
        <v/>
      </c>
      <c r="E438" s="238"/>
      <c r="F438" s="233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198">
        <f t="shared" si="9"/>
        <v>0</v>
      </c>
      <c r="S438" s="199"/>
      <c r="T438" s="200"/>
      <c r="U438" s="239"/>
      <c r="V438" s="239"/>
      <c r="W438" s="239"/>
      <c r="BA438"/>
      <c r="BB438"/>
    </row>
    <row r="439" spans="1:54" s="190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2" t="str">
        <f>IF(C439="","",VLOOKUP($B439,勘定科目!$A:$E,4,0))</f>
        <v/>
      </c>
      <c r="E439" s="238"/>
      <c r="F439" s="233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198">
        <f t="shared" ref="R439:R502" si="10">SUM(F439:Q439)</f>
        <v>0</v>
      </c>
      <c r="S439" s="199"/>
      <c r="T439" s="200"/>
      <c r="U439" s="239"/>
      <c r="V439" s="239"/>
      <c r="W439" s="239"/>
      <c r="BA439"/>
      <c r="BB439"/>
    </row>
    <row r="440" spans="1:54" s="190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2" t="str">
        <f>IF(C440="","",VLOOKUP($B440,勘定科目!$A:$E,4,0))</f>
        <v/>
      </c>
      <c r="E440" s="238"/>
      <c r="F440" s="233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198">
        <f t="shared" si="10"/>
        <v>0</v>
      </c>
      <c r="S440" s="199"/>
      <c r="T440" s="200"/>
      <c r="U440" s="239"/>
      <c r="V440" s="239"/>
      <c r="W440" s="239"/>
      <c r="BA440"/>
      <c r="BB440"/>
    </row>
    <row r="441" spans="1:54" s="190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2" t="str">
        <f>IF(C441="","",VLOOKUP($B441,勘定科目!$A:$E,4,0))</f>
        <v/>
      </c>
      <c r="E441" s="238"/>
      <c r="F441" s="233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198">
        <f t="shared" si="10"/>
        <v>0</v>
      </c>
      <c r="S441" s="199"/>
      <c r="T441" s="200"/>
      <c r="U441" s="239"/>
      <c r="V441" s="239"/>
      <c r="W441" s="239"/>
      <c r="BA441"/>
      <c r="BB441"/>
    </row>
    <row r="442" spans="1:54" s="190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2" t="str">
        <f>IF(C442="","",VLOOKUP($B442,勘定科目!$A:$E,4,0))</f>
        <v/>
      </c>
      <c r="E442" s="238"/>
      <c r="F442" s="233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198">
        <f t="shared" si="10"/>
        <v>0</v>
      </c>
      <c r="S442" s="199"/>
      <c r="T442" s="200"/>
      <c r="U442" s="239"/>
      <c r="V442" s="239"/>
      <c r="W442" s="239"/>
      <c r="BA442"/>
      <c r="BB442"/>
    </row>
    <row r="443" spans="1:54" s="190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2" t="str">
        <f>IF(C443="","",VLOOKUP($B443,勘定科目!$A:$E,4,0))</f>
        <v/>
      </c>
      <c r="E443" s="238"/>
      <c r="F443" s="233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198">
        <f t="shared" si="10"/>
        <v>0</v>
      </c>
      <c r="S443" s="199"/>
      <c r="T443" s="200"/>
      <c r="U443" s="239"/>
      <c r="V443" s="239"/>
      <c r="W443" s="239"/>
      <c r="BA443"/>
      <c r="BB443"/>
    </row>
    <row r="444" spans="1:54" s="190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2" t="str">
        <f>IF(C444="","",VLOOKUP($B444,勘定科目!$A:$E,4,0))</f>
        <v/>
      </c>
      <c r="E444" s="238"/>
      <c r="F444" s="233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198">
        <f t="shared" si="10"/>
        <v>0</v>
      </c>
      <c r="S444" s="199"/>
      <c r="T444" s="200"/>
      <c r="U444" s="239"/>
      <c r="V444" s="239"/>
      <c r="W444" s="239"/>
      <c r="BA444"/>
      <c r="BB444"/>
    </row>
    <row r="445" spans="1:54" s="190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2" t="str">
        <f>IF(C445="","",VLOOKUP($B445,勘定科目!$A:$E,4,0))</f>
        <v/>
      </c>
      <c r="E445" s="238"/>
      <c r="F445" s="233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198">
        <f t="shared" si="10"/>
        <v>0</v>
      </c>
      <c r="S445" s="199"/>
      <c r="T445" s="200"/>
      <c r="U445" s="239"/>
      <c r="V445" s="239"/>
      <c r="W445" s="239"/>
      <c r="BA445"/>
      <c r="BB445"/>
    </row>
    <row r="446" spans="1:54" s="190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2" t="str">
        <f>IF(C446="","",VLOOKUP($B446,勘定科目!$A:$E,4,0))</f>
        <v/>
      </c>
      <c r="E446" s="238"/>
      <c r="F446" s="233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198">
        <f t="shared" si="10"/>
        <v>0</v>
      </c>
      <c r="S446" s="199"/>
      <c r="T446" s="200"/>
      <c r="U446" s="239"/>
      <c r="V446" s="239"/>
      <c r="W446" s="239"/>
      <c r="BA446"/>
      <c r="BB446"/>
    </row>
    <row r="447" spans="1:54" s="190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2" t="str">
        <f>IF(C447="","",VLOOKUP($B447,勘定科目!$A:$E,4,0))</f>
        <v/>
      </c>
      <c r="E447" s="238"/>
      <c r="F447" s="233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198">
        <f t="shared" si="10"/>
        <v>0</v>
      </c>
      <c r="S447" s="199"/>
      <c r="T447" s="200"/>
      <c r="U447" s="239"/>
      <c r="V447" s="239"/>
      <c r="W447" s="239"/>
      <c r="BA447"/>
      <c r="BB447"/>
    </row>
    <row r="448" spans="1:54" s="190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2" t="str">
        <f>IF(C448="","",VLOOKUP($B448,勘定科目!$A:$E,4,0))</f>
        <v/>
      </c>
      <c r="E448" s="238"/>
      <c r="F448" s="233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198">
        <f t="shared" si="10"/>
        <v>0</v>
      </c>
      <c r="S448" s="199"/>
      <c r="T448" s="200"/>
      <c r="U448" s="239"/>
      <c r="V448" s="239"/>
      <c r="W448" s="239"/>
      <c r="BA448"/>
      <c r="BB448"/>
    </row>
    <row r="449" spans="1:54" s="190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2" t="str">
        <f>IF(C449="","",VLOOKUP($B449,勘定科目!$A:$E,4,0))</f>
        <v/>
      </c>
      <c r="E449" s="238"/>
      <c r="F449" s="233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198">
        <f t="shared" si="10"/>
        <v>0</v>
      </c>
      <c r="S449" s="199"/>
      <c r="T449" s="200"/>
      <c r="U449" s="239"/>
      <c r="V449" s="239"/>
      <c r="W449" s="239"/>
      <c r="BA449"/>
      <c r="BB449"/>
    </row>
    <row r="450" spans="1:54" s="190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2" t="str">
        <f>IF(C450="","",VLOOKUP($B450,勘定科目!$A:$E,4,0))</f>
        <v/>
      </c>
      <c r="E450" s="238"/>
      <c r="F450" s="233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198">
        <f t="shared" si="10"/>
        <v>0</v>
      </c>
      <c r="S450" s="199"/>
      <c r="T450" s="200"/>
      <c r="U450" s="239"/>
      <c r="V450" s="239"/>
      <c r="W450" s="239"/>
      <c r="BA450"/>
      <c r="BB450"/>
    </row>
    <row r="451" spans="1:54" s="190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2" t="str">
        <f>IF(C451="","",VLOOKUP($B451,勘定科目!$A:$E,4,0))</f>
        <v/>
      </c>
      <c r="E451" s="238"/>
      <c r="F451" s="233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198">
        <f t="shared" si="10"/>
        <v>0</v>
      </c>
      <c r="S451" s="199"/>
      <c r="T451" s="200"/>
      <c r="U451" s="239"/>
      <c r="V451" s="239"/>
      <c r="W451" s="239"/>
      <c r="BA451"/>
      <c r="BB451"/>
    </row>
    <row r="452" spans="1:54" s="190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2" t="str">
        <f>IF(C452="","",VLOOKUP($B452,勘定科目!$A:$E,4,0))</f>
        <v/>
      </c>
      <c r="E452" s="238"/>
      <c r="F452" s="233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198">
        <f t="shared" si="10"/>
        <v>0</v>
      </c>
      <c r="S452" s="199"/>
      <c r="T452" s="200"/>
      <c r="U452" s="239"/>
      <c r="V452" s="239"/>
      <c r="W452" s="239"/>
      <c r="BA452"/>
      <c r="BB452"/>
    </row>
    <row r="453" spans="1:54" s="190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2" t="str">
        <f>IF(C453="","",VLOOKUP($B453,勘定科目!$A:$E,4,0))</f>
        <v/>
      </c>
      <c r="E453" s="238"/>
      <c r="F453" s="233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198">
        <f t="shared" si="10"/>
        <v>0</v>
      </c>
      <c r="S453" s="199"/>
      <c r="T453" s="200"/>
      <c r="U453" s="239"/>
      <c r="V453" s="239"/>
      <c r="W453" s="239"/>
      <c r="BA453"/>
      <c r="BB453"/>
    </row>
    <row r="454" spans="1:54" s="190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2" t="str">
        <f>IF(C454="","",VLOOKUP($B454,勘定科目!$A:$E,4,0))</f>
        <v/>
      </c>
      <c r="E454" s="238"/>
      <c r="F454" s="233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198">
        <f t="shared" si="10"/>
        <v>0</v>
      </c>
      <c r="S454" s="199"/>
      <c r="T454" s="200"/>
      <c r="U454" s="239"/>
      <c r="V454" s="239"/>
      <c r="W454" s="239"/>
      <c r="BA454"/>
      <c r="BB454"/>
    </row>
    <row r="455" spans="1:54" s="190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2" t="str">
        <f>IF(C455="","",VLOOKUP($B455,勘定科目!$A:$E,4,0))</f>
        <v/>
      </c>
      <c r="E455" s="238"/>
      <c r="F455" s="233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198">
        <f t="shared" si="10"/>
        <v>0</v>
      </c>
      <c r="S455" s="199"/>
      <c r="T455" s="200"/>
      <c r="U455" s="239"/>
      <c r="V455" s="239"/>
      <c r="W455" s="239"/>
      <c r="BA455"/>
      <c r="BB455"/>
    </row>
    <row r="456" spans="1:54" s="190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2" t="str">
        <f>IF(C456="","",VLOOKUP($B456,勘定科目!$A:$E,4,0))</f>
        <v/>
      </c>
      <c r="E456" s="238"/>
      <c r="F456" s="233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198">
        <f t="shared" si="10"/>
        <v>0</v>
      </c>
      <c r="S456" s="199"/>
      <c r="T456" s="200"/>
      <c r="U456" s="239"/>
      <c r="V456" s="239"/>
      <c r="W456" s="239"/>
      <c r="BA456"/>
      <c r="BB456"/>
    </row>
    <row r="457" spans="1:54" s="190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2" t="str">
        <f>IF(C457="","",VLOOKUP($B457,勘定科目!$A:$E,4,0))</f>
        <v/>
      </c>
      <c r="E457" s="238"/>
      <c r="F457" s="233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198">
        <f t="shared" si="10"/>
        <v>0</v>
      </c>
      <c r="S457" s="199"/>
      <c r="T457" s="200"/>
      <c r="U457" s="239"/>
      <c r="V457" s="239"/>
      <c r="W457" s="239"/>
      <c r="BA457"/>
      <c r="BB457"/>
    </row>
    <row r="458" spans="1:54" s="190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2" t="str">
        <f>IF(C458="","",VLOOKUP($B458,勘定科目!$A:$E,4,0))</f>
        <v/>
      </c>
      <c r="E458" s="238"/>
      <c r="F458" s="233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198">
        <f t="shared" si="10"/>
        <v>0</v>
      </c>
      <c r="S458" s="199"/>
      <c r="T458" s="200"/>
      <c r="U458" s="239"/>
      <c r="V458" s="239"/>
      <c r="W458" s="239"/>
      <c r="BA458"/>
      <c r="BB458"/>
    </row>
    <row r="459" spans="1:54" s="190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2" t="str">
        <f>IF(C459="","",VLOOKUP($B459,勘定科目!$A:$E,4,0))</f>
        <v/>
      </c>
      <c r="E459" s="238"/>
      <c r="F459" s="233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198">
        <f t="shared" si="10"/>
        <v>0</v>
      </c>
      <c r="S459" s="199"/>
      <c r="T459" s="200"/>
      <c r="U459" s="239"/>
      <c r="V459" s="239"/>
      <c r="W459" s="239"/>
      <c r="BA459"/>
      <c r="BB459"/>
    </row>
    <row r="460" spans="1:54" s="190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2" t="str">
        <f>IF(C460="","",VLOOKUP($B460,勘定科目!$A:$E,4,0))</f>
        <v/>
      </c>
      <c r="E460" s="238"/>
      <c r="F460" s="233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198">
        <f t="shared" si="10"/>
        <v>0</v>
      </c>
      <c r="S460" s="199"/>
      <c r="T460" s="200"/>
      <c r="U460" s="239"/>
      <c r="V460" s="239"/>
      <c r="W460" s="239"/>
      <c r="BA460"/>
      <c r="BB460"/>
    </row>
    <row r="461" spans="1:54" s="190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2" t="str">
        <f>IF(C461="","",VLOOKUP($B461,勘定科目!$A:$E,4,0))</f>
        <v/>
      </c>
      <c r="E461" s="238"/>
      <c r="F461" s="233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198">
        <f t="shared" si="10"/>
        <v>0</v>
      </c>
      <c r="S461" s="199"/>
      <c r="T461" s="200"/>
      <c r="U461" s="239"/>
      <c r="V461" s="239"/>
      <c r="W461" s="239"/>
      <c r="BA461"/>
      <c r="BB461"/>
    </row>
    <row r="462" spans="1:54" s="190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2" t="str">
        <f>IF(C462="","",VLOOKUP($B462,勘定科目!$A:$E,4,0))</f>
        <v/>
      </c>
      <c r="E462" s="238"/>
      <c r="F462" s="233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198">
        <f t="shared" si="10"/>
        <v>0</v>
      </c>
      <c r="S462" s="199"/>
      <c r="T462" s="200"/>
      <c r="U462" s="239"/>
      <c r="V462" s="239"/>
      <c r="W462" s="239"/>
      <c r="BA462"/>
      <c r="BB462"/>
    </row>
    <row r="463" spans="1:54" s="190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2" t="str">
        <f>IF(C463="","",VLOOKUP($B463,勘定科目!$A:$E,4,0))</f>
        <v/>
      </c>
      <c r="E463" s="238"/>
      <c r="F463" s="233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198">
        <f t="shared" si="10"/>
        <v>0</v>
      </c>
      <c r="S463" s="199"/>
      <c r="T463" s="200"/>
      <c r="U463" s="239"/>
      <c r="V463" s="239"/>
      <c r="W463" s="239"/>
      <c r="BA463"/>
      <c r="BB463"/>
    </row>
    <row r="464" spans="1:54" s="190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2" t="str">
        <f>IF(C464="","",VLOOKUP($B464,勘定科目!$A:$E,4,0))</f>
        <v/>
      </c>
      <c r="E464" s="238"/>
      <c r="F464" s="233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198">
        <f t="shared" si="10"/>
        <v>0</v>
      </c>
      <c r="S464" s="199"/>
      <c r="T464" s="200"/>
      <c r="U464" s="239"/>
      <c r="V464" s="239"/>
      <c r="W464" s="239"/>
      <c r="BA464"/>
      <c r="BB464"/>
    </row>
    <row r="465" spans="1:54" s="190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2" t="str">
        <f>IF(C465="","",VLOOKUP($B465,勘定科目!$A:$E,4,0))</f>
        <v/>
      </c>
      <c r="E465" s="238"/>
      <c r="F465" s="233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198">
        <f t="shared" si="10"/>
        <v>0</v>
      </c>
      <c r="S465" s="199"/>
      <c r="T465" s="200"/>
      <c r="U465" s="239"/>
      <c r="V465" s="239"/>
      <c r="W465" s="239"/>
      <c r="BA465"/>
      <c r="BB465"/>
    </row>
    <row r="466" spans="1:54" s="190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2" t="str">
        <f>IF(C466="","",VLOOKUP($B466,勘定科目!$A:$E,4,0))</f>
        <v/>
      </c>
      <c r="E466" s="238"/>
      <c r="F466" s="233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198">
        <f t="shared" si="10"/>
        <v>0</v>
      </c>
      <c r="S466" s="199"/>
      <c r="T466" s="200"/>
      <c r="U466" s="239"/>
      <c r="V466" s="239"/>
      <c r="W466" s="239"/>
      <c r="BA466"/>
      <c r="BB466"/>
    </row>
    <row r="467" spans="1:54" s="190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2" t="str">
        <f>IF(C467="","",VLOOKUP($B467,勘定科目!$A:$E,4,0))</f>
        <v/>
      </c>
      <c r="E467" s="238"/>
      <c r="F467" s="233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198">
        <f t="shared" si="10"/>
        <v>0</v>
      </c>
      <c r="S467" s="199"/>
      <c r="T467" s="200"/>
      <c r="U467" s="239"/>
      <c r="V467" s="239"/>
      <c r="W467" s="239"/>
      <c r="BA467"/>
      <c r="BB467"/>
    </row>
    <row r="468" spans="1:54" s="190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2" t="str">
        <f>IF(C468="","",VLOOKUP($B468,勘定科目!$A:$E,4,0))</f>
        <v/>
      </c>
      <c r="E468" s="238"/>
      <c r="F468" s="233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198">
        <f t="shared" si="10"/>
        <v>0</v>
      </c>
      <c r="S468" s="199"/>
      <c r="T468" s="200"/>
      <c r="U468" s="239"/>
      <c r="V468" s="239"/>
      <c r="W468" s="239"/>
      <c r="BA468"/>
      <c r="BB468"/>
    </row>
    <row r="469" spans="1:54" s="190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2" t="str">
        <f>IF(C469="","",VLOOKUP($B469,勘定科目!$A:$E,4,0))</f>
        <v/>
      </c>
      <c r="E469" s="238"/>
      <c r="F469" s="233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198">
        <f t="shared" si="10"/>
        <v>0</v>
      </c>
      <c r="S469" s="199"/>
      <c r="T469" s="200"/>
      <c r="U469" s="239"/>
      <c r="V469" s="239"/>
      <c r="W469" s="239"/>
      <c r="BA469"/>
      <c r="BB469"/>
    </row>
    <row r="470" spans="1:54" s="190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2" t="str">
        <f>IF(C470="","",VLOOKUP($B470,勘定科目!$A:$E,4,0))</f>
        <v/>
      </c>
      <c r="E470" s="238"/>
      <c r="F470" s="233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198">
        <f t="shared" si="10"/>
        <v>0</v>
      </c>
      <c r="S470" s="199"/>
      <c r="T470" s="200"/>
      <c r="U470" s="239"/>
      <c r="V470" s="239"/>
      <c r="W470" s="239"/>
      <c r="BA470"/>
      <c r="BB470"/>
    </row>
    <row r="471" spans="1:54" s="190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2" t="str">
        <f>IF(C471="","",VLOOKUP($B471,勘定科目!$A:$E,4,0))</f>
        <v/>
      </c>
      <c r="E471" s="238"/>
      <c r="F471" s="233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198">
        <f t="shared" si="10"/>
        <v>0</v>
      </c>
      <c r="S471" s="199"/>
      <c r="T471" s="200"/>
      <c r="U471" s="239"/>
      <c r="V471" s="239"/>
      <c r="W471" s="239"/>
      <c r="BA471"/>
      <c r="BB471"/>
    </row>
    <row r="472" spans="1:54" s="190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2" t="str">
        <f>IF(C472="","",VLOOKUP($B472,勘定科目!$A:$E,4,0))</f>
        <v/>
      </c>
      <c r="E472" s="238"/>
      <c r="F472" s="233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198">
        <f t="shared" si="10"/>
        <v>0</v>
      </c>
      <c r="S472" s="199"/>
      <c r="T472" s="200"/>
      <c r="U472" s="239"/>
      <c r="V472" s="239"/>
      <c r="W472" s="239"/>
      <c r="BA472"/>
      <c r="BB472"/>
    </row>
    <row r="473" spans="1:54" s="190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2" t="str">
        <f>IF(C473="","",VLOOKUP($B473,勘定科目!$A:$E,4,0))</f>
        <v/>
      </c>
      <c r="E473" s="238"/>
      <c r="F473" s="233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198">
        <f t="shared" si="10"/>
        <v>0</v>
      </c>
      <c r="S473" s="199"/>
      <c r="T473" s="200"/>
      <c r="U473" s="239"/>
      <c r="V473" s="239"/>
      <c r="W473" s="239"/>
      <c r="BA473"/>
      <c r="BB473"/>
    </row>
    <row r="474" spans="1:54" s="190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2" t="str">
        <f>IF(C474="","",VLOOKUP($B474,勘定科目!$A:$E,4,0))</f>
        <v/>
      </c>
      <c r="E474" s="238"/>
      <c r="F474" s="233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198">
        <f t="shared" si="10"/>
        <v>0</v>
      </c>
      <c r="S474" s="199"/>
      <c r="T474" s="200"/>
      <c r="U474" s="239"/>
      <c r="V474" s="239"/>
      <c r="W474" s="239"/>
      <c r="BA474"/>
      <c r="BB474"/>
    </row>
    <row r="475" spans="1:54" s="190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2" t="str">
        <f>IF(C475="","",VLOOKUP($B475,勘定科目!$A:$E,4,0))</f>
        <v/>
      </c>
      <c r="E475" s="238"/>
      <c r="F475" s="233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198">
        <f t="shared" si="10"/>
        <v>0</v>
      </c>
      <c r="S475" s="199"/>
      <c r="T475" s="200"/>
      <c r="U475" s="239"/>
      <c r="V475" s="239"/>
      <c r="W475" s="239"/>
      <c r="BA475"/>
      <c r="BB475"/>
    </row>
    <row r="476" spans="1:54" s="190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2" t="str">
        <f>IF(C476="","",VLOOKUP($B476,勘定科目!$A:$E,4,0))</f>
        <v/>
      </c>
      <c r="E476" s="238"/>
      <c r="F476" s="233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198">
        <f t="shared" si="10"/>
        <v>0</v>
      </c>
      <c r="S476" s="199"/>
      <c r="T476" s="200"/>
      <c r="U476" s="239"/>
      <c r="V476" s="239"/>
      <c r="W476" s="239"/>
      <c r="BA476"/>
      <c r="BB476"/>
    </row>
    <row r="477" spans="1:54" s="190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2" t="str">
        <f>IF(C477="","",VLOOKUP($B477,勘定科目!$A:$E,4,0))</f>
        <v/>
      </c>
      <c r="E477" s="238"/>
      <c r="F477" s="233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198">
        <f t="shared" si="10"/>
        <v>0</v>
      </c>
      <c r="S477" s="199"/>
      <c r="T477" s="200"/>
      <c r="U477" s="239"/>
      <c r="V477" s="239"/>
      <c r="W477" s="239"/>
      <c r="BA477"/>
      <c r="BB477"/>
    </row>
    <row r="478" spans="1:54" s="190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2" t="str">
        <f>IF(C478="","",VLOOKUP($B478,勘定科目!$A:$E,4,0))</f>
        <v/>
      </c>
      <c r="E478" s="238"/>
      <c r="F478" s="233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198">
        <f t="shared" si="10"/>
        <v>0</v>
      </c>
      <c r="S478" s="199"/>
      <c r="T478" s="200"/>
      <c r="U478" s="239"/>
      <c r="V478" s="239"/>
      <c r="W478" s="239"/>
      <c r="BA478"/>
      <c r="BB478"/>
    </row>
    <row r="479" spans="1:54" s="190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2" t="str">
        <f>IF(C479="","",VLOOKUP($B479,勘定科目!$A:$E,4,0))</f>
        <v/>
      </c>
      <c r="E479" s="238"/>
      <c r="F479" s="233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198">
        <f t="shared" si="10"/>
        <v>0</v>
      </c>
      <c r="S479" s="199"/>
      <c r="T479" s="200"/>
      <c r="U479" s="239"/>
      <c r="V479" s="239"/>
      <c r="W479" s="239"/>
      <c r="BA479"/>
      <c r="BB479"/>
    </row>
    <row r="480" spans="1:54" s="190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2" t="str">
        <f>IF(C480="","",VLOOKUP($B480,勘定科目!$A:$E,4,0))</f>
        <v/>
      </c>
      <c r="E480" s="238"/>
      <c r="F480" s="233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198">
        <f t="shared" si="10"/>
        <v>0</v>
      </c>
      <c r="S480" s="199"/>
      <c r="T480" s="200"/>
      <c r="U480" s="239"/>
      <c r="V480" s="239"/>
      <c r="W480" s="239"/>
      <c r="BA480"/>
      <c r="BB480"/>
    </row>
    <row r="481" spans="1:54" s="190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2" t="str">
        <f>IF(C481="","",VLOOKUP($B481,勘定科目!$A:$E,4,0))</f>
        <v/>
      </c>
      <c r="E481" s="238"/>
      <c r="F481" s="233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198">
        <f t="shared" si="10"/>
        <v>0</v>
      </c>
      <c r="S481" s="199"/>
      <c r="T481" s="200"/>
      <c r="U481" s="239"/>
      <c r="V481" s="239"/>
      <c r="W481" s="239"/>
      <c r="BA481"/>
      <c r="BB481"/>
    </row>
    <row r="482" spans="1:54" s="190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2" t="str">
        <f>IF(C482="","",VLOOKUP($B482,勘定科目!$A:$E,4,0))</f>
        <v/>
      </c>
      <c r="E482" s="238"/>
      <c r="F482" s="233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198">
        <f t="shared" si="10"/>
        <v>0</v>
      </c>
      <c r="S482" s="199"/>
      <c r="T482" s="200"/>
      <c r="U482" s="239"/>
      <c r="V482" s="239"/>
      <c r="W482" s="239"/>
      <c r="BA482"/>
      <c r="BB482"/>
    </row>
    <row r="483" spans="1:54" s="190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2" t="str">
        <f>IF(C483="","",VLOOKUP($B483,勘定科目!$A:$E,4,0))</f>
        <v/>
      </c>
      <c r="E483" s="238"/>
      <c r="F483" s="233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198">
        <f t="shared" si="10"/>
        <v>0</v>
      </c>
      <c r="S483" s="199"/>
      <c r="T483" s="200"/>
      <c r="U483" s="239"/>
      <c r="V483" s="239"/>
      <c r="W483" s="239"/>
      <c r="BA483"/>
      <c r="BB483"/>
    </row>
    <row r="484" spans="1:54" s="190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2" t="str">
        <f>IF(C484="","",VLOOKUP($B484,勘定科目!$A:$E,4,0))</f>
        <v/>
      </c>
      <c r="E484" s="238"/>
      <c r="F484" s="233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198">
        <f t="shared" si="10"/>
        <v>0</v>
      </c>
      <c r="S484" s="199"/>
      <c r="T484" s="200"/>
      <c r="U484" s="239"/>
      <c r="V484" s="239"/>
      <c r="W484" s="239"/>
      <c r="BA484"/>
      <c r="BB484"/>
    </row>
    <row r="485" spans="1:54" s="190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2" t="str">
        <f>IF(C485="","",VLOOKUP($B485,勘定科目!$A:$E,4,0))</f>
        <v/>
      </c>
      <c r="E485" s="238"/>
      <c r="F485" s="233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198">
        <f t="shared" si="10"/>
        <v>0</v>
      </c>
      <c r="S485" s="199"/>
      <c r="T485" s="200"/>
      <c r="U485" s="239"/>
      <c r="V485" s="239"/>
      <c r="W485" s="239"/>
      <c r="BA485"/>
      <c r="BB485"/>
    </row>
    <row r="486" spans="1:54" s="190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2" t="str">
        <f>IF(C486="","",VLOOKUP($B486,勘定科目!$A:$E,4,0))</f>
        <v/>
      </c>
      <c r="E486" s="238"/>
      <c r="F486" s="233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198">
        <f t="shared" si="10"/>
        <v>0</v>
      </c>
      <c r="S486" s="199"/>
      <c r="T486" s="200"/>
      <c r="U486" s="239"/>
      <c r="V486" s="239"/>
      <c r="W486" s="239"/>
      <c r="BA486"/>
      <c r="BB486"/>
    </row>
    <row r="487" spans="1:54" s="190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2" t="str">
        <f>IF(C487="","",VLOOKUP($B487,勘定科目!$A:$E,4,0))</f>
        <v/>
      </c>
      <c r="E487" s="238"/>
      <c r="F487" s="233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198">
        <f t="shared" si="10"/>
        <v>0</v>
      </c>
      <c r="S487" s="199"/>
      <c r="T487" s="200"/>
      <c r="U487" s="239"/>
      <c r="V487" s="239"/>
      <c r="W487" s="239"/>
      <c r="BA487"/>
      <c r="BB487"/>
    </row>
    <row r="488" spans="1:54" s="190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2" t="str">
        <f>IF(C488="","",VLOOKUP($B488,勘定科目!$A:$E,4,0))</f>
        <v/>
      </c>
      <c r="E488" s="238"/>
      <c r="F488" s="233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198">
        <f t="shared" si="10"/>
        <v>0</v>
      </c>
      <c r="S488" s="199"/>
      <c r="T488" s="200"/>
      <c r="U488" s="239"/>
      <c r="V488" s="239"/>
      <c r="W488" s="239"/>
      <c r="BA488"/>
      <c r="BB488"/>
    </row>
    <row r="489" spans="1:54" s="190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2" t="str">
        <f>IF(C489="","",VLOOKUP($B489,勘定科目!$A:$E,4,0))</f>
        <v/>
      </c>
      <c r="E489" s="238"/>
      <c r="F489" s="233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198">
        <f t="shared" si="10"/>
        <v>0</v>
      </c>
      <c r="S489" s="199"/>
      <c r="T489" s="200"/>
      <c r="U489" s="239"/>
      <c r="V489" s="239"/>
      <c r="W489" s="239"/>
      <c r="BA489"/>
      <c r="BB489"/>
    </row>
    <row r="490" spans="1:54" s="190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2" t="str">
        <f>IF(C490="","",VLOOKUP($B490,勘定科目!$A:$E,4,0))</f>
        <v/>
      </c>
      <c r="E490" s="238"/>
      <c r="F490" s="233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198">
        <f t="shared" si="10"/>
        <v>0</v>
      </c>
      <c r="S490" s="199"/>
      <c r="T490" s="200"/>
      <c r="U490" s="239"/>
      <c r="V490" s="239"/>
      <c r="W490" s="239"/>
      <c r="BA490"/>
      <c r="BB490"/>
    </row>
    <row r="491" spans="1:54" s="190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2" t="str">
        <f>IF(C491="","",VLOOKUP($B491,勘定科目!$A:$E,4,0))</f>
        <v/>
      </c>
      <c r="E491" s="238"/>
      <c r="F491" s="233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198">
        <f t="shared" si="10"/>
        <v>0</v>
      </c>
      <c r="S491" s="199"/>
      <c r="T491" s="200"/>
      <c r="U491" s="239"/>
      <c r="V491" s="239"/>
      <c r="W491" s="239"/>
      <c r="BA491"/>
      <c r="BB491"/>
    </row>
    <row r="492" spans="1:54" s="190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2" t="str">
        <f>IF(C492="","",VLOOKUP($B492,勘定科目!$A:$E,4,0))</f>
        <v/>
      </c>
      <c r="E492" s="238"/>
      <c r="F492" s="233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198">
        <f t="shared" si="10"/>
        <v>0</v>
      </c>
      <c r="S492" s="199"/>
      <c r="T492" s="200"/>
      <c r="U492" s="239"/>
      <c r="V492" s="239"/>
      <c r="W492" s="239"/>
      <c r="BA492"/>
      <c r="BB492"/>
    </row>
    <row r="493" spans="1:54" s="190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2" t="str">
        <f>IF(C493="","",VLOOKUP($B493,勘定科目!$A:$E,4,0))</f>
        <v/>
      </c>
      <c r="E493" s="238"/>
      <c r="F493" s="233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198">
        <f t="shared" si="10"/>
        <v>0</v>
      </c>
      <c r="S493" s="199"/>
      <c r="T493" s="200"/>
      <c r="U493" s="239"/>
      <c r="V493" s="239"/>
      <c r="W493" s="239"/>
      <c r="BA493"/>
      <c r="BB493"/>
    </row>
    <row r="494" spans="1:54" s="190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2" t="str">
        <f>IF(C494="","",VLOOKUP($B494,勘定科目!$A:$E,4,0))</f>
        <v/>
      </c>
      <c r="E494" s="238"/>
      <c r="F494" s="233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198">
        <f t="shared" si="10"/>
        <v>0</v>
      </c>
      <c r="S494" s="199"/>
      <c r="T494" s="200"/>
      <c r="U494" s="239"/>
      <c r="V494" s="239"/>
      <c r="W494" s="239"/>
      <c r="BA494"/>
      <c r="BB494"/>
    </row>
    <row r="495" spans="1:54" s="190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2" t="str">
        <f>IF(C495="","",VLOOKUP($B495,勘定科目!$A:$E,4,0))</f>
        <v/>
      </c>
      <c r="E495" s="238"/>
      <c r="F495" s="233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198">
        <f t="shared" si="10"/>
        <v>0</v>
      </c>
      <c r="S495" s="199"/>
      <c r="T495" s="200"/>
      <c r="U495" s="239"/>
      <c r="V495" s="239"/>
      <c r="W495" s="239"/>
      <c r="BA495"/>
      <c r="BB495"/>
    </row>
    <row r="496" spans="1:54" s="190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2" t="str">
        <f>IF(C496="","",VLOOKUP($B496,勘定科目!$A:$E,4,0))</f>
        <v/>
      </c>
      <c r="E496" s="238"/>
      <c r="F496" s="233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198">
        <f t="shared" si="10"/>
        <v>0</v>
      </c>
      <c r="S496" s="199"/>
      <c r="T496" s="200"/>
      <c r="U496" s="239"/>
      <c r="V496" s="239"/>
      <c r="W496" s="239"/>
      <c r="BA496"/>
      <c r="BB496"/>
    </row>
    <row r="497" spans="1:54" s="190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2" t="str">
        <f>IF(C497="","",VLOOKUP($B497,勘定科目!$A:$E,4,0))</f>
        <v/>
      </c>
      <c r="E497" s="238"/>
      <c r="F497" s="233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198">
        <f t="shared" si="10"/>
        <v>0</v>
      </c>
      <c r="S497" s="199"/>
      <c r="T497" s="200"/>
      <c r="U497" s="239"/>
      <c r="V497" s="239"/>
      <c r="W497" s="239"/>
      <c r="BA497"/>
      <c r="BB497"/>
    </row>
    <row r="498" spans="1:54" s="190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2" t="str">
        <f>IF(C498="","",VLOOKUP($B498,勘定科目!$A:$E,4,0))</f>
        <v/>
      </c>
      <c r="E498" s="238"/>
      <c r="F498" s="233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198">
        <f t="shared" si="10"/>
        <v>0</v>
      </c>
      <c r="S498" s="199"/>
      <c r="T498" s="200"/>
      <c r="U498" s="239"/>
      <c r="V498" s="239"/>
      <c r="W498" s="239"/>
      <c r="BA498"/>
      <c r="BB498"/>
    </row>
    <row r="499" spans="1:54" s="190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2" t="str">
        <f>IF(C499="","",VLOOKUP($B499,勘定科目!$A:$E,4,0))</f>
        <v/>
      </c>
      <c r="E499" s="238"/>
      <c r="F499" s="233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198">
        <f t="shared" si="10"/>
        <v>0</v>
      </c>
      <c r="S499" s="199"/>
      <c r="T499" s="200"/>
      <c r="U499" s="239"/>
      <c r="V499" s="239"/>
      <c r="W499" s="239"/>
      <c r="BA499"/>
      <c r="BB499"/>
    </row>
    <row r="500" spans="1:54" s="190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2" t="str">
        <f>IF(C500="","",VLOOKUP($B500,勘定科目!$A:$E,4,0))</f>
        <v/>
      </c>
      <c r="E500" s="238"/>
      <c r="F500" s="233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198">
        <f t="shared" si="10"/>
        <v>0</v>
      </c>
      <c r="S500" s="199"/>
      <c r="T500" s="200"/>
      <c r="U500" s="239"/>
      <c r="V500" s="239"/>
      <c r="W500" s="239"/>
      <c r="BA500"/>
      <c r="BB500"/>
    </row>
    <row r="501" spans="1:54" s="190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2" t="str">
        <f>IF(C501="","",VLOOKUP($B501,勘定科目!$A:$E,4,0))</f>
        <v/>
      </c>
      <c r="E501" s="238"/>
      <c r="F501" s="233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198">
        <f t="shared" si="10"/>
        <v>0</v>
      </c>
      <c r="S501" s="199"/>
      <c r="T501" s="200"/>
      <c r="U501" s="239"/>
      <c r="V501" s="239"/>
      <c r="W501" s="239"/>
      <c r="BA501"/>
      <c r="BB501"/>
    </row>
    <row r="502" spans="1:54" s="190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2" t="str">
        <f>IF(C502="","",VLOOKUP($B502,勘定科目!$A:$E,4,0))</f>
        <v/>
      </c>
      <c r="E502" s="238"/>
      <c r="F502" s="233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198">
        <f t="shared" si="10"/>
        <v>0</v>
      </c>
      <c r="S502" s="199"/>
      <c r="T502" s="200"/>
      <c r="U502" s="239"/>
      <c r="V502" s="239"/>
      <c r="W502" s="239"/>
      <c r="BA502"/>
      <c r="BB502"/>
    </row>
    <row r="503" spans="1:54" s="190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2" t="str">
        <f>IF(C503="","",VLOOKUP($B503,勘定科目!$A:$E,4,0))</f>
        <v/>
      </c>
      <c r="E503" s="238"/>
      <c r="F503" s="233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198">
        <f t="shared" ref="R503:R566" si="11">SUM(F503:Q503)</f>
        <v>0</v>
      </c>
      <c r="S503" s="199"/>
      <c r="T503" s="200"/>
      <c r="U503" s="239"/>
      <c r="V503" s="239"/>
      <c r="W503" s="239"/>
      <c r="BA503"/>
      <c r="BB503"/>
    </row>
    <row r="504" spans="1:54" s="190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2" t="str">
        <f>IF(C504="","",VLOOKUP($B504,勘定科目!$A:$E,4,0))</f>
        <v/>
      </c>
      <c r="E504" s="238"/>
      <c r="F504" s="233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198">
        <f t="shared" si="11"/>
        <v>0</v>
      </c>
      <c r="S504" s="199"/>
      <c r="T504" s="200"/>
      <c r="U504" s="239"/>
      <c r="V504" s="239"/>
      <c r="W504" s="239"/>
      <c r="BA504"/>
      <c r="BB504"/>
    </row>
    <row r="505" spans="1:54" s="190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2" t="str">
        <f>IF(C505="","",VLOOKUP($B505,勘定科目!$A:$E,4,0))</f>
        <v/>
      </c>
      <c r="E505" s="238"/>
      <c r="F505" s="233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198">
        <f t="shared" si="11"/>
        <v>0</v>
      </c>
      <c r="S505" s="199"/>
      <c r="T505" s="200"/>
      <c r="U505" s="239"/>
      <c r="V505" s="239"/>
      <c r="W505" s="239"/>
      <c r="BA505"/>
      <c r="BB505"/>
    </row>
    <row r="506" spans="1:54" s="190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2" t="str">
        <f>IF(C506="","",VLOOKUP($B506,勘定科目!$A:$E,4,0))</f>
        <v/>
      </c>
      <c r="E506" s="238"/>
      <c r="F506" s="233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198">
        <f t="shared" si="11"/>
        <v>0</v>
      </c>
      <c r="S506" s="199"/>
      <c r="T506" s="200"/>
      <c r="U506" s="239"/>
      <c r="V506" s="239"/>
      <c r="W506" s="239"/>
      <c r="BA506"/>
      <c r="BB506"/>
    </row>
    <row r="507" spans="1:54" s="190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2" t="str">
        <f>IF(C507="","",VLOOKUP($B507,勘定科目!$A:$E,4,0))</f>
        <v/>
      </c>
      <c r="E507" s="238"/>
      <c r="F507" s="233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198">
        <f t="shared" si="11"/>
        <v>0</v>
      </c>
      <c r="S507" s="199"/>
      <c r="T507" s="200"/>
      <c r="U507" s="239"/>
      <c r="V507" s="239"/>
      <c r="W507" s="239"/>
      <c r="BA507"/>
      <c r="BB507"/>
    </row>
    <row r="508" spans="1:54" s="190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2" t="str">
        <f>IF(C508="","",VLOOKUP($B508,勘定科目!$A:$E,4,0))</f>
        <v/>
      </c>
      <c r="E508" s="238"/>
      <c r="F508" s="233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198">
        <f t="shared" si="11"/>
        <v>0</v>
      </c>
      <c r="S508" s="199"/>
      <c r="T508" s="200"/>
      <c r="U508" s="239"/>
      <c r="V508" s="239"/>
      <c r="W508" s="239"/>
      <c r="BA508"/>
      <c r="BB508"/>
    </row>
    <row r="509" spans="1:54" s="190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2" t="str">
        <f>IF(C509="","",VLOOKUP($B509,勘定科目!$A:$E,4,0))</f>
        <v/>
      </c>
      <c r="E509" s="238"/>
      <c r="F509" s="233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198">
        <f t="shared" si="11"/>
        <v>0</v>
      </c>
      <c r="S509" s="199"/>
      <c r="T509" s="200"/>
      <c r="U509" s="239"/>
      <c r="V509" s="239"/>
      <c r="W509" s="239"/>
      <c r="BA509"/>
      <c r="BB509"/>
    </row>
    <row r="510" spans="1:54" s="190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2" t="str">
        <f>IF(C510="","",VLOOKUP($B510,勘定科目!$A:$E,4,0))</f>
        <v/>
      </c>
      <c r="E510" s="238"/>
      <c r="F510" s="233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198">
        <f t="shared" si="11"/>
        <v>0</v>
      </c>
      <c r="S510" s="199"/>
      <c r="T510" s="200"/>
      <c r="U510" s="239"/>
      <c r="V510" s="239"/>
      <c r="W510" s="239"/>
      <c r="BA510"/>
      <c r="BB510"/>
    </row>
    <row r="511" spans="1:54" s="190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2" t="str">
        <f>IF(C511="","",VLOOKUP($B511,勘定科目!$A:$E,4,0))</f>
        <v/>
      </c>
      <c r="E511" s="238"/>
      <c r="F511" s="233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198">
        <f t="shared" si="11"/>
        <v>0</v>
      </c>
      <c r="S511" s="199"/>
      <c r="T511" s="200"/>
      <c r="U511" s="239"/>
      <c r="V511" s="239"/>
      <c r="W511" s="239"/>
      <c r="BA511"/>
      <c r="BB511"/>
    </row>
    <row r="512" spans="1:54" s="190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2" t="str">
        <f>IF(C512="","",VLOOKUP($B512,勘定科目!$A:$E,4,0))</f>
        <v/>
      </c>
      <c r="E512" s="238"/>
      <c r="F512" s="233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198">
        <f t="shared" si="11"/>
        <v>0</v>
      </c>
      <c r="S512" s="199"/>
      <c r="T512" s="200"/>
      <c r="U512" s="239"/>
      <c r="V512" s="239"/>
      <c r="W512" s="239"/>
      <c r="BA512"/>
      <c r="BB512"/>
    </row>
    <row r="513" spans="1:54" s="190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2" t="str">
        <f>IF(C513="","",VLOOKUP($B513,勘定科目!$A:$E,4,0))</f>
        <v/>
      </c>
      <c r="E513" s="238"/>
      <c r="F513" s="233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198">
        <f t="shared" si="11"/>
        <v>0</v>
      </c>
      <c r="S513" s="199"/>
      <c r="T513" s="200"/>
      <c r="U513" s="239"/>
      <c r="V513" s="239"/>
      <c r="W513" s="239"/>
      <c r="BA513"/>
      <c r="BB513"/>
    </row>
    <row r="514" spans="1:54" s="190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2" t="str">
        <f>IF(C514="","",VLOOKUP($B514,勘定科目!$A:$E,4,0))</f>
        <v/>
      </c>
      <c r="E514" s="238"/>
      <c r="F514" s="233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198">
        <f t="shared" si="11"/>
        <v>0</v>
      </c>
      <c r="S514" s="199"/>
      <c r="T514" s="200"/>
      <c r="U514" s="239"/>
      <c r="V514" s="239"/>
      <c r="W514" s="239"/>
      <c r="BA514"/>
      <c r="BB514"/>
    </row>
    <row r="515" spans="1:54" s="190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2" t="str">
        <f>IF(C515="","",VLOOKUP($B515,勘定科目!$A:$E,4,0))</f>
        <v/>
      </c>
      <c r="E515" s="238"/>
      <c r="F515" s="233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198">
        <f t="shared" si="11"/>
        <v>0</v>
      </c>
      <c r="S515" s="199"/>
      <c r="T515" s="200"/>
      <c r="U515" s="239"/>
      <c r="V515" s="239"/>
      <c r="W515" s="239"/>
      <c r="BA515"/>
      <c r="BB515"/>
    </row>
    <row r="516" spans="1:54" s="190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2" t="str">
        <f>IF(C516="","",VLOOKUP($B516,勘定科目!$A:$E,4,0))</f>
        <v/>
      </c>
      <c r="E516" s="238"/>
      <c r="F516" s="233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198">
        <f t="shared" si="11"/>
        <v>0</v>
      </c>
      <c r="S516" s="199"/>
      <c r="T516" s="200"/>
      <c r="U516" s="239"/>
      <c r="V516" s="239"/>
      <c r="W516" s="239"/>
      <c r="BA516"/>
      <c r="BB516"/>
    </row>
    <row r="517" spans="1:54" s="190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2" t="str">
        <f>IF(C517="","",VLOOKUP($B517,勘定科目!$A:$E,4,0))</f>
        <v/>
      </c>
      <c r="E517" s="238"/>
      <c r="F517" s="233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198">
        <f t="shared" si="11"/>
        <v>0</v>
      </c>
      <c r="S517" s="199"/>
      <c r="T517" s="200"/>
      <c r="U517" s="239"/>
      <c r="V517" s="239"/>
      <c r="W517" s="239"/>
      <c r="BA517"/>
      <c r="BB517"/>
    </row>
    <row r="518" spans="1:54" s="190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2" t="str">
        <f>IF(C518="","",VLOOKUP($B518,勘定科目!$A:$E,4,0))</f>
        <v/>
      </c>
      <c r="E518" s="238"/>
      <c r="F518" s="233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198">
        <f t="shared" si="11"/>
        <v>0</v>
      </c>
      <c r="S518" s="199"/>
      <c r="T518" s="200"/>
      <c r="U518" s="239"/>
      <c r="V518" s="239"/>
      <c r="W518" s="239"/>
      <c r="BA518"/>
      <c r="BB518"/>
    </row>
    <row r="519" spans="1:54" s="190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2" t="str">
        <f>IF(C519="","",VLOOKUP($B519,勘定科目!$A:$E,4,0))</f>
        <v/>
      </c>
      <c r="E519" s="238"/>
      <c r="F519" s="233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198">
        <f t="shared" si="11"/>
        <v>0</v>
      </c>
      <c r="S519" s="199"/>
      <c r="T519" s="200"/>
      <c r="U519" s="239"/>
      <c r="V519" s="239"/>
      <c r="W519" s="239"/>
      <c r="BA519"/>
      <c r="BB519"/>
    </row>
    <row r="520" spans="1:54" s="190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2" t="str">
        <f>IF(C520="","",VLOOKUP($B520,勘定科目!$A:$E,4,0))</f>
        <v/>
      </c>
      <c r="E520" s="238"/>
      <c r="F520" s="233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198">
        <f t="shared" si="11"/>
        <v>0</v>
      </c>
      <c r="S520" s="199"/>
      <c r="T520" s="200"/>
      <c r="U520" s="239"/>
      <c r="V520" s="239"/>
      <c r="W520" s="239"/>
      <c r="BA520"/>
      <c r="BB520"/>
    </row>
    <row r="521" spans="1:54" s="190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2" t="str">
        <f>IF(C521="","",VLOOKUP($B521,勘定科目!$A:$E,4,0))</f>
        <v/>
      </c>
      <c r="E521" s="238"/>
      <c r="F521" s="233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198">
        <f t="shared" si="11"/>
        <v>0</v>
      </c>
      <c r="S521" s="199"/>
      <c r="T521" s="200"/>
      <c r="U521" s="239"/>
      <c r="V521" s="239"/>
      <c r="W521" s="239"/>
      <c r="BA521"/>
      <c r="BB521"/>
    </row>
    <row r="522" spans="1:54" s="190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2" t="str">
        <f>IF(C522="","",VLOOKUP($B522,勘定科目!$A:$E,4,0))</f>
        <v/>
      </c>
      <c r="E522" s="238"/>
      <c r="F522" s="233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198">
        <f t="shared" si="11"/>
        <v>0</v>
      </c>
      <c r="S522" s="199"/>
      <c r="T522" s="200"/>
      <c r="U522" s="239"/>
      <c r="V522" s="239"/>
      <c r="W522" s="239"/>
      <c r="BA522"/>
      <c r="BB522"/>
    </row>
    <row r="523" spans="1:54" s="190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2" t="str">
        <f>IF(C523="","",VLOOKUP($B523,勘定科目!$A:$E,4,0))</f>
        <v/>
      </c>
      <c r="E523" s="238"/>
      <c r="F523" s="233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198">
        <f t="shared" si="11"/>
        <v>0</v>
      </c>
      <c r="S523" s="199"/>
      <c r="T523" s="200"/>
      <c r="U523" s="239"/>
      <c r="V523" s="239"/>
      <c r="W523" s="239"/>
      <c r="BA523"/>
      <c r="BB523"/>
    </row>
    <row r="524" spans="1:54" s="190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2" t="str">
        <f>IF(C524="","",VLOOKUP($B524,勘定科目!$A:$E,4,0))</f>
        <v/>
      </c>
      <c r="E524" s="238"/>
      <c r="F524" s="233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198">
        <f t="shared" si="11"/>
        <v>0</v>
      </c>
      <c r="S524" s="199"/>
      <c r="T524" s="200"/>
      <c r="U524" s="239"/>
      <c r="V524" s="239"/>
      <c r="W524" s="239"/>
      <c r="BA524"/>
      <c r="BB524"/>
    </row>
    <row r="525" spans="1:54" s="190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2" t="str">
        <f>IF(C525="","",VLOOKUP($B525,勘定科目!$A:$E,4,0))</f>
        <v/>
      </c>
      <c r="E525" s="238"/>
      <c r="F525" s="233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198">
        <f t="shared" si="11"/>
        <v>0</v>
      </c>
      <c r="S525" s="199"/>
      <c r="T525" s="200"/>
      <c r="U525" s="239"/>
      <c r="V525" s="239"/>
      <c r="W525" s="239"/>
      <c r="BA525"/>
      <c r="BB525"/>
    </row>
    <row r="526" spans="1:54" s="190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2" t="str">
        <f>IF(C526="","",VLOOKUP($B526,勘定科目!$A:$E,4,0))</f>
        <v/>
      </c>
      <c r="E526" s="238"/>
      <c r="F526" s="233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198">
        <f t="shared" si="11"/>
        <v>0</v>
      </c>
      <c r="S526" s="199"/>
      <c r="T526" s="200"/>
      <c r="U526" s="239"/>
      <c r="V526" s="239"/>
      <c r="W526" s="239"/>
      <c r="BA526"/>
      <c r="BB526"/>
    </row>
    <row r="527" spans="1:54" s="190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2" t="str">
        <f>IF(C527="","",VLOOKUP($B527,勘定科目!$A:$E,4,0))</f>
        <v/>
      </c>
      <c r="E527" s="238"/>
      <c r="F527" s="233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198">
        <f t="shared" si="11"/>
        <v>0</v>
      </c>
      <c r="S527" s="199"/>
      <c r="T527" s="200"/>
      <c r="U527" s="239"/>
      <c r="V527" s="239"/>
      <c r="W527" s="239"/>
      <c r="BA527"/>
      <c r="BB527"/>
    </row>
    <row r="528" spans="1:54" s="190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2" t="str">
        <f>IF(C528="","",VLOOKUP($B528,勘定科目!$A:$E,4,0))</f>
        <v/>
      </c>
      <c r="E528" s="238"/>
      <c r="F528" s="233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198">
        <f t="shared" si="11"/>
        <v>0</v>
      </c>
      <c r="S528" s="199"/>
      <c r="T528" s="200"/>
      <c r="U528" s="239"/>
      <c r="V528" s="239"/>
      <c r="W528" s="239"/>
      <c r="BA528"/>
      <c r="BB528"/>
    </row>
    <row r="529" spans="1:54" s="190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2" t="str">
        <f>IF(C529="","",VLOOKUP($B529,勘定科目!$A:$E,4,0))</f>
        <v/>
      </c>
      <c r="E529" s="238"/>
      <c r="F529" s="233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198">
        <f t="shared" si="11"/>
        <v>0</v>
      </c>
      <c r="S529" s="199"/>
      <c r="T529" s="200"/>
      <c r="U529" s="239"/>
      <c r="V529" s="239"/>
      <c r="W529" s="239"/>
      <c r="BA529"/>
      <c r="BB529"/>
    </row>
    <row r="530" spans="1:54" s="190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2" t="str">
        <f>IF(C530="","",VLOOKUP($B530,勘定科目!$A:$E,4,0))</f>
        <v/>
      </c>
      <c r="E530" s="238"/>
      <c r="F530" s="233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198">
        <f t="shared" si="11"/>
        <v>0</v>
      </c>
      <c r="S530" s="199"/>
      <c r="T530" s="200"/>
      <c r="U530" s="239"/>
      <c r="V530" s="239"/>
      <c r="W530" s="239"/>
      <c r="BA530"/>
      <c r="BB530"/>
    </row>
    <row r="531" spans="1:54" s="190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2" t="str">
        <f>IF(C531="","",VLOOKUP($B531,勘定科目!$A:$E,4,0))</f>
        <v/>
      </c>
      <c r="E531" s="238"/>
      <c r="F531" s="233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198">
        <f t="shared" si="11"/>
        <v>0</v>
      </c>
      <c r="S531" s="199"/>
      <c r="T531" s="200"/>
      <c r="U531" s="239"/>
      <c r="V531" s="239"/>
      <c r="W531" s="239"/>
      <c r="BA531"/>
      <c r="BB531"/>
    </row>
    <row r="532" spans="1:54" s="190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2" t="str">
        <f>IF(C532="","",VLOOKUP($B532,勘定科目!$A:$E,4,0))</f>
        <v/>
      </c>
      <c r="E532" s="238"/>
      <c r="F532" s="233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198">
        <f t="shared" si="11"/>
        <v>0</v>
      </c>
      <c r="S532" s="199"/>
      <c r="T532" s="200"/>
      <c r="U532" s="239"/>
      <c r="V532" s="239"/>
      <c r="W532" s="239"/>
      <c r="BA532"/>
      <c r="BB532"/>
    </row>
    <row r="533" spans="1:54" s="190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2" t="str">
        <f>IF(C533="","",VLOOKUP($B533,勘定科目!$A:$E,4,0))</f>
        <v/>
      </c>
      <c r="E533" s="238"/>
      <c r="F533" s="233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198">
        <f t="shared" si="11"/>
        <v>0</v>
      </c>
      <c r="S533" s="199"/>
      <c r="T533" s="200"/>
      <c r="U533" s="239"/>
      <c r="V533" s="239"/>
      <c r="W533" s="239"/>
      <c r="BA533"/>
      <c r="BB533"/>
    </row>
    <row r="534" spans="1:54" s="190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2" t="str">
        <f>IF(C534="","",VLOOKUP($B534,勘定科目!$A:$E,4,0))</f>
        <v/>
      </c>
      <c r="E534" s="238"/>
      <c r="F534" s="233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198">
        <f t="shared" si="11"/>
        <v>0</v>
      </c>
      <c r="S534" s="199"/>
      <c r="T534" s="200"/>
      <c r="U534" s="239"/>
      <c r="V534" s="239"/>
      <c r="W534" s="239"/>
      <c r="BA534"/>
      <c r="BB534"/>
    </row>
    <row r="535" spans="1:54" s="190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2" t="str">
        <f>IF(C535="","",VLOOKUP($B535,勘定科目!$A:$E,4,0))</f>
        <v/>
      </c>
      <c r="E535" s="238"/>
      <c r="F535" s="233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198">
        <f t="shared" si="11"/>
        <v>0</v>
      </c>
      <c r="S535" s="199"/>
      <c r="T535" s="200"/>
      <c r="U535" s="239"/>
      <c r="V535" s="239"/>
      <c r="W535" s="239"/>
      <c r="BA535"/>
      <c r="BB535"/>
    </row>
    <row r="536" spans="1:54" s="190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2" t="str">
        <f>IF(C536="","",VLOOKUP($B536,勘定科目!$A:$E,4,0))</f>
        <v/>
      </c>
      <c r="E536" s="238"/>
      <c r="F536" s="233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198">
        <f t="shared" si="11"/>
        <v>0</v>
      </c>
      <c r="S536" s="199"/>
      <c r="T536" s="200"/>
      <c r="U536" s="239"/>
      <c r="V536" s="239"/>
      <c r="W536" s="239"/>
      <c r="BA536"/>
      <c r="BB536"/>
    </row>
    <row r="537" spans="1:54" s="190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2" t="str">
        <f>IF(C537="","",VLOOKUP($B537,勘定科目!$A:$E,4,0))</f>
        <v/>
      </c>
      <c r="E537" s="238"/>
      <c r="F537" s="233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198">
        <f t="shared" si="11"/>
        <v>0</v>
      </c>
      <c r="S537" s="199"/>
      <c r="T537" s="200"/>
      <c r="U537" s="239"/>
      <c r="V537" s="239"/>
      <c r="W537" s="239"/>
      <c r="BA537"/>
      <c r="BB537"/>
    </row>
    <row r="538" spans="1:54" s="190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2" t="str">
        <f>IF(C538="","",VLOOKUP($B538,勘定科目!$A:$E,4,0))</f>
        <v/>
      </c>
      <c r="E538" s="238"/>
      <c r="F538" s="233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198">
        <f t="shared" si="11"/>
        <v>0</v>
      </c>
      <c r="S538" s="199"/>
      <c r="T538" s="200"/>
      <c r="U538" s="239"/>
      <c r="V538" s="239"/>
      <c r="W538" s="239"/>
      <c r="BA538"/>
      <c r="BB538"/>
    </row>
    <row r="539" spans="1:54" s="190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2" t="str">
        <f>IF(C539="","",VLOOKUP($B539,勘定科目!$A:$E,4,0))</f>
        <v/>
      </c>
      <c r="E539" s="238"/>
      <c r="F539" s="233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198">
        <f t="shared" si="11"/>
        <v>0</v>
      </c>
      <c r="S539" s="199"/>
      <c r="T539" s="200"/>
      <c r="U539" s="239"/>
      <c r="V539" s="239"/>
      <c r="W539" s="239"/>
      <c r="BA539"/>
      <c r="BB539"/>
    </row>
    <row r="540" spans="1:54" s="190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2" t="str">
        <f>IF(C540="","",VLOOKUP($B540,勘定科目!$A:$E,4,0))</f>
        <v/>
      </c>
      <c r="E540" s="238"/>
      <c r="F540" s="233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198">
        <f t="shared" si="11"/>
        <v>0</v>
      </c>
      <c r="S540" s="199"/>
      <c r="T540" s="200"/>
      <c r="U540" s="239"/>
      <c r="V540" s="239"/>
      <c r="W540" s="239"/>
      <c r="BA540"/>
      <c r="BB540"/>
    </row>
    <row r="541" spans="1:54" s="190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2" t="str">
        <f>IF(C541="","",VLOOKUP($B541,勘定科目!$A:$E,4,0))</f>
        <v/>
      </c>
      <c r="E541" s="238"/>
      <c r="F541" s="233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198">
        <f t="shared" si="11"/>
        <v>0</v>
      </c>
      <c r="S541" s="199"/>
      <c r="T541" s="200"/>
      <c r="U541" s="239"/>
      <c r="V541" s="239"/>
      <c r="W541" s="239"/>
      <c r="BA541"/>
      <c r="BB541"/>
    </row>
    <row r="542" spans="1:54" s="190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2" t="str">
        <f>IF(C542="","",VLOOKUP($B542,勘定科目!$A:$E,4,0))</f>
        <v/>
      </c>
      <c r="E542" s="238"/>
      <c r="F542" s="233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198">
        <f t="shared" si="11"/>
        <v>0</v>
      </c>
      <c r="S542" s="199"/>
      <c r="T542" s="200"/>
      <c r="U542" s="239"/>
      <c r="V542" s="239"/>
      <c r="W542" s="239"/>
      <c r="BA542"/>
      <c r="BB542"/>
    </row>
    <row r="543" spans="1:54" s="190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2" t="str">
        <f>IF(C543="","",VLOOKUP($B543,勘定科目!$A:$E,4,0))</f>
        <v/>
      </c>
      <c r="E543" s="238"/>
      <c r="F543" s="233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198">
        <f t="shared" si="11"/>
        <v>0</v>
      </c>
      <c r="S543" s="199"/>
      <c r="T543" s="200"/>
      <c r="U543" s="239"/>
      <c r="V543" s="239"/>
      <c r="W543" s="239"/>
      <c r="BA543"/>
      <c r="BB543"/>
    </row>
    <row r="544" spans="1:54" s="190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2" t="str">
        <f>IF(C544="","",VLOOKUP($B544,勘定科目!$A:$E,4,0))</f>
        <v/>
      </c>
      <c r="E544" s="238"/>
      <c r="F544" s="233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198">
        <f t="shared" si="11"/>
        <v>0</v>
      </c>
      <c r="S544" s="199"/>
      <c r="T544" s="200"/>
      <c r="U544" s="239"/>
      <c r="V544" s="239"/>
      <c r="W544" s="239"/>
      <c r="BA544"/>
      <c r="BB544"/>
    </row>
    <row r="545" spans="1:54" s="190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2" t="str">
        <f>IF(C545="","",VLOOKUP($B545,勘定科目!$A:$E,4,0))</f>
        <v/>
      </c>
      <c r="E545" s="238"/>
      <c r="F545" s="233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198">
        <f t="shared" si="11"/>
        <v>0</v>
      </c>
      <c r="S545" s="199"/>
      <c r="T545" s="200"/>
      <c r="U545" s="239"/>
      <c r="V545" s="239"/>
      <c r="W545" s="239"/>
      <c r="BA545"/>
      <c r="BB545"/>
    </row>
    <row r="546" spans="1:54" s="190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2" t="str">
        <f>IF(C546="","",VLOOKUP($B546,勘定科目!$A:$E,4,0))</f>
        <v/>
      </c>
      <c r="E546" s="238"/>
      <c r="F546" s="233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198">
        <f t="shared" si="11"/>
        <v>0</v>
      </c>
      <c r="S546" s="199"/>
      <c r="T546" s="200"/>
      <c r="U546" s="239"/>
      <c r="V546" s="239"/>
      <c r="W546" s="239"/>
      <c r="BA546"/>
      <c r="BB546"/>
    </row>
    <row r="547" spans="1:54" s="190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2" t="str">
        <f>IF(C547="","",VLOOKUP($B547,勘定科目!$A:$E,4,0))</f>
        <v/>
      </c>
      <c r="E547" s="238"/>
      <c r="F547" s="233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198">
        <f t="shared" si="11"/>
        <v>0</v>
      </c>
      <c r="S547" s="199"/>
      <c r="T547" s="200"/>
      <c r="U547" s="239"/>
      <c r="V547" s="239"/>
      <c r="W547" s="239"/>
      <c r="BA547"/>
      <c r="BB547"/>
    </row>
    <row r="548" spans="1:54" s="190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2" t="str">
        <f>IF(C548="","",VLOOKUP($B548,勘定科目!$A:$E,4,0))</f>
        <v/>
      </c>
      <c r="E548" s="238"/>
      <c r="F548" s="233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198">
        <f t="shared" si="11"/>
        <v>0</v>
      </c>
      <c r="S548" s="199"/>
      <c r="T548" s="200"/>
      <c r="U548" s="239"/>
      <c r="V548" s="239"/>
      <c r="W548" s="239"/>
      <c r="BA548"/>
      <c r="BB548"/>
    </row>
    <row r="549" spans="1:54" s="190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2" t="str">
        <f>IF(C549="","",VLOOKUP($B549,勘定科目!$A:$E,4,0))</f>
        <v/>
      </c>
      <c r="E549" s="238"/>
      <c r="F549" s="233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198">
        <f t="shared" si="11"/>
        <v>0</v>
      </c>
      <c r="S549" s="199"/>
      <c r="T549" s="200"/>
      <c r="U549" s="239"/>
      <c r="V549" s="239"/>
      <c r="W549" s="239"/>
      <c r="BA549"/>
      <c r="BB549"/>
    </row>
    <row r="550" spans="1:54" s="190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2" t="str">
        <f>IF(C550="","",VLOOKUP($B550,勘定科目!$A:$E,4,0))</f>
        <v/>
      </c>
      <c r="E550" s="238"/>
      <c r="F550" s="233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198">
        <f t="shared" si="11"/>
        <v>0</v>
      </c>
      <c r="S550" s="199"/>
      <c r="T550" s="200"/>
      <c r="U550" s="239"/>
      <c r="V550" s="239"/>
      <c r="W550" s="239"/>
      <c r="BA550"/>
      <c r="BB550"/>
    </row>
    <row r="551" spans="1:54" s="190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2" t="str">
        <f>IF(C551="","",VLOOKUP($B551,勘定科目!$A:$E,4,0))</f>
        <v/>
      </c>
      <c r="E551" s="238"/>
      <c r="F551" s="233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198">
        <f t="shared" si="11"/>
        <v>0</v>
      </c>
      <c r="S551" s="199"/>
      <c r="T551" s="200"/>
      <c r="U551" s="239"/>
      <c r="V551" s="239"/>
      <c r="W551" s="239"/>
      <c r="BA551"/>
      <c r="BB551"/>
    </row>
    <row r="552" spans="1:54" s="190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2" t="str">
        <f>IF(C552="","",VLOOKUP($B552,勘定科目!$A:$E,4,0))</f>
        <v/>
      </c>
      <c r="E552" s="238"/>
      <c r="F552" s="233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198">
        <f t="shared" si="11"/>
        <v>0</v>
      </c>
      <c r="S552" s="199"/>
      <c r="T552" s="200"/>
      <c r="U552" s="239"/>
      <c r="V552" s="239"/>
      <c r="W552" s="239"/>
      <c r="BA552"/>
      <c r="BB552"/>
    </row>
    <row r="553" spans="1:54" s="190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2" t="str">
        <f>IF(C553="","",VLOOKUP($B553,勘定科目!$A:$E,4,0))</f>
        <v/>
      </c>
      <c r="E553" s="238"/>
      <c r="F553" s="233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198">
        <f t="shared" si="11"/>
        <v>0</v>
      </c>
      <c r="S553" s="199"/>
      <c r="T553" s="200"/>
      <c r="U553" s="239"/>
      <c r="V553" s="239"/>
      <c r="W553" s="239"/>
      <c r="BA553"/>
      <c r="BB553"/>
    </row>
    <row r="554" spans="1:54" s="190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2" t="str">
        <f>IF(C554="","",VLOOKUP($B554,勘定科目!$A:$E,4,0))</f>
        <v/>
      </c>
      <c r="E554" s="238"/>
      <c r="F554" s="233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198">
        <f t="shared" si="11"/>
        <v>0</v>
      </c>
      <c r="S554" s="199"/>
      <c r="T554" s="200"/>
      <c r="U554" s="239"/>
      <c r="V554" s="239"/>
      <c r="W554" s="239"/>
      <c r="BA554"/>
      <c r="BB554"/>
    </row>
    <row r="555" spans="1:54" s="190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2" t="str">
        <f>IF(C555="","",VLOOKUP($B555,勘定科目!$A:$E,4,0))</f>
        <v/>
      </c>
      <c r="E555" s="238"/>
      <c r="F555" s="233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198">
        <f t="shared" si="11"/>
        <v>0</v>
      </c>
      <c r="S555" s="199"/>
      <c r="T555" s="200"/>
      <c r="U555" s="239"/>
      <c r="V555" s="239"/>
      <c r="W555" s="239"/>
      <c r="BA555"/>
      <c r="BB555"/>
    </row>
    <row r="556" spans="1:54" s="190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2" t="str">
        <f>IF(C556="","",VLOOKUP($B556,勘定科目!$A:$E,4,0))</f>
        <v/>
      </c>
      <c r="E556" s="238"/>
      <c r="F556" s="233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198">
        <f t="shared" si="11"/>
        <v>0</v>
      </c>
      <c r="S556" s="199"/>
      <c r="T556" s="200"/>
      <c r="U556" s="239"/>
      <c r="V556" s="239"/>
      <c r="W556" s="239"/>
      <c r="BA556"/>
      <c r="BB556"/>
    </row>
    <row r="557" spans="1:54" s="190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2" t="str">
        <f>IF(C557="","",VLOOKUP($B557,勘定科目!$A:$E,4,0))</f>
        <v/>
      </c>
      <c r="E557" s="238"/>
      <c r="F557" s="233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198">
        <f t="shared" si="11"/>
        <v>0</v>
      </c>
      <c r="S557" s="199"/>
      <c r="T557" s="200"/>
      <c r="U557" s="239"/>
      <c r="V557" s="239"/>
      <c r="W557" s="239"/>
      <c r="BA557"/>
      <c r="BB557"/>
    </row>
    <row r="558" spans="1:54" s="190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2" t="str">
        <f>IF(C558="","",VLOOKUP($B558,勘定科目!$A:$E,4,0))</f>
        <v/>
      </c>
      <c r="E558" s="238"/>
      <c r="F558" s="233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198">
        <f t="shared" si="11"/>
        <v>0</v>
      </c>
      <c r="S558" s="199"/>
      <c r="T558" s="200"/>
      <c r="U558" s="239"/>
      <c r="V558" s="239"/>
      <c r="W558" s="239"/>
      <c r="BA558"/>
      <c r="BB558"/>
    </row>
    <row r="559" spans="1:54" s="190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2" t="str">
        <f>IF(C559="","",VLOOKUP($B559,勘定科目!$A:$E,4,0))</f>
        <v/>
      </c>
      <c r="E559" s="238"/>
      <c r="F559" s="233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198">
        <f t="shared" si="11"/>
        <v>0</v>
      </c>
      <c r="S559" s="199"/>
      <c r="T559" s="200"/>
      <c r="U559" s="239"/>
      <c r="V559" s="239"/>
      <c r="W559" s="239"/>
      <c r="BA559"/>
      <c r="BB559"/>
    </row>
    <row r="560" spans="1:54" s="190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2" t="str">
        <f>IF(C560="","",VLOOKUP($B560,勘定科目!$A:$E,4,0))</f>
        <v/>
      </c>
      <c r="E560" s="238"/>
      <c r="F560" s="233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198">
        <f t="shared" si="11"/>
        <v>0</v>
      </c>
      <c r="S560" s="199"/>
      <c r="T560" s="200"/>
      <c r="U560" s="239"/>
      <c r="V560" s="239"/>
      <c r="W560" s="239"/>
      <c r="BA560"/>
      <c r="BB560"/>
    </row>
    <row r="561" spans="1:54" s="190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2" t="str">
        <f>IF(C561="","",VLOOKUP($B561,勘定科目!$A:$E,4,0))</f>
        <v/>
      </c>
      <c r="E561" s="238"/>
      <c r="F561" s="233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198">
        <f t="shared" si="11"/>
        <v>0</v>
      </c>
      <c r="S561" s="199"/>
      <c r="T561" s="200"/>
      <c r="U561" s="239"/>
      <c r="V561" s="239"/>
      <c r="W561" s="239"/>
      <c r="BA561"/>
      <c r="BB561"/>
    </row>
    <row r="562" spans="1:54" s="190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2" t="str">
        <f>IF(C562="","",VLOOKUP($B562,勘定科目!$A:$E,4,0))</f>
        <v/>
      </c>
      <c r="E562" s="238"/>
      <c r="F562" s="233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198">
        <f t="shared" si="11"/>
        <v>0</v>
      </c>
      <c r="S562" s="199"/>
      <c r="T562" s="200"/>
      <c r="U562" s="239"/>
      <c r="V562" s="239"/>
      <c r="W562" s="239"/>
      <c r="BA562"/>
      <c r="BB562"/>
    </row>
    <row r="563" spans="1:54" s="190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2" t="str">
        <f>IF(C563="","",VLOOKUP($B563,勘定科目!$A:$E,4,0))</f>
        <v/>
      </c>
      <c r="E563" s="238"/>
      <c r="F563" s="233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198">
        <f t="shared" si="11"/>
        <v>0</v>
      </c>
      <c r="S563" s="199"/>
      <c r="T563" s="200"/>
      <c r="U563" s="239"/>
      <c r="V563" s="239"/>
      <c r="W563" s="239"/>
      <c r="BA563"/>
      <c r="BB563"/>
    </row>
    <row r="564" spans="1:54" s="190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2" t="str">
        <f>IF(C564="","",VLOOKUP($B564,勘定科目!$A:$E,4,0))</f>
        <v/>
      </c>
      <c r="E564" s="238"/>
      <c r="F564" s="233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198">
        <f t="shared" si="11"/>
        <v>0</v>
      </c>
      <c r="S564" s="199"/>
      <c r="T564" s="200"/>
      <c r="U564" s="239"/>
      <c r="V564" s="239"/>
      <c r="W564" s="239"/>
      <c r="BA564"/>
      <c r="BB564"/>
    </row>
    <row r="565" spans="1:54" s="190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2" t="str">
        <f>IF(C565="","",VLOOKUP($B565,勘定科目!$A:$E,4,0))</f>
        <v/>
      </c>
      <c r="E565" s="238"/>
      <c r="F565" s="233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198">
        <f t="shared" si="11"/>
        <v>0</v>
      </c>
      <c r="S565" s="199"/>
      <c r="T565" s="200"/>
      <c r="U565" s="239"/>
      <c r="V565" s="239"/>
      <c r="W565" s="239"/>
      <c r="BA565"/>
      <c r="BB565"/>
    </row>
    <row r="566" spans="1:54" s="190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2" t="str">
        <f>IF(C566="","",VLOOKUP($B566,勘定科目!$A:$E,4,0))</f>
        <v/>
      </c>
      <c r="E566" s="238"/>
      <c r="F566" s="233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198">
        <f t="shared" si="11"/>
        <v>0</v>
      </c>
      <c r="S566" s="199"/>
      <c r="T566" s="200"/>
      <c r="U566" s="239"/>
      <c r="V566" s="239"/>
      <c r="W566" s="239"/>
      <c r="BA566"/>
      <c r="BB566"/>
    </row>
    <row r="567" spans="1:54" s="190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2" t="str">
        <f>IF(C567="","",VLOOKUP($B567,勘定科目!$A:$E,4,0))</f>
        <v/>
      </c>
      <c r="E567" s="238"/>
      <c r="F567" s="233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198">
        <f t="shared" ref="R567:R630" si="12">SUM(F567:Q567)</f>
        <v>0</v>
      </c>
      <c r="S567" s="199"/>
      <c r="T567" s="200"/>
      <c r="U567" s="239"/>
      <c r="V567" s="239"/>
      <c r="W567" s="239"/>
      <c r="BA567"/>
      <c r="BB567"/>
    </row>
    <row r="568" spans="1:54" s="190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2" t="str">
        <f>IF(C568="","",VLOOKUP($B568,勘定科目!$A:$E,4,0))</f>
        <v/>
      </c>
      <c r="E568" s="238"/>
      <c r="F568" s="233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198">
        <f t="shared" si="12"/>
        <v>0</v>
      </c>
      <c r="S568" s="199"/>
      <c r="T568" s="200"/>
      <c r="U568" s="239"/>
      <c r="V568" s="239"/>
      <c r="W568" s="239"/>
      <c r="BA568"/>
      <c r="BB568"/>
    </row>
    <row r="569" spans="1:54" s="190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2" t="str">
        <f>IF(C569="","",VLOOKUP($B569,勘定科目!$A:$E,4,0))</f>
        <v/>
      </c>
      <c r="E569" s="238"/>
      <c r="F569" s="233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198">
        <f t="shared" si="12"/>
        <v>0</v>
      </c>
      <c r="S569" s="199"/>
      <c r="T569" s="200"/>
      <c r="U569" s="239"/>
      <c r="V569" s="239"/>
      <c r="W569" s="239"/>
      <c r="BA569"/>
      <c r="BB569"/>
    </row>
    <row r="570" spans="1:54" s="190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2" t="str">
        <f>IF(C570="","",VLOOKUP($B570,勘定科目!$A:$E,4,0))</f>
        <v/>
      </c>
      <c r="E570" s="238"/>
      <c r="F570" s="233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198">
        <f t="shared" si="12"/>
        <v>0</v>
      </c>
      <c r="S570" s="199"/>
      <c r="T570" s="200"/>
      <c r="U570" s="239"/>
      <c r="V570" s="239"/>
      <c r="W570" s="239"/>
      <c r="BA570"/>
      <c r="BB570"/>
    </row>
    <row r="571" spans="1:54" s="190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2" t="str">
        <f>IF(C571="","",VLOOKUP($B571,勘定科目!$A:$E,4,0))</f>
        <v/>
      </c>
      <c r="E571" s="238"/>
      <c r="F571" s="233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198">
        <f t="shared" si="12"/>
        <v>0</v>
      </c>
      <c r="S571" s="199"/>
      <c r="T571" s="200"/>
      <c r="U571" s="239"/>
      <c r="V571" s="239"/>
      <c r="W571" s="239"/>
      <c r="BA571"/>
      <c r="BB571"/>
    </row>
    <row r="572" spans="1:54" s="190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2" t="str">
        <f>IF(C572="","",VLOOKUP($B572,勘定科目!$A:$E,4,0))</f>
        <v/>
      </c>
      <c r="E572" s="238"/>
      <c r="F572" s="233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198">
        <f t="shared" si="12"/>
        <v>0</v>
      </c>
      <c r="S572" s="199"/>
      <c r="T572" s="200"/>
      <c r="U572" s="239"/>
      <c r="V572" s="239"/>
      <c r="W572" s="239"/>
      <c r="BA572"/>
      <c r="BB572"/>
    </row>
    <row r="573" spans="1:54" s="190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2" t="str">
        <f>IF(C573="","",VLOOKUP($B573,勘定科目!$A:$E,4,0))</f>
        <v/>
      </c>
      <c r="E573" s="238"/>
      <c r="F573" s="233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198">
        <f t="shared" si="12"/>
        <v>0</v>
      </c>
      <c r="S573" s="199"/>
      <c r="T573" s="200"/>
      <c r="U573" s="239"/>
      <c r="V573" s="239"/>
      <c r="W573" s="239"/>
      <c r="BA573"/>
      <c r="BB573"/>
    </row>
    <row r="574" spans="1:54" s="190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2" t="str">
        <f>IF(C574="","",VLOOKUP($B574,勘定科目!$A:$E,4,0))</f>
        <v/>
      </c>
      <c r="E574" s="238"/>
      <c r="F574" s="233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198">
        <f t="shared" si="12"/>
        <v>0</v>
      </c>
      <c r="S574" s="199"/>
      <c r="T574" s="200"/>
      <c r="U574" s="239"/>
      <c r="V574" s="239"/>
      <c r="W574" s="239"/>
      <c r="BA574"/>
      <c r="BB574"/>
    </row>
    <row r="575" spans="1:54" s="190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2" t="str">
        <f>IF(C575="","",VLOOKUP($B575,勘定科目!$A:$E,4,0))</f>
        <v/>
      </c>
      <c r="E575" s="238"/>
      <c r="F575" s="233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198">
        <f t="shared" si="12"/>
        <v>0</v>
      </c>
      <c r="S575" s="199"/>
      <c r="T575" s="200"/>
      <c r="U575" s="239"/>
      <c r="V575" s="239"/>
      <c r="W575" s="239"/>
      <c r="BA575"/>
      <c r="BB575"/>
    </row>
    <row r="576" spans="1:54" s="190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2" t="str">
        <f>IF(C576="","",VLOOKUP($B576,勘定科目!$A:$E,4,0))</f>
        <v/>
      </c>
      <c r="E576" s="238"/>
      <c r="F576" s="233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198">
        <f t="shared" si="12"/>
        <v>0</v>
      </c>
      <c r="S576" s="199"/>
      <c r="T576" s="200"/>
      <c r="U576" s="239"/>
      <c r="V576" s="239"/>
      <c r="W576" s="239"/>
      <c r="BA576"/>
      <c r="BB576"/>
    </row>
    <row r="577" spans="1:54" s="190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2" t="str">
        <f>IF(C577="","",VLOOKUP($B577,勘定科目!$A:$E,4,0))</f>
        <v/>
      </c>
      <c r="E577" s="238"/>
      <c r="F577" s="233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198">
        <f t="shared" si="12"/>
        <v>0</v>
      </c>
      <c r="S577" s="199"/>
      <c r="T577" s="200"/>
      <c r="U577" s="239"/>
      <c r="V577" s="239"/>
      <c r="W577" s="239"/>
      <c r="BA577"/>
      <c r="BB577"/>
    </row>
    <row r="578" spans="1:54" s="190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2" t="str">
        <f>IF(C578="","",VLOOKUP($B578,勘定科目!$A:$E,4,0))</f>
        <v/>
      </c>
      <c r="E578" s="238"/>
      <c r="F578" s="233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198">
        <f t="shared" si="12"/>
        <v>0</v>
      </c>
      <c r="S578" s="199"/>
      <c r="T578" s="200"/>
      <c r="U578" s="239"/>
      <c r="V578" s="239"/>
      <c r="W578" s="239"/>
      <c r="BA578"/>
      <c r="BB578"/>
    </row>
    <row r="579" spans="1:54" s="190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2" t="str">
        <f>IF(C579="","",VLOOKUP($B579,勘定科目!$A:$E,4,0))</f>
        <v/>
      </c>
      <c r="E579" s="238"/>
      <c r="F579" s="233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198">
        <f t="shared" si="12"/>
        <v>0</v>
      </c>
      <c r="S579" s="199"/>
      <c r="T579" s="200"/>
      <c r="U579" s="239"/>
      <c r="V579" s="239"/>
      <c r="W579" s="239"/>
      <c r="BA579"/>
      <c r="BB579"/>
    </row>
    <row r="580" spans="1:54" s="190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2" t="str">
        <f>IF(C580="","",VLOOKUP($B580,勘定科目!$A:$E,4,0))</f>
        <v/>
      </c>
      <c r="E580" s="238"/>
      <c r="F580" s="233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198">
        <f t="shared" si="12"/>
        <v>0</v>
      </c>
      <c r="S580" s="199"/>
      <c r="T580" s="200"/>
      <c r="U580" s="239"/>
      <c r="V580" s="239"/>
      <c r="W580" s="239"/>
      <c r="BA580"/>
      <c r="BB580"/>
    </row>
    <row r="581" spans="1:54" s="190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2" t="str">
        <f>IF(C581="","",VLOOKUP($B581,勘定科目!$A:$E,4,0))</f>
        <v/>
      </c>
      <c r="E581" s="238"/>
      <c r="F581" s="233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198">
        <f t="shared" si="12"/>
        <v>0</v>
      </c>
      <c r="S581" s="199"/>
      <c r="T581" s="200"/>
      <c r="U581" s="239"/>
      <c r="V581" s="239"/>
      <c r="W581" s="239"/>
      <c r="BA581"/>
      <c r="BB581"/>
    </row>
    <row r="582" spans="1:54" s="190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2" t="str">
        <f>IF(C582="","",VLOOKUP($B582,勘定科目!$A:$E,4,0))</f>
        <v/>
      </c>
      <c r="E582" s="238"/>
      <c r="F582" s="233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198">
        <f t="shared" si="12"/>
        <v>0</v>
      </c>
      <c r="S582" s="199"/>
      <c r="T582" s="200"/>
      <c r="U582" s="239"/>
      <c r="V582" s="239"/>
      <c r="W582" s="239"/>
      <c r="BA582"/>
      <c r="BB582"/>
    </row>
    <row r="583" spans="1:54" s="190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2" t="str">
        <f>IF(C583="","",VLOOKUP($B583,勘定科目!$A:$E,4,0))</f>
        <v/>
      </c>
      <c r="E583" s="238"/>
      <c r="F583" s="233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198">
        <f t="shared" si="12"/>
        <v>0</v>
      </c>
      <c r="S583" s="199"/>
      <c r="T583" s="200"/>
      <c r="U583" s="239"/>
      <c r="V583" s="239"/>
      <c r="W583" s="239"/>
      <c r="BA583"/>
      <c r="BB583"/>
    </row>
    <row r="584" spans="1:54" s="190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2" t="str">
        <f>IF(C584="","",VLOOKUP($B584,勘定科目!$A:$E,4,0))</f>
        <v/>
      </c>
      <c r="E584" s="238"/>
      <c r="F584" s="233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198">
        <f t="shared" si="12"/>
        <v>0</v>
      </c>
      <c r="S584" s="199"/>
      <c r="T584" s="200"/>
      <c r="U584" s="239"/>
      <c r="V584" s="239"/>
      <c r="W584" s="239"/>
      <c r="BA584"/>
      <c r="BB584"/>
    </row>
    <row r="585" spans="1:54" s="190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2" t="str">
        <f>IF(C585="","",VLOOKUP($B585,勘定科目!$A:$E,4,0))</f>
        <v/>
      </c>
      <c r="E585" s="238"/>
      <c r="F585" s="233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198">
        <f t="shared" si="12"/>
        <v>0</v>
      </c>
      <c r="S585" s="199"/>
      <c r="T585" s="200"/>
      <c r="U585" s="239"/>
      <c r="V585" s="239"/>
      <c r="W585" s="239"/>
      <c r="BA585"/>
      <c r="BB585"/>
    </row>
    <row r="586" spans="1:54" s="190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2" t="str">
        <f>IF(C586="","",VLOOKUP($B586,勘定科目!$A:$E,4,0))</f>
        <v/>
      </c>
      <c r="E586" s="238"/>
      <c r="F586" s="233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198">
        <f t="shared" si="12"/>
        <v>0</v>
      </c>
      <c r="S586" s="199"/>
      <c r="T586" s="200"/>
      <c r="U586" s="239"/>
      <c r="V586" s="239"/>
      <c r="W586" s="239"/>
      <c r="BA586"/>
      <c r="BB586"/>
    </row>
    <row r="587" spans="1:54" s="190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2" t="str">
        <f>IF(C587="","",VLOOKUP($B587,勘定科目!$A:$E,4,0))</f>
        <v/>
      </c>
      <c r="E587" s="238"/>
      <c r="F587" s="233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198">
        <f t="shared" si="12"/>
        <v>0</v>
      </c>
      <c r="S587" s="199"/>
      <c r="T587" s="200"/>
      <c r="U587" s="239"/>
      <c r="V587" s="239"/>
      <c r="W587" s="239"/>
      <c r="BA587"/>
      <c r="BB587"/>
    </row>
    <row r="588" spans="1:54" s="190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2" t="str">
        <f>IF(C588="","",VLOOKUP($B588,勘定科目!$A:$E,4,0))</f>
        <v/>
      </c>
      <c r="E588" s="238"/>
      <c r="F588" s="233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198">
        <f t="shared" si="12"/>
        <v>0</v>
      </c>
      <c r="S588" s="199"/>
      <c r="T588" s="200"/>
      <c r="U588" s="239"/>
      <c r="V588" s="239"/>
      <c r="W588" s="239"/>
      <c r="BA588"/>
      <c r="BB588"/>
    </row>
    <row r="589" spans="1:54" s="190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2" t="str">
        <f>IF(C589="","",VLOOKUP($B589,勘定科目!$A:$E,4,0))</f>
        <v/>
      </c>
      <c r="E589" s="238"/>
      <c r="F589" s="233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198">
        <f t="shared" si="12"/>
        <v>0</v>
      </c>
      <c r="S589" s="199"/>
      <c r="T589" s="200"/>
      <c r="U589" s="239"/>
      <c r="V589" s="239"/>
      <c r="W589" s="239"/>
      <c r="BA589"/>
      <c r="BB589"/>
    </row>
    <row r="590" spans="1:54" s="190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2" t="str">
        <f>IF(C590="","",VLOOKUP($B590,勘定科目!$A:$E,4,0))</f>
        <v/>
      </c>
      <c r="E590" s="238"/>
      <c r="F590" s="233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198">
        <f t="shared" si="12"/>
        <v>0</v>
      </c>
      <c r="S590" s="199"/>
      <c r="T590" s="200"/>
      <c r="U590" s="239"/>
      <c r="V590" s="239"/>
      <c r="W590" s="239"/>
      <c r="BA590"/>
      <c r="BB590"/>
    </row>
    <row r="591" spans="1:54" s="190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2" t="str">
        <f>IF(C591="","",VLOOKUP($B591,勘定科目!$A:$E,4,0))</f>
        <v/>
      </c>
      <c r="E591" s="238"/>
      <c r="F591" s="233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198">
        <f t="shared" si="12"/>
        <v>0</v>
      </c>
      <c r="S591" s="199"/>
      <c r="T591" s="200"/>
      <c r="U591" s="239"/>
      <c r="V591" s="239"/>
      <c r="W591" s="239"/>
      <c r="BA591"/>
      <c r="BB591"/>
    </row>
    <row r="592" spans="1:54" s="190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2" t="str">
        <f>IF(C592="","",VLOOKUP($B592,勘定科目!$A:$E,4,0))</f>
        <v/>
      </c>
      <c r="E592" s="238"/>
      <c r="F592" s="233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198">
        <f t="shared" si="12"/>
        <v>0</v>
      </c>
      <c r="S592" s="199"/>
      <c r="T592" s="200"/>
      <c r="U592" s="239"/>
      <c r="V592" s="239"/>
      <c r="W592" s="239"/>
      <c r="BA592"/>
      <c r="BB592"/>
    </row>
    <row r="593" spans="1:54" s="190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2" t="str">
        <f>IF(C593="","",VLOOKUP($B593,勘定科目!$A:$E,4,0))</f>
        <v/>
      </c>
      <c r="E593" s="238"/>
      <c r="F593" s="233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198">
        <f t="shared" si="12"/>
        <v>0</v>
      </c>
      <c r="S593" s="199"/>
      <c r="T593" s="200"/>
      <c r="U593" s="239"/>
      <c r="V593" s="239"/>
      <c r="W593" s="239"/>
      <c r="BA593"/>
      <c r="BB593"/>
    </row>
    <row r="594" spans="1:54" s="190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2" t="str">
        <f>IF(C594="","",VLOOKUP($B594,勘定科目!$A:$E,4,0))</f>
        <v/>
      </c>
      <c r="E594" s="238"/>
      <c r="F594" s="233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198">
        <f t="shared" si="12"/>
        <v>0</v>
      </c>
      <c r="S594" s="199"/>
      <c r="T594" s="200"/>
      <c r="U594" s="239"/>
      <c r="V594" s="239"/>
      <c r="W594" s="239"/>
      <c r="BA594"/>
      <c r="BB594"/>
    </row>
    <row r="595" spans="1:54" s="190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2" t="str">
        <f>IF(C595="","",VLOOKUP($B595,勘定科目!$A:$E,4,0))</f>
        <v/>
      </c>
      <c r="E595" s="238"/>
      <c r="F595" s="233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198">
        <f t="shared" si="12"/>
        <v>0</v>
      </c>
      <c r="S595" s="199"/>
      <c r="T595" s="200"/>
      <c r="U595" s="239"/>
      <c r="V595" s="239"/>
      <c r="W595" s="239"/>
      <c r="BA595"/>
      <c r="BB595"/>
    </row>
    <row r="596" spans="1:54" s="190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2" t="str">
        <f>IF(C596="","",VLOOKUP($B596,勘定科目!$A:$E,4,0))</f>
        <v/>
      </c>
      <c r="E596" s="238"/>
      <c r="F596" s="233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198">
        <f t="shared" si="12"/>
        <v>0</v>
      </c>
      <c r="S596" s="199"/>
      <c r="T596" s="200"/>
      <c r="U596" s="239"/>
      <c r="V596" s="239"/>
      <c r="W596" s="239"/>
      <c r="BA596"/>
      <c r="BB596"/>
    </row>
    <row r="597" spans="1:54" s="190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2" t="str">
        <f>IF(C597="","",VLOOKUP($B597,勘定科目!$A:$E,4,0))</f>
        <v/>
      </c>
      <c r="E597" s="238"/>
      <c r="F597" s="233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198">
        <f t="shared" si="12"/>
        <v>0</v>
      </c>
      <c r="S597" s="199"/>
      <c r="T597" s="200"/>
      <c r="U597" s="239"/>
      <c r="V597" s="239"/>
      <c r="W597" s="239"/>
      <c r="BA597"/>
      <c r="BB597"/>
    </row>
    <row r="598" spans="1:54" s="190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2" t="str">
        <f>IF(C598="","",VLOOKUP($B598,勘定科目!$A:$E,4,0))</f>
        <v/>
      </c>
      <c r="E598" s="238"/>
      <c r="F598" s="233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198">
        <f t="shared" si="12"/>
        <v>0</v>
      </c>
      <c r="S598" s="199"/>
      <c r="T598" s="200"/>
      <c r="U598" s="239"/>
      <c r="V598" s="239"/>
      <c r="W598" s="239"/>
      <c r="BA598"/>
      <c r="BB598"/>
    </row>
    <row r="599" spans="1:54" s="190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2" t="str">
        <f>IF(C599="","",VLOOKUP($B599,勘定科目!$A:$E,4,0))</f>
        <v/>
      </c>
      <c r="E599" s="238"/>
      <c r="F599" s="233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198">
        <f t="shared" si="12"/>
        <v>0</v>
      </c>
      <c r="S599" s="199"/>
      <c r="T599" s="200"/>
      <c r="U599" s="239"/>
      <c r="V599" s="239"/>
      <c r="W599" s="239"/>
      <c r="BA599"/>
      <c r="BB599"/>
    </row>
    <row r="600" spans="1:54" s="190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2" t="str">
        <f>IF(C600="","",VLOOKUP($B600,勘定科目!$A:$E,4,0))</f>
        <v/>
      </c>
      <c r="E600" s="238"/>
      <c r="F600" s="233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198">
        <f t="shared" si="12"/>
        <v>0</v>
      </c>
      <c r="S600" s="199"/>
      <c r="T600" s="200"/>
      <c r="U600" s="239"/>
      <c r="V600" s="239"/>
      <c r="W600" s="239"/>
      <c r="BA600"/>
      <c r="BB600"/>
    </row>
    <row r="601" spans="1:54" s="190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2" t="str">
        <f>IF(C601="","",VLOOKUP($B601,勘定科目!$A:$E,4,0))</f>
        <v/>
      </c>
      <c r="E601" s="238"/>
      <c r="F601" s="233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198">
        <f t="shared" si="12"/>
        <v>0</v>
      </c>
      <c r="S601" s="199"/>
      <c r="T601" s="200"/>
      <c r="U601" s="239"/>
      <c r="V601" s="239"/>
      <c r="W601" s="239"/>
      <c r="BA601"/>
      <c r="BB601"/>
    </row>
    <row r="602" spans="1:54" s="190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2" t="str">
        <f>IF(C602="","",VLOOKUP($B602,勘定科目!$A:$E,4,0))</f>
        <v/>
      </c>
      <c r="E602" s="238"/>
      <c r="F602" s="233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198">
        <f t="shared" si="12"/>
        <v>0</v>
      </c>
      <c r="S602" s="199"/>
      <c r="T602" s="200"/>
      <c r="U602" s="239"/>
      <c r="V602" s="239"/>
      <c r="W602" s="239"/>
      <c r="BA602"/>
      <c r="BB602"/>
    </row>
    <row r="603" spans="1:54" s="190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2" t="str">
        <f>IF(C603="","",VLOOKUP($B603,勘定科目!$A:$E,4,0))</f>
        <v/>
      </c>
      <c r="E603" s="238"/>
      <c r="F603" s="233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198">
        <f t="shared" si="12"/>
        <v>0</v>
      </c>
      <c r="S603" s="199"/>
      <c r="T603" s="200"/>
      <c r="U603" s="239"/>
      <c r="V603" s="239"/>
      <c r="W603" s="239"/>
      <c r="BA603"/>
      <c r="BB603"/>
    </row>
    <row r="604" spans="1:54" s="190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2" t="str">
        <f>IF(C604="","",VLOOKUP($B604,勘定科目!$A:$E,4,0))</f>
        <v/>
      </c>
      <c r="E604" s="238"/>
      <c r="F604" s="233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198">
        <f t="shared" si="12"/>
        <v>0</v>
      </c>
      <c r="S604" s="199"/>
      <c r="T604" s="200"/>
      <c r="U604" s="239"/>
      <c r="V604" s="239"/>
      <c r="W604" s="239"/>
      <c r="BA604"/>
      <c r="BB604"/>
    </row>
    <row r="605" spans="1:54" s="190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2" t="str">
        <f>IF(C605="","",VLOOKUP($B605,勘定科目!$A:$E,4,0))</f>
        <v/>
      </c>
      <c r="E605" s="238"/>
      <c r="F605" s="233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198">
        <f t="shared" si="12"/>
        <v>0</v>
      </c>
      <c r="S605" s="199"/>
      <c r="T605" s="200"/>
      <c r="U605" s="239"/>
      <c r="V605" s="239"/>
      <c r="W605" s="239"/>
      <c r="BA605"/>
      <c r="BB605"/>
    </row>
    <row r="606" spans="1:54" s="190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2" t="str">
        <f>IF(C606="","",VLOOKUP($B606,勘定科目!$A:$E,4,0))</f>
        <v/>
      </c>
      <c r="E606" s="238"/>
      <c r="F606" s="233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198">
        <f t="shared" si="12"/>
        <v>0</v>
      </c>
      <c r="S606" s="199"/>
      <c r="T606" s="200"/>
      <c r="U606" s="239"/>
      <c r="V606" s="239"/>
      <c r="W606" s="239"/>
      <c r="BA606"/>
      <c r="BB606"/>
    </row>
    <row r="607" spans="1:54" s="190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2" t="str">
        <f>IF(C607="","",VLOOKUP($B607,勘定科目!$A:$E,4,0))</f>
        <v/>
      </c>
      <c r="E607" s="238"/>
      <c r="F607" s="233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198">
        <f t="shared" si="12"/>
        <v>0</v>
      </c>
      <c r="S607" s="199"/>
      <c r="T607" s="200"/>
      <c r="U607" s="239"/>
      <c r="V607" s="239"/>
      <c r="W607" s="239"/>
      <c r="BA607"/>
      <c r="BB607"/>
    </row>
    <row r="608" spans="1:54" s="190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2" t="str">
        <f>IF(C608="","",VLOOKUP($B608,勘定科目!$A:$E,4,0))</f>
        <v/>
      </c>
      <c r="E608" s="238"/>
      <c r="F608" s="233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198">
        <f t="shared" si="12"/>
        <v>0</v>
      </c>
      <c r="S608" s="199"/>
      <c r="T608" s="200"/>
      <c r="U608" s="239"/>
      <c r="V608" s="239"/>
      <c r="W608" s="239"/>
      <c r="BA608"/>
      <c r="BB608"/>
    </row>
    <row r="609" spans="1:54" s="190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2" t="str">
        <f>IF(C609="","",VLOOKUP($B609,勘定科目!$A:$E,4,0))</f>
        <v/>
      </c>
      <c r="E609" s="238"/>
      <c r="F609" s="233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198">
        <f t="shared" si="12"/>
        <v>0</v>
      </c>
      <c r="S609" s="199"/>
      <c r="T609" s="200"/>
      <c r="U609" s="239"/>
      <c r="V609" s="239"/>
      <c r="W609" s="239"/>
      <c r="BA609"/>
      <c r="BB609"/>
    </row>
    <row r="610" spans="1:54" s="190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2" t="str">
        <f>IF(C610="","",VLOOKUP($B610,勘定科目!$A:$E,4,0))</f>
        <v/>
      </c>
      <c r="E610" s="238"/>
      <c r="F610" s="233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198">
        <f t="shared" si="12"/>
        <v>0</v>
      </c>
      <c r="S610" s="199"/>
      <c r="T610" s="200"/>
      <c r="U610" s="239"/>
      <c r="V610" s="239"/>
      <c r="W610" s="239"/>
      <c r="BA610"/>
      <c r="BB610"/>
    </row>
    <row r="611" spans="1:54" s="190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2" t="str">
        <f>IF(C611="","",VLOOKUP($B611,勘定科目!$A:$E,4,0))</f>
        <v/>
      </c>
      <c r="E611" s="238"/>
      <c r="F611" s="233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198">
        <f t="shared" si="12"/>
        <v>0</v>
      </c>
      <c r="S611" s="199"/>
      <c r="T611" s="200"/>
      <c r="U611" s="239"/>
      <c r="V611" s="239"/>
      <c r="W611" s="239"/>
      <c r="BA611"/>
      <c r="BB611"/>
    </row>
    <row r="612" spans="1:54" s="190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2" t="str">
        <f>IF(C612="","",VLOOKUP($B612,勘定科目!$A:$E,4,0))</f>
        <v/>
      </c>
      <c r="E612" s="238"/>
      <c r="F612" s="233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198">
        <f t="shared" si="12"/>
        <v>0</v>
      </c>
      <c r="S612" s="199"/>
      <c r="T612" s="200"/>
      <c r="U612" s="239"/>
      <c r="V612" s="239"/>
      <c r="W612" s="239"/>
      <c r="BA612"/>
      <c r="BB612"/>
    </row>
    <row r="613" spans="1:54" s="190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2" t="str">
        <f>IF(C613="","",VLOOKUP($B613,勘定科目!$A:$E,4,0))</f>
        <v/>
      </c>
      <c r="E613" s="238"/>
      <c r="F613" s="233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198">
        <f t="shared" si="12"/>
        <v>0</v>
      </c>
      <c r="S613" s="199"/>
      <c r="T613" s="200"/>
      <c r="U613" s="239"/>
      <c r="V613" s="239"/>
      <c r="W613" s="239"/>
      <c r="BA613"/>
      <c r="BB613"/>
    </row>
    <row r="614" spans="1:54" s="190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2" t="str">
        <f>IF(C614="","",VLOOKUP($B614,勘定科目!$A:$E,4,0))</f>
        <v/>
      </c>
      <c r="E614" s="238"/>
      <c r="F614" s="233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198">
        <f t="shared" si="12"/>
        <v>0</v>
      </c>
      <c r="S614" s="199"/>
      <c r="T614" s="200"/>
      <c r="U614" s="239"/>
      <c r="V614" s="239"/>
      <c r="W614" s="239"/>
      <c r="BA614"/>
      <c r="BB614"/>
    </row>
    <row r="615" spans="1:54" s="190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2" t="str">
        <f>IF(C615="","",VLOOKUP($B615,勘定科目!$A:$E,4,0))</f>
        <v/>
      </c>
      <c r="E615" s="238"/>
      <c r="F615" s="233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198">
        <f t="shared" si="12"/>
        <v>0</v>
      </c>
      <c r="S615" s="199"/>
      <c r="T615" s="200"/>
      <c r="U615" s="239"/>
      <c r="V615" s="239"/>
      <c r="W615" s="239"/>
      <c r="BA615"/>
      <c r="BB615"/>
    </row>
    <row r="616" spans="1:54" s="190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2" t="str">
        <f>IF(C616="","",VLOOKUP($B616,勘定科目!$A:$E,4,0))</f>
        <v/>
      </c>
      <c r="E616" s="238"/>
      <c r="F616" s="233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198">
        <f t="shared" si="12"/>
        <v>0</v>
      </c>
      <c r="S616" s="199"/>
      <c r="T616" s="200"/>
      <c r="U616" s="239"/>
      <c r="V616" s="239"/>
      <c r="W616" s="239"/>
      <c r="BA616"/>
      <c r="BB616"/>
    </row>
    <row r="617" spans="1:54" s="190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2" t="str">
        <f>IF(C617="","",VLOOKUP($B617,勘定科目!$A:$E,4,0))</f>
        <v/>
      </c>
      <c r="E617" s="238"/>
      <c r="F617" s="233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198">
        <f t="shared" si="12"/>
        <v>0</v>
      </c>
      <c r="S617" s="199"/>
      <c r="T617" s="200"/>
      <c r="U617" s="239"/>
      <c r="V617" s="239"/>
      <c r="W617" s="239"/>
      <c r="BA617"/>
      <c r="BB617"/>
    </row>
    <row r="618" spans="1:54" s="190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2" t="str">
        <f>IF(C618="","",VLOOKUP($B618,勘定科目!$A:$E,4,0))</f>
        <v/>
      </c>
      <c r="E618" s="238"/>
      <c r="F618" s="233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198">
        <f t="shared" si="12"/>
        <v>0</v>
      </c>
      <c r="S618" s="199"/>
      <c r="T618" s="200"/>
      <c r="U618" s="239"/>
      <c r="V618" s="239"/>
      <c r="W618" s="239"/>
      <c r="BA618"/>
      <c r="BB618"/>
    </row>
    <row r="619" spans="1:54" s="190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2" t="str">
        <f>IF(C619="","",VLOOKUP($B619,勘定科目!$A:$E,4,0))</f>
        <v/>
      </c>
      <c r="E619" s="238"/>
      <c r="F619" s="233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198">
        <f t="shared" si="12"/>
        <v>0</v>
      </c>
      <c r="S619" s="199"/>
      <c r="T619" s="200"/>
      <c r="U619" s="239"/>
      <c r="V619" s="239"/>
      <c r="W619" s="239"/>
      <c r="BA619"/>
      <c r="BB619"/>
    </row>
    <row r="620" spans="1:54" s="190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2" t="str">
        <f>IF(C620="","",VLOOKUP($B620,勘定科目!$A:$E,4,0))</f>
        <v/>
      </c>
      <c r="E620" s="238"/>
      <c r="F620" s="233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198">
        <f t="shared" si="12"/>
        <v>0</v>
      </c>
      <c r="S620" s="199"/>
      <c r="T620" s="200"/>
      <c r="U620" s="239"/>
      <c r="V620" s="239"/>
      <c r="W620" s="239"/>
      <c r="BA620"/>
      <c r="BB620"/>
    </row>
    <row r="621" spans="1:54" s="190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2" t="str">
        <f>IF(C621="","",VLOOKUP($B621,勘定科目!$A:$E,4,0))</f>
        <v/>
      </c>
      <c r="E621" s="238"/>
      <c r="F621" s="233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198">
        <f t="shared" si="12"/>
        <v>0</v>
      </c>
      <c r="S621" s="199"/>
      <c r="T621" s="200"/>
      <c r="U621" s="239"/>
      <c r="V621" s="239"/>
      <c r="W621" s="239"/>
      <c r="BA621"/>
      <c r="BB621"/>
    </row>
    <row r="622" spans="1:54" s="190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2" t="str">
        <f>IF(C622="","",VLOOKUP($B622,勘定科目!$A:$E,4,0))</f>
        <v/>
      </c>
      <c r="E622" s="238"/>
      <c r="F622" s="233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198">
        <f t="shared" si="12"/>
        <v>0</v>
      </c>
      <c r="S622" s="199"/>
      <c r="T622" s="200"/>
      <c r="U622" s="239"/>
      <c r="V622" s="239"/>
      <c r="W622" s="239"/>
      <c r="BA622"/>
      <c r="BB622"/>
    </row>
    <row r="623" spans="1:54" s="190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2" t="str">
        <f>IF(C623="","",VLOOKUP($B623,勘定科目!$A:$E,4,0))</f>
        <v/>
      </c>
      <c r="E623" s="238"/>
      <c r="F623" s="233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198">
        <f t="shared" si="12"/>
        <v>0</v>
      </c>
      <c r="S623" s="199"/>
      <c r="T623" s="200"/>
      <c r="U623" s="239"/>
      <c r="V623" s="239"/>
      <c r="W623" s="239"/>
      <c r="BA623"/>
      <c r="BB623"/>
    </row>
    <row r="624" spans="1:54" s="190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2" t="str">
        <f>IF(C624="","",VLOOKUP($B624,勘定科目!$A:$E,4,0))</f>
        <v/>
      </c>
      <c r="E624" s="238"/>
      <c r="F624" s="233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198">
        <f t="shared" si="12"/>
        <v>0</v>
      </c>
      <c r="S624" s="199"/>
      <c r="T624" s="200"/>
      <c r="U624" s="239"/>
      <c r="V624" s="239"/>
      <c r="W624" s="239"/>
      <c r="BA624"/>
      <c r="BB624"/>
    </row>
    <row r="625" spans="1:54" s="190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2" t="str">
        <f>IF(C625="","",VLOOKUP($B625,勘定科目!$A:$E,4,0))</f>
        <v/>
      </c>
      <c r="E625" s="238"/>
      <c r="F625" s="233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198">
        <f t="shared" si="12"/>
        <v>0</v>
      </c>
      <c r="S625" s="199"/>
      <c r="T625" s="200"/>
      <c r="U625" s="239"/>
      <c r="V625" s="239"/>
      <c r="W625" s="239"/>
      <c r="BA625"/>
      <c r="BB625"/>
    </row>
    <row r="626" spans="1:54" s="190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2" t="str">
        <f>IF(C626="","",VLOOKUP($B626,勘定科目!$A:$E,4,0))</f>
        <v/>
      </c>
      <c r="E626" s="238"/>
      <c r="F626" s="233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198">
        <f t="shared" si="12"/>
        <v>0</v>
      </c>
      <c r="S626" s="199"/>
      <c r="T626" s="200"/>
      <c r="U626" s="239"/>
      <c r="V626" s="239"/>
      <c r="W626" s="239"/>
      <c r="BA626"/>
      <c r="BB626"/>
    </row>
    <row r="627" spans="1:54" s="190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2" t="str">
        <f>IF(C627="","",VLOOKUP($B627,勘定科目!$A:$E,4,0))</f>
        <v/>
      </c>
      <c r="E627" s="238"/>
      <c r="F627" s="233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198">
        <f t="shared" si="12"/>
        <v>0</v>
      </c>
      <c r="S627" s="199"/>
      <c r="T627" s="200"/>
      <c r="U627" s="239"/>
      <c r="V627" s="239"/>
      <c r="W627" s="239"/>
      <c r="BA627"/>
      <c r="BB627"/>
    </row>
    <row r="628" spans="1:54" s="190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2" t="str">
        <f>IF(C628="","",VLOOKUP($B628,勘定科目!$A:$E,4,0))</f>
        <v/>
      </c>
      <c r="E628" s="238"/>
      <c r="F628" s="233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198">
        <f t="shared" si="12"/>
        <v>0</v>
      </c>
      <c r="S628" s="199"/>
      <c r="T628" s="200"/>
      <c r="U628" s="239"/>
      <c r="V628" s="239"/>
      <c r="W628" s="239"/>
      <c r="BA628"/>
      <c r="BB628"/>
    </row>
    <row r="629" spans="1:54" s="190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2" t="str">
        <f>IF(C629="","",VLOOKUP($B629,勘定科目!$A:$E,4,0))</f>
        <v/>
      </c>
      <c r="E629" s="238"/>
      <c r="F629" s="233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198">
        <f t="shared" si="12"/>
        <v>0</v>
      </c>
      <c r="S629" s="199"/>
      <c r="T629" s="200"/>
      <c r="U629" s="239"/>
      <c r="V629" s="239"/>
      <c r="W629" s="239"/>
      <c r="BA629"/>
      <c r="BB629"/>
    </row>
    <row r="630" spans="1:54" s="190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2" t="str">
        <f>IF(C630="","",VLOOKUP($B630,勘定科目!$A:$E,4,0))</f>
        <v/>
      </c>
      <c r="E630" s="238"/>
      <c r="F630" s="233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198">
        <f t="shared" si="12"/>
        <v>0</v>
      </c>
      <c r="S630" s="199"/>
      <c r="T630" s="200"/>
      <c r="U630" s="239"/>
      <c r="V630" s="239"/>
      <c r="W630" s="239"/>
      <c r="BA630"/>
      <c r="BB630"/>
    </row>
    <row r="631" spans="1:54" s="190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2" t="str">
        <f>IF(C631="","",VLOOKUP($B631,勘定科目!$A:$E,4,0))</f>
        <v/>
      </c>
      <c r="E631" s="238"/>
      <c r="F631" s="233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198">
        <f t="shared" ref="R631:R694" si="13">SUM(F631:Q631)</f>
        <v>0</v>
      </c>
      <c r="S631" s="199"/>
      <c r="T631" s="200"/>
      <c r="U631" s="239"/>
      <c r="V631" s="239"/>
      <c r="W631" s="239"/>
      <c r="BA631"/>
      <c r="BB631"/>
    </row>
    <row r="632" spans="1:54" s="190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2" t="str">
        <f>IF(C632="","",VLOOKUP($B632,勘定科目!$A:$E,4,0))</f>
        <v/>
      </c>
      <c r="E632" s="238"/>
      <c r="F632" s="233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198">
        <f t="shared" si="13"/>
        <v>0</v>
      </c>
      <c r="S632" s="199"/>
      <c r="T632" s="200"/>
      <c r="U632" s="239"/>
      <c r="V632" s="239"/>
      <c r="W632" s="239"/>
      <c r="BA632"/>
      <c r="BB632"/>
    </row>
    <row r="633" spans="1:54" s="190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2" t="str">
        <f>IF(C633="","",VLOOKUP($B633,勘定科目!$A:$E,4,0))</f>
        <v/>
      </c>
      <c r="E633" s="238"/>
      <c r="F633" s="233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198">
        <f t="shared" si="13"/>
        <v>0</v>
      </c>
      <c r="S633" s="199"/>
      <c r="T633" s="200"/>
      <c r="U633" s="239"/>
      <c r="V633" s="239"/>
      <c r="W633" s="239"/>
      <c r="BA633"/>
      <c r="BB633"/>
    </row>
    <row r="634" spans="1:54" s="190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2" t="str">
        <f>IF(C634="","",VLOOKUP($B634,勘定科目!$A:$E,4,0))</f>
        <v/>
      </c>
      <c r="E634" s="238"/>
      <c r="F634" s="233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198">
        <f t="shared" si="13"/>
        <v>0</v>
      </c>
      <c r="S634" s="199"/>
      <c r="T634" s="200"/>
      <c r="U634" s="239"/>
      <c r="V634" s="239"/>
      <c r="W634" s="239"/>
      <c r="BA634"/>
      <c r="BB634"/>
    </row>
    <row r="635" spans="1:54" s="190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2" t="str">
        <f>IF(C635="","",VLOOKUP($B635,勘定科目!$A:$E,4,0))</f>
        <v/>
      </c>
      <c r="E635" s="238"/>
      <c r="F635" s="233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198">
        <f t="shared" si="13"/>
        <v>0</v>
      </c>
      <c r="S635" s="199"/>
      <c r="T635" s="200"/>
      <c r="U635" s="239"/>
      <c r="V635" s="239"/>
      <c r="W635" s="239"/>
      <c r="BA635"/>
      <c r="BB635"/>
    </row>
    <row r="636" spans="1:54" s="190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2" t="str">
        <f>IF(C636="","",VLOOKUP($B636,勘定科目!$A:$E,4,0))</f>
        <v/>
      </c>
      <c r="E636" s="238"/>
      <c r="F636" s="233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198">
        <f t="shared" si="13"/>
        <v>0</v>
      </c>
      <c r="S636" s="199"/>
      <c r="T636" s="200"/>
      <c r="U636" s="239"/>
      <c r="V636" s="239"/>
      <c r="W636" s="239"/>
      <c r="BA636"/>
      <c r="BB636"/>
    </row>
    <row r="637" spans="1:54" s="190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2" t="str">
        <f>IF(C637="","",VLOOKUP($B637,勘定科目!$A:$E,4,0))</f>
        <v/>
      </c>
      <c r="E637" s="238"/>
      <c r="F637" s="233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198">
        <f t="shared" si="13"/>
        <v>0</v>
      </c>
      <c r="S637" s="199"/>
      <c r="T637" s="200"/>
      <c r="U637" s="239"/>
      <c r="V637" s="239"/>
      <c r="W637" s="239"/>
      <c r="BA637"/>
      <c r="BB637"/>
    </row>
    <row r="638" spans="1:54" s="190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2" t="str">
        <f>IF(C638="","",VLOOKUP($B638,勘定科目!$A:$E,4,0))</f>
        <v/>
      </c>
      <c r="E638" s="238"/>
      <c r="F638" s="233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198">
        <f t="shared" si="13"/>
        <v>0</v>
      </c>
      <c r="S638" s="199"/>
      <c r="T638" s="200"/>
      <c r="U638" s="239"/>
      <c r="V638" s="239"/>
      <c r="W638" s="239"/>
      <c r="BA638"/>
      <c r="BB638"/>
    </row>
    <row r="639" spans="1:54" s="190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2" t="str">
        <f>IF(C639="","",VLOOKUP($B639,勘定科目!$A:$E,4,0))</f>
        <v/>
      </c>
      <c r="E639" s="238"/>
      <c r="F639" s="233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198">
        <f t="shared" si="13"/>
        <v>0</v>
      </c>
      <c r="S639" s="199"/>
      <c r="T639" s="200"/>
      <c r="U639" s="239"/>
      <c r="V639" s="239"/>
      <c r="W639" s="239"/>
      <c r="BA639"/>
      <c r="BB639"/>
    </row>
    <row r="640" spans="1:54" s="190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2" t="str">
        <f>IF(C640="","",VLOOKUP($B640,勘定科目!$A:$E,4,0))</f>
        <v/>
      </c>
      <c r="E640" s="238"/>
      <c r="F640" s="233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198">
        <f t="shared" si="13"/>
        <v>0</v>
      </c>
      <c r="S640" s="199"/>
      <c r="T640" s="200"/>
      <c r="U640" s="239"/>
      <c r="V640" s="239"/>
      <c r="W640" s="239"/>
      <c r="BA640"/>
      <c r="BB640"/>
    </row>
    <row r="641" spans="1:54" s="190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2" t="str">
        <f>IF(C641="","",VLOOKUP($B641,勘定科目!$A:$E,4,0))</f>
        <v/>
      </c>
      <c r="E641" s="238"/>
      <c r="F641" s="233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198">
        <f t="shared" si="13"/>
        <v>0</v>
      </c>
      <c r="S641" s="199"/>
      <c r="T641" s="200"/>
      <c r="U641" s="239"/>
      <c r="V641" s="239"/>
      <c r="W641" s="239"/>
      <c r="BA641"/>
      <c r="BB641"/>
    </row>
    <row r="642" spans="1:54" s="190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2" t="str">
        <f>IF(C642="","",VLOOKUP($B642,勘定科目!$A:$E,4,0))</f>
        <v/>
      </c>
      <c r="E642" s="238"/>
      <c r="F642" s="233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198">
        <f t="shared" si="13"/>
        <v>0</v>
      </c>
      <c r="S642" s="199"/>
      <c r="T642" s="200"/>
      <c r="U642" s="239"/>
      <c r="V642" s="239"/>
      <c r="W642" s="239"/>
      <c r="BA642"/>
      <c r="BB642"/>
    </row>
    <row r="643" spans="1:54" s="190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2" t="str">
        <f>IF(C643="","",VLOOKUP($B643,勘定科目!$A:$E,4,0))</f>
        <v/>
      </c>
      <c r="E643" s="238"/>
      <c r="F643" s="233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198">
        <f t="shared" si="13"/>
        <v>0</v>
      </c>
      <c r="S643" s="199"/>
      <c r="T643" s="200"/>
      <c r="U643" s="239"/>
      <c r="V643" s="239"/>
      <c r="W643" s="239"/>
      <c r="BA643"/>
      <c r="BB643"/>
    </row>
    <row r="644" spans="1:54" s="190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2" t="str">
        <f>IF(C644="","",VLOOKUP($B644,勘定科目!$A:$E,4,0))</f>
        <v/>
      </c>
      <c r="E644" s="238"/>
      <c r="F644" s="233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198">
        <f t="shared" si="13"/>
        <v>0</v>
      </c>
      <c r="S644" s="199"/>
      <c r="T644" s="200"/>
      <c r="U644" s="239"/>
      <c r="V644" s="239"/>
      <c r="W644" s="239"/>
      <c r="BA644"/>
      <c r="BB644"/>
    </row>
    <row r="645" spans="1:54" s="190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2" t="str">
        <f>IF(C645="","",VLOOKUP($B645,勘定科目!$A:$E,4,0))</f>
        <v/>
      </c>
      <c r="E645" s="238"/>
      <c r="F645" s="233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198">
        <f t="shared" si="13"/>
        <v>0</v>
      </c>
      <c r="S645" s="199"/>
      <c r="T645" s="200"/>
      <c r="U645" s="239"/>
      <c r="V645" s="239"/>
      <c r="W645" s="239"/>
      <c r="BA645"/>
      <c r="BB645"/>
    </row>
    <row r="646" spans="1:54" s="190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2" t="str">
        <f>IF(C646="","",VLOOKUP($B646,勘定科目!$A:$E,4,0))</f>
        <v/>
      </c>
      <c r="E646" s="238"/>
      <c r="F646" s="233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198">
        <f t="shared" si="13"/>
        <v>0</v>
      </c>
      <c r="S646" s="199"/>
      <c r="T646" s="200"/>
      <c r="U646" s="239"/>
      <c r="V646" s="239"/>
      <c r="W646" s="239"/>
      <c r="BA646"/>
      <c r="BB646"/>
    </row>
    <row r="647" spans="1:54" s="190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2" t="str">
        <f>IF(C647="","",VLOOKUP($B647,勘定科目!$A:$E,4,0))</f>
        <v/>
      </c>
      <c r="E647" s="238"/>
      <c r="F647" s="233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198">
        <f t="shared" si="13"/>
        <v>0</v>
      </c>
      <c r="S647" s="199"/>
      <c r="T647" s="200"/>
      <c r="U647" s="239"/>
      <c r="V647" s="239"/>
      <c r="W647" s="239"/>
      <c r="BA647"/>
      <c r="BB647"/>
    </row>
    <row r="648" spans="1:54" s="190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2" t="str">
        <f>IF(C648="","",VLOOKUP($B648,勘定科目!$A:$E,4,0))</f>
        <v/>
      </c>
      <c r="E648" s="238"/>
      <c r="F648" s="233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198">
        <f t="shared" si="13"/>
        <v>0</v>
      </c>
      <c r="S648" s="199"/>
      <c r="T648" s="200"/>
      <c r="U648" s="239"/>
      <c r="V648" s="239"/>
      <c r="W648" s="239"/>
      <c r="BA648"/>
      <c r="BB648"/>
    </row>
    <row r="649" spans="1:54" s="190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2" t="str">
        <f>IF(C649="","",VLOOKUP($B649,勘定科目!$A:$E,4,0))</f>
        <v/>
      </c>
      <c r="E649" s="238"/>
      <c r="F649" s="233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198">
        <f t="shared" si="13"/>
        <v>0</v>
      </c>
      <c r="S649" s="199"/>
      <c r="T649" s="200"/>
      <c r="U649" s="239"/>
      <c r="V649" s="239"/>
      <c r="W649" s="239"/>
      <c r="BA649"/>
      <c r="BB649"/>
    </row>
    <row r="650" spans="1:54" s="190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2" t="str">
        <f>IF(C650="","",VLOOKUP($B650,勘定科目!$A:$E,4,0))</f>
        <v/>
      </c>
      <c r="E650" s="238"/>
      <c r="F650" s="233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198">
        <f t="shared" si="13"/>
        <v>0</v>
      </c>
      <c r="S650" s="199"/>
      <c r="T650" s="200"/>
      <c r="U650" s="239"/>
      <c r="V650" s="239"/>
      <c r="W650" s="239"/>
      <c r="BA650"/>
      <c r="BB650"/>
    </row>
    <row r="651" spans="1:54" s="190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2" t="str">
        <f>IF(C651="","",VLOOKUP($B651,勘定科目!$A:$E,4,0))</f>
        <v/>
      </c>
      <c r="E651" s="238"/>
      <c r="F651" s="233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198">
        <f t="shared" si="13"/>
        <v>0</v>
      </c>
      <c r="S651" s="199"/>
      <c r="T651" s="200"/>
      <c r="U651" s="239"/>
      <c r="V651" s="239"/>
      <c r="W651" s="239"/>
      <c r="BA651"/>
      <c r="BB651"/>
    </row>
    <row r="652" spans="1:54" s="190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2" t="str">
        <f>IF(C652="","",VLOOKUP($B652,勘定科目!$A:$E,4,0))</f>
        <v/>
      </c>
      <c r="E652" s="238"/>
      <c r="F652" s="233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198">
        <f t="shared" si="13"/>
        <v>0</v>
      </c>
      <c r="S652" s="199"/>
      <c r="T652" s="200"/>
      <c r="U652" s="239"/>
      <c r="V652" s="239"/>
      <c r="W652" s="239"/>
      <c r="BA652"/>
      <c r="BB652"/>
    </row>
    <row r="653" spans="1:54" s="190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2" t="str">
        <f>IF(C653="","",VLOOKUP($B653,勘定科目!$A:$E,4,0))</f>
        <v/>
      </c>
      <c r="E653" s="238"/>
      <c r="F653" s="233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198">
        <f t="shared" si="13"/>
        <v>0</v>
      </c>
      <c r="S653" s="199"/>
      <c r="T653" s="200"/>
      <c r="U653" s="239"/>
      <c r="V653" s="239"/>
      <c r="W653" s="239"/>
      <c r="BA653"/>
      <c r="BB653"/>
    </row>
    <row r="654" spans="1:54" s="190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2" t="str">
        <f>IF(C654="","",VLOOKUP($B654,勘定科目!$A:$E,4,0))</f>
        <v/>
      </c>
      <c r="E654" s="238"/>
      <c r="F654" s="233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198">
        <f t="shared" si="13"/>
        <v>0</v>
      </c>
      <c r="S654" s="199"/>
      <c r="T654" s="200"/>
      <c r="U654" s="239"/>
      <c r="V654" s="239"/>
      <c r="W654" s="239"/>
      <c r="BA654"/>
      <c r="BB654"/>
    </row>
    <row r="655" spans="1:54" s="190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2" t="str">
        <f>IF(C655="","",VLOOKUP($B655,勘定科目!$A:$E,4,0))</f>
        <v/>
      </c>
      <c r="E655" s="238"/>
      <c r="F655" s="233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198">
        <f t="shared" si="13"/>
        <v>0</v>
      </c>
      <c r="S655" s="199"/>
      <c r="T655" s="200"/>
      <c r="U655" s="239"/>
      <c r="V655" s="239"/>
      <c r="W655" s="239"/>
      <c r="BA655"/>
      <c r="BB655"/>
    </row>
    <row r="656" spans="1:54" s="190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2" t="str">
        <f>IF(C656="","",VLOOKUP($B656,勘定科目!$A:$E,4,0))</f>
        <v/>
      </c>
      <c r="E656" s="238"/>
      <c r="F656" s="233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198">
        <f t="shared" si="13"/>
        <v>0</v>
      </c>
      <c r="S656" s="199"/>
      <c r="T656" s="200"/>
      <c r="U656" s="239"/>
      <c r="V656" s="239"/>
      <c r="W656" s="239"/>
      <c r="BA656"/>
      <c r="BB656"/>
    </row>
    <row r="657" spans="1:54" s="190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2" t="str">
        <f>IF(C657="","",VLOOKUP($B657,勘定科目!$A:$E,4,0))</f>
        <v/>
      </c>
      <c r="E657" s="238"/>
      <c r="F657" s="233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198">
        <f t="shared" si="13"/>
        <v>0</v>
      </c>
      <c r="S657" s="199"/>
      <c r="T657" s="200"/>
      <c r="U657" s="239"/>
      <c r="V657" s="239"/>
      <c r="W657" s="239"/>
      <c r="BA657"/>
      <c r="BB657"/>
    </row>
    <row r="658" spans="1:54" s="190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2" t="str">
        <f>IF(C658="","",VLOOKUP($B658,勘定科目!$A:$E,4,0))</f>
        <v/>
      </c>
      <c r="E658" s="238"/>
      <c r="F658" s="233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198">
        <f t="shared" si="13"/>
        <v>0</v>
      </c>
      <c r="S658" s="199"/>
      <c r="T658" s="200"/>
      <c r="U658" s="239"/>
      <c r="V658" s="239"/>
      <c r="W658" s="239"/>
      <c r="BA658"/>
      <c r="BB658"/>
    </row>
    <row r="659" spans="1:54" s="190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2" t="str">
        <f>IF(C659="","",VLOOKUP($B659,勘定科目!$A:$E,4,0))</f>
        <v/>
      </c>
      <c r="E659" s="238"/>
      <c r="F659" s="233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198">
        <f t="shared" si="13"/>
        <v>0</v>
      </c>
      <c r="S659" s="199"/>
      <c r="T659" s="200"/>
      <c r="U659" s="239"/>
      <c r="V659" s="239"/>
      <c r="W659" s="239"/>
      <c r="BA659"/>
      <c r="BB659"/>
    </row>
    <row r="660" spans="1:54" s="190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2" t="str">
        <f>IF(C660="","",VLOOKUP($B660,勘定科目!$A:$E,4,0))</f>
        <v/>
      </c>
      <c r="E660" s="238"/>
      <c r="F660" s="233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198">
        <f t="shared" si="13"/>
        <v>0</v>
      </c>
      <c r="S660" s="199"/>
      <c r="T660" s="200"/>
      <c r="U660" s="239"/>
      <c r="V660" s="239"/>
      <c r="W660" s="239"/>
      <c r="BA660"/>
      <c r="BB660"/>
    </row>
    <row r="661" spans="1:54" s="190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2" t="str">
        <f>IF(C661="","",VLOOKUP($B661,勘定科目!$A:$E,4,0))</f>
        <v/>
      </c>
      <c r="E661" s="238"/>
      <c r="F661" s="233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198">
        <f t="shared" si="13"/>
        <v>0</v>
      </c>
      <c r="S661" s="199"/>
      <c r="T661" s="200"/>
      <c r="U661" s="239"/>
      <c r="V661" s="239"/>
      <c r="W661" s="239"/>
      <c r="BA661"/>
      <c r="BB661"/>
    </row>
    <row r="662" spans="1:54" s="190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2" t="str">
        <f>IF(C662="","",VLOOKUP($B662,勘定科目!$A:$E,4,0))</f>
        <v/>
      </c>
      <c r="E662" s="238"/>
      <c r="F662" s="233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198">
        <f t="shared" si="13"/>
        <v>0</v>
      </c>
      <c r="S662" s="199"/>
      <c r="T662" s="200"/>
      <c r="U662" s="239"/>
      <c r="V662" s="239"/>
      <c r="W662" s="239"/>
      <c r="BA662"/>
      <c r="BB662"/>
    </row>
    <row r="663" spans="1:54" s="190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2" t="str">
        <f>IF(C663="","",VLOOKUP($B663,勘定科目!$A:$E,4,0))</f>
        <v/>
      </c>
      <c r="E663" s="238"/>
      <c r="F663" s="233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198">
        <f t="shared" si="13"/>
        <v>0</v>
      </c>
      <c r="S663" s="199"/>
      <c r="T663" s="200"/>
      <c r="U663" s="239"/>
      <c r="V663" s="239"/>
      <c r="W663" s="239"/>
      <c r="BA663"/>
      <c r="BB663"/>
    </row>
    <row r="664" spans="1:54" s="190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2" t="str">
        <f>IF(C664="","",VLOOKUP($B664,勘定科目!$A:$E,4,0))</f>
        <v/>
      </c>
      <c r="E664" s="238"/>
      <c r="F664" s="233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198">
        <f t="shared" si="13"/>
        <v>0</v>
      </c>
      <c r="S664" s="199"/>
      <c r="T664" s="200"/>
      <c r="U664" s="239"/>
      <c r="V664" s="239"/>
      <c r="W664" s="239"/>
      <c r="BA664"/>
      <c r="BB664"/>
    </row>
    <row r="665" spans="1:54" s="190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2" t="str">
        <f>IF(C665="","",VLOOKUP($B665,勘定科目!$A:$E,4,0))</f>
        <v/>
      </c>
      <c r="E665" s="238"/>
      <c r="F665" s="233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198">
        <f t="shared" si="13"/>
        <v>0</v>
      </c>
      <c r="S665" s="199"/>
      <c r="T665" s="200"/>
      <c r="U665" s="239"/>
      <c r="V665" s="239"/>
      <c r="W665" s="239"/>
      <c r="BA665"/>
      <c r="BB665"/>
    </row>
    <row r="666" spans="1:54" s="190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2" t="str">
        <f>IF(C666="","",VLOOKUP($B666,勘定科目!$A:$E,4,0))</f>
        <v/>
      </c>
      <c r="E666" s="238"/>
      <c r="F666" s="233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198">
        <f t="shared" si="13"/>
        <v>0</v>
      </c>
      <c r="S666" s="199"/>
      <c r="T666" s="200"/>
      <c r="U666" s="239"/>
      <c r="V666" s="239"/>
      <c r="W666" s="239"/>
      <c r="BA666"/>
      <c r="BB666"/>
    </row>
    <row r="667" spans="1:54" s="190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2" t="str">
        <f>IF(C667="","",VLOOKUP($B667,勘定科目!$A:$E,4,0))</f>
        <v/>
      </c>
      <c r="E667" s="238"/>
      <c r="F667" s="233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198">
        <f t="shared" si="13"/>
        <v>0</v>
      </c>
      <c r="S667" s="199"/>
      <c r="T667" s="200"/>
      <c r="U667" s="239"/>
      <c r="V667" s="239"/>
      <c r="W667" s="239"/>
      <c r="BA667"/>
      <c r="BB667"/>
    </row>
    <row r="668" spans="1:54" s="190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2" t="str">
        <f>IF(C668="","",VLOOKUP($B668,勘定科目!$A:$E,4,0))</f>
        <v/>
      </c>
      <c r="E668" s="238"/>
      <c r="F668" s="233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198">
        <f t="shared" si="13"/>
        <v>0</v>
      </c>
      <c r="S668" s="199"/>
      <c r="T668" s="200"/>
      <c r="U668" s="239"/>
      <c r="V668" s="239"/>
      <c r="W668" s="239"/>
      <c r="BA668"/>
      <c r="BB668"/>
    </row>
    <row r="669" spans="1:54" s="190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2" t="str">
        <f>IF(C669="","",VLOOKUP($B669,勘定科目!$A:$E,4,0))</f>
        <v/>
      </c>
      <c r="E669" s="238"/>
      <c r="F669" s="233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198">
        <f t="shared" si="13"/>
        <v>0</v>
      </c>
      <c r="S669" s="199"/>
      <c r="T669" s="200"/>
      <c r="U669" s="239"/>
      <c r="V669" s="239"/>
      <c r="W669" s="239"/>
      <c r="BA669"/>
      <c r="BB669"/>
    </row>
    <row r="670" spans="1:54" s="190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2" t="str">
        <f>IF(C670="","",VLOOKUP($B670,勘定科目!$A:$E,4,0))</f>
        <v/>
      </c>
      <c r="E670" s="238"/>
      <c r="F670" s="233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198">
        <f t="shared" si="13"/>
        <v>0</v>
      </c>
      <c r="S670" s="199"/>
      <c r="T670" s="200"/>
      <c r="U670" s="239"/>
      <c r="V670" s="239"/>
      <c r="W670" s="239"/>
      <c r="BA670"/>
      <c r="BB670"/>
    </row>
    <row r="671" spans="1:54" s="190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2" t="str">
        <f>IF(C671="","",VLOOKUP($B671,勘定科目!$A:$E,4,0))</f>
        <v/>
      </c>
      <c r="E671" s="238"/>
      <c r="F671" s="233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198">
        <f t="shared" si="13"/>
        <v>0</v>
      </c>
      <c r="S671" s="199"/>
      <c r="T671" s="200"/>
      <c r="U671" s="239"/>
      <c r="V671" s="239"/>
      <c r="W671" s="239"/>
      <c r="BA671"/>
      <c r="BB671"/>
    </row>
    <row r="672" spans="1:54" s="190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2" t="str">
        <f>IF(C672="","",VLOOKUP($B672,勘定科目!$A:$E,4,0))</f>
        <v/>
      </c>
      <c r="E672" s="238"/>
      <c r="F672" s="233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198">
        <f t="shared" si="13"/>
        <v>0</v>
      </c>
      <c r="S672" s="199"/>
      <c r="T672" s="200"/>
      <c r="U672" s="239"/>
      <c r="V672" s="239"/>
      <c r="W672" s="239"/>
      <c r="BA672"/>
      <c r="BB672"/>
    </row>
    <row r="673" spans="1:54" s="190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2" t="str">
        <f>IF(C673="","",VLOOKUP($B673,勘定科目!$A:$E,4,0))</f>
        <v/>
      </c>
      <c r="E673" s="238"/>
      <c r="F673" s="233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198">
        <f t="shared" si="13"/>
        <v>0</v>
      </c>
      <c r="S673" s="199"/>
      <c r="T673" s="200"/>
      <c r="U673" s="239"/>
      <c r="V673" s="239"/>
      <c r="W673" s="239"/>
      <c r="BA673"/>
      <c r="BB673"/>
    </row>
    <row r="674" spans="1:54" s="190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2" t="str">
        <f>IF(C674="","",VLOOKUP($B674,勘定科目!$A:$E,4,0))</f>
        <v/>
      </c>
      <c r="E674" s="238"/>
      <c r="F674" s="233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198">
        <f t="shared" si="13"/>
        <v>0</v>
      </c>
      <c r="S674" s="199"/>
      <c r="T674" s="200"/>
      <c r="U674" s="239"/>
      <c r="V674" s="239"/>
      <c r="W674" s="239"/>
      <c r="BA674"/>
      <c r="BB674"/>
    </row>
    <row r="675" spans="1:54" s="190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2" t="str">
        <f>IF(C675="","",VLOOKUP($B675,勘定科目!$A:$E,4,0))</f>
        <v/>
      </c>
      <c r="E675" s="238"/>
      <c r="F675" s="233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198">
        <f t="shared" si="13"/>
        <v>0</v>
      </c>
      <c r="S675" s="199"/>
      <c r="T675" s="200"/>
      <c r="U675" s="239"/>
      <c r="V675" s="239"/>
      <c r="W675" s="239"/>
      <c r="BA675"/>
      <c r="BB675"/>
    </row>
    <row r="676" spans="1:54" s="190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2" t="str">
        <f>IF(C676="","",VLOOKUP($B676,勘定科目!$A:$E,4,0))</f>
        <v/>
      </c>
      <c r="E676" s="238"/>
      <c r="F676" s="233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198">
        <f t="shared" si="13"/>
        <v>0</v>
      </c>
      <c r="S676" s="199"/>
      <c r="T676" s="200"/>
      <c r="U676" s="239"/>
      <c r="V676" s="239"/>
      <c r="W676" s="239"/>
      <c r="BA676"/>
      <c r="BB676"/>
    </row>
    <row r="677" spans="1:54" s="190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2" t="str">
        <f>IF(C677="","",VLOOKUP($B677,勘定科目!$A:$E,4,0))</f>
        <v/>
      </c>
      <c r="E677" s="238"/>
      <c r="F677" s="233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198">
        <f t="shared" si="13"/>
        <v>0</v>
      </c>
      <c r="S677" s="199"/>
      <c r="T677" s="200"/>
      <c r="U677" s="239"/>
      <c r="V677" s="239"/>
      <c r="W677" s="239"/>
      <c r="BA677"/>
      <c r="BB677"/>
    </row>
    <row r="678" spans="1:54" s="190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2" t="str">
        <f>IF(C678="","",VLOOKUP($B678,勘定科目!$A:$E,4,0))</f>
        <v/>
      </c>
      <c r="E678" s="238"/>
      <c r="F678" s="233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198">
        <f t="shared" si="13"/>
        <v>0</v>
      </c>
      <c r="S678" s="199"/>
      <c r="T678" s="200"/>
      <c r="U678" s="239"/>
      <c r="V678" s="239"/>
      <c r="W678" s="239"/>
      <c r="BA678"/>
      <c r="BB678"/>
    </row>
    <row r="679" spans="1:54" s="190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2" t="str">
        <f>IF(C679="","",VLOOKUP($B679,勘定科目!$A:$E,4,0))</f>
        <v/>
      </c>
      <c r="E679" s="238"/>
      <c r="F679" s="233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198">
        <f t="shared" si="13"/>
        <v>0</v>
      </c>
      <c r="S679" s="199"/>
      <c r="T679" s="200"/>
      <c r="U679" s="239"/>
      <c r="V679" s="239"/>
      <c r="W679" s="239"/>
      <c r="BA679"/>
      <c r="BB679"/>
    </row>
    <row r="680" spans="1:54" s="190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2" t="str">
        <f>IF(C680="","",VLOOKUP($B680,勘定科目!$A:$E,4,0))</f>
        <v/>
      </c>
      <c r="E680" s="238"/>
      <c r="F680" s="233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198">
        <f t="shared" si="13"/>
        <v>0</v>
      </c>
      <c r="S680" s="199"/>
      <c r="T680" s="200"/>
      <c r="U680" s="239"/>
      <c r="V680" s="239"/>
      <c r="W680" s="239"/>
      <c r="BA680"/>
      <c r="BB680"/>
    </row>
    <row r="681" spans="1:54" s="190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2" t="str">
        <f>IF(C681="","",VLOOKUP($B681,勘定科目!$A:$E,4,0))</f>
        <v/>
      </c>
      <c r="E681" s="238"/>
      <c r="F681" s="233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198">
        <f t="shared" si="13"/>
        <v>0</v>
      </c>
      <c r="S681" s="199"/>
      <c r="T681" s="200"/>
      <c r="U681" s="239"/>
      <c r="V681" s="239"/>
      <c r="W681" s="239"/>
      <c r="BA681"/>
      <c r="BB681"/>
    </row>
    <row r="682" spans="1:54" s="190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2" t="str">
        <f>IF(C682="","",VLOOKUP($B682,勘定科目!$A:$E,4,0))</f>
        <v/>
      </c>
      <c r="E682" s="238"/>
      <c r="F682" s="233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198">
        <f t="shared" si="13"/>
        <v>0</v>
      </c>
      <c r="S682" s="199"/>
      <c r="T682" s="200"/>
      <c r="U682" s="239"/>
      <c r="V682" s="239"/>
      <c r="W682" s="239"/>
      <c r="BA682"/>
      <c r="BB682"/>
    </row>
    <row r="683" spans="1:54" s="190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2" t="str">
        <f>IF(C683="","",VLOOKUP($B683,勘定科目!$A:$E,4,0))</f>
        <v/>
      </c>
      <c r="E683" s="238"/>
      <c r="F683" s="233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198">
        <f t="shared" si="13"/>
        <v>0</v>
      </c>
      <c r="S683" s="199"/>
      <c r="T683" s="200"/>
      <c r="U683" s="239"/>
      <c r="V683" s="239"/>
      <c r="W683" s="239"/>
      <c r="BA683"/>
      <c r="BB683"/>
    </row>
    <row r="684" spans="1:54" s="190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2" t="str">
        <f>IF(C684="","",VLOOKUP($B684,勘定科目!$A:$E,4,0))</f>
        <v/>
      </c>
      <c r="E684" s="238"/>
      <c r="F684" s="233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198">
        <f t="shared" si="13"/>
        <v>0</v>
      </c>
      <c r="S684" s="199"/>
      <c r="T684" s="200"/>
      <c r="U684" s="239"/>
      <c r="V684" s="239"/>
      <c r="W684" s="239"/>
      <c r="BA684"/>
      <c r="BB684"/>
    </row>
    <row r="685" spans="1:54" s="190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2" t="str">
        <f>IF(C685="","",VLOOKUP($B685,勘定科目!$A:$E,4,0))</f>
        <v/>
      </c>
      <c r="E685" s="238"/>
      <c r="F685" s="233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198">
        <f t="shared" si="13"/>
        <v>0</v>
      </c>
      <c r="S685" s="199"/>
      <c r="T685" s="200"/>
      <c r="U685" s="239"/>
      <c r="V685" s="239"/>
      <c r="W685" s="239"/>
      <c r="BA685"/>
      <c r="BB685"/>
    </row>
    <row r="686" spans="1:54" s="190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2" t="str">
        <f>IF(C686="","",VLOOKUP($B686,勘定科目!$A:$E,4,0))</f>
        <v/>
      </c>
      <c r="E686" s="238"/>
      <c r="F686" s="233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198">
        <f t="shared" si="13"/>
        <v>0</v>
      </c>
      <c r="S686" s="199"/>
      <c r="T686" s="200"/>
      <c r="U686" s="239"/>
      <c r="V686" s="239"/>
      <c r="W686" s="239"/>
      <c r="BA686"/>
      <c r="BB686"/>
    </row>
    <row r="687" spans="1:54" s="190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2" t="str">
        <f>IF(C687="","",VLOOKUP($B687,勘定科目!$A:$E,4,0))</f>
        <v/>
      </c>
      <c r="E687" s="238"/>
      <c r="F687" s="233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198">
        <f t="shared" si="13"/>
        <v>0</v>
      </c>
      <c r="S687" s="199"/>
      <c r="T687" s="200"/>
      <c r="U687" s="239"/>
      <c r="V687" s="239"/>
      <c r="W687" s="239"/>
      <c r="BA687"/>
      <c r="BB687"/>
    </row>
    <row r="688" spans="1:54" s="190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2" t="str">
        <f>IF(C688="","",VLOOKUP($B688,勘定科目!$A:$E,4,0))</f>
        <v/>
      </c>
      <c r="E688" s="238"/>
      <c r="F688" s="233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198">
        <f t="shared" si="13"/>
        <v>0</v>
      </c>
      <c r="S688" s="199"/>
      <c r="T688" s="200"/>
      <c r="U688" s="239"/>
      <c r="V688" s="239"/>
      <c r="W688" s="239"/>
      <c r="BA688"/>
      <c r="BB688"/>
    </row>
    <row r="689" spans="1:54" s="190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2" t="str">
        <f>IF(C689="","",VLOOKUP($B689,勘定科目!$A:$E,4,0))</f>
        <v/>
      </c>
      <c r="E689" s="238"/>
      <c r="F689" s="233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198">
        <f t="shared" si="13"/>
        <v>0</v>
      </c>
      <c r="S689" s="199"/>
      <c r="T689" s="200"/>
      <c r="U689" s="239"/>
      <c r="V689" s="239"/>
      <c r="W689" s="239"/>
      <c r="BA689"/>
      <c r="BB689"/>
    </row>
    <row r="690" spans="1:54" s="190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2" t="str">
        <f>IF(C690="","",VLOOKUP($B690,勘定科目!$A:$E,4,0))</f>
        <v/>
      </c>
      <c r="E690" s="238"/>
      <c r="F690" s="233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198">
        <f t="shared" si="13"/>
        <v>0</v>
      </c>
      <c r="S690" s="199"/>
      <c r="T690" s="200"/>
      <c r="U690" s="239"/>
      <c r="V690" s="239"/>
      <c r="W690" s="239"/>
      <c r="BA690"/>
      <c r="BB690"/>
    </row>
    <row r="691" spans="1:54" s="190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2" t="str">
        <f>IF(C691="","",VLOOKUP($B691,勘定科目!$A:$E,4,0))</f>
        <v/>
      </c>
      <c r="E691" s="238"/>
      <c r="F691" s="233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198">
        <f t="shared" si="13"/>
        <v>0</v>
      </c>
      <c r="S691" s="199"/>
      <c r="T691" s="200"/>
      <c r="U691" s="239"/>
      <c r="V691" s="239"/>
      <c r="W691" s="239"/>
      <c r="BA691"/>
      <c r="BB691"/>
    </row>
    <row r="692" spans="1:54" s="190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2" t="str">
        <f>IF(C692="","",VLOOKUP($B692,勘定科目!$A:$E,4,0))</f>
        <v/>
      </c>
      <c r="E692" s="238"/>
      <c r="F692" s="233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198">
        <f t="shared" si="13"/>
        <v>0</v>
      </c>
      <c r="S692" s="199"/>
      <c r="T692" s="200"/>
      <c r="U692" s="239"/>
      <c r="V692" s="239"/>
      <c r="W692" s="239"/>
      <c r="BA692"/>
      <c r="BB692"/>
    </row>
    <row r="693" spans="1:54" s="190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2" t="str">
        <f>IF(C693="","",VLOOKUP($B693,勘定科目!$A:$E,4,0))</f>
        <v/>
      </c>
      <c r="E693" s="238"/>
      <c r="F693" s="233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198">
        <f t="shared" si="13"/>
        <v>0</v>
      </c>
      <c r="S693" s="199"/>
      <c r="T693" s="200"/>
      <c r="U693" s="239"/>
      <c r="V693" s="239"/>
      <c r="W693" s="239"/>
      <c r="BA693"/>
      <c r="BB693"/>
    </row>
    <row r="694" spans="1:54" s="190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2" t="str">
        <f>IF(C694="","",VLOOKUP($B694,勘定科目!$A:$E,4,0))</f>
        <v/>
      </c>
      <c r="E694" s="238"/>
      <c r="F694" s="233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198">
        <f t="shared" si="13"/>
        <v>0</v>
      </c>
      <c r="S694" s="199"/>
      <c r="T694" s="200"/>
      <c r="U694" s="239"/>
      <c r="V694" s="239"/>
      <c r="W694" s="239"/>
      <c r="BA694"/>
      <c r="BB694"/>
    </row>
    <row r="695" spans="1:54" s="190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2" t="str">
        <f>IF(C695="","",VLOOKUP($B695,勘定科目!$A:$E,4,0))</f>
        <v/>
      </c>
      <c r="E695" s="238"/>
      <c r="F695" s="233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198">
        <f t="shared" ref="R695:R758" si="14">SUM(F695:Q695)</f>
        <v>0</v>
      </c>
      <c r="S695" s="199"/>
      <c r="T695" s="200"/>
      <c r="U695" s="239"/>
      <c r="V695" s="239"/>
      <c r="W695" s="239"/>
      <c r="BA695"/>
      <c r="BB695"/>
    </row>
    <row r="696" spans="1:54" s="190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2" t="str">
        <f>IF(C696="","",VLOOKUP($B696,勘定科目!$A:$E,4,0))</f>
        <v/>
      </c>
      <c r="E696" s="238"/>
      <c r="F696" s="233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198">
        <f t="shared" si="14"/>
        <v>0</v>
      </c>
      <c r="S696" s="199"/>
      <c r="T696" s="200"/>
      <c r="U696" s="239"/>
      <c r="V696" s="239"/>
      <c r="W696" s="239"/>
      <c r="BA696"/>
      <c r="BB696"/>
    </row>
    <row r="697" spans="1:54" s="190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2" t="str">
        <f>IF(C697="","",VLOOKUP($B697,勘定科目!$A:$E,4,0))</f>
        <v/>
      </c>
      <c r="E697" s="238"/>
      <c r="F697" s="233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198">
        <f t="shared" si="14"/>
        <v>0</v>
      </c>
      <c r="S697" s="199"/>
      <c r="T697" s="200"/>
      <c r="U697" s="239"/>
      <c r="V697" s="239"/>
      <c r="W697" s="239"/>
      <c r="BA697"/>
      <c r="BB697"/>
    </row>
    <row r="698" spans="1:54" s="190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2" t="str">
        <f>IF(C698="","",VLOOKUP($B698,勘定科目!$A:$E,4,0))</f>
        <v/>
      </c>
      <c r="E698" s="238"/>
      <c r="F698" s="233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198">
        <f t="shared" si="14"/>
        <v>0</v>
      </c>
      <c r="S698" s="199"/>
      <c r="T698" s="200"/>
      <c r="U698" s="239"/>
      <c r="V698" s="239"/>
      <c r="W698" s="239"/>
      <c r="BA698"/>
      <c r="BB698"/>
    </row>
    <row r="699" spans="1:54" s="190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2" t="str">
        <f>IF(C699="","",VLOOKUP($B699,勘定科目!$A:$E,4,0))</f>
        <v/>
      </c>
      <c r="E699" s="238"/>
      <c r="F699" s="233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198">
        <f t="shared" si="14"/>
        <v>0</v>
      </c>
      <c r="S699" s="199"/>
      <c r="T699" s="200"/>
      <c r="U699" s="239"/>
      <c r="V699" s="239"/>
      <c r="W699" s="239"/>
      <c r="BA699"/>
      <c r="BB699"/>
    </row>
    <row r="700" spans="1:54" s="190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2" t="str">
        <f>IF(C700="","",VLOOKUP($B700,勘定科目!$A:$E,4,0))</f>
        <v/>
      </c>
      <c r="E700" s="238"/>
      <c r="F700" s="233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198">
        <f t="shared" si="14"/>
        <v>0</v>
      </c>
      <c r="S700" s="199"/>
      <c r="T700" s="200"/>
      <c r="U700" s="239"/>
      <c r="V700" s="239"/>
      <c r="W700" s="239"/>
      <c r="BA700"/>
      <c r="BB700"/>
    </row>
    <row r="701" spans="1:54" s="190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2" t="str">
        <f>IF(C701="","",VLOOKUP($B701,勘定科目!$A:$E,4,0))</f>
        <v/>
      </c>
      <c r="E701" s="238"/>
      <c r="F701" s="233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198">
        <f t="shared" si="14"/>
        <v>0</v>
      </c>
      <c r="S701" s="199"/>
      <c r="T701" s="200"/>
      <c r="U701" s="239"/>
      <c r="V701" s="239"/>
      <c r="W701" s="239"/>
      <c r="BA701"/>
      <c r="BB701"/>
    </row>
    <row r="702" spans="1:54" s="190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2" t="str">
        <f>IF(C702="","",VLOOKUP($B702,勘定科目!$A:$E,4,0))</f>
        <v/>
      </c>
      <c r="E702" s="238"/>
      <c r="F702" s="233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198">
        <f t="shared" si="14"/>
        <v>0</v>
      </c>
      <c r="S702" s="199"/>
      <c r="T702" s="200"/>
      <c r="U702" s="239"/>
      <c r="V702" s="239"/>
      <c r="W702" s="239"/>
      <c r="BA702"/>
      <c r="BB702"/>
    </row>
    <row r="703" spans="1:54" s="190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2" t="str">
        <f>IF(C703="","",VLOOKUP($B703,勘定科目!$A:$E,4,0))</f>
        <v/>
      </c>
      <c r="E703" s="238"/>
      <c r="F703" s="233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198">
        <f t="shared" si="14"/>
        <v>0</v>
      </c>
      <c r="S703" s="199"/>
      <c r="T703" s="200"/>
      <c r="U703" s="239"/>
      <c r="V703" s="239"/>
      <c r="W703" s="239"/>
      <c r="BA703"/>
      <c r="BB703"/>
    </row>
    <row r="704" spans="1:54" s="190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2" t="str">
        <f>IF(C704="","",VLOOKUP($B704,勘定科目!$A:$E,4,0))</f>
        <v/>
      </c>
      <c r="E704" s="238"/>
      <c r="F704" s="233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198">
        <f t="shared" si="14"/>
        <v>0</v>
      </c>
      <c r="S704" s="199"/>
      <c r="T704" s="200"/>
      <c r="U704" s="239"/>
      <c r="V704" s="239"/>
      <c r="W704" s="239"/>
      <c r="BA704"/>
      <c r="BB704"/>
    </row>
    <row r="705" spans="1:54" s="190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2" t="str">
        <f>IF(C705="","",VLOOKUP($B705,勘定科目!$A:$E,4,0))</f>
        <v/>
      </c>
      <c r="E705" s="238"/>
      <c r="F705" s="233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198">
        <f t="shared" si="14"/>
        <v>0</v>
      </c>
      <c r="S705" s="199"/>
      <c r="T705" s="200"/>
      <c r="U705" s="239"/>
      <c r="V705" s="239"/>
      <c r="W705" s="239"/>
      <c r="BA705"/>
      <c r="BB705"/>
    </row>
    <row r="706" spans="1:54" s="190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2" t="str">
        <f>IF(C706="","",VLOOKUP($B706,勘定科目!$A:$E,4,0))</f>
        <v/>
      </c>
      <c r="E706" s="238"/>
      <c r="F706" s="233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198">
        <f t="shared" si="14"/>
        <v>0</v>
      </c>
      <c r="S706" s="199"/>
      <c r="T706" s="200"/>
      <c r="U706" s="239"/>
      <c r="V706" s="239"/>
      <c r="W706" s="239"/>
      <c r="BA706"/>
      <c r="BB706"/>
    </row>
    <row r="707" spans="1:54" s="190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2" t="str">
        <f>IF(C707="","",VLOOKUP($B707,勘定科目!$A:$E,4,0))</f>
        <v/>
      </c>
      <c r="E707" s="238"/>
      <c r="F707" s="233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198">
        <f t="shared" si="14"/>
        <v>0</v>
      </c>
      <c r="S707" s="199"/>
      <c r="T707" s="200"/>
      <c r="U707" s="239"/>
      <c r="V707" s="239"/>
      <c r="W707" s="239"/>
      <c r="BA707"/>
      <c r="BB707"/>
    </row>
    <row r="708" spans="1:54" s="190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2" t="str">
        <f>IF(C708="","",VLOOKUP($B708,勘定科目!$A:$E,4,0))</f>
        <v/>
      </c>
      <c r="E708" s="238"/>
      <c r="F708" s="233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198">
        <f t="shared" si="14"/>
        <v>0</v>
      </c>
      <c r="S708" s="199"/>
      <c r="T708" s="200"/>
      <c r="U708" s="239"/>
      <c r="V708" s="239"/>
      <c r="W708" s="239"/>
      <c r="BA708"/>
      <c r="BB708"/>
    </row>
    <row r="709" spans="1:54" s="190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2" t="str">
        <f>IF(C709="","",VLOOKUP($B709,勘定科目!$A:$E,4,0))</f>
        <v/>
      </c>
      <c r="E709" s="238"/>
      <c r="F709" s="233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198">
        <f t="shared" si="14"/>
        <v>0</v>
      </c>
      <c r="S709" s="199"/>
      <c r="T709" s="200"/>
      <c r="U709" s="239"/>
      <c r="V709" s="239"/>
      <c r="W709" s="239"/>
      <c r="BA709"/>
      <c r="BB709"/>
    </row>
    <row r="710" spans="1:54" s="190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2" t="str">
        <f>IF(C710="","",VLOOKUP($B710,勘定科目!$A:$E,4,0))</f>
        <v/>
      </c>
      <c r="E710" s="238"/>
      <c r="F710" s="233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198">
        <f t="shared" si="14"/>
        <v>0</v>
      </c>
      <c r="S710" s="199"/>
      <c r="T710" s="200"/>
      <c r="U710" s="239"/>
      <c r="V710" s="239"/>
      <c r="W710" s="239"/>
      <c r="BA710"/>
      <c r="BB710"/>
    </row>
    <row r="711" spans="1:54" s="190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2" t="str">
        <f>IF(C711="","",VLOOKUP($B711,勘定科目!$A:$E,4,0))</f>
        <v/>
      </c>
      <c r="E711" s="238"/>
      <c r="F711" s="233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198">
        <f t="shared" si="14"/>
        <v>0</v>
      </c>
      <c r="S711" s="199"/>
      <c r="T711" s="200"/>
      <c r="U711" s="239"/>
      <c r="V711" s="239"/>
      <c r="W711" s="239"/>
      <c r="BA711"/>
      <c r="BB711"/>
    </row>
    <row r="712" spans="1:54" s="190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2" t="str">
        <f>IF(C712="","",VLOOKUP($B712,勘定科目!$A:$E,4,0))</f>
        <v/>
      </c>
      <c r="E712" s="238"/>
      <c r="F712" s="233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198">
        <f t="shared" si="14"/>
        <v>0</v>
      </c>
      <c r="S712" s="199"/>
      <c r="T712" s="200"/>
      <c r="U712" s="239"/>
      <c r="V712" s="239"/>
      <c r="W712" s="239"/>
      <c r="BA712"/>
      <c r="BB712"/>
    </row>
    <row r="713" spans="1:54" s="190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2" t="str">
        <f>IF(C713="","",VLOOKUP($B713,勘定科目!$A:$E,4,0))</f>
        <v/>
      </c>
      <c r="E713" s="238"/>
      <c r="F713" s="233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198">
        <f t="shared" si="14"/>
        <v>0</v>
      </c>
      <c r="S713" s="199"/>
      <c r="T713" s="200"/>
      <c r="U713" s="239"/>
      <c r="V713" s="239"/>
      <c r="W713" s="239"/>
      <c r="BA713"/>
      <c r="BB713"/>
    </row>
    <row r="714" spans="1:54" s="190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2" t="str">
        <f>IF(C714="","",VLOOKUP($B714,勘定科目!$A:$E,4,0))</f>
        <v/>
      </c>
      <c r="E714" s="238"/>
      <c r="F714" s="233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198">
        <f t="shared" si="14"/>
        <v>0</v>
      </c>
      <c r="S714" s="199"/>
      <c r="T714" s="200"/>
      <c r="U714" s="239"/>
      <c r="V714" s="239"/>
      <c r="W714" s="239"/>
      <c r="BA714"/>
      <c r="BB714"/>
    </row>
    <row r="715" spans="1:54" s="190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2" t="str">
        <f>IF(C715="","",VLOOKUP($B715,勘定科目!$A:$E,4,0))</f>
        <v/>
      </c>
      <c r="E715" s="238"/>
      <c r="F715" s="233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198">
        <f t="shared" si="14"/>
        <v>0</v>
      </c>
      <c r="S715" s="199"/>
      <c r="T715" s="200"/>
      <c r="U715" s="239"/>
      <c r="V715" s="239"/>
      <c r="W715" s="239"/>
      <c r="BA715"/>
      <c r="BB715"/>
    </row>
    <row r="716" spans="1:54" s="190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2" t="str">
        <f>IF(C716="","",VLOOKUP($B716,勘定科目!$A:$E,4,0))</f>
        <v/>
      </c>
      <c r="E716" s="238"/>
      <c r="F716" s="233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198">
        <f t="shared" si="14"/>
        <v>0</v>
      </c>
      <c r="S716" s="199"/>
      <c r="T716" s="200"/>
      <c r="U716" s="239"/>
      <c r="V716" s="239"/>
      <c r="W716" s="239"/>
      <c r="BA716"/>
      <c r="BB716"/>
    </row>
    <row r="717" spans="1:54" s="190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2" t="str">
        <f>IF(C717="","",VLOOKUP($B717,勘定科目!$A:$E,4,0))</f>
        <v/>
      </c>
      <c r="E717" s="238"/>
      <c r="F717" s="233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198">
        <f t="shared" si="14"/>
        <v>0</v>
      </c>
      <c r="S717" s="199"/>
      <c r="T717" s="200"/>
      <c r="U717" s="239"/>
      <c r="V717" s="239"/>
      <c r="W717" s="239"/>
      <c r="BA717"/>
      <c r="BB717"/>
    </row>
    <row r="718" spans="1:54" s="190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2" t="str">
        <f>IF(C718="","",VLOOKUP($B718,勘定科目!$A:$E,4,0))</f>
        <v/>
      </c>
      <c r="E718" s="238"/>
      <c r="F718" s="233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198">
        <f t="shared" si="14"/>
        <v>0</v>
      </c>
      <c r="S718" s="199"/>
      <c r="T718" s="200"/>
      <c r="U718" s="239"/>
      <c r="V718" s="239"/>
      <c r="W718" s="239"/>
      <c r="BA718"/>
      <c r="BB718"/>
    </row>
    <row r="719" spans="1:54" s="190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2" t="str">
        <f>IF(C719="","",VLOOKUP($B719,勘定科目!$A:$E,4,0))</f>
        <v/>
      </c>
      <c r="E719" s="238"/>
      <c r="F719" s="233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198">
        <f t="shared" si="14"/>
        <v>0</v>
      </c>
      <c r="S719" s="199"/>
      <c r="T719" s="200"/>
      <c r="U719" s="239"/>
      <c r="V719" s="239"/>
      <c r="W719" s="239"/>
      <c r="BA719"/>
      <c r="BB719"/>
    </row>
    <row r="720" spans="1:54" s="190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2" t="str">
        <f>IF(C720="","",VLOOKUP($B720,勘定科目!$A:$E,4,0))</f>
        <v/>
      </c>
      <c r="E720" s="238"/>
      <c r="F720" s="233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198">
        <f t="shared" si="14"/>
        <v>0</v>
      </c>
      <c r="S720" s="199"/>
      <c r="T720" s="200"/>
      <c r="U720" s="239"/>
      <c r="V720" s="239"/>
      <c r="W720" s="239"/>
      <c r="BA720"/>
      <c r="BB720"/>
    </row>
    <row r="721" spans="1:54" s="190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2" t="str">
        <f>IF(C721="","",VLOOKUP($B721,勘定科目!$A:$E,4,0))</f>
        <v/>
      </c>
      <c r="E721" s="238"/>
      <c r="F721" s="233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198">
        <f t="shared" si="14"/>
        <v>0</v>
      </c>
      <c r="S721" s="199"/>
      <c r="T721" s="200"/>
      <c r="U721" s="239"/>
      <c r="V721" s="239"/>
      <c r="W721" s="239"/>
      <c r="BA721"/>
      <c r="BB721"/>
    </row>
    <row r="722" spans="1:54" s="190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2" t="str">
        <f>IF(C722="","",VLOOKUP($B722,勘定科目!$A:$E,4,0))</f>
        <v/>
      </c>
      <c r="E722" s="238"/>
      <c r="F722" s="233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198">
        <f t="shared" si="14"/>
        <v>0</v>
      </c>
      <c r="S722" s="199"/>
      <c r="T722" s="200"/>
      <c r="U722" s="239"/>
      <c r="V722" s="239"/>
      <c r="W722" s="239"/>
      <c r="BA722"/>
      <c r="BB722"/>
    </row>
    <row r="723" spans="1:54" s="190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2" t="str">
        <f>IF(C723="","",VLOOKUP($B723,勘定科目!$A:$E,4,0))</f>
        <v/>
      </c>
      <c r="E723" s="238"/>
      <c r="F723" s="233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198">
        <f t="shared" si="14"/>
        <v>0</v>
      </c>
      <c r="S723" s="199"/>
      <c r="T723" s="200"/>
      <c r="U723" s="239"/>
      <c r="V723" s="239"/>
      <c r="W723" s="239"/>
      <c r="BA723"/>
      <c r="BB723"/>
    </row>
    <row r="724" spans="1:54" s="190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2" t="str">
        <f>IF(C724="","",VLOOKUP($B724,勘定科目!$A:$E,4,0))</f>
        <v/>
      </c>
      <c r="E724" s="238"/>
      <c r="F724" s="233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198">
        <f t="shared" si="14"/>
        <v>0</v>
      </c>
      <c r="S724" s="199"/>
      <c r="T724" s="200"/>
      <c r="U724" s="239"/>
      <c r="V724" s="239"/>
      <c r="W724" s="239"/>
      <c r="BA724"/>
      <c r="BB724"/>
    </row>
    <row r="725" spans="1:54" s="190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2" t="str">
        <f>IF(C725="","",VLOOKUP($B725,勘定科目!$A:$E,4,0))</f>
        <v/>
      </c>
      <c r="E725" s="238"/>
      <c r="F725" s="233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198">
        <f t="shared" si="14"/>
        <v>0</v>
      </c>
      <c r="S725" s="199"/>
      <c r="T725" s="200"/>
      <c r="U725" s="239"/>
      <c r="V725" s="239"/>
      <c r="W725" s="239"/>
      <c r="BA725"/>
      <c r="BB725"/>
    </row>
    <row r="726" spans="1:54" s="190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2" t="str">
        <f>IF(C726="","",VLOOKUP($B726,勘定科目!$A:$E,4,0))</f>
        <v/>
      </c>
      <c r="E726" s="238"/>
      <c r="F726" s="233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198">
        <f t="shared" si="14"/>
        <v>0</v>
      </c>
      <c r="S726" s="199"/>
      <c r="T726" s="200"/>
      <c r="U726" s="239"/>
      <c r="V726" s="239"/>
      <c r="W726" s="239"/>
      <c r="BA726"/>
      <c r="BB726"/>
    </row>
    <row r="727" spans="1:54" s="190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2" t="str">
        <f>IF(C727="","",VLOOKUP($B727,勘定科目!$A:$E,4,0))</f>
        <v/>
      </c>
      <c r="E727" s="238"/>
      <c r="F727" s="233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198">
        <f t="shared" si="14"/>
        <v>0</v>
      </c>
      <c r="S727" s="199"/>
      <c r="T727" s="200"/>
      <c r="U727" s="239"/>
      <c r="V727" s="239"/>
      <c r="W727" s="239"/>
      <c r="BA727"/>
      <c r="BB727"/>
    </row>
    <row r="728" spans="1:54" s="190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2" t="str">
        <f>IF(C728="","",VLOOKUP($B728,勘定科目!$A:$E,4,0))</f>
        <v/>
      </c>
      <c r="E728" s="238"/>
      <c r="F728" s="233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198">
        <f t="shared" si="14"/>
        <v>0</v>
      </c>
      <c r="S728" s="199"/>
      <c r="T728" s="200"/>
      <c r="U728" s="239"/>
      <c r="V728" s="239"/>
      <c r="W728" s="239"/>
      <c r="BA728"/>
      <c r="BB728"/>
    </row>
    <row r="729" spans="1:54" s="190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2" t="str">
        <f>IF(C729="","",VLOOKUP($B729,勘定科目!$A:$E,4,0))</f>
        <v/>
      </c>
      <c r="E729" s="238"/>
      <c r="F729" s="233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198">
        <f t="shared" si="14"/>
        <v>0</v>
      </c>
      <c r="S729" s="199"/>
      <c r="T729" s="200"/>
      <c r="U729" s="239"/>
      <c r="V729" s="239"/>
      <c r="W729" s="239"/>
      <c r="BA729"/>
      <c r="BB729"/>
    </row>
    <row r="730" spans="1:54" s="190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2" t="str">
        <f>IF(C730="","",VLOOKUP($B730,勘定科目!$A:$E,4,0))</f>
        <v/>
      </c>
      <c r="E730" s="238"/>
      <c r="F730" s="233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198">
        <f t="shared" si="14"/>
        <v>0</v>
      </c>
      <c r="S730" s="199"/>
      <c r="T730" s="200"/>
      <c r="U730" s="239"/>
      <c r="V730" s="239"/>
      <c r="W730" s="239"/>
      <c r="BA730"/>
      <c r="BB730"/>
    </row>
    <row r="731" spans="1:54" s="190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2" t="str">
        <f>IF(C731="","",VLOOKUP($B731,勘定科目!$A:$E,4,0))</f>
        <v/>
      </c>
      <c r="E731" s="238"/>
      <c r="F731" s="233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198">
        <f t="shared" si="14"/>
        <v>0</v>
      </c>
      <c r="S731" s="199"/>
      <c r="T731" s="200"/>
      <c r="U731" s="239"/>
      <c r="V731" s="239"/>
      <c r="W731" s="239"/>
      <c r="BA731"/>
      <c r="BB731"/>
    </row>
    <row r="732" spans="1:54" s="190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2" t="str">
        <f>IF(C732="","",VLOOKUP($B732,勘定科目!$A:$E,4,0))</f>
        <v/>
      </c>
      <c r="E732" s="238"/>
      <c r="F732" s="233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198">
        <f t="shared" si="14"/>
        <v>0</v>
      </c>
      <c r="S732" s="199"/>
      <c r="T732" s="200"/>
      <c r="U732" s="239"/>
      <c r="V732" s="239"/>
      <c r="W732" s="239"/>
      <c r="BA732"/>
      <c r="BB732"/>
    </row>
    <row r="733" spans="1:54" s="190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2" t="str">
        <f>IF(C733="","",VLOOKUP($B733,勘定科目!$A:$E,4,0))</f>
        <v/>
      </c>
      <c r="E733" s="238"/>
      <c r="F733" s="233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198">
        <f t="shared" si="14"/>
        <v>0</v>
      </c>
      <c r="S733" s="199"/>
      <c r="T733" s="200"/>
      <c r="U733" s="239"/>
      <c r="V733" s="239"/>
      <c r="W733" s="239"/>
      <c r="BA733"/>
      <c r="BB733"/>
    </row>
    <row r="734" spans="1:54" s="190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2" t="str">
        <f>IF(C734="","",VLOOKUP($B734,勘定科目!$A:$E,4,0))</f>
        <v/>
      </c>
      <c r="E734" s="238"/>
      <c r="F734" s="233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198">
        <f t="shared" si="14"/>
        <v>0</v>
      </c>
      <c r="S734" s="199"/>
      <c r="T734" s="200"/>
      <c r="U734" s="239"/>
      <c r="V734" s="239"/>
      <c r="W734" s="239"/>
      <c r="BA734"/>
      <c r="BB734"/>
    </row>
    <row r="735" spans="1:54" s="190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2" t="str">
        <f>IF(C735="","",VLOOKUP($B735,勘定科目!$A:$E,4,0))</f>
        <v/>
      </c>
      <c r="E735" s="238"/>
      <c r="F735" s="233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198">
        <f t="shared" si="14"/>
        <v>0</v>
      </c>
      <c r="S735" s="199"/>
      <c r="T735" s="200"/>
      <c r="U735" s="239"/>
      <c r="V735" s="239"/>
      <c r="W735" s="239"/>
      <c r="BA735"/>
      <c r="BB735"/>
    </row>
    <row r="736" spans="1:54" s="190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2" t="str">
        <f>IF(C736="","",VLOOKUP($B736,勘定科目!$A:$E,4,0))</f>
        <v/>
      </c>
      <c r="E736" s="238"/>
      <c r="F736" s="233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198">
        <f t="shared" si="14"/>
        <v>0</v>
      </c>
      <c r="S736" s="199"/>
      <c r="T736" s="200"/>
      <c r="U736" s="239"/>
      <c r="V736" s="239"/>
      <c r="W736" s="239"/>
      <c r="BA736"/>
      <c r="BB736"/>
    </row>
    <row r="737" spans="1:54" s="190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2" t="str">
        <f>IF(C737="","",VLOOKUP($B737,勘定科目!$A:$E,4,0))</f>
        <v/>
      </c>
      <c r="E737" s="238"/>
      <c r="F737" s="233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198">
        <f t="shared" si="14"/>
        <v>0</v>
      </c>
      <c r="S737" s="199"/>
      <c r="T737" s="200"/>
      <c r="U737" s="239"/>
      <c r="V737" s="239"/>
      <c r="W737" s="239"/>
      <c r="BA737"/>
      <c r="BB737"/>
    </row>
    <row r="738" spans="1:54" s="190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2" t="str">
        <f>IF(C738="","",VLOOKUP($B738,勘定科目!$A:$E,4,0))</f>
        <v/>
      </c>
      <c r="E738" s="238"/>
      <c r="F738" s="233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198">
        <f t="shared" si="14"/>
        <v>0</v>
      </c>
      <c r="S738" s="199"/>
      <c r="T738" s="200"/>
      <c r="U738" s="239"/>
      <c r="V738" s="239"/>
      <c r="W738" s="239"/>
      <c r="BA738"/>
      <c r="BB738"/>
    </row>
    <row r="739" spans="1:54" s="190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2" t="str">
        <f>IF(C739="","",VLOOKUP($B739,勘定科目!$A:$E,4,0))</f>
        <v/>
      </c>
      <c r="E739" s="238"/>
      <c r="F739" s="233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198">
        <f t="shared" si="14"/>
        <v>0</v>
      </c>
      <c r="S739" s="199"/>
      <c r="T739" s="200"/>
      <c r="U739" s="239"/>
      <c r="V739" s="239"/>
      <c r="W739" s="239"/>
      <c r="BA739"/>
      <c r="BB739"/>
    </row>
    <row r="740" spans="1:54" s="190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2" t="str">
        <f>IF(C740="","",VLOOKUP($B740,勘定科目!$A:$E,4,0))</f>
        <v/>
      </c>
      <c r="E740" s="238"/>
      <c r="F740" s="233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198">
        <f t="shared" si="14"/>
        <v>0</v>
      </c>
      <c r="S740" s="199"/>
      <c r="T740" s="200"/>
      <c r="U740" s="239"/>
      <c r="V740" s="239"/>
      <c r="W740" s="239"/>
      <c r="BA740"/>
      <c r="BB740"/>
    </row>
    <row r="741" spans="1:54" s="190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2" t="str">
        <f>IF(C741="","",VLOOKUP($B741,勘定科目!$A:$E,4,0))</f>
        <v/>
      </c>
      <c r="E741" s="238"/>
      <c r="F741" s="233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198">
        <f t="shared" si="14"/>
        <v>0</v>
      </c>
      <c r="S741" s="199"/>
      <c r="T741" s="200"/>
      <c r="U741" s="239"/>
      <c r="V741" s="239"/>
      <c r="W741" s="239"/>
      <c r="BA741"/>
      <c r="BB741"/>
    </row>
    <row r="742" spans="1:54" s="190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2" t="str">
        <f>IF(C742="","",VLOOKUP($B742,勘定科目!$A:$E,4,0))</f>
        <v/>
      </c>
      <c r="E742" s="238"/>
      <c r="F742" s="233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198">
        <f t="shared" si="14"/>
        <v>0</v>
      </c>
      <c r="S742" s="199"/>
      <c r="T742" s="200"/>
      <c r="U742" s="239"/>
      <c r="V742" s="239"/>
      <c r="W742" s="239"/>
      <c r="BA742"/>
      <c r="BB742"/>
    </row>
    <row r="743" spans="1:54" s="190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2" t="str">
        <f>IF(C743="","",VLOOKUP($B743,勘定科目!$A:$E,4,0))</f>
        <v/>
      </c>
      <c r="E743" s="238"/>
      <c r="F743" s="233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198">
        <f t="shared" si="14"/>
        <v>0</v>
      </c>
      <c r="S743" s="199"/>
      <c r="T743" s="200"/>
      <c r="U743" s="239"/>
      <c r="V743" s="239"/>
      <c r="W743" s="239"/>
      <c r="BA743"/>
      <c r="BB743"/>
    </row>
    <row r="744" spans="1:54" s="190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2" t="str">
        <f>IF(C744="","",VLOOKUP($B744,勘定科目!$A:$E,4,0))</f>
        <v/>
      </c>
      <c r="E744" s="238"/>
      <c r="F744" s="233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198">
        <f t="shared" si="14"/>
        <v>0</v>
      </c>
      <c r="S744" s="199"/>
      <c r="T744" s="200"/>
      <c r="U744" s="239"/>
      <c r="V744" s="239"/>
      <c r="W744" s="239"/>
      <c r="BA744"/>
      <c r="BB744"/>
    </row>
    <row r="745" spans="1:54" s="190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2" t="str">
        <f>IF(C745="","",VLOOKUP($B745,勘定科目!$A:$E,4,0))</f>
        <v/>
      </c>
      <c r="E745" s="238"/>
      <c r="F745" s="233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198">
        <f t="shared" si="14"/>
        <v>0</v>
      </c>
      <c r="S745" s="199"/>
      <c r="T745" s="200"/>
      <c r="U745" s="239"/>
      <c r="V745" s="239"/>
      <c r="W745" s="239"/>
      <c r="BA745"/>
      <c r="BB745"/>
    </row>
    <row r="746" spans="1:54" s="190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2" t="str">
        <f>IF(C746="","",VLOOKUP($B746,勘定科目!$A:$E,4,0))</f>
        <v/>
      </c>
      <c r="E746" s="238"/>
      <c r="F746" s="233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198">
        <f t="shared" si="14"/>
        <v>0</v>
      </c>
      <c r="S746" s="199"/>
      <c r="T746" s="200"/>
      <c r="U746" s="239"/>
      <c r="V746" s="239"/>
      <c r="W746" s="239"/>
      <c r="BA746"/>
      <c r="BB746"/>
    </row>
    <row r="747" spans="1:54" s="190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2" t="str">
        <f>IF(C747="","",VLOOKUP($B747,勘定科目!$A:$E,4,0))</f>
        <v/>
      </c>
      <c r="E747" s="238"/>
      <c r="F747" s="233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198">
        <f t="shared" si="14"/>
        <v>0</v>
      </c>
      <c r="S747" s="199"/>
      <c r="T747" s="200"/>
      <c r="U747" s="239"/>
      <c r="V747" s="239"/>
      <c r="W747" s="239"/>
      <c r="BA747"/>
      <c r="BB747"/>
    </row>
    <row r="748" spans="1:54" s="190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2" t="str">
        <f>IF(C748="","",VLOOKUP($B748,勘定科目!$A:$E,4,0))</f>
        <v/>
      </c>
      <c r="E748" s="238"/>
      <c r="F748" s="233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198">
        <f t="shared" si="14"/>
        <v>0</v>
      </c>
      <c r="S748" s="199"/>
      <c r="T748" s="200"/>
      <c r="U748" s="239"/>
      <c r="V748" s="239"/>
      <c r="W748" s="239"/>
      <c r="BA748"/>
      <c r="BB748"/>
    </row>
    <row r="749" spans="1:54" s="190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2" t="str">
        <f>IF(C749="","",VLOOKUP($B749,勘定科目!$A:$E,4,0))</f>
        <v/>
      </c>
      <c r="E749" s="238"/>
      <c r="F749" s="233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198">
        <f t="shared" si="14"/>
        <v>0</v>
      </c>
      <c r="S749" s="199"/>
      <c r="T749" s="200"/>
      <c r="U749" s="239"/>
      <c r="V749" s="239"/>
      <c r="W749" s="239"/>
      <c r="BA749"/>
      <c r="BB749"/>
    </row>
    <row r="750" spans="1:54" s="190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2" t="str">
        <f>IF(C750="","",VLOOKUP($B750,勘定科目!$A:$E,4,0))</f>
        <v/>
      </c>
      <c r="E750" s="238"/>
      <c r="F750" s="233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198">
        <f t="shared" si="14"/>
        <v>0</v>
      </c>
      <c r="S750" s="199"/>
      <c r="T750" s="200"/>
      <c r="U750" s="239"/>
      <c r="V750" s="239"/>
      <c r="W750" s="239"/>
      <c r="BA750"/>
      <c r="BB750"/>
    </row>
    <row r="751" spans="1:54" s="190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2" t="str">
        <f>IF(C751="","",VLOOKUP($B751,勘定科目!$A:$E,4,0))</f>
        <v/>
      </c>
      <c r="E751" s="238"/>
      <c r="F751" s="233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198">
        <f t="shared" si="14"/>
        <v>0</v>
      </c>
      <c r="S751" s="199"/>
      <c r="T751" s="200"/>
      <c r="U751" s="239"/>
      <c r="V751" s="239"/>
      <c r="W751" s="239"/>
      <c r="BA751"/>
      <c r="BB751"/>
    </row>
    <row r="752" spans="1:54" s="190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2" t="str">
        <f>IF(C752="","",VLOOKUP($B752,勘定科目!$A:$E,4,0))</f>
        <v/>
      </c>
      <c r="E752" s="238"/>
      <c r="F752" s="233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198">
        <f t="shared" si="14"/>
        <v>0</v>
      </c>
      <c r="S752" s="199"/>
      <c r="T752" s="200"/>
      <c r="U752" s="239"/>
      <c r="V752" s="239"/>
      <c r="W752" s="239"/>
      <c r="BA752"/>
      <c r="BB752"/>
    </row>
    <row r="753" spans="1:54" s="190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2" t="str">
        <f>IF(C753="","",VLOOKUP($B753,勘定科目!$A:$E,4,0))</f>
        <v/>
      </c>
      <c r="E753" s="238"/>
      <c r="F753" s="233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198">
        <f t="shared" si="14"/>
        <v>0</v>
      </c>
      <c r="S753" s="199"/>
      <c r="T753" s="200"/>
      <c r="U753" s="239"/>
      <c r="V753" s="239"/>
      <c r="W753" s="239"/>
      <c r="BA753"/>
      <c r="BB753"/>
    </row>
    <row r="754" spans="1:54" s="190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2" t="str">
        <f>IF(C754="","",VLOOKUP($B754,勘定科目!$A:$E,4,0))</f>
        <v/>
      </c>
      <c r="E754" s="238"/>
      <c r="F754" s="233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198">
        <f t="shared" si="14"/>
        <v>0</v>
      </c>
      <c r="S754" s="199"/>
      <c r="T754" s="200"/>
      <c r="U754" s="239"/>
      <c r="V754" s="239"/>
      <c r="W754" s="239"/>
      <c r="BA754"/>
      <c r="BB754"/>
    </row>
    <row r="755" spans="1:54" s="190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2" t="str">
        <f>IF(C755="","",VLOOKUP($B755,勘定科目!$A:$E,4,0))</f>
        <v/>
      </c>
      <c r="E755" s="238"/>
      <c r="F755" s="233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198">
        <f t="shared" si="14"/>
        <v>0</v>
      </c>
      <c r="S755" s="199"/>
      <c r="T755" s="200"/>
      <c r="U755" s="239"/>
      <c r="V755" s="239"/>
      <c r="W755" s="239"/>
      <c r="BA755"/>
      <c r="BB755"/>
    </row>
    <row r="756" spans="1:54" s="190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2" t="str">
        <f>IF(C756="","",VLOOKUP($B756,勘定科目!$A:$E,4,0))</f>
        <v/>
      </c>
      <c r="E756" s="238"/>
      <c r="F756" s="233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198">
        <f t="shared" si="14"/>
        <v>0</v>
      </c>
      <c r="S756" s="199"/>
      <c r="T756" s="200"/>
      <c r="U756" s="239"/>
      <c r="V756" s="239"/>
      <c r="W756" s="239"/>
      <c r="BA756"/>
      <c r="BB756"/>
    </row>
    <row r="757" spans="1:54" s="190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2" t="str">
        <f>IF(C757="","",VLOOKUP($B757,勘定科目!$A:$E,4,0))</f>
        <v/>
      </c>
      <c r="E757" s="238"/>
      <c r="F757" s="233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198">
        <f t="shared" si="14"/>
        <v>0</v>
      </c>
      <c r="S757" s="199"/>
      <c r="T757" s="200"/>
      <c r="U757" s="239"/>
      <c r="V757" s="239"/>
      <c r="W757" s="239"/>
      <c r="BA757"/>
      <c r="BB757"/>
    </row>
    <row r="758" spans="1:54" s="190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2" t="str">
        <f>IF(C758="","",VLOOKUP($B758,勘定科目!$A:$E,4,0))</f>
        <v/>
      </c>
      <c r="E758" s="238"/>
      <c r="F758" s="233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198">
        <f t="shared" si="14"/>
        <v>0</v>
      </c>
      <c r="S758" s="199"/>
      <c r="T758" s="200"/>
      <c r="U758" s="239"/>
      <c r="V758" s="239"/>
      <c r="W758" s="239"/>
      <c r="BA758"/>
      <c r="BB758"/>
    </row>
    <row r="759" spans="1:54" s="190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2" t="str">
        <f>IF(C759="","",VLOOKUP($B759,勘定科目!$A:$E,4,0))</f>
        <v/>
      </c>
      <c r="E759" s="238"/>
      <c r="F759" s="233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198">
        <f t="shared" ref="R759:R799" si="15">SUM(F759:Q759)</f>
        <v>0</v>
      </c>
      <c r="S759" s="199"/>
      <c r="T759" s="200"/>
      <c r="U759" s="239"/>
      <c r="V759" s="239"/>
      <c r="W759" s="239"/>
      <c r="BA759"/>
      <c r="BB759"/>
    </row>
    <row r="760" spans="1:54" s="190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2" t="str">
        <f>IF(C760="","",VLOOKUP($B760,勘定科目!$A:$E,4,0))</f>
        <v/>
      </c>
      <c r="E760" s="238"/>
      <c r="F760" s="233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198">
        <f t="shared" si="15"/>
        <v>0</v>
      </c>
      <c r="S760" s="199"/>
      <c r="T760" s="200"/>
      <c r="U760" s="239"/>
      <c r="V760" s="239"/>
      <c r="W760" s="239"/>
      <c r="BA760"/>
      <c r="BB760"/>
    </row>
    <row r="761" spans="1:54" s="190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2" t="str">
        <f>IF(C761="","",VLOOKUP($B761,勘定科目!$A:$E,4,0))</f>
        <v/>
      </c>
      <c r="E761" s="238"/>
      <c r="F761" s="233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198">
        <f t="shared" si="15"/>
        <v>0</v>
      </c>
      <c r="S761" s="199"/>
      <c r="T761" s="200"/>
      <c r="U761" s="239"/>
      <c r="V761" s="239"/>
      <c r="W761" s="239"/>
      <c r="BA761"/>
      <c r="BB761"/>
    </row>
    <row r="762" spans="1:54" s="190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2" t="str">
        <f>IF(C762="","",VLOOKUP($B762,勘定科目!$A:$E,4,0))</f>
        <v/>
      </c>
      <c r="E762" s="238"/>
      <c r="F762" s="233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198">
        <f t="shared" si="15"/>
        <v>0</v>
      </c>
      <c r="S762" s="199"/>
      <c r="T762" s="200"/>
      <c r="U762" s="239"/>
      <c r="V762" s="239"/>
      <c r="W762" s="239"/>
      <c r="BA762"/>
      <c r="BB762"/>
    </row>
    <row r="763" spans="1:54" s="190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2" t="str">
        <f>IF(C763="","",VLOOKUP($B763,勘定科目!$A:$E,4,0))</f>
        <v/>
      </c>
      <c r="E763" s="238"/>
      <c r="F763" s="233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198">
        <f t="shared" si="15"/>
        <v>0</v>
      </c>
      <c r="S763" s="199"/>
      <c r="T763" s="200"/>
      <c r="U763" s="239"/>
      <c r="V763" s="239"/>
      <c r="W763" s="239"/>
      <c r="BA763"/>
      <c r="BB763"/>
    </row>
    <row r="764" spans="1:54" s="190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2" t="str">
        <f>IF(C764="","",VLOOKUP($B764,勘定科目!$A:$E,4,0))</f>
        <v/>
      </c>
      <c r="E764" s="238"/>
      <c r="F764" s="233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198">
        <f t="shared" si="15"/>
        <v>0</v>
      </c>
      <c r="S764" s="199"/>
      <c r="T764" s="200"/>
      <c r="U764" s="239"/>
      <c r="V764" s="239"/>
      <c r="W764" s="239"/>
      <c r="BA764"/>
      <c r="BB764"/>
    </row>
    <row r="765" spans="1:54" s="190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2" t="str">
        <f>IF(C765="","",VLOOKUP($B765,勘定科目!$A:$E,4,0))</f>
        <v/>
      </c>
      <c r="E765" s="238"/>
      <c r="F765" s="233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198">
        <f t="shared" si="15"/>
        <v>0</v>
      </c>
      <c r="S765" s="199"/>
      <c r="T765" s="200"/>
      <c r="U765" s="239"/>
      <c r="V765" s="239"/>
      <c r="W765" s="239"/>
      <c r="BA765"/>
      <c r="BB765"/>
    </row>
    <row r="766" spans="1:54" s="190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2" t="str">
        <f>IF(C766="","",VLOOKUP($B766,勘定科目!$A:$E,4,0))</f>
        <v/>
      </c>
      <c r="E766" s="238"/>
      <c r="F766" s="233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198">
        <f t="shared" si="15"/>
        <v>0</v>
      </c>
      <c r="S766" s="199"/>
      <c r="T766" s="200"/>
      <c r="U766" s="239"/>
      <c r="V766" s="239"/>
      <c r="W766" s="239"/>
      <c r="BA766"/>
      <c r="BB766"/>
    </row>
    <row r="767" spans="1:54" s="190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2" t="str">
        <f>IF(C767="","",VLOOKUP($B767,勘定科目!$A:$E,4,0))</f>
        <v/>
      </c>
      <c r="E767" s="238"/>
      <c r="F767" s="233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198">
        <f t="shared" si="15"/>
        <v>0</v>
      </c>
      <c r="S767" s="199"/>
      <c r="T767" s="200"/>
      <c r="U767" s="239"/>
      <c r="V767" s="239"/>
      <c r="W767" s="239"/>
      <c r="BA767"/>
      <c r="BB767"/>
    </row>
    <row r="768" spans="1:54" s="190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2" t="str">
        <f>IF(C768="","",VLOOKUP($B768,勘定科目!$A:$E,4,0))</f>
        <v/>
      </c>
      <c r="E768" s="238"/>
      <c r="F768" s="233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198">
        <f t="shared" si="15"/>
        <v>0</v>
      </c>
      <c r="S768" s="199"/>
      <c r="T768" s="200"/>
      <c r="U768" s="239"/>
      <c r="V768" s="239"/>
      <c r="W768" s="239"/>
      <c r="BA768"/>
      <c r="BB768"/>
    </row>
    <row r="769" spans="1:54" s="190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2" t="str">
        <f>IF(C769="","",VLOOKUP($B769,勘定科目!$A:$E,4,0))</f>
        <v/>
      </c>
      <c r="E769" s="238"/>
      <c r="F769" s="233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198">
        <f t="shared" si="15"/>
        <v>0</v>
      </c>
      <c r="S769" s="199"/>
      <c r="T769" s="200"/>
      <c r="U769" s="239"/>
      <c r="V769" s="239"/>
      <c r="W769" s="239"/>
      <c r="BA769"/>
      <c r="BB769"/>
    </row>
    <row r="770" spans="1:54" s="190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2" t="str">
        <f>IF(C770="","",VLOOKUP($B770,勘定科目!$A:$E,4,0))</f>
        <v/>
      </c>
      <c r="E770" s="238"/>
      <c r="F770" s="233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198">
        <f t="shared" si="15"/>
        <v>0</v>
      </c>
      <c r="S770" s="199"/>
      <c r="T770" s="200"/>
      <c r="U770" s="239"/>
      <c r="V770" s="239"/>
      <c r="W770" s="239"/>
      <c r="BA770"/>
      <c r="BB770"/>
    </row>
    <row r="771" spans="1:54" s="190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2" t="str">
        <f>IF(C771="","",VLOOKUP($B771,勘定科目!$A:$E,4,0))</f>
        <v/>
      </c>
      <c r="E771" s="238"/>
      <c r="F771" s="233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198">
        <f t="shared" si="15"/>
        <v>0</v>
      </c>
      <c r="S771" s="199"/>
      <c r="T771" s="200"/>
      <c r="U771" s="239"/>
      <c r="V771" s="239"/>
      <c r="W771" s="239"/>
      <c r="BA771"/>
      <c r="BB771"/>
    </row>
    <row r="772" spans="1:54" s="190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2" t="str">
        <f>IF(C772="","",VLOOKUP($B772,勘定科目!$A:$E,4,0))</f>
        <v/>
      </c>
      <c r="E772" s="238"/>
      <c r="F772" s="233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198">
        <f t="shared" si="15"/>
        <v>0</v>
      </c>
      <c r="S772" s="199"/>
      <c r="T772" s="200"/>
      <c r="U772" s="239"/>
      <c r="V772" s="239"/>
      <c r="W772" s="239"/>
      <c r="BA772"/>
      <c r="BB772"/>
    </row>
    <row r="773" spans="1:54" s="190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2" t="str">
        <f>IF(C773="","",VLOOKUP($B773,勘定科目!$A:$E,4,0))</f>
        <v/>
      </c>
      <c r="E773" s="238"/>
      <c r="F773" s="233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198">
        <f t="shared" si="15"/>
        <v>0</v>
      </c>
      <c r="S773" s="199"/>
      <c r="T773" s="200"/>
      <c r="U773" s="239"/>
      <c r="V773" s="239"/>
      <c r="W773" s="239"/>
      <c r="BA773"/>
      <c r="BB773"/>
    </row>
    <row r="774" spans="1:54" s="190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2" t="str">
        <f>IF(C774="","",VLOOKUP($B774,勘定科目!$A:$E,4,0))</f>
        <v/>
      </c>
      <c r="E774" s="238"/>
      <c r="F774" s="233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198">
        <f t="shared" si="15"/>
        <v>0</v>
      </c>
      <c r="S774" s="199"/>
      <c r="T774" s="200"/>
      <c r="U774" s="239"/>
      <c r="V774" s="239"/>
      <c r="W774" s="239"/>
      <c r="BA774"/>
      <c r="BB774"/>
    </row>
    <row r="775" spans="1:54" s="190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2" t="str">
        <f>IF(C775="","",VLOOKUP($B775,勘定科目!$A:$E,4,0))</f>
        <v/>
      </c>
      <c r="E775" s="238"/>
      <c r="F775" s="233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198">
        <f t="shared" si="15"/>
        <v>0</v>
      </c>
      <c r="S775" s="199"/>
      <c r="T775" s="200"/>
      <c r="U775" s="239"/>
      <c r="V775" s="239"/>
      <c r="W775" s="239"/>
      <c r="BA775"/>
      <c r="BB775"/>
    </row>
    <row r="776" spans="1:54" s="190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2" t="str">
        <f>IF(C776="","",VLOOKUP($B776,勘定科目!$A:$E,4,0))</f>
        <v/>
      </c>
      <c r="E776" s="238"/>
      <c r="F776" s="233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198">
        <f t="shared" si="15"/>
        <v>0</v>
      </c>
      <c r="S776" s="199"/>
      <c r="T776" s="200"/>
      <c r="U776" s="239"/>
      <c r="V776" s="239"/>
      <c r="W776" s="239"/>
      <c r="BA776"/>
      <c r="BB776"/>
    </row>
    <row r="777" spans="1:54" s="190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2" t="str">
        <f>IF(C777="","",VLOOKUP($B777,勘定科目!$A:$E,4,0))</f>
        <v/>
      </c>
      <c r="E777" s="238"/>
      <c r="F777" s="233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198">
        <f t="shared" si="15"/>
        <v>0</v>
      </c>
      <c r="S777" s="199"/>
      <c r="T777" s="200"/>
      <c r="U777" s="239"/>
      <c r="V777" s="239"/>
      <c r="W777" s="239"/>
      <c r="BA777"/>
      <c r="BB777"/>
    </row>
    <row r="778" spans="1:54" s="190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2" t="str">
        <f>IF(C778="","",VLOOKUP($B778,勘定科目!$A:$E,4,0))</f>
        <v/>
      </c>
      <c r="E778" s="238"/>
      <c r="F778" s="233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198">
        <f t="shared" si="15"/>
        <v>0</v>
      </c>
      <c r="S778" s="199"/>
      <c r="T778" s="200"/>
      <c r="U778" s="239"/>
      <c r="V778" s="239"/>
      <c r="W778" s="239"/>
      <c r="BA778"/>
      <c r="BB778"/>
    </row>
    <row r="779" spans="1:54" s="190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2" t="str">
        <f>IF(C779="","",VLOOKUP($B779,勘定科目!$A:$E,4,0))</f>
        <v/>
      </c>
      <c r="E779" s="238"/>
      <c r="F779" s="233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198">
        <f t="shared" si="15"/>
        <v>0</v>
      </c>
      <c r="S779" s="199"/>
      <c r="T779" s="200"/>
      <c r="U779" s="239"/>
      <c r="V779" s="239"/>
      <c r="W779" s="239"/>
      <c r="BA779"/>
      <c r="BB779"/>
    </row>
    <row r="780" spans="1:54" s="190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2" t="str">
        <f>IF(C780="","",VLOOKUP($B780,勘定科目!$A:$E,4,0))</f>
        <v/>
      </c>
      <c r="E780" s="238"/>
      <c r="F780" s="233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198">
        <f t="shared" si="15"/>
        <v>0</v>
      </c>
      <c r="S780" s="199"/>
      <c r="T780" s="200"/>
      <c r="U780" s="239"/>
      <c r="V780" s="239"/>
      <c r="W780" s="239"/>
      <c r="BA780"/>
      <c r="BB780"/>
    </row>
    <row r="781" spans="1:54" s="190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2" t="str">
        <f>IF(C781="","",VLOOKUP($B781,勘定科目!$A:$E,4,0))</f>
        <v/>
      </c>
      <c r="E781" s="238"/>
      <c r="F781" s="233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198">
        <f t="shared" si="15"/>
        <v>0</v>
      </c>
      <c r="S781" s="199"/>
      <c r="T781" s="200"/>
      <c r="U781" s="239"/>
      <c r="V781" s="239"/>
      <c r="W781" s="239"/>
      <c r="BA781"/>
      <c r="BB781"/>
    </row>
    <row r="782" spans="1:54" s="190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2" t="str">
        <f>IF(C782="","",VLOOKUP($B782,勘定科目!$A:$E,4,0))</f>
        <v/>
      </c>
      <c r="E782" s="238"/>
      <c r="F782" s="233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198">
        <f t="shared" si="15"/>
        <v>0</v>
      </c>
      <c r="S782" s="199"/>
      <c r="T782" s="200"/>
      <c r="U782" s="239"/>
      <c r="V782" s="239"/>
      <c r="W782" s="239"/>
      <c r="BA782"/>
      <c r="BB782"/>
    </row>
    <row r="783" spans="1:54" s="190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2" t="str">
        <f>IF(C783="","",VLOOKUP($B783,勘定科目!$A:$E,4,0))</f>
        <v/>
      </c>
      <c r="E783" s="238"/>
      <c r="F783" s="233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198">
        <f t="shared" si="15"/>
        <v>0</v>
      </c>
      <c r="S783" s="199"/>
      <c r="T783" s="200"/>
      <c r="U783" s="239"/>
      <c r="V783" s="239"/>
      <c r="W783" s="239"/>
      <c r="BA783"/>
      <c r="BB783"/>
    </row>
    <row r="784" spans="1:54" s="190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2" t="str">
        <f>IF(C784="","",VLOOKUP($B784,勘定科目!$A:$E,4,0))</f>
        <v/>
      </c>
      <c r="E784" s="238"/>
      <c r="F784" s="233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198">
        <f t="shared" si="15"/>
        <v>0</v>
      </c>
      <c r="S784" s="199"/>
      <c r="T784" s="200"/>
      <c r="U784" s="239"/>
      <c r="V784" s="239"/>
      <c r="W784" s="239"/>
      <c r="BA784"/>
      <c r="BB784"/>
    </row>
    <row r="785" spans="1:54" s="190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2" t="str">
        <f>IF(C785="","",VLOOKUP($B785,勘定科目!$A:$E,4,0))</f>
        <v/>
      </c>
      <c r="E785" s="238"/>
      <c r="F785" s="233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198">
        <f t="shared" si="15"/>
        <v>0</v>
      </c>
      <c r="S785" s="199"/>
      <c r="T785" s="200"/>
      <c r="U785" s="239"/>
      <c r="V785" s="239"/>
      <c r="W785" s="239"/>
      <c r="BA785"/>
      <c r="BB785"/>
    </row>
    <row r="786" spans="1:54" s="190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2" t="str">
        <f>IF(C786="","",VLOOKUP($B786,勘定科目!$A:$E,4,0))</f>
        <v/>
      </c>
      <c r="E786" s="238"/>
      <c r="F786" s="233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198">
        <f t="shared" si="15"/>
        <v>0</v>
      </c>
      <c r="S786" s="199"/>
      <c r="T786" s="200"/>
      <c r="U786" s="239"/>
      <c r="V786" s="239"/>
      <c r="W786" s="239"/>
      <c r="BA786"/>
      <c r="BB786"/>
    </row>
    <row r="787" spans="1:54" s="190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2" t="str">
        <f>IF(C787="","",VLOOKUP($B787,勘定科目!$A:$E,4,0))</f>
        <v/>
      </c>
      <c r="E787" s="238"/>
      <c r="F787" s="233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198">
        <f t="shared" si="15"/>
        <v>0</v>
      </c>
      <c r="S787" s="199"/>
      <c r="T787" s="200"/>
      <c r="U787" s="239"/>
      <c r="V787" s="239"/>
      <c r="W787" s="239"/>
      <c r="BA787"/>
      <c r="BB787"/>
    </row>
    <row r="788" spans="1:54" s="190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2" t="str">
        <f>IF(C788="","",VLOOKUP($B788,勘定科目!$A:$E,4,0))</f>
        <v/>
      </c>
      <c r="E788" s="238"/>
      <c r="F788" s="233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198">
        <f t="shared" si="15"/>
        <v>0</v>
      </c>
      <c r="S788" s="199"/>
      <c r="T788" s="200"/>
      <c r="U788" s="239"/>
      <c r="V788" s="239"/>
      <c r="W788" s="239"/>
      <c r="BA788"/>
      <c r="BB788"/>
    </row>
    <row r="789" spans="1:54" s="190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2" t="str">
        <f>IF(C789="","",VLOOKUP($B789,勘定科目!$A:$E,4,0))</f>
        <v/>
      </c>
      <c r="E789" s="238"/>
      <c r="F789" s="233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198">
        <f t="shared" si="15"/>
        <v>0</v>
      </c>
      <c r="S789" s="199"/>
      <c r="T789" s="200"/>
      <c r="U789" s="239"/>
      <c r="V789" s="239"/>
      <c r="W789" s="239"/>
      <c r="BA789"/>
      <c r="BB789"/>
    </row>
    <row r="790" spans="1:54" s="190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2" t="str">
        <f>IF(C790="","",VLOOKUP($B790,勘定科目!$A:$E,4,0))</f>
        <v/>
      </c>
      <c r="E790" s="238"/>
      <c r="F790" s="233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198">
        <f t="shared" si="15"/>
        <v>0</v>
      </c>
      <c r="S790" s="199"/>
      <c r="T790" s="200"/>
      <c r="U790" s="239"/>
      <c r="V790" s="239"/>
      <c r="W790" s="239"/>
      <c r="BA790"/>
      <c r="BB790"/>
    </row>
    <row r="791" spans="1:54" s="190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2" t="str">
        <f>IF(C791="","",VLOOKUP($B791,勘定科目!$A:$E,4,0))</f>
        <v/>
      </c>
      <c r="E791" s="238"/>
      <c r="F791" s="233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198">
        <f t="shared" si="15"/>
        <v>0</v>
      </c>
      <c r="S791" s="199"/>
      <c r="T791" s="200"/>
      <c r="U791" s="239"/>
      <c r="V791" s="239"/>
      <c r="W791" s="239"/>
      <c r="BA791"/>
      <c r="BB791"/>
    </row>
    <row r="792" spans="1:54" s="190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2" t="str">
        <f>IF(C792="","",VLOOKUP($B792,勘定科目!$A:$E,4,0))</f>
        <v/>
      </c>
      <c r="E792" s="238"/>
      <c r="F792" s="233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198">
        <f t="shared" si="15"/>
        <v>0</v>
      </c>
      <c r="S792" s="199"/>
      <c r="T792" s="200"/>
      <c r="U792" s="239"/>
      <c r="V792" s="239"/>
      <c r="W792" s="239"/>
      <c r="BA792"/>
      <c r="BB792"/>
    </row>
    <row r="793" spans="1:54" s="190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2" t="str">
        <f>IF(C793="","",VLOOKUP($B793,勘定科目!$A:$E,4,0))</f>
        <v/>
      </c>
      <c r="E793" s="238"/>
      <c r="F793" s="233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198">
        <f t="shared" si="15"/>
        <v>0</v>
      </c>
      <c r="S793" s="199"/>
      <c r="T793" s="200"/>
      <c r="U793" s="239"/>
      <c r="V793" s="239"/>
      <c r="W793" s="239"/>
      <c r="BA793"/>
      <c r="BB793"/>
    </row>
    <row r="794" spans="1:54" s="190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2" t="str">
        <f>IF(C794="","",VLOOKUP($B794,勘定科目!$A:$E,4,0))</f>
        <v/>
      </c>
      <c r="E794" s="238"/>
      <c r="F794" s="233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198">
        <f t="shared" si="15"/>
        <v>0</v>
      </c>
      <c r="S794" s="199"/>
      <c r="T794" s="200"/>
      <c r="U794" s="239"/>
      <c r="V794" s="239"/>
      <c r="W794" s="239"/>
      <c r="BA794"/>
      <c r="BB794"/>
    </row>
    <row r="795" spans="1:54" s="190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2" t="str">
        <f>IF(C795="","",VLOOKUP($B795,勘定科目!$A:$E,4,0))</f>
        <v/>
      </c>
      <c r="E795" s="238"/>
      <c r="F795" s="233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198">
        <f t="shared" si="15"/>
        <v>0</v>
      </c>
      <c r="S795" s="199"/>
      <c r="T795" s="200"/>
      <c r="U795" s="239"/>
      <c r="V795" s="239"/>
      <c r="W795" s="239"/>
      <c r="BA795"/>
      <c r="BB795"/>
    </row>
    <row r="796" spans="1:54" s="190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2" t="str">
        <f>IF(C796="","",VLOOKUP($B796,勘定科目!$A:$E,4,0))</f>
        <v/>
      </c>
      <c r="E796" s="238"/>
      <c r="F796" s="233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198">
        <f t="shared" si="15"/>
        <v>0</v>
      </c>
      <c r="S796" s="199"/>
      <c r="T796" s="200"/>
      <c r="U796" s="239"/>
      <c r="V796" s="239"/>
      <c r="W796" s="239"/>
      <c r="BA796"/>
      <c r="BB796"/>
    </row>
    <row r="797" spans="1:54" s="190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2" t="str">
        <f>IF(C797="","",VLOOKUP($B797,勘定科目!$A:$E,4,0))</f>
        <v/>
      </c>
      <c r="E797" s="238"/>
      <c r="F797" s="233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198">
        <f t="shared" si="15"/>
        <v>0</v>
      </c>
      <c r="S797" s="199"/>
      <c r="T797" s="200"/>
      <c r="U797" s="239"/>
      <c r="V797" s="239"/>
      <c r="W797" s="239"/>
      <c r="BA797"/>
      <c r="BB797"/>
    </row>
    <row r="798" spans="1:54" s="190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2" t="str">
        <f>IF(C798="","",VLOOKUP($B798,勘定科目!$A:$E,4,0))</f>
        <v/>
      </c>
      <c r="E798" s="238"/>
      <c r="F798" s="233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198">
        <f t="shared" si="15"/>
        <v>0</v>
      </c>
      <c r="S798" s="199"/>
      <c r="T798" s="200"/>
      <c r="U798" s="239"/>
      <c r="V798" s="239"/>
      <c r="W798" s="239"/>
      <c r="BA798"/>
      <c r="BB798"/>
    </row>
    <row r="799" spans="1:54" s="190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2" t="str">
        <f>IF(C799="","",VLOOKUP($B799,勘定科目!$A:$E,4,0))</f>
        <v/>
      </c>
      <c r="E799" s="238"/>
      <c r="F799" s="233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198">
        <f t="shared" si="15"/>
        <v>0</v>
      </c>
      <c r="S799" s="199"/>
      <c r="T799" s="200"/>
      <c r="U799" s="239"/>
      <c r="V799" s="239"/>
      <c r="W799" s="239"/>
      <c r="BA799"/>
      <c r="BB799"/>
    </row>
    <row r="800" spans="1:54" s="190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2" t="str">
        <f>IF(C800="","",VLOOKUP($B800,勘定科目!$A:$E,4,0))</f>
        <v/>
      </c>
      <c r="E800" s="238"/>
      <c r="F800" s="233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198"/>
      <c r="S800" s="199"/>
      <c r="T800" s="200"/>
      <c r="U800" s="239"/>
      <c r="V800" s="239"/>
      <c r="W800" s="239"/>
      <c r="BA800"/>
      <c r="BB800"/>
    </row>
    <row r="801" spans="1:54" s="190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2" t="str">
        <f>IF(C801="","",VLOOKUP($B801,勘定科目!$A:$E,4,0))</f>
        <v/>
      </c>
      <c r="E801" s="238"/>
      <c r="F801" s="233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198"/>
      <c r="S801" s="199"/>
      <c r="T801" s="200"/>
      <c r="U801" s="239"/>
      <c r="V801" s="239"/>
      <c r="W801" s="239"/>
      <c r="BA801"/>
      <c r="BB801"/>
    </row>
    <row r="802" spans="1:54" s="190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2" t="str">
        <f>IF(C802="","",VLOOKUP($B802,勘定科目!$A:$E,4,0))</f>
        <v/>
      </c>
      <c r="E802" s="238"/>
      <c r="F802" s="233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198"/>
      <c r="S802" s="199"/>
      <c r="T802" s="200"/>
      <c r="U802" s="239"/>
      <c r="V802" s="239"/>
      <c r="W802" s="239"/>
      <c r="BA802"/>
      <c r="BB802"/>
    </row>
    <row r="803" spans="1:54" s="190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2" t="str">
        <f>IF(C803="","",VLOOKUP($B803,勘定科目!$A:$E,4,0))</f>
        <v/>
      </c>
      <c r="E803" s="238"/>
      <c r="F803" s="233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198"/>
      <c r="S803" s="199"/>
      <c r="T803" s="200"/>
      <c r="U803" s="239"/>
      <c r="V803" s="239"/>
      <c r="W803" s="239"/>
      <c r="BA803"/>
      <c r="BB803"/>
    </row>
    <row r="804" spans="1:54" s="190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2" t="str">
        <f>IF(C804="","",VLOOKUP($B804,勘定科目!$A:$E,4,0))</f>
        <v/>
      </c>
      <c r="E804" s="238"/>
      <c r="F804" s="233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198"/>
      <c r="S804" s="199"/>
      <c r="T804" s="200"/>
      <c r="U804" s="239"/>
      <c r="V804" s="239"/>
      <c r="W804" s="239"/>
      <c r="BA804"/>
      <c r="BB804"/>
    </row>
    <row r="805" spans="1:54" s="190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2" t="str">
        <f>IF(C805="","",VLOOKUP($B805,勘定科目!$A:$E,4,0))</f>
        <v/>
      </c>
      <c r="E805" s="238"/>
      <c r="F805" s="233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198"/>
      <c r="S805" s="199"/>
      <c r="T805" s="200"/>
      <c r="U805" s="239"/>
      <c r="V805" s="239"/>
      <c r="W805" s="239"/>
      <c r="BA805"/>
      <c r="BB805"/>
    </row>
    <row r="806" spans="1:54" s="190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2" t="str">
        <f>IF(C806="","",VLOOKUP($B806,勘定科目!$A:$E,4,0))</f>
        <v/>
      </c>
      <c r="E806" s="238"/>
      <c r="F806" s="233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198"/>
      <c r="S806" s="199"/>
      <c r="T806" s="200"/>
      <c r="U806" s="239"/>
      <c r="V806" s="239"/>
      <c r="W806" s="239"/>
      <c r="BA806"/>
      <c r="BB806"/>
    </row>
    <row r="807" spans="1:54" s="190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2" t="str">
        <f>IF(C807="","",VLOOKUP($B807,勘定科目!$A:$E,4,0))</f>
        <v/>
      </c>
      <c r="E807" s="238"/>
      <c r="F807" s="233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198"/>
      <c r="S807" s="199"/>
      <c r="T807" s="200"/>
      <c r="U807" s="239"/>
      <c r="V807" s="239"/>
      <c r="W807" s="239"/>
      <c r="BA807"/>
      <c r="BB807"/>
    </row>
    <row r="808" spans="1:54" s="190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2" t="str">
        <f>IF(C808="","",VLOOKUP($B808,勘定科目!$A:$E,4,0))</f>
        <v/>
      </c>
      <c r="E808" s="238"/>
      <c r="F808" s="233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198"/>
      <c r="S808" s="199"/>
      <c r="T808" s="200"/>
      <c r="U808" s="239"/>
      <c r="V808" s="239"/>
      <c r="W808" s="239"/>
      <c r="BA808"/>
      <c r="BB808"/>
    </row>
    <row r="809" spans="1:54" s="190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2" t="str">
        <f>IF(C809="","",VLOOKUP($B809,勘定科目!$A:$E,4,0))</f>
        <v/>
      </c>
      <c r="E809" s="238"/>
      <c r="F809" s="233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198"/>
      <c r="S809" s="199"/>
      <c r="T809" s="200"/>
      <c r="U809" s="239"/>
      <c r="V809" s="239"/>
      <c r="W809" s="239"/>
      <c r="BA809"/>
      <c r="BB809"/>
    </row>
    <row r="810" spans="1:54" s="190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2" t="str">
        <f>IF(C810="","",VLOOKUP($B810,勘定科目!$A:$E,4,0))</f>
        <v/>
      </c>
      <c r="E810" s="238"/>
      <c r="F810" s="233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198"/>
      <c r="S810" s="199"/>
      <c r="T810" s="200"/>
      <c r="U810" s="239"/>
      <c r="V810" s="239"/>
      <c r="W810" s="239"/>
      <c r="BA810"/>
      <c r="BB810"/>
    </row>
    <row r="811" spans="1:54" s="190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2" t="str">
        <f>IF(C811="","",VLOOKUP($B811,勘定科目!$A:$E,4,0))</f>
        <v/>
      </c>
      <c r="E811" s="238"/>
      <c r="F811" s="233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198"/>
      <c r="S811" s="199"/>
      <c r="T811" s="200"/>
      <c r="U811" s="239"/>
      <c r="V811" s="239"/>
      <c r="W811" s="239"/>
      <c r="BA811"/>
      <c r="BB811"/>
    </row>
    <row r="812" spans="1:54" s="190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2" t="str">
        <f>IF(C812="","",VLOOKUP($B812,勘定科目!$A:$E,4,0))</f>
        <v/>
      </c>
      <c r="E812" s="238"/>
      <c r="F812" s="233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198"/>
      <c r="S812" s="199"/>
      <c r="T812" s="200"/>
      <c r="U812" s="239"/>
      <c r="V812" s="239"/>
      <c r="W812" s="239"/>
      <c r="BA812"/>
      <c r="BB812"/>
    </row>
    <row r="813" spans="1:54" s="190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2" t="str">
        <f>IF(C813="","",VLOOKUP($B813,勘定科目!$A:$E,4,0))</f>
        <v/>
      </c>
      <c r="E813" s="238"/>
      <c r="F813" s="233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198"/>
      <c r="S813" s="199"/>
      <c r="T813" s="200"/>
      <c r="U813" s="239"/>
      <c r="V813" s="239"/>
      <c r="W813" s="239"/>
      <c r="BA813"/>
      <c r="BB813"/>
    </row>
    <row r="814" spans="1:54" s="190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2" t="str">
        <f>IF(C814="","",VLOOKUP($B814,勘定科目!$A:$E,4,0))</f>
        <v/>
      </c>
      <c r="E814" s="238"/>
      <c r="F814" s="233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198"/>
      <c r="S814" s="199"/>
      <c r="T814" s="200"/>
      <c r="U814" s="239"/>
      <c r="V814" s="239"/>
      <c r="W814" s="239"/>
      <c r="BA814"/>
      <c r="BB814"/>
    </row>
    <row r="815" spans="1:54" s="190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2" t="str">
        <f>IF(C815="","",VLOOKUP($B815,勘定科目!$A:$E,4,0))</f>
        <v/>
      </c>
      <c r="E815" s="238"/>
      <c r="F815" s="233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198"/>
      <c r="S815" s="199"/>
      <c r="T815" s="200"/>
      <c r="U815" s="239"/>
      <c r="V815" s="239"/>
      <c r="W815" s="239"/>
      <c r="BA815"/>
      <c r="BB815"/>
    </row>
    <row r="816" spans="1:54" s="190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2" t="str">
        <f>IF(C816="","",VLOOKUP($B816,勘定科目!$A:$E,4,0))</f>
        <v/>
      </c>
      <c r="E816" s="238"/>
      <c r="F816" s="233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198"/>
      <c r="S816" s="199"/>
      <c r="T816" s="200"/>
      <c r="U816" s="239"/>
      <c r="V816" s="239"/>
      <c r="W816" s="239"/>
      <c r="BA816"/>
      <c r="BB816"/>
    </row>
    <row r="817" spans="1:54" s="190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2" t="str">
        <f>IF(C817="","",VLOOKUP($B817,勘定科目!$A:$E,4,0))</f>
        <v/>
      </c>
      <c r="E817" s="238"/>
      <c r="F817" s="233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198"/>
      <c r="S817" s="199"/>
      <c r="T817" s="200"/>
      <c r="U817" s="239"/>
      <c r="V817" s="239"/>
      <c r="W817" s="239"/>
      <c r="BA817"/>
      <c r="BB817"/>
    </row>
    <row r="818" spans="1:54" s="190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2" t="str">
        <f>IF(C818="","",VLOOKUP($B818,勘定科目!$A:$E,4,0))</f>
        <v/>
      </c>
      <c r="E818" s="238"/>
      <c r="F818" s="233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198"/>
      <c r="S818" s="199"/>
      <c r="T818" s="200"/>
      <c r="U818" s="239"/>
      <c r="V818" s="239"/>
      <c r="W818" s="239"/>
      <c r="BA818"/>
      <c r="BB818"/>
    </row>
    <row r="819" spans="1:54" s="190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2" t="str">
        <f>IF(C819="","",VLOOKUP($B819,勘定科目!$A:$E,4,0))</f>
        <v/>
      </c>
      <c r="E819" s="238"/>
      <c r="F819" s="233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198"/>
      <c r="S819" s="199"/>
      <c r="T819" s="200"/>
      <c r="U819" s="239"/>
      <c r="V819" s="239"/>
      <c r="W819" s="239"/>
      <c r="BA819"/>
      <c r="BB819"/>
    </row>
    <row r="820" spans="1:54" s="190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2" t="str">
        <f>IF(C820="","",VLOOKUP($B820,勘定科目!$A:$E,4,0))</f>
        <v/>
      </c>
      <c r="E820" s="238"/>
      <c r="F820" s="233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198"/>
      <c r="S820" s="199"/>
      <c r="T820" s="200"/>
      <c r="U820" s="239"/>
      <c r="V820" s="239"/>
      <c r="W820" s="239"/>
      <c r="BA820"/>
      <c r="BB820"/>
    </row>
    <row r="821" spans="1:54" s="190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2" t="str">
        <f>IF(C821="","",VLOOKUP($B821,勘定科目!$A:$E,4,0))</f>
        <v/>
      </c>
      <c r="E821" s="238"/>
      <c r="F821" s="233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198"/>
      <c r="S821" s="199"/>
      <c r="T821" s="200"/>
      <c r="U821" s="239"/>
      <c r="V821" s="239"/>
      <c r="W821" s="239"/>
      <c r="BA821"/>
      <c r="BB821"/>
    </row>
    <row r="822" spans="1:54" s="190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2" t="str">
        <f>IF(C822="","",VLOOKUP($B822,勘定科目!$A:$E,4,0))</f>
        <v/>
      </c>
      <c r="E822" s="238"/>
      <c r="F822" s="233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198"/>
      <c r="S822" s="199"/>
      <c r="T822" s="200"/>
      <c r="U822" s="239"/>
      <c r="V822" s="239"/>
      <c r="W822" s="239"/>
      <c r="BA822"/>
      <c r="BB822"/>
    </row>
    <row r="823" spans="1:54" s="190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2" t="str">
        <f>IF(C823="","",VLOOKUP($B823,勘定科目!$A:$E,4,0))</f>
        <v/>
      </c>
      <c r="E823" s="238"/>
      <c r="F823" s="233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198"/>
      <c r="S823" s="199"/>
      <c r="T823" s="200"/>
      <c r="U823" s="239"/>
      <c r="V823" s="239"/>
      <c r="W823" s="239"/>
      <c r="BA823"/>
      <c r="BB823"/>
    </row>
    <row r="824" spans="1:54" s="190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2" t="str">
        <f>IF(C824="","",VLOOKUP($B824,勘定科目!$A:$E,4,0))</f>
        <v/>
      </c>
      <c r="E824" s="238"/>
      <c r="F824" s="233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198"/>
      <c r="S824" s="199"/>
      <c r="T824" s="200"/>
      <c r="U824" s="239"/>
      <c r="V824" s="239"/>
      <c r="W824" s="239"/>
      <c r="BA824"/>
      <c r="BB824"/>
    </row>
    <row r="825" spans="1:54" s="190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2" t="str">
        <f>IF(C825="","",VLOOKUP($B825,勘定科目!$A:$E,4,0))</f>
        <v/>
      </c>
      <c r="E825" s="238"/>
      <c r="F825" s="233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198"/>
      <c r="S825" s="199"/>
      <c r="T825" s="200"/>
      <c r="U825" s="239"/>
      <c r="V825" s="239"/>
      <c r="W825" s="239"/>
      <c r="BA825"/>
      <c r="BB825"/>
    </row>
    <row r="826" spans="1:54" s="190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2" t="str">
        <f>IF(C826="","",VLOOKUP($B826,勘定科目!$A:$E,4,0))</f>
        <v/>
      </c>
      <c r="E826" s="238"/>
      <c r="F826" s="233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198"/>
      <c r="S826" s="199"/>
      <c r="T826" s="200"/>
      <c r="U826" s="239"/>
      <c r="V826" s="239"/>
      <c r="W826" s="239"/>
      <c r="BA826"/>
      <c r="BB826"/>
    </row>
    <row r="827" spans="1:54" s="190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2" t="str">
        <f>IF(C827="","",VLOOKUP($B827,勘定科目!$A:$E,4,0))</f>
        <v/>
      </c>
      <c r="E827" s="238"/>
      <c r="F827" s="233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198"/>
      <c r="S827" s="199"/>
      <c r="T827" s="200"/>
      <c r="U827" s="239"/>
      <c r="V827" s="239"/>
      <c r="W827" s="239"/>
      <c r="BA827"/>
      <c r="BB827"/>
    </row>
    <row r="828" spans="1:54" s="190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2" t="str">
        <f>IF(C828="","",VLOOKUP($B828,勘定科目!$A:$E,4,0))</f>
        <v/>
      </c>
      <c r="E828" s="238"/>
      <c r="F828" s="233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198"/>
      <c r="S828" s="199"/>
      <c r="T828" s="200"/>
      <c r="U828" s="239"/>
      <c r="V828" s="239"/>
      <c r="W828" s="239"/>
      <c r="BA828"/>
      <c r="BB828"/>
    </row>
    <row r="829" spans="1:54" s="190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2" t="str">
        <f>IF(C829="","",VLOOKUP($B829,勘定科目!$A:$E,4,0))</f>
        <v/>
      </c>
      <c r="E829" s="238"/>
      <c r="F829" s="233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198"/>
      <c r="S829" s="199"/>
      <c r="T829" s="200"/>
      <c r="U829" s="239"/>
      <c r="V829" s="239"/>
      <c r="W829" s="239"/>
      <c r="BA829"/>
      <c r="BB829"/>
    </row>
    <row r="830" spans="1:54" s="190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2" t="str">
        <f>IF(C830="","",VLOOKUP($B830,勘定科目!$A:$E,4,0))</f>
        <v/>
      </c>
      <c r="E830" s="238"/>
      <c r="F830" s="233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198"/>
      <c r="S830" s="199"/>
      <c r="T830" s="200"/>
      <c r="U830" s="239"/>
      <c r="V830" s="239"/>
      <c r="W830" s="239"/>
      <c r="BA830"/>
      <c r="BB830"/>
    </row>
    <row r="831" spans="1:54" s="190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2" t="str">
        <f>IF(C831="","",VLOOKUP($B831,勘定科目!$A:$E,4,0))</f>
        <v/>
      </c>
      <c r="E831" s="238"/>
      <c r="F831" s="233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198"/>
      <c r="S831" s="199"/>
      <c r="T831" s="200"/>
      <c r="U831" s="239"/>
      <c r="V831" s="239"/>
      <c r="W831" s="239"/>
      <c r="BA831"/>
      <c r="BB831"/>
    </row>
    <row r="832" spans="1:54" s="190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2" t="str">
        <f>IF(C832="","",VLOOKUP($B832,勘定科目!$A:$E,4,0))</f>
        <v/>
      </c>
      <c r="E832" s="238"/>
      <c r="F832" s="233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198"/>
      <c r="S832" s="199"/>
      <c r="T832" s="200"/>
      <c r="U832" s="239"/>
      <c r="V832" s="239"/>
      <c r="W832" s="239"/>
      <c r="BA832"/>
      <c r="BB832"/>
    </row>
    <row r="833" spans="1:54" s="190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2" t="str">
        <f>IF(C833="","",VLOOKUP($B833,勘定科目!$A:$E,4,0))</f>
        <v/>
      </c>
      <c r="E833" s="238"/>
      <c r="F833" s="233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198"/>
      <c r="S833" s="199"/>
      <c r="T833" s="200"/>
      <c r="U833" s="239"/>
      <c r="V833" s="239"/>
      <c r="W833" s="239"/>
      <c r="BA833"/>
      <c r="BB833"/>
    </row>
    <row r="834" spans="1:54" s="190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2" t="str">
        <f>IF(C834="","",VLOOKUP($B834,勘定科目!$A:$E,4,0))</f>
        <v/>
      </c>
      <c r="E834" s="238"/>
      <c r="F834" s="233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198"/>
      <c r="S834" s="199"/>
      <c r="T834" s="200"/>
      <c r="U834" s="239"/>
      <c r="V834" s="239"/>
      <c r="W834" s="239"/>
      <c r="BA834"/>
      <c r="BB834"/>
    </row>
    <row r="835" spans="1:54" s="190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2" t="str">
        <f>IF(C835="","",VLOOKUP($B835,勘定科目!$A:$E,4,0))</f>
        <v/>
      </c>
      <c r="E835" s="238"/>
      <c r="F835" s="233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198"/>
      <c r="S835" s="199"/>
      <c r="T835" s="200"/>
      <c r="U835" s="239"/>
      <c r="V835" s="239"/>
      <c r="W835" s="239"/>
      <c r="BA835"/>
      <c r="BB835"/>
    </row>
    <row r="836" spans="1:54" s="190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2" t="str">
        <f>IF(C836="","",VLOOKUP($B836,勘定科目!$A:$E,4,0))</f>
        <v/>
      </c>
      <c r="E836" s="238"/>
      <c r="F836" s="233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198"/>
      <c r="S836" s="199"/>
      <c r="T836" s="200"/>
      <c r="U836" s="239"/>
      <c r="V836" s="239"/>
      <c r="W836" s="239"/>
      <c r="BA836"/>
      <c r="BB836"/>
    </row>
    <row r="837" spans="1:54" s="190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2" t="str">
        <f>IF(C837="","",VLOOKUP($B837,勘定科目!$A:$E,4,0))</f>
        <v/>
      </c>
      <c r="E837" s="238"/>
      <c r="F837" s="233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198"/>
      <c r="S837" s="199"/>
      <c r="T837" s="200"/>
      <c r="U837" s="239"/>
      <c r="V837" s="239"/>
      <c r="W837" s="239"/>
      <c r="BA837"/>
      <c r="BB837"/>
    </row>
    <row r="838" spans="1:54" s="190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2" t="str">
        <f>IF(C838="","",VLOOKUP($B838,勘定科目!$A:$E,4,0))</f>
        <v/>
      </c>
      <c r="E838" s="238"/>
      <c r="F838" s="233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198"/>
      <c r="S838" s="199"/>
      <c r="T838" s="200"/>
      <c r="U838" s="239"/>
      <c r="V838" s="239"/>
      <c r="W838" s="239"/>
      <c r="BA838"/>
      <c r="BB838"/>
    </row>
    <row r="839" spans="1:54" s="190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2" t="str">
        <f>IF(C839="","",VLOOKUP($B839,勘定科目!$A:$E,4,0))</f>
        <v/>
      </c>
      <c r="E839" s="238"/>
      <c r="F839" s="233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198"/>
      <c r="S839" s="199"/>
      <c r="T839" s="200"/>
      <c r="U839" s="239"/>
      <c r="V839" s="239"/>
      <c r="W839" s="239"/>
      <c r="BA839"/>
      <c r="BB839"/>
    </row>
    <row r="840" spans="1:54" s="190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2" t="str">
        <f>IF(C840="","",VLOOKUP($B840,勘定科目!$A:$E,4,0))</f>
        <v/>
      </c>
      <c r="E840" s="238"/>
      <c r="F840" s="233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198"/>
      <c r="S840" s="199"/>
      <c r="T840" s="200"/>
      <c r="U840" s="239"/>
      <c r="V840" s="239"/>
      <c r="W840" s="239"/>
      <c r="BA840"/>
      <c r="BB840"/>
    </row>
    <row r="841" spans="1:54" s="190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2" t="str">
        <f>IF(C841="","",VLOOKUP($B841,勘定科目!$A:$E,4,0))</f>
        <v/>
      </c>
      <c r="E841" s="238"/>
      <c r="F841" s="233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198"/>
      <c r="S841" s="199"/>
      <c r="T841" s="200"/>
      <c r="U841" s="239"/>
      <c r="V841" s="239"/>
      <c r="W841" s="239"/>
      <c r="BA841"/>
      <c r="BB841"/>
    </row>
    <row r="842" spans="1:54" s="190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2" t="str">
        <f>IF(C842="","",VLOOKUP($B842,勘定科目!$A:$E,4,0))</f>
        <v/>
      </c>
      <c r="E842" s="238"/>
      <c r="F842" s="233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198"/>
      <c r="S842" s="199"/>
      <c r="T842" s="200"/>
      <c r="U842" s="239"/>
      <c r="V842" s="239"/>
      <c r="W842" s="239"/>
      <c r="BA842"/>
      <c r="BB842"/>
    </row>
    <row r="843" spans="1:54" s="190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2" t="str">
        <f>IF(C843="","",VLOOKUP($B843,勘定科目!$A:$E,4,0))</f>
        <v/>
      </c>
      <c r="E843" s="238"/>
      <c r="F843" s="233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198"/>
      <c r="S843" s="199"/>
      <c r="T843" s="200"/>
      <c r="U843" s="239"/>
      <c r="V843" s="239"/>
      <c r="W843" s="239"/>
      <c r="BA843"/>
      <c r="BB843"/>
    </row>
    <row r="844" spans="1:54" s="190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2" t="str">
        <f>IF(C844="","",VLOOKUP($B844,勘定科目!$A:$E,4,0))</f>
        <v/>
      </c>
      <c r="E844" s="238"/>
      <c r="F844" s="233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198"/>
      <c r="S844" s="199"/>
      <c r="T844" s="200"/>
      <c r="U844" s="239"/>
      <c r="V844" s="239"/>
      <c r="W844" s="239"/>
      <c r="BA844"/>
      <c r="BB844"/>
    </row>
    <row r="845" spans="1:54" s="190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2" t="str">
        <f>IF(C845="","",VLOOKUP($B845,勘定科目!$A:$E,4,0))</f>
        <v/>
      </c>
      <c r="E845" s="238"/>
      <c r="F845" s="233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198"/>
      <c r="S845" s="199"/>
      <c r="T845" s="200"/>
      <c r="U845" s="239"/>
      <c r="V845" s="239"/>
      <c r="W845" s="239"/>
      <c r="BA845"/>
      <c r="BB845"/>
    </row>
    <row r="846" spans="1:54" s="190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2" t="str">
        <f>IF(C846="","",VLOOKUP($B846,勘定科目!$A:$E,4,0))</f>
        <v/>
      </c>
      <c r="E846" s="238"/>
      <c r="F846" s="233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198"/>
      <c r="S846" s="199"/>
      <c r="T846" s="200"/>
      <c r="U846" s="239"/>
      <c r="V846" s="239"/>
      <c r="W846" s="239"/>
      <c r="BA846"/>
      <c r="BB846"/>
    </row>
    <row r="847" spans="1:54" s="190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2" t="str">
        <f>IF(C847="","",VLOOKUP($B847,勘定科目!$A:$E,4,0))</f>
        <v/>
      </c>
      <c r="E847" s="238"/>
      <c r="F847" s="233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198"/>
      <c r="S847" s="199"/>
      <c r="T847" s="200"/>
      <c r="U847" s="239"/>
      <c r="V847" s="239"/>
      <c r="W847" s="239"/>
      <c r="BA847"/>
      <c r="BB847"/>
    </row>
    <row r="848" spans="1:54" s="190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2" t="str">
        <f>IF(C848="","",VLOOKUP($B848,勘定科目!$A:$E,4,0))</f>
        <v/>
      </c>
      <c r="E848" s="238"/>
      <c r="F848" s="233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198"/>
      <c r="S848" s="199"/>
      <c r="T848" s="200"/>
      <c r="U848" s="239"/>
      <c r="V848" s="239"/>
      <c r="W848" s="239"/>
      <c r="BA848"/>
      <c r="BB848"/>
    </row>
    <row r="849" spans="1:54" s="190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2" t="str">
        <f>IF(C849="","",VLOOKUP($B849,勘定科目!$A:$E,4,0))</f>
        <v/>
      </c>
      <c r="E849" s="238"/>
      <c r="F849" s="233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198"/>
      <c r="S849" s="199"/>
      <c r="T849" s="200"/>
      <c r="U849" s="239"/>
      <c r="V849" s="239"/>
      <c r="W849" s="239"/>
      <c r="BA849"/>
      <c r="BB849"/>
    </row>
    <row r="850" spans="1:54" s="190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2" t="str">
        <f>IF(C850="","",VLOOKUP($B850,勘定科目!$A:$E,4,0))</f>
        <v/>
      </c>
      <c r="E850" s="238"/>
      <c r="F850" s="233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198"/>
      <c r="S850" s="199"/>
      <c r="T850" s="200"/>
      <c r="U850" s="239"/>
      <c r="V850" s="239"/>
      <c r="W850" s="239"/>
      <c r="BA850"/>
      <c r="BB850"/>
    </row>
    <row r="851" spans="1:54" s="190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2" t="str">
        <f>IF(C851="","",VLOOKUP($B851,勘定科目!$A:$E,4,0))</f>
        <v/>
      </c>
      <c r="E851" s="238"/>
      <c r="F851" s="233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198"/>
      <c r="S851" s="199"/>
      <c r="T851" s="200"/>
      <c r="U851" s="239"/>
      <c r="V851" s="239"/>
      <c r="W851" s="239"/>
      <c r="BA851"/>
      <c r="BB851"/>
    </row>
    <row r="852" spans="1:54" s="190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2" t="str">
        <f>IF(C852="","",VLOOKUP($B852,勘定科目!$A:$E,4,0))</f>
        <v/>
      </c>
      <c r="E852" s="238"/>
      <c r="F852" s="233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198"/>
      <c r="S852" s="199"/>
      <c r="T852" s="200"/>
      <c r="U852" s="239"/>
      <c r="V852" s="239"/>
      <c r="W852" s="239"/>
      <c r="BA852"/>
      <c r="BB852"/>
    </row>
    <row r="853" spans="1:54" s="190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2" t="str">
        <f>IF(C853="","",VLOOKUP($B853,勘定科目!$A:$E,4,0))</f>
        <v/>
      </c>
      <c r="E853" s="238"/>
      <c r="F853" s="233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198"/>
      <c r="S853" s="199"/>
      <c r="T853" s="200"/>
      <c r="U853" s="239"/>
      <c r="V853" s="239"/>
      <c r="W853" s="239"/>
      <c r="BA853"/>
      <c r="BB853"/>
    </row>
    <row r="854" spans="1:54" s="190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2" t="str">
        <f>IF(C854="","",VLOOKUP($B854,勘定科目!$A:$E,4,0))</f>
        <v/>
      </c>
      <c r="E854" s="238"/>
      <c r="F854" s="233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198"/>
      <c r="S854" s="199"/>
      <c r="T854" s="200"/>
      <c r="U854" s="239"/>
      <c r="V854" s="239"/>
      <c r="W854" s="239"/>
      <c r="BA854"/>
      <c r="BB854"/>
    </row>
    <row r="855" spans="1:54" s="190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2" t="str">
        <f>IF(C855="","",VLOOKUP($B855,勘定科目!$A:$E,4,0))</f>
        <v/>
      </c>
      <c r="E855" s="238"/>
      <c r="F855" s="233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198"/>
      <c r="S855" s="199"/>
      <c r="T855" s="200"/>
      <c r="U855" s="239"/>
      <c r="V855" s="239"/>
      <c r="W855" s="239"/>
      <c r="BA855"/>
      <c r="BB855"/>
    </row>
    <row r="856" spans="1:54" s="190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2" t="str">
        <f>IF(C856="","",VLOOKUP($B856,勘定科目!$A:$E,4,0))</f>
        <v/>
      </c>
      <c r="E856" s="238"/>
      <c r="F856" s="233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198"/>
      <c r="S856" s="199"/>
      <c r="T856" s="200"/>
      <c r="U856" s="239"/>
      <c r="V856" s="239"/>
      <c r="W856" s="239"/>
      <c r="BA856"/>
      <c r="BB856"/>
    </row>
    <row r="857" spans="1:54" s="190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2" t="str">
        <f>IF(C857="","",VLOOKUP($B857,勘定科目!$A:$E,4,0))</f>
        <v/>
      </c>
      <c r="E857" s="238"/>
      <c r="F857" s="233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198"/>
      <c r="S857" s="199"/>
      <c r="T857" s="200"/>
      <c r="U857" s="239"/>
      <c r="V857" s="239"/>
      <c r="W857" s="239"/>
      <c r="BA857"/>
      <c r="BB857"/>
    </row>
    <row r="858" spans="1:54" s="190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2" t="str">
        <f>IF(C858="","",VLOOKUP($B858,勘定科目!$A:$E,4,0))</f>
        <v/>
      </c>
      <c r="E858" s="238"/>
      <c r="F858" s="233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198"/>
      <c r="S858" s="199"/>
      <c r="T858" s="200"/>
      <c r="U858" s="239"/>
      <c r="V858" s="239"/>
      <c r="W858" s="239"/>
      <c r="BA858"/>
      <c r="BB858"/>
    </row>
    <row r="859" spans="1:54" s="190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2" t="str">
        <f>IF(C859="","",VLOOKUP($B859,勘定科目!$A:$E,4,0))</f>
        <v/>
      </c>
      <c r="E859" s="238"/>
      <c r="F859" s="233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198"/>
      <c r="S859" s="199"/>
      <c r="T859" s="200"/>
      <c r="U859" s="239"/>
      <c r="V859" s="239"/>
      <c r="W859" s="239"/>
      <c r="BA859"/>
      <c r="BB859"/>
    </row>
    <row r="860" spans="1:54" s="190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2" t="str">
        <f>IF(C860="","",VLOOKUP($B860,勘定科目!$A:$E,4,0))</f>
        <v/>
      </c>
      <c r="E860" s="238"/>
      <c r="F860" s="233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198"/>
      <c r="S860" s="199"/>
      <c r="T860" s="200"/>
      <c r="U860" s="239"/>
      <c r="V860" s="239"/>
      <c r="W860" s="239"/>
      <c r="BA860"/>
      <c r="BB860"/>
    </row>
    <row r="861" spans="1:54" s="190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2" t="str">
        <f>IF(C861="","",VLOOKUP($B861,勘定科目!$A:$E,4,0))</f>
        <v/>
      </c>
      <c r="E861" s="238"/>
      <c r="F861" s="233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198"/>
      <c r="S861" s="199"/>
      <c r="T861" s="200"/>
      <c r="U861" s="239"/>
      <c r="V861" s="239"/>
      <c r="W861" s="239"/>
      <c r="BA861"/>
      <c r="BB861"/>
    </row>
    <row r="862" spans="1:54" s="190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2" t="str">
        <f>IF(C862="","",VLOOKUP($B862,勘定科目!$A:$E,4,0))</f>
        <v/>
      </c>
      <c r="E862" s="238"/>
      <c r="F862" s="233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198"/>
      <c r="S862" s="199"/>
      <c r="T862" s="200"/>
      <c r="U862" s="239"/>
      <c r="V862" s="239"/>
      <c r="W862" s="239"/>
      <c r="BA862"/>
      <c r="BB862"/>
    </row>
    <row r="863" spans="1:54" s="190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2" t="str">
        <f>IF(C863="","",VLOOKUP($B863,勘定科目!$A:$E,4,0))</f>
        <v/>
      </c>
      <c r="E863" s="238"/>
      <c r="F863" s="233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198"/>
      <c r="S863" s="199"/>
      <c r="T863" s="200"/>
      <c r="U863" s="239"/>
      <c r="V863" s="239"/>
      <c r="W863" s="239"/>
      <c r="BA863"/>
      <c r="BB863"/>
    </row>
    <row r="864" spans="1:54" s="190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2" t="str">
        <f>IF(C864="","",VLOOKUP($B864,勘定科目!$A:$E,4,0))</f>
        <v/>
      </c>
      <c r="E864" s="238"/>
      <c r="F864" s="233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198"/>
      <c r="S864" s="199"/>
      <c r="T864" s="200"/>
      <c r="U864" s="239"/>
      <c r="V864" s="239"/>
      <c r="W864" s="239"/>
      <c r="BA864"/>
      <c r="BB864"/>
    </row>
    <row r="865" spans="1:54" s="190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2" t="str">
        <f>IF(C865="","",VLOOKUP($B865,勘定科目!$A:$E,4,0))</f>
        <v/>
      </c>
      <c r="E865" s="238"/>
      <c r="F865" s="233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198"/>
      <c r="S865" s="199"/>
      <c r="T865" s="200"/>
      <c r="U865" s="239"/>
      <c r="V865" s="239"/>
      <c r="W865" s="239"/>
      <c r="BA865"/>
      <c r="BB865"/>
    </row>
    <row r="866" spans="1:54" s="190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2" t="str">
        <f>IF(C866="","",VLOOKUP($B866,勘定科目!$A:$E,4,0))</f>
        <v/>
      </c>
      <c r="E866" s="238"/>
      <c r="F866" s="233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198"/>
      <c r="S866" s="199"/>
      <c r="T866" s="200"/>
      <c r="U866" s="239"/>
      <c r="V866" s="239"/>
      <c r="W866" s="239"/>
      <c r="BA866"/>
      <c r="BB866"/>
    </row>
    <row r="867" spans="1:54" s="190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2" t="str">
        <f>IF(C867="","",VLOOKUP($B867,勘定科目!$A:$E,4,0))</f>
        <v/>
      </c>
      <c r="E867" s="238"/>
      <c r="F867" s="233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198"/>
      <c r="S867" s="199"/>
      <c r="T867" s="200"/>
      <c r="U867" s="239"/>
      <c r="V867" s="239"/>
      <c r="W867" s="239"/>
      <c r="BA867"/>
      <c r="BB867"/>
    </row>
    <row r="868" spans="1:54" s="190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2" t="str">
        <f>IF(C868="","",VLOOKUP($B868,勘定科目!$A:$E,4,0))</f>
        <v/>
      </c>
      <c r="E868" s="238"/>
      <c r="F868" s="233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198"/>
      <c r="S868" s="199"/>
      <c r="T868" s="200"/>
      <c r="U868" s="239"/>
      <c r="V868" s="239"/>
      <c r="W868" s="239"/>
      <c r="BA868"/>
      <c r="BB868"/>
    </row>
    <row r="869" spans="1:54" s="190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2" t="str">
        <f>IF(C869="","",VLOOKUP($B869,勘定科目!$A:$E,4,0))</f>
        <v/>
      </c>
      <c r="E869" s="238"/>
      <c r="F869" s="233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198"/>
      <c r="S869" s="199"/>
      <c r="T869" s="200"/>
      <c r="U869" s="239"/>
      <c r="V869" s="239"/>
      <c r="W869" s="239"/>
      <c r="BA869"/>
      <c r="BB869"/>
    </row>
    <row r="870" spans="1:54" s="190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2" t="str">
        <f>IF(C870="","",VLOOKUP($B870,勘定科目!$A:$E,4,0))</f>
        <v/>
      </c>
      <c r="E870" s="238"/>
      <c r="F870" s="233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198"/>
      <c r="S870" s="199"/>
      <c r="T870" s="200"/>
      <c r="U870" s="239"/>
      <c r="V870" s="239"/>
      <c r="W870" s="239"/>
      <c r="BA870"/>
      <c r="BB870"/>
    </row>
    <row r="871" spans="1:54" s="190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2" t="str">
        <f>IF(C871="","",VLOOKUP($B871,勘定科目!$A:$E,4,0))</f>
        <v/>
      </c>
      <c r="E871" s="238"/>
      <c r="F871" s="233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198"/>
      <c r="S871" s="199"/>
      <c r="T871" s="200"/>
      <c r="U871" s="239"/>
      <c r="V871" s="239"/>
      <c r="W871" s="239"/>
      <c r="BA871"/>
      <c r="BB871"/>
    </row>
    <row r="872" spans="1:54" s="190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2" t="str">
        <f>IF(C872="","",VLOOKUP($B872,勘定科目!$A:$E,4,0))</f>
        <v/>
      </c>
      <c r="E872" s="238"/>
      <c r="F872" s="233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198"/>
      <c r="S872" s="199"/>
      <c r="T872" s="200"/>
      <c r="U872" s="239"/>
      <c r="V872" s="239"/>
      <c r="W872" s="239"/>
      <c r="BA872"/>
      <c r="BB872"/>
    </row>
    <row r="873" spans="1:54" s="190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2" t="str">
        <f>IF(C873="","",VLOOKUP($B873,勘定科目!$A:$E,4,0))</f>
        <v/>
      </c>
      <c r="E873" s="238"/>
      <c r="F873" s="233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198"/>
      <c r="S873" s="199"/>
      <c r="T873" s="200"/>
      <c r="U873" s="239"/>
      <c r="V873" s="239"/>
      <c r="W873" s="239"/>
      <c r="BA873"/>
      <c r="BB873"/>
    </row>
    <row r="874" spans="1:54" s="190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2" t="str">
        <f>IF(C874="","",VLOOKUP($B874,勘定科目!$A:$E,4,0))</f>
        <v/>
      </c>
      <c r="E874" s="238"/>
      <c r="F874" s="233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198"/>
      <c r="S874" s="199"/>
      <c r="T874" s="200"/>
      <c r="U874" s="239"/>
      <c r="V874" s="239"/>
      <c r="W874" s="239"/>
      <c r="BA874"/>
      <c r="BB874"/>
    </row>
    <row r="875" spans="1:54" s="190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2" t="str">
        <f>IF(C875="","",VLOOKUP($B875,勘定科目!$A:$E,4,0))</f>
        <v/>
      </c>
      <c r="E875" s="238"/>
      <c r="F875" s="233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198"/>
      <c r="S875" s="199"/>
      <c r="T875" s="200"/>
      <c r="U875" s="239"/>
      <c r="V875" s="239"/>
      <c r="W875" s="239"/>
      <c r="BA875"/>
      <c r="BB875"/>
    </row>
    <row r="876" spans="1:54" s="190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2" t="str">
        <f>IF(C876="","",VLOOKUP($B876,勘定科目!$A:$E,4,0))</f>
        <v/>
      </c>
      <c r="E876" s="238"/>
      <c r="F876" s="233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198"/>
      <c r="S876" s="199"/>
      <c r="T876" s="200"/>
      <c r="U876" s="239"/>
      <c r="V876" s="239"/>
      <c r="W876" s="239"/>
      <c r="BA876"/>
      <c r="BB876"/>
    </row>
    <row r="877" spans="1:54" s="190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2" t="str">
        <f>IF(C877="","",VLOOKUP($B877,勘定科目!$A:$E,4,0))</f>
        <v/>
      </c>
      <c r="E877" s="238"/>
      <c r="F877" s="233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198"/>
      <c r="S877" s="199"/>
      <c r="T877" s="200"/>
      <c r="U877" s="239"/>
      <c r="V877" s="239"/>
      <c r="W877" s="239"/>
      <c r="BA877"/>
      <c r="BB877"/>
    </row>
    <row r="878" spans="1:54" s="190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2" t="str">
        <f>IF(C878="","",VLOOKUP($B878,勘定科目!$A:$E,4,0))</f>
        <v/>
      </c>
      <c r="E878" s="238"/>
      <c r="F878" s="233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198"/>
      <c r="S878" s="199"/>
      <c r="T878" s="200"/>
      <c r="U878" s="239"/>
      <c r="V878" s="239"/>
      <c r="W878" s="239"/>
      <c r="BA878"/>
      <c r="BB878"/>
    </row>
    <row r="879" spans="1:54" s="190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2" t="str">
        <f>IF(C879="","",VLOOKUP($B879,勘定科目!$A:$E,4,0))</f>
        <v/>
      </c>
      <c r="E879" s="238"/>
      <c r="F879" s="233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198"/>
      <c r="S879" s="199"/>
      <c r="T879" s="200"/>
      <c r="U879" s="239"/>
      <c r="V879" s="239"/>
      <c r="W879" s="239"/>
      <c r="BA879"/>
      <c r="BB879"/>
    </row>
    <row r="880" spans="1:54" s="190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2" t="str">
        <f>IF(C880="","",VLOOKUP($B880,勘定科目!$A:$E,4,0))</f>
        <v/>
      </c>
      <c r="E880" s="238"/>
      <c r="F880" s="233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198"/>
      <c r="S880" s="199"/>
      <c r="T880" s="200"/>
      <c r="U880" s="239"/>
      <c r="V880" s="239"/>
      <c r="W880" s="239"/>
      <c r="BA880"/>
      <c r="BB880"/>
    </row>
    <row r="881" spans="1:54" s="190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2" t="str">
        <f>IF(C881="","",VLOOKUP($B881,勘定科目!$A:$E,4,0))</f>
        <v/>
      </c>
      <c r="E881" s="238"/>
      <c r="F881" s="233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198"/>
      <c r="S881" s="199"/>
      <c r="T881" s="200"/>
      <c r="U881" s="239"/>
      <c r="V881" s="239"/>
      <c r="W881" s="239"/>
      <c r="BA881"/>
      <c r="BB881"/>
    </row>
    <row r="882" spans="1:54" s="190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2" t="str">
        <f>IF(C882="","",VLOOKUP($B882,勘定科目!$A:$E,4,0))</f>
        <v/>
      </c>
      <c r="E882" s="238"/>
      <c r="F882" s="233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198"/>
      <c r="S882" s="199"/>
      <c r="T882" s="200"/>
      <c r="U882" s="239"/>
      <c r="V882" s="239"/>
      <c r="W882" s="239"/>
      <c r="BA882"/>
      <c r="BB882"/>
    </row>
    <row r="883" spans="1:54" s="190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2" t="str">
        <f>IF(C883="","",VLOOKUP($B883,勘定科目!$A:$E,4,0))</f>
        <v/>
      </c>
      <c r="E883" s="238"/>
      <c r="F883" s="233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198"/>
      <c r="S883" s="199"/>
      <c r="T883" s="200"/>
      <c r="U883" s="239"/>
      <c r="V883" s="239"/>
      <c r="W883" s="239"/>
      <c r="BA883"/>
      <c r="BB883"/>
    </row>
    <row r="884" spans="1:54" s="190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2" t="str">
        <f>IF(C884="","",VLOOKUP($B884,勘定科目!$A:$E,4,0))</f>
        <v/>
      </c>
      <c r="E884" s="238"/>
      <c r="F884" s="233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198"/>
      <c r="S884" s="199"/>
      <c r="T884" s="200"/>
      <c r="U884" s="239"/>
      <c r="V884" s="239"/>
      <c r="W884" s="239"/>
      <c r="BA884"/>
      <c r="BB884"/>
    </row>
    <row r="885" spans="1:54" s="190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2" t="str">
        <f>IF(C885="","",VLOOKUP($B885,勘定科目!$A:$E,4,0))</f>
        <v/>
      </c>
      <c r="E885" s="238"/>
      <c r="F885" s="233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198"/>
      <c r="S885" s="199"/>
      <c r="T885" s="200"/>
      <c r="U885" s="239"/>
      <c r="V885" s="239"/>
      <c r="W885" s="239"/>
      <c r="BA885"/>
      <c r="BB885"/>
    </row>
    <row r="886" spans="1:54" s="190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2" t="str">
        <f>IF(C886="","",VLOOKUP($B886,勘定科目!$A:$E,4,0))</f>
        <v/>
      </c>
      <c r="E886" s="238"/>
      <c r="F886" s="233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198"/>
      <c r="S886" s="199"/>
      <c r="T886" s="200"/>
      <c r="U886" s="239"/>
      <c r="V886" s="239"/>
      <c r="W886" s="239"/>
      <c r="BA886"/>
      <c r="BB886"/>
    </row>
    <row r="887" spans="1:54" s="190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2" t="str">
        <f>IF(C887="","",VLOOKUP($B887,勘定科目!$A:$E,4,0))</f>
        <v/>
      </c>
      <c r="E887" s="238"/>
      <c r="F887" s="233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198"/>
      <c r="S887" s="199"/>
      <c r="T887" s="200"/>
      <c r="U887" s="239"/>
      <c r="V887" s="239"/>
      <c r="W887" s="239"/>
      <c r="BA887"/>
      <c r="BB887"/>
    </row>
    <row r="888" spans="1:54" s="190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2" t="str">
        <f>IF(C888="","",VLOOKUP($B888,勘定科目!$A:$E,4,0))</f>
        <v/>
      </c>
      <c r="E888" s="238"/>
      <c r="F888" s="233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198"/>
      <c r="S888" s="199"/>
      <c r="T888" s="200"/>
      <c r="U888" s="239"/>
      <c r="V888" s="239"/>
      <c r="W888" s="239"/>
      <c r="BA888"/>
      <c r="BB888"/>
    </row>
    <row r="889" spans="1:54" s="190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2" t="str">
        <f>IF(C889="","",VLOOKUP($B889,勘定科目!$A:$E,4,0))</f>
        <v/>
      </c>
      <c r="E889" s="238"/>
      <c r="F889" s="233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198"/>
      <c r="S889" s="199"/>
      <c r="T889" s="200"/>
      <c r="U889" s="239"/>
      <c r="V889" s="239"/>
      <c r="W889" s="239"/>
      <c r="BA889"/>
      <c r="BB889"/>
    </row>
    <row r="890" spans="1:54" s="190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2" t="str">
        <f>IF(C890="","",VLOOKUP($B890,勘定科目!$A:$E,4,0))</f>
        <v/>
      </c>
      <c r="E890" s="238"/>
      <c r="F890" s="233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198"/>
      <c r="S890" s="199"/>
      <c r="T890" s="200"/>
      <c r="U890" s="239"/>
      <c r="V890" s="239"/>
      <c r="W890" s="239"/>
      <c r="BA890"/>
      <c r="BB890"/>
    </row>
    <row r="891" spans="1:54" s="190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2" t="str">
        <f>IF(C891="","",VLOOKUP($B891,勘定科目!$A:$E,4,0))</f>
        <v/>
      </c>
      <c r="E891" s="238"/>
      <c r="F891" s="233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198"/>
      <c r="S891" s="199"/>
      <c r="T891" s="200"/>
      <c r="U891" s="239"/>
      <c r="V891" s="239"/>
      <c r="W891" s="239"/>
      <c r="BA891"/>
      <c r="BB891"/>
    </row>
    <row r="892" spans="1:54" s="190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2" t="str">
        <f>IF(C892="","",VLOOKUP($B892,勘定科目!$A:$E,4,0))</f>
        <v/>
      </c>
      <c r="E892" s="238"/>
      <c r="F892" s="233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198"/>
      <c r="S892" s="199"/>
      <c r="T892" s="200"/>
      <c r="U892" s="239"/>
      <c r="V892" s="239"/>
      <c r="W892" s="239"/>
      <c r="BA892"/>
      <c r="BB892"/>
    </row>
    <row r="893" spans="1:54" s="190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2" t="str">
        <f>IF(C893="","",VLOOKUP($B893,勘定科目!$A:$E,4,0))</f>
        <v/>
      </c>
      <c r="E893" s="238"/>
      <c r="F893" s="233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198"/>
      <c r="S893" s="199"/>
      <c r="T893" s="200"/>
      <c r="U893" s="239"/>
      <c r="V893" s="239"/>
      <c r="W893" s="239"/>
      <c r="BA893"/>
      <c r="BB893"/>
    </row>
    <row r="894" spans="1:54" s="190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2" t="str">
        <f>IF(C894="","",VLOOKUP($B894,勘定科目!$A:$E,4,0))</f>
        <v/>
      </c>
      <c r="E894" s="238"/>
      <c r="F894" s="233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198"/>
      <c r="S894" s="199"/>
      <c r="T894" s="200"/>
      <c r="U894" s="239"/>
      <c r="V894" s="239"/>
      <c r="W894" s="239"/>
      <c r="BA894"/>
      <c r="BB894"/>
    </row>
    <row r="895" spans="1:54" s="190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2" t="str">
        <f>IF(C895="","",VLOOKUP($B895,勘定科目!$A:$E,4,0))</f>
        <v/>
      </c>
      <c r="E895" s="238"/>
      <c r="F895" s="233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198"/>
      <c r="S895" s="199"/>
      <c r="T895" s="200"/>
      <c r="U895" s="239"/>
      <c r="V895" s="239"/>
      <c r="W895" s="239"/>
      <c r="BA895"/>
      <c r="BB895"/>
    </row>
    <row r="896" spans="1:54" s="190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2" t="str">
        <f>IF(C896="","",VLOOKUP($B896,勘定科目!$A:$E,4,0))</f>
        <v/>
      </c>
      <c r="E896" s="238"/>
      <c r="F896" s="233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198"/>
      <c r="S896" s="199"/>
      <c r="T896" s="200"/>
      <c r="U896" s="239"/>
      <c r="V896" s="239"/>
      <c r="W896" s="239"/>
      <c r="BA896"/>
      <c r="BB896"/>
    </row>
    <row r="897" spans="1:54" s="190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2" t="str">
        <f>IF(C897="","",VLOOKUP($B897,勘定科目!$A:$E,4,0))</f>
        <v/>
      </c>
      <c r="E897" s="238"/>
      <c r="F897" s="233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198"/>
      <c r="S897" s="199"/>
      <c r="T897" s="200"/>
      <c r="U897" s="239"/>
      <c r="V897" s="239"/>
      <c r="W897" s="239"/>
      <c r="BA897"/>
      <c r="BB897"/>
    </row>
    <row r="898" spans="1:54" s="190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2" t="str">
        <f>IF(C898="","",VLOOKUP($B898,勘定科目!$A:$E,4,0))</f>
        <v/>
      </c>
      <c r="E898" s="238"/>
      <c r="F898" s="233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198"/>
      <c r="S898" s="199"/>
      <c r="T898" s="200"/>
      <c r="U898" s="239"/>
      <c r="V898" s="239"/>
      <c r="W898" s="239"/>
      <c r="BA898"/>
      <c r="BB898"/>
    </row>
    <row r="899" spans="1:54" s="190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2" t="str">
        <f>IF(C899="","",VLOOKUP($B899,勘定科目!$A:$E,4,0))</f>
        <v/>
      </c>
      <c r="E899" s="238"/>
      <c r="F899" s="233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198"/>
      <c r="S899" s="199"/>
      <c r="T899" s="200"/>
      <c r="U899" s="239"/>
      <c r="V899" s="239"/>
      <c r="W899" s="239"/>
      <c r="BA899"/>
      <c r="BB899"/>
    </row>
    <row r="900" spans="1:54" s="190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2" t="str">
        <f>IF(C900="","",VLOOKUP($B900,勘定科目!$A:$E,4,0))</f>
        <v/>
      </c>
      <c r="E900" s="238"/>
      <c r="F900" s="233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198"/>
      <c r="S900" s="199"/>
      <c r="T900" s="200"/>
      <c r="U900" s="239"/>
      <c r="V900" s="239"/>
      <c r="W900" s="239"/>
      <c r="BA900"/>
      <c r="BB900"/>
    </row>
    <row r="901" spans="1:54" s="190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2" t="str">
        <f>IF(C901="","",VLOOKUP($B901,勘定科目!$A:$E,4,0))</f>
        <v/>
      </c>
      <c r="E901" s="238"/>
      <c r="F901" s="233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198"/>
      <c r="S901" s="199"/>
      <c r="T901" s="200"/>
      <c r="U901" s="239"/>
      <c r="V901" s="239"/>
      <c r="W901" s="239"/>
      <c r="BA901"/>
      <c r="BB901"/>
    </row>
    <row r="902" spans="1:54" s="190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2" t="str">
        <f>IF(C902="","",VLOOKUP($B902,勘定科目!$A:$E,4,0))</f>
        <v/>
      </c>
      <c r="E902" s="238"/>
      <c r="F902" s="233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198"/>
      <c r="S902" s="199"/>
      <c r="T902" s="200"/>
      <c r="U902" s="239"/>
      <c r="V902" s="239"/>
      <c r="W902" s="239"/>
      <c r="BA902"/>
      <c r="BB902"/>
    </row>
    <row r="903" spans="1:54" s="190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2" t="str">
        <f>IF(C903="","",VLOOKUP($B903,勘定科目!$A:$E,4,0))</f>
        <v/>
      </c>
      <c r="E903" s="238"/>
      <c r="F903" s="233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198"/>
      <c r="S903" s="199"/>
      <c r="T903" s="200"/>
      <c r="U903" s="239"/>
      <c r="V903" s="239"/>
      <c r="W903" s="239"/>
      <c r="BA903"/>
      <c r="BB903"/>
    </row>
    <row r="904" spans="1:54" s="190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2" t="str">
        <f>IF(C904="","",VLOOKUP($B904,勘定科目!$A:$E,4,0))</f>
        <v/>
      </c>
      <c r="E904" s="238"/>
      <c r="F904" s="233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198"/>
      <c r="S904" s="199"/>
      <c r="T904" s="200"/>
      <c r="U904" s="239"/>
      <c r="V904" s="239"/>
      <c r="W904" s="239"/>
      <c r="BA904"/>
      <c r="BB904"/>
    </row>
    <row r="905" spans="1:54" s="190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2" t="str">
        <f>IF(C905="","",VLOOKUP($B905,勘定科目!$A:$E,4,0))</f>
        <v/>
      </c>
      <c r="E905" s="238"/>
      <c r="F905" s="233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198"/>
      <c r="S905" s="199"/>
      <c r="T905" s="200"/>
      <c r="U905" s="239"/>
      <c r="V905" s="239"/>
      <c r="W905" s="239"/>
      <c r="BA905"/>
      <c r="BB905"/>
    </row>
    <row r="906" spans="1:54" s="190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2" t="str">
        <f>IF(C906="","",VLOOKUP($B906,勘定科目!$A:$E,4,0))</f>
        <v/>
      </c>
      <c r="E906" s="238"/>
      <c r="F906" s="233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198"/>
      <c r="S906" s="199"/>
      <c r="T906" s="200"/>
      <c r="U906" s="239"/>
      <c r="V906" s="239"/>
      <c r="W906" s="239"/>
      <c r="BA906"/>
      <c r="BB906"/>
    </row>
    <row r="907" spans="1:54" s="190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2" t="str">
        <f>IF(C907="","",VLOOKUP($B907,勘定科目!$A:$E,4,0))</f>
        <v/>
      </c>
      <c r="E907" s="238"/>
      <c r="F907" s="233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198"/>
      <c r="S907" s="199"/>
      <c r="T907" s="200"/>
      <c r="U907" s="239"/>
      <c r="V907" s="239"/>
      <c r="W907" s="239"/>
      <c r="BA907"/>
      <c r="BB907"/>
    </row>
    <row r="908" spans="1:54" s="190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2" t="str">
        <f>IF(C908="","",VLOOKUP($B908,勘定科目!$A:$E,4,0))</f>
        <v/>
      </c>
      <c r="E908" s="238"/>
      <c r="F908" s="233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198"/>
      <c r="S908" s="199"/>
      <c r="T908" s="200"/>
      <c r="U908" s="239"/>
      <c r="V908" s="239"/>
      <c r="W908" s="239"/>
      <c r="BA908"/>
      <c r="BB908"/>
    </row>
    <row r="909" spans="1:54" s="190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2" t="str">
        <f>IF(C909="","",VLOOKUP($B909,勘定科目!$A:$E,4,0))</f>
        <v/>
      </c>
      <c r="E909" s="238"/>
      <c r="F909" s="233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198"/>
      <c r="S909" s="199"/>
      <c r="T909" s="200"/>
      <c r="U909" s="239"/>
      <c r="V909" s="239"/>
      <c r="W909" s="239"/>
      <c r="BA909"/>
      <c r="BB909"/>
    </row>
    <row r="910" spans="1:54" s="190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2" t="str">
        <f>IF(C910="","",VLOOKUP($B910,勘定科目!$A:$E,4,0))</f>
        <v/>
      </c>
      <c r="E910" s="238"/>
      <c r="F910" s="233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198"/>
      <c r="S910" s="199"/>
      <c r="T910" s="200"/>
      <c r="U910" s="239"/>
      <c r="V910" s="239"/>
      <c r="W910" s="239"/>
      <c r="BA910"/>
      <c r="BB910"/>
    </row>
    <row r="911" spans="1:54" s="190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2" t="str">
        <f>IF(C911="","",VLOOKUP($B911,勘定科目!$A:$E,4,0))</f>
        <v/>
      </c>
      <c r="E911" s="238"/>
      <c r="F911" s="233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198"/>
      <c r="S911" s="199"/>
      <c r="T911" s="200"/>
      <c r="U911" s="239"/>
      <c r="V911" s="239"/>
      <c r="W911" s="239"/>
      <c r="BA911"/>
      <c r="BB911"/>
    </row>
    <row r="912" spans="1:54" s="190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2" t="str">
        <f>IF(C912="","",VLOOKUP($B912,勘定科目!$A:$E,4,0))</f>
        <v/>
      </c>
      <c r="E912" s="238"/>
      <c r="F912" s="233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198"/>
      <c r="S912" s="199"/>
      <c r="T912" s="200"/>
      <c r="U912" s="239"/>
      <c r="V912" s="239"/>
      <c r="W912" s="239"/>
      <c r="BA912"/>
      <c r="BB912"/>
    </row>
    <row r="913" spans="1:54" s="190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2" t="str">
        <f>IF(C913="","",VLOOKUP($B913,勘定科目!$A:$E,4,0))</f>
        <v/>
      </c>
      <c r="E913" s="238"/>
      <c r="F913" s="233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198"/>
      <c r="S913" s="199"/>
      <c r="T913" s="200"/>
      <c r="U913" s="239"/>
      <c r="V913" s="239"/>
      <c r="W913" s="239"/>
      <c r="BA913"/>
      <c r="BB913"/>
    </row>
    <row r="914" spans="1:54" s="190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2" t="str">
        <f>IF(C914="","",VLOOKUP($B914,勘定科目!$A:$E,4,0))</f>
        <v/>
      </c>
      <c r="E914" s="238"/>
      <c r="F914" s="233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198"/>
      <c r="S914" s="199"/>
      <c r="T914" s="200"/>
      <c r="U914" s="239"/>
      <c r="V914" s="239"/>
      <c r="W914" s="239"/>
      <c r="BA914"/>
      <c r="BB914"/>
    </row>
    <row r="915" spans="1:54" s="190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2" t="str">
        <f>IF(C915="","",VLOOKUP($B915,勘定科目!$A:$E,4,0))</f>
        <v/>
      </c>
      <c r="E915" s="238"/>
      <c r="F915" s="233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198"/>
      <c r="S915" s="199"/>
      <c r="T915" s="200"/>
      <c r="U915" s="239"/>
      <c r="V915" s="239"/>
      <c r="W915" s="239"/>
      <c r="BA915"/>
      <c r="BB915"/>
    </row>
    <row r="916" spans="1:54" s="190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2" t="str">
        <f>IF(C916="","",VLOOKUP($B916,勘定科目!$A:$E,4,0))</f>
        <v/>
      </c>
      <c r="E916" s="238"/>
      <c r="F916" s="233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198"/>
      <c r="S916" s="199"/>
      <c r="T916" s="200"/>
      <c r="U916" s="239"/>
      <c r="V916" s="239"/>
      <c r="W916" s="239"/>
      <c r="BA916"/>
      <c r="BB916"/>
    </row>
    <row r="917" spans="1:54" s="190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2" t="str">
        <f>IF(C917="","",VLOOKUP($B917,勘定科目!$A:$E,4,0))</f>
        <v/>
      </c>
      <c r="E917" s="238"/>
      <c r="F917" s="233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198"/>
      <c r="S917" s="199"/>
      <c r="T917" s="200"/>
      <c r="U917" s="239"/>
      <c r="V917" s="239"/>
      <c r="W917" s="239"/>
      <c r="BA917"/>
      <c r="BB917"/>
    </row>
    <row r="918" spans="1:54" s="190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2" t="str">
        <f>IF(C918="","",VLOOKUP($B918,勘定科目!$A:$E,4,0))</f>
        <v/>
      </c>
      <c r="E918" s="238"/>
      <c r="F918" s="233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198"/>
      <c r="S918" s="199"/>
      <c r="T918" s="200"/>
      <c r="U918" s="239"/>
      <c r="V918" s="239"/>
      <c r="W918" s="239"/>
      <c r="BA918"/>
      <c r="BB918"/>
    </row>
    <row r="919" spans="1:54" s="190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2" t="str">
        <f>IF(C919="","",VLOOKUP($B919,勘定科目!$A:$E,4,0))</f>
        <v/>
      </c>
      <c r="E919" s="238"/>
      <c r="F919" s="233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198"/>
      <c r="S919" s="199"/>
      <c r="T919" s="200"/>
      <c r="U919" s="239"/>
      <c r="V919" s="239"/>
      <c r="W919" s="239"/>
      <c r="BA919"/>
      <c r="BB919"/>
    </row>
    <row r="920" spans="1:54" s="190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2" t="str">
        <f>IF(C920="","",VLOOKUP($B920,勘定科目!$A:$E,4,0))</f>
        <v/>
      </c>
      <c r="E920" s="238"/>
      <c r="F920" s="233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198"/>
      <c r="S920" s="199"/>
      <c r="T920" s="200"/>
      <c r="U920" s="239"/>
      <c r="V920" s="239"/>
      <c r="W920" s="239"/>
      <c r="BA920"/>
      <c r="BB920"/>
    </row>
    <row r="921" spans="1:54" s="190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2" t="str">
        <f>IF(C921="","",VLOOKUP($B921,勘定科目!$A:$E,4,0))</f>
        <v/>
      </c>
      <c r="E921" s="238"/>
      <c r="F921" s="233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198"/>
      <c r="S921" s="199"/>
      <c r="T921" s="200"/>
      <c r="U921" s="239"/>
      <c r="V921" s="239"/>
      <c r="W921" s="239"/>
      <c r="BA921"/>
      <c r="BB921"/>
    </row>
    <row r="922" spans="1:54" s="190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2" t="str">
        <f>IF(C922="","",VLOOKUP($B922,勘定科目!$A:$E,4,0))</f>
        <v/>
      </c>
      <c r="E922" s="238"/>
      <c r="F922" s="233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198"/>
      <c r="S922" s="199"/>
      <c r="T922" s="200"/>
      <c r="U922" s="239"/>
      <c r="V922" s="239"/>
      <c r="W922" s="239"/>
      <c r="BA922"/>
      <c r="BB922"/>
    </row>
    <row r="923" spans="1:54" s="190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2" t="str">
        <f>IF(C923="","",VLOOKUP($B923,勘定科目!$A:$E,4,0))</f>
        <v/>
      </c>
      <c r="E923" s="238"/>
      <c r="F923" s="233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198"/>
      <c r="S923" s="199"/>
      <c r="T923" s="200"/>
      <c r="U923" s="239"/>
      <c r="V923" s="239"/>
      <c r="W923" s="239"/>
      <c r="BA923"/>
      <c r="BB923"/>
    </row>
    <row r="924" spans="1:54" s="190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2" t="str">
        <f>IF(C924="","",VLOOKUP($B924,勘定科目!$A:$E,4,0))</f>
        <v/>
      </c>
      <c r="E924" s="238"/>
      <c r="F924" s="233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198"/>
      <c r="S924" s="199"/>
      <c r="T924" s="200"/>
      <c r="U924" s="239"/>
      <c r="V924" s="239"/>
      <c r="W924" s="239"/>
      <c r="BA924"/>
      <c r="BB924"/>
    </row>
    <row r="925" spans="1:54" s="190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2" t="str">
        <f>IF(C925="","",VLOOKUP($B925,勘定科目!$A:$E,4,0))</f>
        <v/>
      </c>
      <c r="E925" s="238"/>
      <c r="F925" s="233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198"/>
      <c r="S925" s="199"/>
      <c r="T925" s="200"/>
      <c r="U925" s="239"/>
      <c r="V925" s="239"/>
      <c r="W925" s="239"/>
      <c r="BA925"/>
      <c r="BB925"/>
    </row>
    <row r="926" spans="1:54" s="190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2" t="str">
        <f>IF(C926="","",VLOOKUP($B926,勘定科目!$A:$E,4,0))</f>
        <v/>
      </c>
      <c r="E926" s="238"/>
      <c r="F926" s="233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198"/>
      <c r="S926" s="199"/>
      <c r="T926" s="200"/>
      <c r="U926" s="239"/>
      <c r="V926" s="239"/>
      <c r="W926" s="239"/>
      <c r="BA926"/>
      <c r="BB926"/>
    </row>
    <row r="927" spans="1:54" s="190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2" t="str">
        <f>IF(C927="","",VLOOKUP($B927,勘定科目!$A:$E,4,0))</f>
        <v/>
      </c>
      <c r="E927" s="238"/>
      <c r="F927" s="233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198"/>
      <c r="S927" s="199"/>
      <c r="T927" s="200"/>
      <c r="U927" s="239"/>
      <c r="V927" s="239"/>
      <c r="W927" s="239"/>
      <c r="BA927"/>
      <c r="BB927"/>
    </row>
    <row r="928" spans="1:54" s="190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2" t="str">
        <f>IF(C928="","",VLOOKUP($B928,勘定科目!$A:$E,4,0))</f>
        <v/>
      </c>
      <c r="E928" s="238"/>
      <c r="F928" s="233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198"/>
      <c r="S928" s="199"/>
      <c r="T928" s="200"/>
      <c r="U928" s="239"/>
      <c r="V928" s="239"/>
      <c r="W928" s="239"/>
      <c r="BA928"/>
      <c r="BB928"/>
    </row>
    <row r="929" spans="1:54" s="190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2" t="str">
        <f>IF(C929="","",VLOOKUP($B929,勘定科目!$A:$E,4,0))</f>
        <v/>
      </c>
      <c r="E929" s="238"/>
      <c r="F929" s="233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198"/>
      <c r="S929" s="199"/>
      <c r="T929" s="200"/>
      <c r="U929" s="239"/>
      <c r="V929" s="239"/>
      <c r="W929" s="239"/>
      <c r="BA929"/>
      <c r="BB929"/>
    </row>
    <row r="930" spans="1:54" s="190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2" t="str">
        <f>IF(C930="","",VLOOKUP($B930,勘定科目!$A:$E,4,0))</f>
        <v/>
      </c>
      <c r="E930" s="238"/>
      <c r="F930" s="233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198"/>
      <c r="S930" s="199"/>
      <c r="T930" s="200"/>
      <c r="U930" s="239"/>
      <c r="V930" s="239"/>
      <c r="W930" s="239"/>
      <c r="BA930"/>
      <c r="BB930"/>
    </row>
    <row r="931" spans="1:54" s="190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2" t="str">
        <f>IF(C931="","",VLOOKUP($B931,勘定科目!$A:$E,4,0))</f>
        <v/>
      </c>
      <c r="E931" s="238"/>
      <c r="F931" s="233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198"/>
      <c r="S931" s="199"/>
      <c r="T931" s="200"/>
      <c r="U931" s="239"/>
      <c r="V931" s="239"/>
      <c r="W931" s="239"/>
      <c r="BA931"/>
      <c r="BB931"/>
    </row>
    <row r="932" spans="1:54" s="190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2" t="str">
        <f>IF(C932="","",VLOOKUP($B932,勘定科目!$A:$E,4,0))</f>
        <v/>
      </c>
      <c r="E932" s="238"/>
      <c r="F932" s="233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198"/>
      <c r="S932" s="199"/>
      <c r="T932" s="200"/>
      <c r="U932" s="239"/>
      <c r="V932" s="239"/>
      <c r="W932" s="239"/>
      <c r="BA932"/>
      <c r="BB932"/>
    </row>
    <row r="933" spans="1:54" s="190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2" t="str">
        <f>IF(C933="","",VLOOKUP($B933,勘定科目!$A:$E,4,0))</f>
        <v/>
      </c>
      <c r="E933" s="238"/>
      <c r="F933" s="233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198"/>
      <c r="S933" s="199"/>
      <c r="T933" s="200"/>
      <c r="U933" s="239"/>
      <c r="V933" s="239"/>
      <c r="W933" s="239"/>
      <c r="BA933"/>
      <c r="BB933"/>
    </row>
    <row r="934" spans="1:54" s="190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2" t="str">
        <f>IF(C934="","",VLOOKUP($B934,勘定科目!$A:$E,4,0))</f>
        <v/>
      </c>
      <c r="E934" s="238"/>
      <c r="F934" s="233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198"/>
      <c r="S934" s="199"/>
      <c r="T934" s="200"/>
      <c r="U934" s="239"/>
      <c r="V934" s="239"/>
      <c r="W934" s="239"/>
      <c r="BA934"/>
      <c r="BB934"/>
    </row>
    <row r="935" spans="1:54" s="190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2" t="str">
        <f>IF(C935="","",VLOOKUP($B935,勘定科目!$A:$E,4,0))</f>
        <v/>
      </c>
      <c r="E935" s="238"/>
      <c r="F935" s="233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198"/>
      <c r="S935" s="199"/>
      <c r="T935" s="200"/>
      <c r="U935" s="239"/>
      <c r="V935" s="239"/>
      <c r="W935" s="239"/>
      <c r="BA935"/>
      <c r="BB935"/>
    </row>
    <row r="936" spans="1:54" s="190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2" t="str">
        <f>IF(C936="","",VLOOKUP($B936,勘定科目!$A:$E,4,0))</f>
        <v/>
      </c>
      <c r="E936" s="238"/>
      <c r="F936" s="233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198"/>
      <c r="S936" s="199"/>
      <c r="T936" s="200"/>
      <c r="U936" s="239"/>
      <c r="V936" s="239"/>
      <c r="W936" s="239"/>
      <c r="BA936"/>
      <c r="BB936"/>
    </row>
    <row r="937" spans="1:54" s="190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2" t="str">
        <f>IF(C937="","",VLOOKUP($B937,勘定科目!$A:$E,4,0))</f>
        <v/>
      </c>
      <c r="E937" s="238"/>
      <c r="F937" s="233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198"/>
      <c r="S937" s="199"/>
      <c r="T937" s="200"/>
      <c r="U937" s="239"/>
      <c r="V937" s="239"/>
      <c r="W937" s="239"/>
      <c r="BA937"/>
      <c r="BB937"/>
    </row>
    <row r="938" spans="1:54" s="190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2" t="str">
        <f>IF(C938="","",VLOOKUP($B938,勘定科目!$A:$E,4,0))</f>
        <v/>
      </c>
      <c r="E938" s="238"/>
      <c r="F938" s="233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198"/>
      <c r="S938" s="199"/>
      <c r="T938" s="200"/>
      <c r="U938" s="239"/>
      <c r="V938" s="239"/>
      <c r="W938" s="239"/>
      <c r="BA938"/>
      <c r="BB938"/>
    </row>
    <row r="939" spans="1:54" s="190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2" t="str">
        <f>IF(C939="","",VLOOKUP($B939,勘定科目!$A:$E,4,0))</f>
        <v/>
      </c>
      <c r="E939" s="238"/>
      <c r="F939" s="233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198"/>
      <c r="S939" s="199"/>
      <c r="T939" s="200"/>
      <c r="U939" s="239"/>
      <c r="V939" s="239"/>
      <c r="W939" s="239"/>
      <c r="BA939"/>
      <c r="BB939"/>
    </row>
    <row r="940" spans="1:54" s="190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2" t="str">
        <f>IF(C940="","",VLOOKUP($B940,勘定科目!$A:$E,4,0))</f>
        <v/>
      </c>
      <c r="E940" s="238"/>
      <c r="F940" s="233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198"/>
      <c r="S940" s="199"/>
      <c r="T940" s="200"/>
      <c r="U940" s="239"/>
      <c r="V940" s="239"/>
      <c r="W940" s="239"/>
      <c r="BA940"/>
      <c r="BB940"/>
    </row>
    <row r="941" spans="1:54" s="190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2" t="str">
        <f>IF(C941="","",VLOOKUP($B941,勘定科目!$A:$E,4,0))</f>
        <v/>
      </c>
      <c r="E941" s="238"/>
      <c r="F941" s="233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198"/>
      <c r="S941" s="199"/>
      <c r="T941" s="200"/>
      <c r="U941" s="239"/>
      <c r="V941" s="239"/>
      <c r="W941" s="239"/>
      <c r="BA941"/>
      <c r="BB941"/>
    </row>
    <row r="942" spans="1:54" s="190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2" t="str">
        <f>IF(C942="","",VLOOKUP($B942,勘定科目!$A:$E,4,0))</f>
        <v/>
      </c>
      <c r="E942" s="238"/>
      <c r="F942" s="233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198"/>
      <c r="S942" s="199"/>
      <c r="T942" s="200"/>
      <c r="U942" s="239"/>
      <c r="V942" s="239"/>
      <c r="W942" s="239"/>
      <c r="BA942"/>
      <c r="BB942"/>
    </row>
    <row r="943" spans="1:54" s="190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2" t="str">
        <f>IF(C943="","",VLOOKUP($B943,勘定科目!$A:$E,4,0))</f>
        <v/>
      </c>
      <c r="E943" s="238"/>
      <c r="F943" s="233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198"/>
      <c r="S943" s="199"/>
      <c r="T943" s="200"/>
      <c r="U943" s="239"/>
      <c r="V943" s="239"/>
      <c r="W943" s="239"/>
      <c r="BA943"/>
      <c r="BB943"/>
    </row>
    <row r="944" spans="1:54" s="190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2" t="str">
        <f>IF(C944="","",VLOOKUP($B944,勘定科目!$A:$E,4,0))</f>
        <v/>
      </c>
      <c r="E944" s="238"/>
      <c r="F944" s="233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198"/>
      <c r="S944" s="199"/>
      <c r="T944" s="200"/>
      <c r="U944" s="239"/>
      <c r="V944" s="239"/>
      <c r="W944" s="239"/>
      <c r="BA944"/>
      <c r="BB944"/>
    </row>
    <row r="945" spans="1:54" s="190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2" t="str">
        <f>IF(C945="","",VLOOKUP($B945,勘定科目!$A:$E,4,0))</f>
        <v/>
      </c>
      <c r="E945" s="238"/>
      <c r="F945" s="233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198"/>
      <c r="S945" s="199"/>
      <c r="T945" s="200"/>
      <c r="U945" s="239"/>
      <c r="V945" s="239"/>
      <c r="W945" s="239"/>
      <c r="BA945"/>
      <c r="BB945"/>
    </row>
    <row r="946" spans="1:54" s="190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2" t="str">
        <f>IF(C946="","",VLOOKUP($B946,勘定科目!$A:$E,4,0))</f>
        <v/>
      </c>
      <c r="E946" s="238"/>
      <c r="F946" s="233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198"/>
      <c r="S946" s="199"/>
      <c r="T946" s="200"/>
      <c r="U946" s="239"/>
      <c r="V946" s="239"/>
      <c r="W946" s="239"/>
      <c r="BA946"/>
      <c r="BB946"/>
    </row>
    <row r="947" spans="1:54" s="190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2" t="str">
        <f>IF(C947="","",VLOOKUP($B947,勘定科目!$A:$E,4,0))</f>
        <v/>
      </c>
      <c r="E947" s="238"/>
      <c r="F947" s="233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198"/>
      <c r="S947" s="199"/>
      <c r="T947" s="200"/>
      <c r="U947" s="239"/>
      <c r="V947" s="239"/>
      <c r="W947" s="239"/>
      <c r="BA947"/>
      <c r="BB947"/>
    </row>
    <row r="948" spans="1:54" s="190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2" t="str">
        <f>IF(C948="","",VLOOKUP($B948,勘定科目!$A:$E,4,0))</f>
        <v/>
      </c>
      <c r="E948" s="238"/>
      <c r="F948" s="233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198"/>
      <c r="S948" s="199"/>
      <c r="T948" s="200"/>
      <c r="U948" s="239"/>
      <c r="V948" s="239"/>
      <c r="W948" s="239"/>
      <c r="BA948"/>
      <c r="BB948"/>
    </row>
    <row r="949" spans="1:54" s="190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2" t="str">
        <f>IF(C949="","",VLOOKUP($B949,勘定科目!$A:$E,4,0))</f>
        <v/>
      </c>
      <c r="E949" s="238"/>
      <c r="F949" s="233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198"/>
      <c r="S949" s="199"/>
      <c r="T949" s="200"/>
      <c r="U949" s="239"/>
      <c r="V949" s="239"/>
      <c r="W949" s="239"/>
      <c r="BA949"/>
      <c r="BB949"/>
    </row>
    <row r="950" spans="1:54" s="190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2" t="str">
        <f>IF(C950="","",VLOOKUP($B950,勘定科目!$A:$E,4,0))</f>
        <v/>
      </c>
      <c r="E950" s="238"/>
      <c r="F950" s="233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198"/>
      <c r="S950" s="199"/>
      <c r="T950" s="200"/>
      <c r="U950" s="239"/>
      <c r="V950" s="239"/>
      <c r="W950" s="239"/>
      <c r="BA950"/>
      <c r="BB950"/>
    </row>
    <row r="951" spans="1:54" s="190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2" t="str">
        <f>IF(C951="","",VLOOKUP($B951,勘定科目!$A:$E,4,0))</f>
        <v/>
      </c>
      <c r="E951" s="238"/>
      <c r="F951" s="233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198"/>
      <c r="S951" s="199"/>
      <c r="T951" s="200"/>
      <c r="U951" s="239"/>
      <c r="V951" s="239"/>
      <c r="W951" s="239"/>
      <c r="BA951"/>
      <c r="BB951"/>
    </row>
    <row r="952" spans="1:54" s="190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2" t="str">
        <f>IF(C952="","",VLOOKUP($B952,勘定科目!$A:$E,4,0))</f>
        <v/>
      </c>
      <c r="E952" s="238"/>
      <c r="F952" s="233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198"/>
      <c r="S952" s="199"/>
      <c r="T952" s="200"/>
      <c r="U952" s="239"/>
      <c r="V952" s="239"/>
      <c r="W952" s="239"/>
      <c r="BA952"/>
      <c r="BB952"/>
    </row>
    <row r="953" spans="1:54" s="190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2" t="str">
        <f>IF(C953="","",VLOOKUP($B953,勘定科目!$A:$E,4,0))</f>
        <v/>
      </c>
      <c r="E953" s="238"/>
      <c r="F953" s="233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198"/>
      <c r="S953" s="199"/>
      <c r="T953" s="200"/>
      <c r="U953" s="239"/>
      <c r="V953" s="239"/>
      <c r="W953" s="239"/>
      <c r="BA953"/>
      <c r="BB953"/>
    </row>
    <row r="954" spans="1:54" s="190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2" t="str">
        <f>IF(C954="","",VLOOKUP($B954,勘定科目!$A:$E,4,0))</f>
        <v/>
      </c>
      <c r="E954" s="238"/>
      <c r="F954" s="233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198"/>
      <c r="S954" s="199"/>
      <c r="T954" s="200"/>
      <c r="U954" s="239"/>
      <c r="V954" s="239"/>
      <c r="W954" s="239"/>
      <c r="BA954"/>
      <c r="BB954"/>
    </row>
    <row r="955" spans="1:54" s="190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2" t="str">
        <f>IF(C955="","",VLOOKUP($B955,勘定科目!$A:$E,4,0))</f>
        <v/>
      </c>
      <c r="E955" s="238"/>
      <c r="F955" s="233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198"/>
      <c r="S955" s="199"/>
      <c r="T955" s="200"/>
      <c r="U955" s="239"/>
      <c r="V955" s="239"/>
      <c r="W955" s="239"/>
      <c r="BA955"/>
      <c r="BB955"/>
    </row>
    <row r="956" spans="1:54" s="190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2" t="str">
        <f>IF(C956="","",VLOOKUP($B956,勘定科目!$A:$E,4,0))</f>
        <v/>
      </c>
      <c r="E956" s="238"/>
      <c r="F956" s="233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198"/>
      <c r="S956" s="199"/>
      <c r="T956" s="200"/>
      <c r="U956" s="239"/>
      <c r="V956" s="239"/>
      <c r="W956" s="239"/>
      <c r="BA956"/>
      <c r="BB956"/>
    </row>
    <row r="957" spans="1:54" s="190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2" t="str">
        <f>IF(C957="","",VLOOKUP($B957,勘定科目!$A:$E,4,0))</f>
        <v/>
      </c>
      <c r="E957" s="238"/>
      <c r="F957" s="233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198"/>
      <c r="S957" s="199"/>
      <c r="T957" s="200"/>
      <c r="U957" s="239"/>
      <c r="V957" s="239"/>
      <c r="W957" s="239"/>
      <c r="BA957"/>
      <c r="BB957"/>
    </row>
    <row r="958" spans="1:54" s="190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2" t="str">
        <f>IF(C958="","",VLOOKUP($B958,勘定科目!$A:$E,4,0))</f>
        <v/>
      </c>
      <c r="E958" s="238"/>
      <c r="F958" s="233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198"/>
      <c r="S958" s="199"/>
      <c r="T958" s="200"/>
      <c r="U958" s="239"/>
      <c r="V958" s="239"/>
      <c r="W958" s="239"/>
      <c r="BA958"/>
      <c r="BB958"/>
    </row>
    <row r="959" spans="1:54" s="190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2" t="str">
        <f>IF(C959="","",VLOOKUP($B959,勘定科目!$A:$E,4,0))</f>
        <v/>
      </c>
      <c r="E959" s="238"/>
      <c r="F959" s="233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198"/>
      <c r="S959" s="199"/>
      <c r="T959" s="200"/>
      <c r="U959" s="239"/>
      <c r="V959" s="239"/>
      <c r="W959" s="239"/>
      <c r="BA959"/>
      <c r="BB959"/>
    </row>
    <row r="960" spans="1:54" s="190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2" t="str">
        <f>IF(C960="","",VLOOKUP($B960,勘定科目!$A:$E,4,0))</f>
        <v/>
      </c>
      <c r="E960" s="238"/>
      <c r="F960" s="233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198"/>
      <c r="S960" s="199"/>
      <c r="T960" s="200"/>
      <c r="U960" s="239"/>
      <c r="V960" s="239"/>
      <c r="W960" s="239"/>
      <c r="BA960"/>
      <c r="BB960"/>
    </row>
    <row r="961" spans="1:54" s="190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2" t="str">
        <f>IF(C961="","",VLOOKUP($B961,勘定科目!$A:$E,4,0))</f>
        <v/>
      </c>
      <c r="E961" s="238"/>
      <c r="F961" s="233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198"/>
      <c r="S961" s="199"/>
      <c r="T961" s="200"/>
      <c r="U961" s="239"/>
      <c r="V961" s="239"/>
      <c r="W961" s="239"/>
      <c r="BA961"/>
      <c r="BB961"/>
    </row>
    <row r="962" spans="1:54" s="190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2" t="str">
        <f>IF(C962="","",VLOOKUP($B962,勘定科目!$A:$E,4,0))</f>
        <v/>
      </c>
      <c r="E962" s="238"/>
      <c r="F962" s="233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198"/>
      <c r="S962" s="199"/>
      <c r="T962" s="200"/>
      <c r="U962" s="239"/>
      <c r="V962" s="239"/>
      <c r="W962" s="239"/>
      <c r="BA962"/>
      <c r="BB962"/>
    </row>
    <row r="963" spans="1:54" s="190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2" t="str">
        <f>IF(C963="","",VLOOKUP($B963,勘定科目!$A:$E,4,0))</f>
        <v/>
      </c>
      <c r="E963" s="238"/>
      <c r="F963" s="233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198"/>
      <c r="S963" s="199"/>
      <c r="T963" s="200"/>
      <c r="U963" s="239"/>
      <c r="V963" s="239"/>
      <c r="W963" s="239"/>
      <c r="BA963"/>
      <c r="BB963"/>
    </row>
    <row r="964" spans="1:54" s="190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2" t="str">
        <f>IF(C964="","",VLOOKUP($B964,勘定科目!$A:$E,4,0))</f>
        <v/>
      </c>
      <c r="E964" s="238"/>
      <c r="F964" s="233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198"/>
      <c r="S964" s="199"/>
      <c r="T964" s="200"/>
      <c r="U964" s="239"/>
      <c r="V964" s="239"/>
      <c r="W964" s="239"/>
      <c r="BA964"/>
      <c r="BB964"/>
    </row>
    <row r="965" spans="1:54" s="190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2" t="str">
        <f>IF(C965="","",VLOOKUP($B965,勘定科目!$A:$E,4,0))</f>
        <v/>
      </c>
      <c r="E965" s="238"/>
      <c r="F965" s="233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198"/>
      <c r="S965" s="199"/>
      <c r="T965" s="200"/>
      <c r="U965" s="239"/>
      <c r="V965" s="239"/>
      <c r="W965" s="239"/>
      <c r="BA965"/>
      <c r="BB965"/>
    </row>
    <row r="966" spans="1:54" s="190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2" t="str">
        <f>IF(C966="","",VLOOKUP($B966,勘定科目!$A:$E,4,0))</f>
        <v/>
      </c>
      <c r="E966" s="238"/>
      <c r="F966" s="233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198"/>
      <c r="S966" s="199"/>
      <c r="T966" s="200"/>
      <c r="U966" s="239"/>
      <c r="V966" s="239"/>
      <c r="W966" s="239"/>
      <c r="BA966"/>
      <c r="BB966"/>
    </row>
    <row r="967" spans="1:54" s="190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2" t="str">
        <f>IF(C967="","",VLOOKUP($B967,勘定科目!$A:$E,4,0))</f>
        <v/>
      </c>
      <c r="E967" s="238"/>
      <c r="F967" s="233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198"/>
      <c r="S967" s="199"/>
      <c r="T967" s="200"/>
      <c r="U967" s="239"/>
      <c r="V967" s="239"/>
      <c r="W967" s="239"/>
      <c r="BA967"/>
      <c r="BB967"/>
    </row>
    <row r="968" spans="1:54" s="190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2" t="str">
        <f>IF(C968="","",VLOOKUP($B968,勘定科目!$A:$E,4,0))</f>
        <v/>
      </c>
      <c r="E968" s="238"/>
      <c r="F968" s="233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198"/>
      <c r="S968" s="199"/>
      <c r="T968" s="200"/>
      <c r="U968" s="239"/>
      <c r="V968" s="239"/>
      <c r="W968" s="239"/>
      <c r="BA968"/>
      <c r="BB968"/>
    </row>
    <row r="969" spans="1:54" s="190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2" t="str">
        <f>IF(C969="","",VLOOKUP($B969,勘定科目!$A:$E,4,0))</f>
        <v/>
      </c>
      <c r="E969" s="238"/>
      <c r="F969" s="233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198"/>
      <c r="S969" s="199"/>
      <c r="T969" s="200"/>
      <c r="U969" s="239"/>
      <c r="V969" s="239"/>
      <c r="W969" s="239"/>
      <c r="BA969"/>
      <c r="BB969"/>
    </row>
    <row r="970" spans="1:54" s="190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2" t="str">
        <f>IF(C970="","",VLOOKUP($B970,勘定科目!$A:$E,4,0))</f>
        <v/>
      </c>
      <c r="E970" s="238"/>
      <c r="F970" s="233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198"/>
      <c r="S970" s="199"/>
      <c r="T970" s="200"/>
      <c r="U970" s="239"/>
      <c r="V970" s="239"/>
      <c r="W970" s="239"/>
      <c r="BA970"/>
      <c r="BB970"/>
    </row>
    <row r="971" spans="1:54" s="190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2" t="str">
        <f>IF(C971="","",VLOOKUP($B971,勘定科目!$A:$E,4,0))</f>
        <v/>
      </c>
      <c r="E971" s="238"/>
      <c r="F971" s="233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198"/>
      <c r="S971" s="199"/>
      <c r="T971" s="200"/>
      <c r="U971" s="239"/>
      <c r="V971" s="239"/>
      <c r="W971" s="239"/>
      <c r="BA971"/>
      <c r="BB971"/>
    </row>
    <row r="972" spans="1:54" s="190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2" t="str">
        <f>IF(C972="","",VLOOKUP($B972,勘定科目!$A:$E,4,0))</f>
        <v/>
      </c>
      <c r="E972" s="238"/>
      <c r="F972" s="233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198"/>
      <c r="S972" s="199"/>
      <c r="T972" s="200"/>
      <c r="U972" s="239"/>
      <c r="V972" s="239"/>
      <c r="W972" s="239"/>
      <c r="BA972"/>
      <c r="BB972"/>
    </row>
    <row r="973" spans="1:54" s="190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2" t="str">
        <f>IF(C973="","",VLOOKUP($B973,勘定科目!$A:$E,4,0))</f>
        <v/>
      </c>
      <c r="E973" s="238"/>
      <c r="F973" s="233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198"/>
      <c r="S973" s="199"/>
      <c r="T973" s="200"/>
      <c r="U973" s="239"/>
      <c r="V973" s="239"/>
      <c r="W973" s="239"/>
      <c r="BA973"/>
      <c r="BB973"/>
    </row>
    <row r="974" spans="1:54" s="190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2" t="str">
        <f>IF(C974="","",VLOOKUP($B974,勘定科目!$A:$E,4,0))</f>
        <v/>
      </c>
      <c r="E974" s="238"/>
      <c r="F974" s="233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198"/>
      <c r="S974" s="199"/>
      <c r="T974" s="200"/>
      <c r="U974" s="239"/>
      <c r="V974" s="239"/>
      <c r="W974" s="239"/>
      <c r="BA974"/>
      <c r="BB974"/>
    </row>
    <row r="975" spans="1:54" s="190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2" t="str">
        <f>IF(C975="","",VLOOKUP($B975,勘定科目!$A:$E,4,0))</f>
        <v/>
      </c>
      <c r="E975" s="238"/>
      <c r="F975" s="233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198"/>
      <c r="S975" s="199"/>
      <c r="T975" s="200"/>
      <c r="U975" s="239"/>
      <c r="V975" s="239"/>
      <c r="W975" s="239"/>
      <c r="BA975"/>
      <c r="BB975"/>
    </row>
    <row r="976" spans="1:54" s="190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2" t="str">
        <f>IF(C976="","",VLOOKUP($B976,勘定科目!$A:$E,4,0))</f>
        <v/>
      </c>
      <c r="E976" s="238"/>
      <c r="F976" s="233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198"/>
      <c r="S976" s="199"/>
      <c r="T976" s="200"/>
      <c r="U976" s="239"/>
      <c r="V976" s="239"/>
      <c r="W976" s="239"/>
      <c r="BA976"/>
      <c r="BB976"/>
    </row>
    <row r="977" spans="1:54" s="190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2" t="str">
        <f>IF(C977="","",VLOOKUP($B977,勘定科目!$A:$E,4,0))</f>
        <v/>
      </c>
      <c r="E977" s="238"/>
      <c r="F977" s="233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198"/>
      <c r="S977" s="199"/>
      <c r="T977" s="200"/>
      <c r="U977" s="239"/>
      <c r="V977" s="239"/>
      <c r="W977" s="239"/>
      <c r="BA977"/>
      <c r="BB977"/>
    </row>
    <row r="978" spans="1:54" s="190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2" t="str">
        <f>IF(C978="","",VLOOKUP($B978,勘定科目!$A:$E,4,0))</f>
        <v/>
      </c>
      <c r="E978" s="238"/>
      <c r="F978" s="233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198"/>
      <c r="S978" s="199"/>
      <c r="T978" s="200"/>
      <c r="U978" s="239"/>
      <c r="V978" s="239"/>
      <c r="W978" s="239"/>
      <c r="BA978"/>
      <c r="BB978"/>
    </row>
    <row r="979" spans="1:54" s="190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2" t="str">
        <f>IF(C979="","",VLOOKUP($B979,勘定科目!$A:$E,4,0))</f>
        <v/>
      </c>
      <c r="E979" s="238"/>
      <c r="F979" s="233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198"/>
      <c r="S979" s="199"/>
      <c r="T979" s="200"/>
      <c r="U979" s="239"/>
      <c r="V979" s="239"/>
      <c r="W979" s="239"/>
      <c r="BA979"/>
      <c r="BB979"/>
    </row>
    <row r="980" spans="1:54" s="190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2" t="str">
        <f>IF(C980="","",VLOOKUP($B980,勘定科目!$A:$E,4,0))</f>
        <v/>
      </c>
      <c r="E980" s="238"/>
      <c r="F980" s="233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198"/>
      <c r="S980" s="199"/>
      <c r="T980" s="200"/>
      <c r="U980" s="239"/>
      <c r="V980" s="239"/>
      <c r="W980" s="239"/>
      <c r="BA980"/>
      <c r="BB980"/>
    </row>
    <row r="981" spans="1:54" s="190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2" t="str">
        <f>IF(C981="","",VLOOKUP($B981,勘定科目!$A:$E,4,0))</f>
        <v/>
      </c>
      <c r="E981" s="238"/>
      <c r="F981" s="233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198"/>
      <c r="S981" s="199"/>
      <c r="T981" s="200"/>
      <c r="U981" s="239"/>
      <c r="V981" s="239"/>
      <c r="W981" s="239"/>
      <c r="BA981"/>
      <c r="BB981"/>
    </row>
    <row r="982" spans="1:54" s="190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2" t="str">
        <f>IF(C982="","",VLOOKUP($B982,勘定科目!$A:$E,4,0))</f>
        <v/>
      </c>
      <c r="E982" s="238"/>
      <c r="F982" s="233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198"/>
      <c r="S982" s="199"/>
      <c r="T982" s="200"/>
      <c r="U982" s="239"/>
      <c r="V982" s="239"/>
      <c r="W982" s="239"/>
      <c r="BA982"/>
      <c r="BB982"/>
    </row>
    <row r="983" spans="1:54" s="190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2" t="str">
        <f>IF(C983="","",VLOOKUP($B983,勘定科目!$A:$E,4,0))</f>
        <v/>
      </c>
      <c r="E983" s="238"/>
      <c r="F983" s="233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198"/>
      <c r="S983" s="199"/>
      <c r="T983" s="200"/>
      <c r="U983" s="239"/>
      <c r="V983" s="239"/>
      <c r="W983" s="239"/>
      <c r="BA983"/>
      <c r="BB983"/>
    </row>
    <row r="984" spans="1:54" s="190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2" t="str">
        <f>IF(C984="","",VLOOKUP($B984,勘定科目!$A:$E,4,0))</f>
        <v/>
      </c>
      <c r="E984" s="238"/>
      <c r="F984" s="233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198"/>
      <c r="S984" s="199"/>
      <c r="T984" s="200"/>
      <c r="U984" s="239"/>
      <c r="V984" s="239"/>
      <c r="W984" s="239"/>
      <c r="BA984"/>
      <c r="BB984"/>
    </row>
    <row r="985" spans="1:54" s="190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2" t="str">
        <f>IF(C985="","",VLOOKUP($B985,勘定科目!$A:$E,4,0))</f>
        <v/>
      </c>
      <c r="E985" s="238"/>
      <c r="F985" s="233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198"/>
      <c r="S985" s="199"/>
      <c r="T985" s="200"/>
      <c r="U985" s="239"/>
      <c r="V985" s="239"/>
      <c r="W985" s="239"/>
      <c r="BA985"/>
      <c r="BB985"/>
    </row>
    <row r="986" spans="1:54" s="190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2" t="str">
        <f>IF(C986="","",VLOOKUP($B986,勘定科目!$A:$E,4,0))</f>
        <v/>
      </c>
      <c r="E986" s="238"/>
      <c r="F986" s="233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198"/>
      <c r="S986" s="199"/>
      <c r="T986" s="200"/>
      <c r="U986" s="239"/>
      <c r="V986" s="239"/>
      <c r="W986" s="239"/>
      <c r="BA986"/>
      <c r="BB986"/>
    </row>
    <row r="987" spans="1:54" s="190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2" t="str">
        <f>IF(C987="","",VLOOKUP($B987,勘定科目!$A:$E,4,0))</f>
        <v/>
      </c>
      <c r="E987" s="238"/>
      <c r="F987" s="233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198"/>
      <c r="S987" s="199"/>
      <c r="T987" s="200"/>
      <c r="U987" s="239"/>
      <c r="V987" s="239"/>
      <c r="W987" s="239"/>
      <c r="BA987"/>
      <c r="BB987"/>
    </row>
    <row r="988" spans="1:54" s="190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2" t="str">
        <f>IF(C988="","",VLOOKUP($B988,勘定科目!$A:$E,4,0))</f>
        <v/>
      </c>
      <c r="E988" s="238"/>
      <c r="F988" s="233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198"/>
      <c r="S988" s="199"/>
      <c r="T988" s="200"/>
      <c r="U988" s="239"/>
      <c r="V988" s="239"/>
      <c r="W988" s="239"/>
      <c r="BA988"/>
      <c r="BB988"/>
    </row>
    <row r="989" spans="1:54" s="190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2" t="str">
        <f>IF(C989="","",VLOOKUP($B989,勘定科目!$A:$E,4,0))</f>
        <v/>
      </c>
      <c r="E989" s="238"/>
      <c r="F989" s="233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198"/>
      <c r="S989" s="199"/>
      <c r="T989" s="200"/>
      <c r="U989" s="239"/>
      <c r="V989" s="239"/>
      <c r="W989" s="239"/>
      <c r="BA989"/>
      <c r="BB989"/>
    </row>
    <row r="990" spans="1:54" s="190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2" t="str">
        <f>IF(C990="","",VLOOKUP($B990,勘定科目!$A:$E,4,0))</f>
        <v/>
      </c>
      <c r="E990" s="238"/>
      <c r="F990" s="233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198"/>
      <c r="S990" s="199"/>
      <c r="T990" s="200"/>
      <c r="U990" s="239"/>
      <c r="V990" s="239"/>
      <c r="W990" s="239"/>
      <c r="BA990"/>
      <c r="BB990"/>
    </row>
    <row r="991" spans="1:54" s="190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2" t="str">
        <f>IF(C991="","",VLOOKUP($B991,勘定科目!$A:$E,4,0))</f>
        <v/>
      </c>
      <c r="E991" s="238"/>
      <c r="F991" s="233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198"/>
      <c r="S991" s="199"/>
      <c r="T991" s="200"/>
      <c r="U991" s="239"/>
      <c r="V991" s="239"/>
      <c r="W991" s="239"/>
      <c r="BA991"/>
      <c r="BB991"/>
    </row>
    <row r="992" spans="1:54" s="190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2" t="str">
        <f>IF(C992="","",VLOOKUP($B992,勘定科目!$A:$E,4,0))</f>
        <v/>
      </c>
      <c r="E992" s="238"/>
      <c r="F992" s="233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198"/>
      <c r="S992" s="199"/>
      <c r="T992" s="200"/>
      <c r="U992" s="239"/>
      <c r="V992" s="239"/>
      <c r="W992" s="239"/>
      <c r="BA992"/>
      <c r="BB992"/>
    </row>
    <row r="993" spans="1:54" s="190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2" t="str">
        <f>IF(C993="","",VLOOKUP($B993,勘定科目!$A:$E,4,0))</f>
        <v/>
      </c>
      <c r="E993" s="238"/>
      <c r="F993" s="233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198"/>
      <c r="S993" s="199"/>
      <c r="T993" s="200"/>
      <c r="U993" s="239"/>
      <c r="V993" s="239"/>
      <c r="W993" s="239"/>
      <c r="BA993"/>
      <c r="BB993"/>
    </row>
    <row r="994" spans="1:54" s="190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2" t="str">
        <f>IF(C994="","",VLOOKUP($B994,勘定科目!$A:$E,4,0))</f>
        <v/>
      </c>
      <c r="E994" s="238"/>
      <c r="F994" s="233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198"/>
      <c r="S994" s="199"/>
      <c r="T994" s="200"/>
      <c r="U994" s="239"/>
      <c r="V994" s="239"/>
      <c r="W994" s="239"/>
      <c r="BA994"/>
      <c r="BB994"/>
    </row>
    <row r="995" spans="1:54" s="190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2" t="str">
        <f>IF(C995="","",VLOOKUP($B995,勘定科目!$A:$E,4,0))</f>
        <v/>
      </c>
      <c r="E995" s="238"/>
      <c r="F995" s="233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198"/>
      <c r="S995" s="199"/>
      <c r="T995" s="200"/>
      <c r="U995" s="239"/>
      <c r="V995" s="239"/>
      <c r="W995" s="239"/>
      <c r="BA995"/>
      <c r="BB995"/>
    </row>
    <row r="996" spans="1:54" s="190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2" t="str">
        <f>IF(C996="","",VLOOKUP($B996,勘定科目!$A:$E,4,0))</f>
        <v/>
      </c>
      <c r="E996" s="238"/>
      <c r="F996" s="233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198"/>
      <c r="S996" s="199"/>
      <c r="T996" s="200"/>
      <c r="U996" s="239"/>
      <c r="V996" s="239"/>
      <c r="W996" s="239"/>
      <c r="BA996"/>
      <c r="BB996"/>
    </row>
    <row r="997" spans="1:54" s="190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2" t="str">
        <f>IF(C997="","",VLOOKUP($B997,勘定科目!$A:$E,4,0))</f>
        <v/>
      </c>
      <c r="E997" s="238"/>
      <c r="F997" s="233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198"/>
      <c r="S997" s="199"/>
      <c r="T997" s="200"/>
      <c r="U997" s="239"/>
      <c r="V997" s="239"/>
      <c r="W997" s="239"/>
      <c r="BA997"/>
      <c r="BB997"/>
    </row>
    <row r="998" spans="1:54" s="190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2" t="str">
        <f>IF(C998="","",VLOOKUP($B998,勘定科目!$A:$E,4,0))</f>
        <v/>
      </c>
      <c r="E998" s="238"/>
      <c r="F998" s="233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198"/>
      <c r="S998" s="199"/>
      <c r="T998" s="200"/>
      <c r="U998" s="239"/>
      <c r="V998" s="239"/>
      <c r="W998" s="239"/>
      <c r="BA998"/>
      <c r="BB998"/>
    </row>
    <row r="999" spans="1:54" s="190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2" t="str">
        <f>IF(C999="","",VLOOKUP($B999,勘定科目!$A:$E,4,0))</f>
        <v/>
      </c>
      <c r="E999" s="238"/>
      <c r="F999" s="233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198"/>
      <c r="S999" s="199"/>
      <c r="T999" s="200"/>
      <c r="U999" s="239"/>
      <c r="V999" s="239"/>
      <c r="W999" s="239"/>
      <c r="BA999"/>
      <c r="BB999"/>
    </row>
    <row r="1000" spans="1:54" s="190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2" t="str">
        <f>IF(C1000="","",VLOOKUP($B1000,勘定科目!$A:$E,4,0))</f>
        <v/>
      </c>
      <c r="E1000" s="238"/>
      <c r="F1000" s="233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198"/>
      <c r="S1000" s="199"/>
      <c r="T1000" s="200"/>
      <c r="U1000" s="239"/>
      <c r="V1000" s="239"/>
      <c r="W1000" s="239"/>
      <c r="BA1000"/>
      <c r="BB1000"/>
    </row>
  </sheetData>
  <autoFilter ref="A7:T799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125" style="48" customWidth="1"/>
    <col min="5" max="18" width="14.125" style="48" customWidth="1"/>
    <col min="19" max="19" width="12.875" style="57" customWidth="1"/>
    <col min="20" max="16384" width="9" style="48"/>
  </cols>
  <sheetData>
    <row r="1" spans="2:19" ht="17.25">
      <c r="B1" s="53" t="s">
        <v>327</v>
      </c>
      <c r="D1" s="54" t="str">
        <f>'内訳ﾘｽﾄ(4～3月)'!C5</f>
        <v>EI2課</v>
      </c>
      <c r="E1" s="271" t="s">
        <v>328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1" customFormat="1" ht="27">
      <c r="B3" s="276" t="s">
        <v>329</v>
      </c>
      <c r="C3" s="276" t="s">
        <v>145</v>
      </c>
      <c r="D3" s="277" t="s">
        <v>146</v>
      </c>
      <c r="E3" s="278">
        <v>4</v>
      </c>
      <c r="F3" s="278">
        <v>5</v>
      </c>
      <c r="G3" s="278">
        <v>6</v>
      </c>
      <c r="H3" s="278">
        <v>7</v>
      </c>
      <c r="I3" s="278">
        <v>8</v>
      </c>
      <c r="J3" s="278">
        <v>9</v>
      </c>
      <c r="K3" s="278">
        <v>10</v>
      </c>
      <c r="L3" s="278">
        <v>11</v>
      </c>
      <c r="M3" s="278">
        <v>12</v>
      </c>
      <c r="N3" s="278">
        <v>1</v>
      </c>
      <c r="O3" s="278">
        <v>2</v>
      </c>
      <c r="P3" s="278">
        <v>3</v>
      </c>
      <c r="Q3" s="279" t="s">
        <v>642</v>
      </c>
      <c r="R3" s="282" t="s">
        <v>643</v>
      </c>
      <c r="S3" s="280" t="s">
        <v>416</v>
      </c>
    </row>
    <row r="4" spans="2:19">
      <c r="B4" s="270"/>
      <c r="C4" s="270"/>
      <c r="D4" s="66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5"/>
      <c r="R4" s="275">
        <f>SUM(E4:P4)</f>
        <v>0</v>
      </c>
      <c r="S4" s="268"/>
    </row>
    <row r="5" spans="2:19">
      <c r="B5" s="65"/>
      <c r="C5" s="65"/>
      <c r="D5" s="66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5"/>
      <c r="R5" s="275">
        <f t="shared" ref="R5:R50" si="0">SUM(E5:P5)</f>
        <v>0</v>
      </c>
      <c r="S5" s="268"/>
    </row>
    <row r="6" spans="2:19">
      <c r="B6" s="65"/>
      <c r="C6" s="65"/>
      <c r="D6" s="66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5"/>
      <c r="R6" s="275">
        <f t="shared" si="0"/>
        <v>0</v>
      </c>
      <c r="S6" s="268"/>
    </row>
    <row r="7" spans="2:19" ht="14.25">
      <c r="B7" s="65"/>
      <c r="C7" s="67"/>
      <c r="D7" s="66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5"/>
      <c r="R7" s="275">
        <f t="shared" si="0"/>
        <v>0</v>
      </c>
      <c r="S7" s="268"/>
    </row>
    <row r="8" spans="2:19">
      <c r="B8" s="65"/>
      <c r="C8" s="68"/>
      <c r="D8" s="65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5"/>
      <c r="R8" s="275">
        <f t="shared" si="0"/>
        <v>0</v>
      </c>
      <c r="S8" s="268"/>
    </row>
    <row r="9" spans="2:19">
      <c r="B9" s="65"/>
      <c r="C9" s="65"/>
      <c r="D9" s="65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5"/>
      <c r="R9" s="275">
        <f t="shared" si="0"/>
        <v>0</v>
      </c>
      <c r="S9" s="268"/>
    </row>
    <row r="10" spans="2:19">
      <c r="B10" s="65"/>
      <c r="C10" s="65"/>
      <c r="D10" s="65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5"/>
      <c r="R10" s="275">
        <f t="shared" si="0"/>
        <v>0</v>
      </c>
      <c r="S10" s="268"/>
    </row>
    <row r="11" spans="2:19">
      <c r="B11" s="65"/>
      <c r="C11" s="65"/>
      <c r="D11" s="65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5"/>
      <c r="R11" s="275">
        <f t="shared" si="0"/>
        <v>0</v>
      </c>
      <c r="S11" s="268"/>
    </row>
    <row r="12" spans="2:19">
      <c r="B12" s="65"/>
      <c r="C12" s="65"/>
      <c r="D12" s="65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5"/>
      <c r="R12" s="275">
        <f t="shared" si="0"/>
        <v>0</v>
      </c>
      <c r="S12" s="268"/>
    </row>
    <row r="13" spans="2:19">
      <c r="B13" s="65"/>
      <c r="C13" s="65"/>
      <c r="D13" s="65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5"/>
      <c r="R13" s="275">
        <f t="shared" si="0"/>
        <v>0</v>
      </c>
      <c r="S13" s="268"/>
    </row>
    <row r="14" spans="2:19">
      <c r="B14" s="65"/>
      <c r="C14" s="65"/>
      <c r="D14" s="65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5"/>
      <c r="R14" s="275">
        <f t="shared" si="0"/>
        <v>0</v>
      </c>
      <c r="S14" s="268"/>
    </row>
    <row r="15" spans="2:19">
      <c r="B15" s="65"/>
      <c r="C15" s="65"/>
      <c r="D15" s="65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5"/>
      <c r="R15" s="275">
        <f t="shared" si="0"/>
        <v>0</v>
      </c>
      <c r="S15" s="268"/>
    </row>
    <row r="16" spans="2:19">
      <c r="B16" s="65"/>
      <c r="C16" s="65"/>
      <c r="D16" s="65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5"/>
      <c r="R16" s="275">
        <f t="shared" si="0"/>
        <v>0</v>
      </c>
      <c r="S16" s="268"/>
    </row>
    <row r="17" spans="2:19">
      <c r="B17" s="65"/>
      <c r="C17" s="65"/>
      <c r="D17" s="65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5"/>
      <c r="R17" s="275">
        <f t="shared" si="0"/>
        <v>0</v>
      </c>
      <c r="S17" s="268"/>
    </row>
    <row r="18" spans="2:19">
      <c r="B18" s="65"/>
      <c r="C18" s="65"/>
      <c r="D18" s="65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5"/>
      <c r="R18" s="275">
        <f t="shared" si="0"/>
        <v>0</v>
      </c>
      <c r="S18" s="268"/>
    </row>
    <row r="19" spans="2:19">
      <c r="B19" s="65"/>
      <c r="C19" s="65"/>
      <c r="D19" s="65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5"/>
      <c r="R19" s="275">
        <f t="shared" si="0"/>
        <v>0</v>
      </c>
      <c r="S19" s="268"/>
    </row>
    <row r="20" spans="2:19">
      <c r="B20" s="65"/>
      <c r="C20" s="65"/>
      <c r="D20" s="65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5"/>
      <c r="R20" s="275">
        <f t="shared" si="0"/>
        <v>0</v>
      </c>
      <c r="S20" s="268"/>
    </row>
    <row r="21" spans="2:19">
      <c r="B21" s="65"/>
      <c r="C21" s="65"/>
      <c r="D21" s="65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5"/>
      <c r="R21" s="275">
        <f t="shared" si="0"/>
        <v>0</v>
      </c>
      <c r="S21" s="268"/>
    </row>
    <row r="22" spans="2:19">
      <c r="B22" s="65"/>
      <c r="C22" s="65"/>
      <c r="D22" s="65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5"/>
      <c r="R22" s="275">
        <f t="shared" si="0"/>
        <v>0</v>
      </c>
      <c r="S22" s="268"/>
    </row>
    <row r="23" spans="2:19">
      <c r="B23" s="65"/>
      <c r="C23" s="65"/>
      <c r="D23" s="65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5"/>
      <c r="R23" s="275">
        <f t="shared" si="0"/>
        <v>0</v>
      </c>
      <c r="S23" s="268"/>
    </row>
    <row r="24" spans="2:19">
      <c r="B24" s="65"/>
      <c r="C24" s="65"/>
      <c r="D24" s="65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5"/>
      <c r="R24" s="275">
        <f t="shared" si="0"/>
        <v>0</v>
      </c>
      <c r="S24" s="268"/>
    </row>
    <row r="25" spans="2:19">
      <c r="B25" s="65"/>
      <c r="C25" s="65"/>
      <c r="D25" s="65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5"/>
      <c r="R25" s="275">
        <f t="shared" si="0"/>
        <v>0</v>
      </c>
      <c r="S25" s="268"/>
    </row>
    <row r="26" spans="2:19">
      <c r="B26" s="65"/>
      <c r="C26" s="65"/>
      <c r="D26" s="65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5"/>
      <c r="R26" s="275">
        <f t="shared" si="0"/>
        <v>0</v>
      </c>
      <c r="S26" s="268"/>
    </row>
    <row r="27" spans="2:19">
      <c r="B27" s="65"/>
      <c r="C27" s="65"/>
      <c r="D27" s="65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5"/>
      <c r="R27" s="275">
        <f t="shared" si="0"/>
        <v>0</v>
      </c>
      <c r="S27" s="268"/>
    </row>
    <row r="28" spans="2:19">
      <c r="B28" s="65"/>
      <c r="C28" s="65"/>
      <c r="D28" s="65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5"/>
      <c r="R28" s="275">
        <f t="shared" si="0"/>
        <v>0</v>
      </c>
      <c r="S28" s="268"/>
    </row>
    <row r="29" spans="2:19">
      <c r="B29" s="65"/>
      <c r="C29" s="65"/>
      <c r="D29" s="65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5"/>
      <c r="R29" s="275">
        <f t="shared" si="0"/>
        <v>0</v>
      </c>
      <c r="S29" s="268"/>
    </row>
    <row r="30" spans="2:19">
      <c r="B30" s="65"/>
      <c r="C30" s="65"/>
      <c r="D30" s="65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5"/>
      <c r="R30" s="275">
        <f t="shared" si="0"/>
        <v>0</v>
      </c>
      <c r="S30" s="268"/>
    </row>
    <row r="31" spans="2:19">
      <c r="B31" s="65"/>
      <c r="C31" s="65"/>
      <c r="D31" s="65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5"/>
      <c r="R31" s="275">
        <f t="shared" si="0"/>
        <v>0</v>
      </c>
      <c r="S31" s="268"/>
    </row>
    <row r="32" spans="2:19">
      <c r="B32" s="65"/>
      <c r="C32" s="65"/>
      <c r="D32" s="65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5"/>
      <c r="R32" s="275">
        <f t="shared" si="0"/>
        <v>0</v>
      </c>
      <c r="S32" s="268"/>
    </row>
    <row r="33" spans="2:19">
      <c r="B33" s="65"/>
      <c r="C33" s="65"/>
      <c r="D33" s="65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5"/>
      <c r="R33" s="275">
        <f t="shared" si="0"/>
        <v>0</v>
      </c>
      <c r="S33" s="268"/>
    </row>
    <row r="34" spans="2:19">
      <c r="B34" s="65"/>
      <c r="C34" s="65"/>
      <c r="D34" s="65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5"/>
      <c r="R34" s="275">
        <f t="shared" si="0"/>
        <v>0</v>
      </c>
      <c r="S34" s="268"/>
    </row>
    <row r="35" spans="2:19">
      <c r="B35" s="65"/>
      <c r="C35" s="65"/>
      <c r="D35" s="65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5"/>
      <c r="R35" s="275">
        <f t="shared" si="0"/>
        <v>0</v>
      </c>
      <c r="S35" s="268"/>
    </row>
    <row r="36" spans="2:19">
      <c r="B36" s="65"/>
      <c r="C36" s="65"/>
      <c r="D36" s="65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5"/>
      <c r="R36" s="275">
        <f t="shared" si="0"/>
        <v>0</v>
      </c>
      <c r="S36" s="268"/>
    </row>
    <row r="37" spans="2:19">
      <c r="B37" s="65"/>
      <c r="C37" s="65"/>
      <c r="D37" s="65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5"/>
      <c r="R37" s="275">
        <f t="shared" si="0"/>
        <v>0</v>
      </c>
      <c r="S37" s="268"/>
    </row>
    <row r="38" spans="2:19">
      <c r="B38" s="65"/>
      <c r="C38" s="65"/>
      <c r="D38" s="65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5"/>
      <c r="R38" s="275">
        <f t="shared" si="0"/>
        <v>0</v>
      </c>
      <c r="S38" s="268"/>
    </row>
    <row r="39" spans="2:19">
      <c r="B39" s="65"/>
      <c r="C39" s="65"/>
      <c r="D39" s="65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5"/>
      <c r="R39" s="275">
        <f t="shared" si="0"/>
        <v>0</v>
      </c>
      <c r="S39" s="268"/>
    </row>
    <row r="40" spans="2:19">
      <c r="B40" s="65"/>
      <c r="C40" s="65"/>
      <c r="D40" s="65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5"/>
      <c r="R40" s="275">
        <f t="shared" si="0"/>
        <v>0</v>
      </c>
      <c r="S40" s="268"/>
    </row>
    <row r="41" spans="2:19">
      <c r="B41" s="65"/>
      <c r="C41" s="65"/>
      <c r="D41" s="65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5"/>
      <c r="R41" s="275">
        <f t="shared" si="0"/>
        <v>0</v>
      </c>
      <c r="S41" s="268"/>
    </row>
    <row r="42" spans="2:19">
      <c r="B42" s="65"/>
      <c r="C42" s="65"/>
      <c r="D42" s="65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5"/>
      <c r="R42" s="275">
        <f t="shared" si="0"/>
        <v>0</v>
      </c>
      <c r="S42" s="268"/>
    </row>
    <row r="43" spans="2:19">
      <c r="B43" s="65"/>
      <c r="C43" s="65"/>
      <c r="D43" s="65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5"/>
      <c r="R43" s="275">
        <f t="shared" si="0"/>
        <v>0</v>
      </c>
      <c r="S43" s="268"/>
    </row>
    <row r="44" spans="2:19">
      <c r="B44" s="65"/>
      <c r="C44" s="65"/>
      <c r="D44" s="65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5"/>
      <c r="R44" s="275">
        <f t="shared" si="0"/>
        <v>0</v>
      </c>
      <c r="S44" s="268"/>
    </row>
    <row r="45" spans="2:19">
      <c r="B45" s="65"/>
      <c r="C45" s="65"/>
      <c r="D45" s="65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5"/>
      <c r="R45" s="275">
        <f t="shared" si="0"/>
        <v>0</v>
      </c>
      <c r="S45" s="268"/>
    </row>
    <row r="46" spans="2:19">
      <c r="B46" s="65"/>
      <c r="C46" s="65"/>
      <c r="D46" s="65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5"/>
      <c r="R46" s="275">
        <f t="shared" si="0"/>
        <v>0</v>
      </c>
      <c r="S46" s="268"/>
    </row>
    <row r="47" spans="2:19">
      <c r="B47" s="65"/>
      <c r="C47" s="65"/>
      <c r="D47" s="65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5"/>
      <c r="R47" s="275">
        <f t="shared" si="0"/>
        <v>0</v>
      </c>
      <c r="S47" s="268"/>
    </row>
    <row r="48" spans="2:19">
      <c r="B48" s="65"/>
      <c r="C48" s="65"/>
      <c r="D48" s="65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5"/>
      <c r="R48" s="275">
        <f t="shared" si="0"/>
        <v>0</v>
      </c>
      <c r="S48" s="268"/>
    </row>
    <row r="49" spans="2:19">
      <c r="B49" s="65"/>
      <c r="C49" s="65"/>
      <c r="D49" s="65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5"/>
      <c r="R49" s="275">
        <f t="shared" si="0"/>
        <v>0</v>
      </c>
      <c r="S49" s="268"/>
    </row>
    <row r="50" spans="2:19">
      <c r="B50" s="56"/>
      <c r="C50" s="56"/>
      <c r="D50" s="56" t="s">
        <v>147</v>
      </c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>
        <f t="shared" si="0"/>
        <v>0</v>
      </c>
      <c r="S50" s="269"/>
    </row>
    <row r="51" spans="2:19">
      <c r="S51" s="48"/>
    </row>
    <row r="52" spans="2:19">
      <c r="B52" s="93" t="s">
        <v>401</v>
      </c>
    </row>
    <row r="53" spans="2:19">
      <c r="B53" s="48" t="s">
        <v>330</v>
      </c>
    </row>
    <row r="54" spans="2:19">
      <c r="B54" s="48" t="s">
        <v>331</v>
      </c>
    </row>
    <row r="55" spans="2:19">
      <c r="B55" s="48" t="s">
        <v>332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8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125" style="107" bestFit="1" customWidth="1"/>
    <col min="10" max="16384" width="9" style="107"/>
  </cols>
  <sheetData>
    <row r="1" spans="1:9" s="84" customFormat="1" ht="12">
      <c r="A1" s="80" t="s">
        <v>344</v>
      </c>
      <c r="B1" s="81" t="s">
        <v>156</v>
      </c>
      <c r="C1" s="81" t="s">
        <v>345</v>
      </c>
      <c r="D1" s="82" t="s">
        <v>157</v>
      </c>
      <c r="E1" s="83" t="s">
        <v>346</v>
      </c>
      <c r="F1" s="83" t="s">
        <v>158</v>
      </c>
      <c r="G1" s="83" t="s">
        <v>159</v>
      </c>
      <c r="H1" s="83" t="s">
        <v>160</v>
      </c>
      <c r="I1" s="83" t="s">
        <v>347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115</v>
      </c>
      <c r="C3" t="s">
        <v>32</v>
      </c>
      <c r="D3" t="s">
        <v>115</v>
      </c>
      <c r="E3" t="s">
        <v>14</v>
      </c>
      <c r="F3" s="108" t="s">
        <v>460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115</v>
      </c>
      <c r="E4" t="s">
        <v>14</v>
      </c>
      <c r="F4" s="108" t="s">
        <v>461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115</v>
      </c>
      <c r="E5" t="s">
        <v>14</v>
      </c>
      <c r="F5" s="108" t="s">
        <v>462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399</v>
      </c>
      <c r="C6" t="s">
        <v>35</v>
      </c>
      <c r="D6" t="s">
        <v>100</v>
      </c>
      <c r="E6" t="s">
        <v>348</v>
      </c>
      <c r="F6" s="108" t="s">
        <v>463</v>
      </c>
      <c r="G6" s="108"/>
      <c r="H6" s="108"/>
      <c r="I6" t="s">
        <v>445</v>
      </c>
    </row>
    <row r="7" spans="1:9" s="84" customFormat="1">
      <c r="A7" s="105">
        <v>5001016134</v>
      </c>
      <c r="B7" t="s">
        <v>415</v>
      </c>
      <c r="C7" t="s">
        <v>35</v>
      </c>
      <c r="D7" t="s">
        <v>100</v>
      </c>
      <c r="E7" t="s">
        <v>348</v>
      </c>
      <c r="F7" s="108" t="s">
        <v>464</v>
      </c>
      <c r="G7" s="108">
        <v>5001016134</v>
      </c>
      <c r="H7" s="108">
        <v>5001016134</v>
      </c>
      <c r="I7" t="s">
        <v>446</v>
      </c>
    </row>
    <row r="8" spans="1:9" s="84" customFormat="1">
      <c r="A8" s="105">
        <v>5001016135</v>
      </c>
      <c r="B8" t="s">
        <v>151</v>
      </c>
      <c r="C8" t="s">
        <v>35</v>
      </c>
      <c r="D8" t="s">
        <v>100</v>
      </c>
      <c r="E8" t="s">
        <v>348</v>
      </c>
      <c r="F8" s="108" t="s">
        <v>465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102</v>
      </c>
      <c r="C9" t="s">
        <v>35</v>
      </c>
      <c r="D9" t="s">
        <v>100</v>
      </c>
      <c r="E9" t="s">
        <v>348</v>
      </c>
      <c r="F9" s="108" t="s">
        <v>466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162</v>
      </c>
      <c r="C10" t="s">
        <v>35</v>
      </c>
      <c r="D10" t="s">
        <v>119</v>
      </c>
      <c r="E10" t="s">
        <v>349</v>
      </c>
      <c r="F10" s="108" t="s">
        <v>467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350</v>
      </c>
      <c r="C11" t="s">
        <v>35</v>
      </c>
      <c r="D11" t="s">
        <v>100</v>
      </c>
      <c r="E11" t="s">
        <v>348</v>
      </c>
      <c r="F11" s="108" t="s">
        <v>685</v>
      </c>
      <c r="G11" s="108">
        <v>5001016149</v>
      </c>
      <c r="H11" s="108">
        <v>5001016149</v>
      </c>
      <c r="I11" t="s">
        <v>351</v>
      </c>
    </row>
    <row r="12" spans="1:9" s="84" customFormat="1">
      <c r="A12" s="105">
        <v>5001016151</v>
      </c>
      <c r="B12" t="s">
        <v>161</v>
      </c>
      <c r="C12" t="s">
        <v>35</v>
      </c>
      <c r="D12" t="s">
        <v>100</v>
      </c>
      <c r="E12" t="s">
        <v>348</v>
      </c>
      <c r="F12" s="108" t="s">
        <v>468</v>
      </c>
      <c r="G12" s="108"/>
      <c r="H12" s="108"/>
      <c r="I12" t="s">
        <v>447</v>
      </c>
    </row>
    <row r="13" spans="1:9" s="84" customFormat="1">
      <c r="A13" s="105">
        <v>5004046221</v>
      </c>
      <c r="B13" t="s">
        <v>163</v>
      </c>
      <c r="C13" t="s">
        <v>148</v>
      </c>
      <c r="D13" t="s">
        <v>41</v>
      </c>
      <c r="E13" t="s">
        <v>148</v>
      </c>
      <c r="F13" s="108" t="s">
        <v>469</v>
      </c>
      <c r="G13" s="108"/>
      <c r="H13" s="108"/>
      <c r="I13"/>
    </row>
    <row r="14" spans="1:9" s="84" customFormat="1">
      <c r="A14" s="105">
        <v>5004046371</v>
      </c>
      <c r="B14" t="s">
        <v>164</v>
      </c>
      <c r="C14" t="s">
        <v>149</v>
      </c>
      <c r="D14" t="s">
        <v>41</v>
      </c>
      <c r="E14" t="s">
        <v>148</v>
      </c>
      <c r="F14" s="108" t="s">
        <v>470</v>
      </c>
      <c r="G14" s="108"/>
      <c r="H14" s="108"/>
      <c r="I14"/>
    </row>
    <row r="15" spans="1:9" s="84" customFormat="1">
      <c r="A15" s="105">
        <v>5005016371</v>
      </c>
      <c r="B15" t="s">
        <v>165</v>
      </c>
      <c r="C15" t="s">
        <v>150</v>
      </c>
      <c r="D15" t="s">
        <v>55</v>
      </c>
      <c r="E15" t="s">
        <v>352</v>
      </c>
      <c r="F15" s="108" t="s">
        <v>471</v>
      </c>
      <c r="G15" s="108"/>
      <c r="H15" s="108"/>
      <c r="I15"/>
    </row>
    <row r="16" spans="1:9" s="84" customFormat="1">
      <c r="A16" s="105">
        <v>5005016372</v>
      </c>
      <c r="B16" t="s">
        <v>166</v>
      </c>
      <c r="C16" t="s">
        <v>150</v>
      </c>
      <c r="D16" t="s">
        <v>55</v>
      </c>
      <c r="E16" t="s">
        <v>352</v>
      </c>
      <c r="F16" s="108" t="s">
        <v>472</v>
      </c>
      <c r="G16" s="108"/>
      <c r="H16" s="108"/>
      <c r="I16"/>
    </row>
    <row r="17" spans="1:9" s="84" customFormat="1">
      <c r="A17" s="105">
        <v>5005016373</v>
      </c>
      <c r="B17" t="s">
        <v>412</v>
      </c>
      <c r="C17" t="s">
        <v>150</v>
      </c>
      <c r="D17" t="s">
        <v>55</v>
      </c>
      <c r="E17" t="s">
        <v>352</v>
      </c>
      <c r="F17" s="108" t="s">
        <v>473</v>
      </c>
      <c r="G17" s="108"/>
      <c r="H17" s="108"/>
      <c r="I17" t="s">
        <v>447</v>
      </c>
    </row>
    <row r="18" spans="1:9" s="84" customFormat="1">
      <c r="A18" s="105">
        <v>5005026371</v>
      </c>
      <c r="B18" t="s">
        <v>167</v>
      </c>
      <c r="C18" t="s">
        <v>150</v>
      </c>
      <c r="D18" t="s">
        <v>103</v>
      </c>
      <c r="E18" t="s">
        <v>353</v>
      </c>
      <c r="F18" s="108" t="s">
        <v>474</v>
      </c>
      <c r="G18" s="108"/>
      <c r="H18" s="108"/>
      <c r="I18"/>
    </row>
    <row r="19" spans="1:9" s="84" customFormat="1">
      <c r="A19" s="105">
        <v>5005026372</v>
      </c>
      <c r="B19" t="s">
        <v>168</v>
      </c>
      <c r="C19" t="s">
        <v>150</v>
      </c>
      <c r="D19" t="s">
        <v>54</v>
      </c>
      <c r="E19" t="s">
        <v>354</v>
      </c>
      <c r="F19" s="108" t="s">
        <v>475</v>
      </c>
      <c r="G19" s="108"/>
      <c r="H19" s="108"/>
      <c r="I19"/>
    </row>
    <row r="20" spans="1:9" s="84" customFormat="1">
      <c r="A20" s="105">
        <v>5006016241</v>
      </c>
      <c r="B20" t="s">
        <v>169</v>
      </c>
      <c r="C20" t="s">
        <v>21</v>
      </c>
      <c r="D20" t="s">
        <v>45</v>
      </c>
      <c r="E20" t="s">
        <v>355</v>
      </c>
      <c r="F20" s="108" t="s">
        <v>476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355</v>
      </c>
      <c r="F21" s="108" t="s">
        <v>477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355</v>
      </c>
      <c r="F22" s="108" t="s">
        <v>478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355</v>
      </c>
      <c r="F23" s="108" t="s">
        <v>479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355</v>
      </c>
      <c r="F24" s="108" t="s">
        <v>480</v>
      </c>
      <c r="G24" s="108"/>
      <c r="H24" s="108"/>
      <c r="I24"/>
    </row>
    <row r="25" spans="1:9" s="84" customFormat="1">
      <c r="A25" s="105">
        <v>5005036246</v>
      </c>
      <c r="B25" t="s">
        <v>170</v>
      </c>
      <c r="C25" t="s">
        <v>21</v>
      </c>
      <c r="D25" t="s">
        <v>46</v>
      </c>
      <c r="E25" t="s">
        <v>356</v>
      </c>
      <c r="F25" s="108" t="s">
        <v>481</v>
      </c>
      <c r="G25" s="108"/>
      <c r="H25" s="108"/>
      <c r="I25"/>
    </row>
    <row r="26" spans="1:9" s="84" customFormat="1">
      <c r="A26" s="105">
        <v>5006016247</v>
      </c>
      <c r="B26" t="s">
        <v>171</v>
      </c>
      <c r="C26" t="s">
        <v>21</v>
      </c>
      <c r="D26" t="s">
        <v>45</v>
      </c>
      <c r="E26" t="s">
        <v>355</v>
      </c>
      <c r="F26" s="108" t="s">
        <v>482</v>
      </c>
      <c r="G26" s="108"/>
      <c r="H26" s="108"/>
      <c r="I26"/>
    </row>
    <row r="27" spans="1:9" s="84" customFormat="1">
      <c r="A27" s="105">
        <v>5006016248</v>
      </c>
      <c r="B27" t="s">
        <v>172</v>
      </c>
      <c r="C27" t="s">
        <v>21</v>
      </c>
      <c r="D27" t="s">
        <v>45</v>
      </c>
      <c r="E27" t="s">
        <v>355</v>
      </c>
      <c r="F27" s="108" t="s">
        <v>483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355</v>
      </c>
      <c r="F28" s="108" t="s">
        <v>484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355</v>
      </c>
      <c r="F29" s="108" t="s">
        <v>485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355</v>
      </c>
      <c r="F30" s="108" t="s">
        <v>486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355</v>
      </c>
      <c r="F31" s="108" t="s">
        <v>487</v>
      </c>
      <c r="G31" s="108"/>
      <c r="H31" s="108"/>
      <c r="I31"/>
    </row>
    <row r="32" spans="1:9" s="84" customFormat="1">
      <c r="A32" s="105">
        <v>5006016253</v>
      </c>
      <c r="B32" t="s">
        <v>173</v>
      </c>
      <c r="C32" t="s">
        <v>21</v>
      </c>
      <c r="D32" t="s">
        <v>45</v>
      </c>
      <c r="E32" t="s">
        <v>355</v>
      </c>
      <c r="F32" s="108" t="s">
        <v>488</v>
      </c>
      <c r="G32" s="108"/>
      <c r="H32" s="108"/>
      <c r="I32"/>
    </row>
    <row r="33" spans="1:9" s="84" customFormat="1">
      <c r="A33" s="105">
        <v>5006016254</v>
      </c>
      <c r="B33" t="s">
        <v>174</v>
      </c>
      <c r="C33" t="s">
        <v>21</v>
      </c>
      <c r="D33" t="s">
        <v>45</v>
      </c>
      <c r="E33" t="s">
        <v>355</v>
      </c>
      <c r="F33" s="108" t="s">
        <v>489</v>
      </c>
      <c r="G33" s="108"/>
      <c r="H33" s="108"/>
      <c r="I33"/>
    </row>
    <row r="34" spans="1:9" s="84" customFormat="1">
      <c r="A34" s="105">
        <v>5006016255</v>
      </c>
      <c r="B34" t="s">
        <v>175</v>
      </c>
      <c r="C34" t="s">
        <v>21</v>
      </c>
      <c r="D34" t="s">
        <v>45</v>
      </c>
      <c r="E34" t="s">
        <v>355</v>
      </c>
      <c r="F34" s="108" t="s">
        <v>490</v>
      </c>
      <c r="G34" s="108"/>
      <c r="H34" s="108"/>
      <c r="I34"/>
    </row>
    <row r="35" spans="1:9" s="84" customFormat="1">
      <c r="A35" s="105">
        <v>5006016256</v>
      </c>
      <c r="B35" t="s">
        <v>176</v>
      </c>
      <c r="C35" t="s">
        <v>21</v>
      </c>
      <c r="D35" t="s">
        <v>45</v>
      </c>
      <c r="E35" t="s">
        <v>355</v>
      </c>
      <c r="F35" s="108" t="s">
        <v>491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355</v>
      </c>
      <c r="F36" s="108" t="s">
        <v>492</v>
      </c>
      <c r="G36" s="108"/>
      <c r="H36" s="108"/>
      <c r="I36"/>
    </row>
    <row r="37" spans="1:9" s="84" customFormat="1">
      <c r="A37" s="105">
        <v>5006016258</v>
      </c>
      <c r="B37" t="s">
        <v>177</v>
      </c>
      <c r="C37" t="s">
        <v>21</v>
      </c>
      <c r="D37" t="s">
        <v>45</v>
      </c>
      <c r="E37" t="s">
        <v>355</v>
      </c>
      <c r="F37" s="108" t="s">
        <v>493</v>
      </c>
      <c r="G37" s="108"/>
      <c r="H37" s="108"/>
      <c r="I37"/>
    </row>
    <row r="38" spans="1:9" s="84" customFormat="1">
      <c r="A38" s="105">
        <v>5006016259</v>
      </c>
      <c r="B38" t="s">
        <v>178</v>
      </c>
      <c r="C38" t="s">
        <v>21</v>
      </c>
      <c r="D38" t="s">
        <v>45</v>
      </c>
      <c r="E38" t="s">
        <v>355</v>
      </c>
      <c r="F38" s="108" t="s">
        <v>494</v>
      </c>
      <c r="G38" s="108"/>
      <c r="H38" s="108"/>
      <c r="I38"/>
    </row>
    <row r="39" spans="1:9" s="84" customFormat="1">
      <c r="A39" s="105">
        <v>5006016260</v>
      </c>
      <c r="B39" t="s">
        <v>179</v>
      </c>
      <c r="C39" t="s">
        <v>21</v>
      </c>
      <c r="D39" t="s">
        <v>45</v>
      </c>
      <c r="E39" t="s">
        <v>355</v>
      </c>
      <c r="F39" s="108" t="s">
        <v>495</v>
      </c>
      <c r="G39" s="108"/>
      <c r="H39" s="108"/>
      <c r="I39"/>
    </row>
    <row r="40" spans="1:9" s="84" customFormat="1">
      <c r="A40" s="105">
        <v>5006016261</v>
      </c>
      <c r="B40" t="s">
        <v>180</v>
      </c>
      <c r="C40" t="s">
        <v>21</v>
      </c>
      <c r="D40" t="s">
        <v>45</v>
      </c>
      <c r="E40" t="s">
        <v>355</v>
      </c>
      <c r="F40" s="108" t="s">
        <v>496</v>
      </c>
      <c r="G40" s="108"/>
      <c r="H40" s="108"/>
      <c r="I40"/>
    </row>
    <row r="41" spans="1:9" s="84" customFormat="1">
      <c r="A41" s="105">
        <v>5004096281</v>
      </c>
      <c r="B41" t="s">
        <v>181</v>
      </c>
      <c r="C41" t="s">
        <v>31</v>
      </c>
      <c r="D41" t="s">
        <v>114</v>
      </c>
      <c r="E41" t="s">
        <v>357</v>
      </c>
      <c r="F41" s="108" t="s">
        <v>497</v>
      </c>
      <c r="G41" s="108"/>
      <c r="H41" s="108"/>
      <c r="I41"/>
    </row>
    <row r="42" spans="1:9" s="84" customFormat="1">
      <c r="A42" s="105">
        <v>5005046281</v>
      </c>
      <c r="B42" t="s">
        <v>182</v>
      </c>
      <c r="C42" t="s">
        <v>31</v>
      </c>
      <c r="D42" t="s">
        <v>59</v>
      </c>
      <c r="E42" t="s">
        <v>358</v>
      </c>
      <c r="F42" s="108" t="s">
        <v>498</v>
      </c>
      <c r="G42" s="108"/>
      <c r="H42" s="108"/>
      <c r="I42"/>
    </row>
    <row r="43" spans="1:9" s="84" customFormat="1">
      <c r="A43" s="105">
        <v>5005046282</v>
      </c>
      <c r="B43" t="s">
        <v>183</v>
      </c>
      <c r="C43" t="s">
        <v>31</v>
      </c>
      <c r="D43" t="s">
        <v>59</v>
      </c>
      <c r="E43" t="s">
        <v>358</v>
      </c>
      <c r="F43" s="108" t="s">
        <v>499</v>
      </c>
      <c r="G43" s="108"/>
      <c r="H43" s="108"/>
      <c r="I43"/>
    </row>
    <row r="44" spans="1:9" s="84" customFormat="1">
      <c r="A44" s="105">
        <v>5005046283</v>
      </c>
      <c r="B44" t="s">
        <v>184</v>
      </c>
      <c r="C44" t="s">
        <v>31</v>
      </c>
      <c r="D44" t="s">
        <v>59</v>
      </c>
      <c r="E44" t="s">
        <v>358</v>
      </c>
      <c r="F44" s="108" t="s">
        <v>500</v>
      </c>
      <c r="G44" s="108"/>
      <c r="H44" s="108"/>
      <c r="I44"/>
    </row>
    <row r="45" spans="1:9" s="84" customFormat="1">
      <c r="A45" s="105">
        <v>5005046284</v>
      </c>
      <c r="B45" t="s">
        <v>411</v>
      </c>
      <c r="C45" t="s">
        <v>31</v>
      </c>
      <c r="D45" t="s">
        <v>59</v>
      </c>
      <c r="E45" t="s">
        <v>358</v>
      </c>
      <c r="F45" s="108" t="s">
        <v>501</v>
      </c>
      <c r="G45" s="108"/>
      <c r="H45" s="108"/>
      <c r="I45" t="s">
        <v>447</v>
      </c>
    </row>
    <row r="46" spans="1:9" s="84" customFormat="1">
      <c r="A46" s="105">
        <v>5005066281</v>
      </c>
      <c r="B46" t="s">
        <v>185</v>
      </c>
      <c r="C46" t="s">
        <v>31</v>
      </c>
      <c r="D46" t="s">
        <v>96</v>
      </c>
      <c r="E46" t="s">
        <v>359</v>
      </c>
      <c r="F46" s="108" t="s">
        <v>502</v>
      </c>
      <c r="G46" s="108"/>
      <c r="H46" s="108"/>
      <c r="I46"/>
    </row>
    <row r="47" spans="1:9" s="84" customFormat="1">
      <c r="A47" s="105">
        <v>5005066282</v>
      </c>
      <c r="B47" t="s">
        <v>186</v>
      </c>
      <c r="C47" t="s">
        <v>31</v>
      </c>
      <c r="D47" t="s">
        <v>96</v>
      </c>
      <c r="E47" t="s">
        <v>359</v>
      </c>
      <c r="F47" s="108" t="s">
        <v>503</v>
      </c>
      <c r="G47" s="108"/>
      <c r="H47" s="108"/>
      <c r="I47"/>
    </row>
    <row r="48" spans="1:9" s="84" customFormat="1">
      <c r="A48" s="105">
        <v>5005056281</v>
      </c>
      <c r="B48" t="s">
        <v>187</v>
      </c>
      <c r="C48" t="s">
        <v>31</v>
      </c>
      <c r="D48" t="s">
        <v>96</v>
      </c>
      <c r="E48" t="s">
        <v>359</v>
      </c>
      <c r="F48" s="108" t="s">
        <v>504</v>
      </c>
      <c r="G48" s="108"/>
      <c r="H48" s="108"/>
      <c r="I48"/>
    </row>
    <row r="49" spans="1:9" s="84" customFormat="1">
      <c r="A49" s="105">
        <v>5005076281</v>
      </c>
      <c r="B49" t="s">
        <v>188</v>
      </c>
      <c r="C49" t="s">
        <v>31</v>
      </c>
      <c r="D49" t="s">
        <v>61</v>
      </c>
      <c r="E49" t="s">
        <v>360</v>
      </c>
      <c r="F49" s="108" t="s">
        <v>505</v>
      </c>
      <c r="G49" s="108"/>
      <c r="H49" s="108"/>
      <c r="I49"/>
    </row>
    <row r="50" spans="1:9" s="84" customFormat="1">
      <c r="A50" s="105">
        <v>5005076282</v>
      </c>
      <c r="B50" t="s">
        <v>189</v>
      </c>
      <c r="C50" t="s">
        <v>31</v>
      </c>
      <c r="D50" t="s">
        <v>61</v>
      </c>
      <c r="E50" t="s">
        <v>360</v>
      </c>
      <c r="F50" s="108" t="s">
        <v>506</v>
      </c>
      <c r="G50" s="108"/>
      <c r="H50" s="108"/>
      <c r="I50"/>
    </row>
    <row r="51" spans="1:9" s="84" customFormat="1">
      <c r="A51" s="105">
        <v>5005076283</v>
      </c>
      <c r="B51" t="s">
        <v>190</v>
      </c>
      <c r="C51" t="s">
        <v>31</v>
      </c>
      <c r="D51" t="s">
        <v>61</v>
      </c>
      <c r="E51" t="s">
        <v>360</v>
      </c>
      <c r="F51" s="108" t="s">
        <v>507</v>
      </c>
      <c r="G51" s="108"/>
      <c r="H51" s="108"/>
      <c r="I51"/>
    </row>
    <row r="52" spans="1:9" s="84" customFormat="1">
      <c r="A52" s="105">
        <v>5005076284</v>
      </c>
      <c r="B52" t="s">
        <v>191</v>
      </c>
      <c r="C52" t="s">
        <v>31</v>
      </c>
      <c r="D52" t="s">
        <v>61</v>
      </c>
      <c r="E52" t="s">
        <v>360</v>
      </c>
      <c r="F52" s="108" t="s">
        <v>508</v>
      </c>
      <c r="G52" s="108"/>
      <c r="H52" s="108"/>
      <c r="I52"/>
    </row>
    <row r="53" spans="1:9" s="84" customFormat="1">
      <c r="A53" s="105">
        <v>5005076285</v>
      </c>
      <c r="B53" s="289" t="s">
        <v>590</v>
      </c>
      <c r="C53" t="s">
        <v>31</v>
      </c>
      <c r="D53" t="s">
        <v>61</v>
      </c>
      <c r="E53" t="s">
        <v>360</v>
      </c>
      <c r="F53" s="108" t="s">
        <v>509</v>
      </c>
      <c r="G53" s="108"/>
      <c r="H53" s="108"/>
      <c r="I53"/>
    </row>
    <row r="54" spans="1:9" s="84" customFormat="1">
      <c r="A54" s="105">
        <v>5005076286</v>
      </c>
      <c r="B54" s="289" t="s">
        <v>591</v>
      </c>
      <c r="C54" t="s">
        <v>31</v>
      </c>
      <c r="D54" t="s">
        <v>61</v>
      </c>
      <c r="E54" t="s">
        <v>360</v>
      </c>
      <c r="F54" s="108" t="s">
        <v>510</v>
      </c>
      <c r="G54" s="108"/>
      <c r="H54" s="108"/>
      <c r="I54"/>
    </row>
    <row r="55" spans="1:9" s="84" customFormat="1">
      <c r="A55" s="105">
        <v>5005076287</v>
      </c>
      <c r="B55" s="289" t="s">
        <v>676</v>
      </c>
      <c r="C55" t="s">
        <v>31</v>
      </c>
      <c r="D55" t="s">
        <v>61</v>
      </c>
      <c r="E55" t="s">
        <v>360</v>
      </c>
      <c r="F55" s="108" t="s">
        <v>511</v>
      </c>
      <c r="G55" s="108"/>
      <c r="H55" s="108"/>
      <c r="I55"/>
    </row>
    <row r="56" spans="1:9" s="84" customFormat="1">
      <c r="A56" s="105">
        <v>5005076288</v>
      </c>
      <c r="B56" t="s">
        <v>192</v>
      </c>
      <c r="C56" t="s">
        <v>31</v>
      </c>
      <c r="D56" t="s">
        <v>60</v>
      </c>
      <c r="E56" t="s">
        <v>361</v>
      </c>
      <c r="F56" s="108" t="s">
        <v>512</v>
      </c>
      <c r="G56" s="108"/>
      <c r="H56" s="108"/>
      <c r="I56"/>
    </row>
    <row r="57" spans="1:9" s="84" customFormat="1">
      <c r="A57" s="105">
        <v>5005076289</v>
      </c>
      <c r="B57" t="s">
        <v>193</v>
      </c>
      <c r="C57" t="s">
        <v>31</v>
      </c>
      <c r="D57" t="s">
        <v>61</v>
      </c>
      <c r="E57" t="s">
        <v>360</v>
      </c>
      <c r="F57" s="108" t="s">
        <v>513</v>
      </c>
      <c r="G57" s="108"/>
      <c r="H57" s="108"/>
      <c r="I57"/>
    </row>
    <row r="58" spans="1:9" s="84" customFormat="1">
      <c r="A58" s="105">
        <v>5005076291</v>
      </c>
      <c r="B58" t="s">
        <v>408</v>
      </c>
      <c r="C58" t="s">
        <v>31</v>
      </c>
      <c r="D58" t="s">
        <v>61</v>
      </c>
      <c r="E58" t="s">
        <v>360</v>
      </c>
      <c r="F58" s="108" t="s">
        <v>514</v>
      </c>
      <c r="G58" s="108"/>
      <c r="H58" s="108"/>
      <c r="I58" t="s">
        <v>447</v>
      </c>
    </row>
    <row r="59" spans="1:9" s="84" customFormat="1">
      <c r="A59" s="105">
        <v>5005076292</v>
      </c>
      <c r="B59" t="s">
        <v>409</v>
      </c>
      <c r="C59" t="s">
        <v>31</v>
      </c>
      <c r="D59" t="s">
        <v>61</v>
      </c>
      <c r="E59" t="s">
        <v>360</v>
      </c>
      <c r="F59" s="108" t="s">
        <v>515</v>
      </c>
      <c r="G59" s="108"/>
      <c r="H59" s="108"/>
      <c r="I59" t="s">
        <v>447</v>
      </c>
    </row>
    <row r="60" spans="1:9" s="84" customFormat="1">
      <c r="A60" s="105">
        <v>5005076293</v>
      </c>
      <c r="B60" t="s">
        <v>410</v>
      </c>
      <c r="C60" t="s">
        <v>31</v>
      </c>
      <c r="D60" t="s">
        <v>61</v>
      </c>
      <c r="E60" t="s">
        <v>360</v>
      </c>
      <c r="F60" s="108" t="s">
        <v>516</v>
      </c>
      <c r="G60" s="108"/>
      <c r="H60" s="108"/>
      <c r="I60" t="s">
        <v>447</v>
      </c>
    </row>
    <row r="61" spans="1:9" s="84" customFormat="1">
      <c r="A61" s="105">
        <v>5005076294</v>
      </c>
      <c r="B61" t="s">
        <v>413</v>
      </c>
      <c r="C61" t="s">
        <v>31</v>
      </c>
      <c r="D61" t="s">
        <v>61</v>
      </c>
      <c r="E61" t="s">
        <v>360</v>
      </c>
      <c r="F61" s="108" t="s">
        <v>517</v>
      </c>
      <c r="G61" s="108"/>
      <c r="H61" s="108"/>
      <c r="I61" t="s">
        <v>447</v>
      </c>
    </row>
    <row r="62" spans="1:9" s="84" customFormat="1">
      <c r="A62" s="105">
        <v>5005086281</v>
      </c>
      <c r="B62" t="s">
        <v>194</v>
      </c>
      <c r="C62" t="s">
        <v>31</v>
      </c>
      <c r="D62" t="s">
        <v>44</v>
      </c>
      <c r="E62" t="s">
        <v>362</v>
      </c>
      <c r="F62" s="108" t="s">
        <v>518</v>
      </c>
      <c r="G62" s="108"/>
      <c r="H62" s="108"/>
      <c r="I62"/>
    </row>
    <row r="63" spans="1:9" s="84" customFormat="1">
      <c r="A63" s="105">
        <v>5005136281</v>
      </c>
      <c r="B63" t="s">
        <v>195</v>
      </c>
      <c r="C63" t="s">
        <v>31</v>
      </c>
      <c r="D63" t="s">
        <v>58</v>
      </c>
      <c r="E63" t="s">
        <v>363</v>
      </c>
      <c r="F63" s="108" t="s">
        <v>519</v>
      </c>
      <c r="G63" s="108"/>
      <c r="H63" s="108"/>
      <c r="I63"/>
    </row>
    <row r="64" spans="1:9" s="84" customFormat="1">
      <c r="A64" s="105">
        <v>5005246281</v>
      </c>
      <c r="B64" t="s">
        <v>196</v>
      </c>
      <c r="C64" t="s">
        <v>31</v>
      </c>
      <c r="D64" t="s">
        <v>97</v>
      </c>
      <c r="E64" t="s">
        <v>364</v>
      </c>
      <c r="F64" s="108" t="s">
        <v>520</v>
      </c>
      <c r="G64" s="108"/>
      <c r="H64" s="108"/>
      <c r="I64"/>
    </row>
    <row r="65" spans="1:9" s="84" customFormat="1">
      <c r="A65" s="105">
        <v>5005246282</v>
      </c>
      <c r="B65" t="s">
        <v>197</v>
      </c>
      <c r="C65" t="s">
        <v>31</v>
      </c>
      <c r="D65" t="s">
        <v>97</v>
      </c>
      <c r="E65" t="s">
        <v>364</v>
      </c>
      <c r="F65" s="108" t="s">
        <v>521</v>
      </c>
      <c r="G65" s="108"/>
      <c r="H65" s="108"/>
      <c r="I65"/>
    </row>
    <row r="66" spans="1:9" s="84" customFormat="1">
      <c r="A66" s="105">
        <v>5005246283</v>
      </c>
      <c r="B66" t="s">
        <v>198</v>
      </c>
      <c r="C66" t="s">
        <v>31</v>
      </c>
      <c r="D66" t="s">
        <v>97</v>
      </c>
      <c r="E66" t="s">
        <v>364</v>
      </c>
      <c r="F66" s="108" t="s">
        <v>522</v>
      </c>
      <c r="G66" s="108"/>
      <c r="H66" s="108"/>
      <c r="I66"/>
    </row>
    <row r="67" spans="1:9" s="84" customFormat="1">
      <c r="A67" s="105">
        <v>5005246284</v>
      </c>
      <c r="B67" t="s">
        <v>199</v>
      </c>
      <c r="C67" t="s">
        <v>31</v>
      </c>
      <c r="D67" t="s">
        <v>98</v>
      </c>
      <c r="E67" t="s">
        <v>365</v>
      </c>
      <c r="F67" s="108" t="s">
        <v>523</v>
      </c>
      <c r="G67" s="108"/>
      <c r="H67" s="108"/>
      <c r="I67"/>
    </row>
    <row r="68" spans="1:9" s="84" customFormat="1">
      <c r="A68" s="105">
        <v>5005216281</v>
      </c>
      <c r="B68" t="s">
        <v>200</v>
      </c>
      <c r="C68" t="s">
        <v>31</v>
      </c>
      <c r="D68" t="s">
        <v>51</v>
      </c>
      <c r="E68" t="s">
        <v>366</v>
      </c>
      <c r="F68" s="108" t="s">
        <v>524</v>
      </c>
      <c r="G68" s="108"/>
      <c r="H68" s="108"/>
      <c r="I68"/>
    </row>
    <row r="69" spans="1:9" s="84" customFormat="1">
      <c r="A69" s="105">
        <v>5005226281</v>
      </c>
      <c r="B69" t="s">
        <v>201</v>
      </c>
      <c r="C69" t="s">
        <v>31</v>
      </c>
      <c r="D69" t="s">
        <v>49</v>
      </c>
      <c r="E69" t="s">
        <v>367</v>
      </c>
      <c r="F69" s="108" t="s">
        <v>525</v>
      </c>
      <c r="G69" s="108"/>
      <c r="H69" s="108"/>
      <c r="I69"/>
    </row>
    <row r="70" spans="1:9" s="84" customFormat="1">
      <c r="A70" s="105">
        <v>5005236281</v>
      </c>
      <c r="B70" t="s">
        <v>202</v>
      </c>
      <c r="C70" t="s">
        <v>31</v>
      </c>
      <c r="D70" t="s">
        <v>47</v>
      </c>
      <c r="E70" t="s">
        <v>368</v>
      </c>
      <c r="F70" s="108" t="s">
        <v>526</v>
      </c>
      <c r="G70" s="108"/>
      <c r="H70" s="108"/>
      <c r="I70"/>
    </row>
    <row r="71" spans="1:9" s="84" customFormat="1">
      <c r="A71" s="105">
        <v>5005236282</v>
      </c>
      <c r="B71" t="s">
        <v>203</v>
      </c>
      <c r="C71" t="s">
        <v>31</v>
      </c>
      <c r="D71" t="s">
        <v>47</v>
      </c>
      <c r="E71" t="s">
        <v>368</v>
      </c>
      <c r="F71" s="108" t="s">
        <v>527</v>
      </c>
      <c r="G71" s="108"/>
      <c r="H71" s="108"/>
      <c r="I71"/>
    </row>
    <row r="72" spans="1:9" s="84" customFormat="1">
      <c r="A72" s="105">
        <v>5005246285</v>
      </c>
      <c r="B72" t="s">
        <v>204</v>
      </c>
      <c r="C72" t="s">
        <v>31</v>
      </c>
      <c r="D72" t="s">
        <v>50</v>
      </c>
      <c r="E72" t="s">
        <v>369</v>
      </c>
      <c r="F72" s="108" t="s">
        <v>528</v>
      </c>
      <c r="G72" s="108"/>
      <c r="H72" s="108"/>
      <c r="I72"/>
    </row>
    <row r="73" spans="1:9" s="84" customFormat="1">
      <c r="A73" s="105">
        <v>5005246286</v>
      </c>
      <c r="B73" t="s">
        <v>205</v>
      </c>
      <c r="C73" t="s">
        <v>31</v>
      </c>
      <c r="D73" t="s">
        <v>50</v>
      </c>
      <c r="E73" t="s">
        <v>369</v>
      </c>
      <c r="F73" s="108" t="s">
        <v>529</v>
      </c>
      <c r="G73" s="108"/>
      <c r="H73" s="108"/>
      <c r="I73"/>
    </row>
    <row r="74" spans="1:9" s="84" customFormat="1">
      <c r="A74" s="105">
        <v>5005246287</v>
      </c>
      <c r="B74" t="s">
        <v>206</v>
      </c>
      <c r="C74" t="s">
        <v>31</v>
      </c>
      <c r="D74" t="s">
        <v>50</v>
      </c>
      <c r="E74" t="s">
        <v>369</v>
      </c>
      <c r="F74" s="108" t="s">
        <v>530</v>
      </c>
      <c r="G74" s="108"/>
      <c r="H74" s="108"/>
      <c r="I74"/>
    </row>
    <row r="75" spans="1:9" s="84" customFormat="1">
      <c r="A75" s="105">
        <v>5005246288</v>
      </c>
      <c r="B75" t="s">
        <v>207</v>
      </c>
      <c r="C75" t="s">
        <v>31</v>
      </c>
      <c r="D75" t="s">
        <v>97</v>
      </c>
      <c r="E75" t="s">
        <v>364</v>
      </c>
      <c r="F75" s="108" t="s">
        <v>531</v>
      </c>
      <c r="G75" s="108"/>
      <c r="H75" s="108"/>
      <c r="I75"/>
    </row>
    <row r="76" spans="1:9" s="84" customFormat="1">
      <c r="A76" s="105">
        <v>5004086291</v>
      </c>
      <c r="B76" t="s">
        <v>208</v>
      </c>
      <c r="C76" t="s">
        <v>36</v>
      </c>
      <c r="D76" t="s">
        <v>42</v>
      </c>
      <c r="E76" t="s">
        <v>370</v>
      </c>
      <c r="F76" s="108" t="s">
        <v>532</v>
      </c>
      <c r="G76" s="108"/>
      <c r="H76" s="108"/>
      <c r="I76"/>
    </row>
    <row r="77" spans="1:9" s="84" customFormat="1">
      <c r="A77" s="105">
        <v>5004086293</v>
      </c>
      <c r="B77" t="s">
        <v>209</v>
      </c>
      <c r="C77" t="s">
        <v>36</v>
      </c>
      <c r="D77" t="s">
        <v>114</v>
      </c>
      <c r="E77" t="s">
        <v>357</v>
      </c>
      <c r="F77" s="108" t="s">
        <v>533</v>
      </c>
      <c r="G77" s="108"/>
      <c r="H77" s="108"/>
      <c r="I77"/>
    </row>
    <row r="78" spans="1:9" s="84" customFormat="1">
      <c r="A78" s="105">
        <v>5005116291</v>
      </c>
      <c r="B78" t="s">
        <v>210</v>
      </c>
      <c r="C78" t="s">
        <v>36</v>
      </c>
      <c r="D78" t="s">
        <v>56</v>
      </c>
      <c r="E78" t="s">
        <v>371</v>
      </c>
      <c r="F78" s="108" t="s">
        <v>534</v>
      </c>
      <c r="G78" s="108"/>
      <c r="H78" s="108"/>
      <c r="I78"/>
    </row>
    <row r="79" spans="1:9" s="84" customFormat="1">
      <c r="A79" s="105">
        <v>5005116292</v>
      </c>
      <c r="B79" t="s">
        <v>211</v>
      </c>
      <c r="C79" t="s">
        <v>36</v>
      </c>
      <c r="D79" t="s">
        <v>57</v>
      </c>
      <c r="E79" t="s">
        <v>372</v>
      </c>
      <c r="F79" s="108" t="s">
        <v>535</v>
      </c>
      <c r="G79" s="108"/>
      <c r="H79" s="108"/>
      <c r="I79"/>
    </row>
    <row r="80" spans="1:9" s="84" customFormat="1">
      <c r="A80" s="105">
        <v>5005136291</v>
      </c>
      <c r="B80" t="s">
        <v>212</v>
      </c>
      <c r="C80" t="s">
        <v>36</v>
      </c>
      <c r="D80" t="s">
        <v>58</v>
      </c>
      <c r="E80" t="s">
        <v>363</v>
      </c>
      <c r="F80" s="108" t="s">
        <v>536</v>
      </c>
      <c r="G80" s="108"/>
      <c r="H80" s="108"/>
      <c r="I80"/>
    </row>
    <row r="81" spans="1:9" s="84" customFormat="1">
      <c r="A81" s="105">
        <v>5005166291</v>
      </c>
      <c r="B81" t="s">
        <v>213</v>
      </c>
      <c r="C81" t="s">
        <v>36</v>
      </c>
      <c r="D81" t="s">
        <v>53</v>
      </c>
      <c r="E81" t="s">
        <v>373</v>
      </c>
      <c r="F81" s="108" t="s">
        <v>686</v>
      </c>
      <c r="G81" s="108"/>
      <c r="H81" s="108"/>
      <c r="I81"/>
    </row>
    <row r="82" spans="1:9" s="84" customFormat="1">
      <c r="A82" s="105">
        <v>5005186292</v>
      </c>
      <c r="B82" t="s">
        <v>214</v>
      </c>
      <c r="C82" t="s">
        <v>36</v>
      </c>
      <c r="D82" t="s">
        <v>48</v>
      </c>
      <c r="E82" t="s">
        <v>374</v>
      </c>
      <c r="F82" s="108" t="s">
        <v>537</v>
      </c>
      <c r="G82" s="108"/>
      <c r="H82" s="108"/>
      <c r="I82"/>
    </row>
    <row r="83" spans="1:9" s="84" customFormat="1">
      <c r="A83" s="105">
        <v>5005196373</v>
      </c>
      <c r="B83" t="s">
        <v>375</v>
      </c>
      <c r="C83" t="s">
        <v>150</v>
      </c>
      <c r="D83" t="s">
        <v>63</v>
      </c>
      <c r="E83" t="s">
        <v>376</v>
      </c>
      <c r="F83" s="108" t="s">
        <v>687</v>
      </c>
      <c r="G83" s="108">
        <v>5005196373</v>
      </c>
      <c r="H83" s="108">
        <v>5005196373</v>
      </c>
      <c r="I83" t="s">
        <v>351</v>
      </c>
    </row>
    <row r="84" spans="1:9" s="84" customFormat="1">
      <c r="A84" s="105">
        <v>5005196277</v>
      </c>
      <c r="B84" t="s">
        <v>377</v>
      </c>
      <c r="C84" t="s">
        <v>31</v>
      </c>
      <c r="D84" t="s">
        <v>63</v>
      </c>
      <c r="E84" t="s">
        <v>376</v>
      </c>
      <c r="F84" s="108" t="s">
        <v>688</v>
      </c>
      <c r="G84" s="108">
        <v>5005196277</v>
      </c>
      <c r="H84" s="108">
        <v>5005196277</v>
      </c>
      <c r="I84" t="s">
        <v>351</v>
      </c>
    </row>
    <row r="85" spans="1:9" s="84" customFormat="1">
      <c r="A85" s="105">
        <v>5005246291</v>
      </c>
      <c r="B85" t="s">
        <v>215</v>
      </c>
      <c r="C85" t="s">
        <v>36</v>
      </c>
      <c r="D85" t="s">
        <v>98</v>
      </c>
      <c r="E85" t="s">
        <v>365</v>
      </c>
      <c r="F85" s="108" t="s">
        <v>538</v>
      </c>
      <c r="G85" s="108"/>
      <c r="H85" s="108"/>
      <c r="I85"/>
    </row>
    <row r="86" spans="1:9" s="84" customFormat="1">
      <c r="A86" s="105">
        <v>5005246292</v>
      </c>
      <c r="B86" t="s">
        <v>216</v>
      </c>
      <c r="C86" t="s">
        <v>36</v>
      </c>
      <c r="D86" t="s">
        <v>64</v>
      </c>
      <c r="E86" t="s">
        <v>378</v>
      </c>
      <c r="F86" s="108" t="s">
        <v>539</v>
      </c>
      <c r="G86" s="108"/>
      <c r="H86" s="108"/>
      <c r="I86"/>
    </row>
    <row r="87" spans="1:9" s="84" customFormat="1">
      <c r="A87" s="105">
        <v>5005246294</v>
      </c>
      <c r="B87" t="s">
        <v>398</v>
      </c>
      <c r="C87" t="s">
        <v>36</v>
      </c>
      <c r="D87" t="s">
        <v>64</v>
      </c>
      <c r="E87" t="s">
        <v>378</v>
      </c>
      <c r="F87" s="108" t="s">
        <v>689</v>
      </c>
      <c r="G87" s="108"/>
      <c r="H87" s="108"/>
      <c r="I87" t="s">
        <v>448</v>
      </c>
    </row>
    <row r="88" spans="1:9" s="84" customFormat="1">
      <c r="A88" s="105">
        <v>5005256291</v>
      </c>
      <c r="B88" t="s">
        <v>217</v>
      </c>
      <c r="C88" t="s">
        <v>36</v>
      </c>
      <c r="D88" t="s">
        <v>62</v>
      </c>
      <c r="E88" t="s">
        <v>379</v>
      </c>
      <c r="F88" s="108" t="s">
        <v>540</v>
      </c>
      <c r="G88" s="108"/>
      <c r="H88" s="108"/>
      <c r="I88"/>
    </row>
    <row r="89" spans="1:9" s="84" customFormat="1">
      <c r="A89" s="105">
        <v>5101016174</v>
      </c>
      <c r="B89" t="s">
        <v>218</v>
      </c>
      <c r="C89" t="s">
        <v>131</v>
      </c>
      <c r="D89" t="s">
        <v>101</v>
      </c>
      <c r="E89" t="s">
        <v>12</v>
      </c>
      <c r="F89" s="108" t="s">
        <v>541</v>
      </c>
      <c r="G89" s="108"/>
      <c r="H89" s="108"/>
      <c r="I89"/>
    </row>
    <row r="90" spans="1:9" s="84" customFormat="1">
      <c r="A90" s="105">
        <v>5101016179</v>
      </c>
      <c r="B90" t="s">
        <v>219</v>
      </c>
      <c r="C90" t="s">
        <v>131</v>
      </c>
      <c r="D90" t="s">
        <v>43</v>
      </c>
      <c r="E90" t="s">
        <v>380</v>
      </c>
      <c r="F90" s="108" t="s">
        <v>542</v>
      </c>
      <c r="G90" s="108"/>
      <c r="H90" s="108"/>
      <c r="I90"/>
    </row>
    <row r="91" spans="1:9" s="84" customFormat="1">
      <c r="A91" s="105">
        <v>5101016187</v>
      </c>
      <c r="B91" t="s">
        <v>220</v>
      </c>
      <c r="C91" t="s">
        <v>131</v>
      </c>
      <c r="D91" t="s">
        <v>116</v>
      </c>
      <c r="E91" t="s">
        <v>381</v>
      </c>
      <c r="F91" s="108" t="s">
        <v>543</v>
      </c>
      <c r="G91" s="108"/>
      <c r="H91" s="108"/>
      <c r="I91"/>
    </row>
    <row r="92" spans="1:9" s="84" customFormat="1">
      <c r="A92" s="105">
        <v>5101016189</v>
      </c>
      <c r="B92" t="s">
        <v>382</v>
      </c>
      <c r="C92" t="s">
        <v>34</v>
      </c>
      <c r="D92" t="s">
        <v>115</v>
      </c>
      <c r="E92" t="s">
        <v>14</v>
      </c>
      <c r="F92" s="108" t="s">
        <v>690</v>
      </c>
      <c r="G92" s="108"/>
      <c r="H92" s="108"/>
      <c r="I92" t="s">
        <v>351</v>
      </c>
    </row>
    <row r="93" spans="1:9" s="84" customFormat="1">
      <c r="A93" s="105">
        <v>6004046511</v>
      </c>
      <c r="B93" t="s">
        <v>221</v>
      </c>
      <c r="C93" t="s">
        <v>127</v>
      </c>
      <c r="D93" t="s">
        <v>41</v>
      </c>
      <c r="E93" t="s">
        <v>148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222</v>
      </c>
      <c r="C94" t="s">
        <v>128</v>
      </c>
      <c r="D94" t="s">
        <v>60</v>
      </c>
      <c r="E94" t="s">
        <v>361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223</v>
      </c>
      <c r="C95" t="s">
        <v>129</v>
      </c>
      <c r="D95" t="s">
        <v>55</v>
      </c>
      <c r="E95" t="s">
        <v>352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402</v>
      </c>
      <c r="C96" t="s">
        <v>129</v>
      </c>
      <c r="D96" t="s">
        <v>103</v>
      </c>
      <c r="E96" t="s">
        <v>353</v>
      </c>
      <c r="F96" s="108"/>
      <c r="G96" s="108">
        <v>6005016414</v>
      </c>
      <c r="H96" s="108">
        <v>6005016414</v>
      </c>
      <c r="I96" t="s">
        <v>447</v>
      </c>
    </row>
    <row r="97" spans="1:9" s="84" customFormat="1">
      <c r="A97" s="105">
        <v>6006016521</v>
      </c>
      <c r="B97" t="s">
        <v>224</v>
      </c>
      <c r="C97" t="s">
        <v>21</v>
      </c>
      <c r="D97" t="s">
        <v>45</v>
      </c>
      <c r="E97" t="s">
        <v>355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132</v>
      </c>
      <c r="C98" t="s">
        <v>21</v>
      </c>
      <c r="D98" t="s">
        <v>45</v>
      </c>
      <c r="E98" t="s">
        <v>355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133</v>
      </c>
      <c r="C99" t="s">
        <v>21</v>
      </c>
      <c r="D99" t="s">
        <v>45</v>
      </c>
      <c r="E99" t="s">
        <v>355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134</v>
      </c>
      <c r="C100" t="s">
        <v>21</v>
      </c>
      <c r="D100" t="s">
        <v>45</v>
      </c>
      <c r="E100" t="s">
        <v>355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135</v>
      </c>
      <c r="C101" t="s">
        <v>21</v>
      </c>
      <c r="D101" t="s">
        <v>45</v>
      </c>
      <c r="E101" t="s">
        <v>355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225</v>
      </c>
      <c r="C102" t="s">
        <v>21</v>
      </c>
      <c r="D102" t="s">
        <v>45</v>
      </c>
      <c r="E102" t="s">
        <v>355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226</v>
      </c>
      <c r="C103" t="s">
        <v>21</v>
      </c>
      <c r="D103" t="s">
        <v>45</v>
      </c>
      <c r="E103" t="s">
        <v>355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136</v>
      </c>
      <c r="C104" t="s">
        <v>21</v>
      </c>
      <c r="D104" t="s">
        <v>45</v>
      </c>
      <c r="E104" t="s">
        <v>355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137</v>
      </c>
      <c r="C105" t="s">
        <v>21</v>
      </c>
      <c r="D105" t="s">
        <v>45</v>
      </c>
      <c r="E105" t="s">
        <v>355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138</v>
      </c>
      <c r="C106" t="s">
        <v>21</v>
      </c>
      <c r="D106" t="s">
        <v>45</v>
      </c>
      <c r="E106" t="s">
        <v>355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139</v>
      </c>
      <c r="C107" t="s">
        <v>21</v>
      </c>
      <c r="D107" t="s">
        <v>45</v>
      </c>
      <c r="E107" t="s">
        <v>355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227</v>
      </c>
      <c r="C108" t="s">
        <v>21</v>
      </c>
      <c r="D108" t="s">
        <v>45</v>
      </c>
      <c r="E108" t="s">
        <v>355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228</v>
      </c>
      <c r="C109" t="s">
        <v>21</v>
      </c>
      <c r="D109" t="s">
        <v>45</v>
      </c>
      <c r="E109" t="s">
        <v>355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229</v>
      </c>
      <c r="C110" t="s">
        <v>21</v>
      </c>
      <c r="D110" t="s">
        <v>45</v>
      </c>
      <c r="E110" t="s">
        <v>355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230</v>
      </c>
      <c r="C111" t="s">
        <v>21</v>
      </c>
      <c r="D111" t="s">
        <v>45</v>
      </c>
      <c r="E111" t="s">
        <v>355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93</v>
      </c>
      <c r="C112" t="s">
        <v>21</v>
      </c>
      <c r="D112" t="s">
        <v>45</v>
      </c>
      <c r="E112" t="s">
        <v>355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231</v>
      </c>
      <c r="C113" t="s">
        <v>21</v>
      </c>
      <c r="D113" t="s">
        <v>45</v>
      </c>
      <c r="E113" t="s">
        <v>355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232</v>
      </c>
      <c r="C114" t="s">
        <v>21</v>
      </c>
      <c r="D114" t="s">
        <v>45</v>
      </c>
      <c r="E114" t="s">
        <v>355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233</v>
      </c>
      <c r="C115" t="s">
        <v>21</v>
      </c>
      <c r="D115" t="s">
        <v>45</v>
      </c>
      <c r="E115" t="s">
        <v>355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234</v>
      </c>
      <c r="C116" t="s">
        <v>21</v>
      </c>
      <c r="D116" t="s">
        <v>45</v>
      </c>
      <c r="E116" t="s">
        <v>355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235</v>
      </c>
      <c r="C117" t="s">
        <v>94</v>
      </c>
      <c r="D117" t="s">
        <v>59</v>
      </c>
      <c r="E117" t="s">
        <v>358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236</v>
      </c>
      <c r="C118" t="s">
        <v>94</v>
      </c>
      <c r="D118" t="s">
        <v>59</v>
      </c>
      <c r="E118" t="s">
        <v>358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237</v>
      </c>
      <c r="C119" t="s">
        <v>95</v>
      </c>
      <c r="D119" t="s">
        <v>50</v>
      </c>
      <c r="E119" t="s">
        <v>369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238</v>
      </c>
      <c r="C120" t="s">
        <v>95</v>
      </c>
      <c r="D120" t="s">
        <v>64</v>
      </c>
      <c r="E120" t="s">
        <v>378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239</v>
      </c>
      <c r="C121" t="s">
        <v>95</v>
      </c>
      <c r="D121" t="s">
        <v>61</v>
      </c>
      <c r="E121" t="s">
        <v>360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240</v>
      </c>
      <c r="C122" t="s">
        <v>95</v>
      </c>
      <c r="D122" t="s">
        <v>61</v>
      </c>
      <c r="E122" t="s">
        <v>360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241</v>
      </c>
      <c r="C123" t="s">
        <v>95</v>
      </c>
      <c r="D123" t="s">
        <v>61</v>
      </c>
      <c r="E123" t="s">
        <v>360</v>
      </c>
      <c r="F123" s="108" t="s">
        <v>544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242</v>
      </c>
      <c r="C124" t="s">
        <v>95</v>
      </c>
      <c r="D124" t="s">
        <v>61</v>
      </c>
      <c r="E124" t="s">
        <v>360</v>
      </c>
      <c r="F124" s="108" t="s">
        <v>545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243</v>
      </c>
      <c r="C125" t="s">
        <v>95</v>
      </c>
      <c r="D125" t="s">
        <v>61</v>
      </c>
      <c r="E125" t="s">
        <v>360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244</v>
      </c>
      <c r="C126" t="s">
        <v>95</v>
      </c>
      <c r="D126" t="s">
        <v>61</v>
      </c>
      <c r="E126" t="s">
        <v>360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245</v>
      </c>
      <c r="C127" t="s">
        <v>95</v>
      </c>
      <c r="D127" t="s">
        <v>61</v>
      </c>
      <c r="E127" t="s">
        <v>360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246</v>
      </c>
      <c r="C128" t="s">
        <v>95</v>
      </c>
      <c r="D128" t="s">
        <v>61</v>
      </c>
      <c r="E128" t="s">
        <v>360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247</v>
      </c>
      <c r="C129" t="s">
        <v>95</v>
      </c>
      <c r="D129" t="s">
        <v>61</v>
      </c>
      <c r="E129" t="s">
        <v>360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248</v>
      </c>
      <c r="C130" t="s">
        <v>95</v>
      </c>
      <c r="D130" t="s">
        <v>61</v>
      </c>
      <c r="E130" t="s">
        <v>360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249</v>
      </c>
      <c r="C131" t="s">
        <v>95</v>
      </c>
      <c r="D131" t="s">
        <v>61</v>
      </c>
      <c r="E131" t="s">
        <v>360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250</v>
      </c>
      <c r="C132" t="s">
        <v>95</v>
      </c>
      <c r="D132" t="s">
        <v>61</v>
      </c>
      <c r="E132" t="s">
        <v>360</v>
      </c>
      <c r="F132" s="108" t="s">
        <v>546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404</v>
      </c>
      <c r="C133" t="s">
        <v>95</v>
      </c>
      <c r="D133" t="s">
        <v>61</v>
      </c>
      <c r="E133" t="s">
        <v>360</v>
      </c>
      <c r="F133" s="108" t="s">
        <v>547</v>
      </c>
      <c r="G133" s="108">
        <v>6003036554</v>
      </c>
      <c r="H133" s="108">
        <v>6003036554</v>
      </c>
      <c r="I133" t="s">
        <v>447</v>
      </c>
    </row>
    <row r="134" spans="1:9" s="84" customFormat="1">
      <c r="A134" s="105">
        <v>6003036555</v>
      </c>
      <c r="B134" t="s">
        <v>405</v>
      </c>
      <c r="C134" t="s">
        <v>95</v>
      </c>
      <c r="D134" t="s">
        <v>61</v>
      </c>
      <c r="E134" t="s">
        <v>360</v>
      </c>
      <c r="F134" s="108" t="s">
        <v>548</v>
      </c>
      <c r="G134" s="108">
        <v>6003036555</v>
      </c>
      <c r="H134" s="108">
        <v>6003036555</v>
      </c>
      <c r="I134" t="s">
        <v>447</v>
      </c>
    </row>
    <row r="135" spans="1:9" s="84" customFormat="1">
      <c r="A135" s="105">
        <v>6003036556</v>
      </c>
      <c r="B135" t="s">
        <v>406</v>
      </c>
      <c r="C135" t="s">
        <v>95</v>
      </c>
      <c r="D135" t="s">
        <v>61</v>
      </c>
      <c r="E135" t="s">
        <v>360</v>
      </c>
      <c r="F135" s="108" t="s">
        <v>549</v>
      </c>
      <c r="G135" s="108">
        <v>6003036556</v>
      </c>
      <c r="H135" s="108">
        <v>6003036556</v>
      </c>
      <c r="I135" t="s">
        <v>447</v>
      </c>
    </row>
    <row r="136" spans="1:9" s="84" customFormat="1">
      <c r="A136" s="105">
        <v>6003036557</v>
      </c>
      <c r="B136" t="s">
        <v>407</v>
      </c>
      <c r="C136" t="s">
        <v>95</v>
      </c>
      <c r="D136" t="s">
        <v>61</v>
      </c>
      <c r="E136" t="s">
        <v>360</v>
      </c>
      <c r="F136" s="108" t="s">
        <v>550</v>
      </c>
      <c r="G136" s="108">
        <v>6003036557</v>
      </c>
      <c r="H136" s="108">
        <v>6003036557</v>
      </c>
      <c r="I136" t="s">
        <v>447</v>
      </c>
    </row>
    <row r="137" spans="1:9" s="84" customFormat="1">
      <c r="A137" s="105">
        <v>6004096541</v>
      </c>
      <c r="B137" t="s">
        <v>251</v>
      </c>
      <c r="C137" t="s">
        <v>95</v>
      </c>
      <c r="D137" t="s">
        <v>114</v>
      </c>
      <c r="E137" t="s">
        <v>357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252</v>
      </c>
      <c r="C138" t="s">
        <v>95</v>
      </c>
      <c r="D138" t="s">
        <v>96</v>
      </c>
      <c r="E138" t="s">
        <v>359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253</v>
      </c>
      <c r="C139" t="s">
        <v>95</v>
      </c>
      <c r="D139" t="s">
        <v>96</v>
      </c>
      <c r="E139" t="s">
        <v>359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254</v>
      </c>
      <c r="C140" t="s">
        <v>95</v>
      </c>
      <c r="D140" t="s">
        <v>96</v>
      </c>
      <c r="E140" t="s">
        <v>359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255</v>
      </c>
      <c r="C141" t="s">
        <v>95</v>
      </c>
      <c r="D141" t="s">
        <v>58</v>
      </c>
      <c r="E141" t="s">
        <v>363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256</v>
      </c>
      <c r="C142" t="s">
        <v>95</v>
      </c>
      <c r="D142" t="s">
        <v>97</v>
      </c>
      <c r="E142" t="s">
        <v>364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257</v>
      </c>
      <c r="C143" t="s">
        <v>95</v>
      </c>
      <c r="D143" t="s">
        <v>97</v>
      </c>
      <c r="E143" t="s">
        <v>364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258</v>
      </c>
      <c r="C144" t="s">
        <v>95</v>
      </c>
      <c r="D144" t="s">
        <v>97</v>
      </c>
      <c r="E144" t="s">
        <v>364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259</v>
      </c>
      <c r="C145" t="s">
        <v>95</v>
      </c>
      <c r="D145" t="s">
        <v>64</v>
      </c>
      <c r="E145" t="s">
        <v>378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260</v>
      </c>
      <c r="C146" t="s">
        <v>95</v>
      </c>
      <c r="D146" t="s">
        <v>98</v>
      </c>
      <c r="E146" t="s">
        <v>365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261</v>
      </c>
      <c r="C147" t="s">
        <v>95</v>
      </c>
      <c r="D147" t="s">
        <v>51</v>
      </c>
      <c r="E147" t="s">
        <v>366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262</v>
      </c>
      <c r="C148" t="s">
        <v>95</v>
      </c>
      <c r="D148" t="s">
        <v>49</v>
      </c>
      <c r="E148" t="s">
        <v>367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263</v>
      </c>
      <c r="C149" t="s">
        <v>95</v>
      </c>
      <c r="D149" t="s">
        <v>47</v>
      </c>
      <c r="E149" t="s">
        <v>368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264</v>
      </c>
      <c r="C150" t="s">
        <v>95</v>
      </c>
      <c r="D150" t="s">
        <v>50</v>
      </c>
      <c r="E150" t="s">
        <v>369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265</v>
      </c>
      <c r="C151" t="s">
        <v>95</v>
      </c>
      <c r="D151" t="s">
        <v>50</v>
      </c>
      <c r="E151" t="s">
        <v>369</v>
      </c>
      <c r="F151" s="108" t="s">
        <v>551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266</v>
      </c>
      <c r="C152" t="s">
        <v>95</v>
      </c>
      <c r="D152" t="s">
        <v>50</v>
      </c>
      <c r="E152" t="s">
        <v>369</v>
      </c>
      <c r="F152" s="108" t="s">
        <v>552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267</v>
      </c>
      <c r="C153" t="s">
        <v>95</v>
      </c>
      <c r="D153" t="s">
        <v>97</v>
      </c>
      <c r="E153" t="s">
        <v>364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268</v>
      </c>
      <c r="C154" t="s">
        <v>36</v>
      </c>
      <c r="D154" t="s">
        <v>42</v>
      </c>
      <c r="E154" t="s">
        <v>370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269</v>
      </c>
      <c r="C155" t="s">
        <v>36</v>
      </c>
      <c r="D155" t="s">
        <v>114</v>
      </c>
      <c r="E155" t="s">
        <v>357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270</v>
      </c>
      <c r="C156" t="s">
        <v>36</v>
      </c>
      <c r="D156" t="s">
        <v>56</v>
      </c>
      <c r="E156" t="s">
        <v>371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271</v>
      </c>
      <c r="C157" t="s">
        <v>36</v>
      </c>
      <c r="D157" t="s">
        <v>57</v>
      </c>
      <c r="E157" t="s">
        <v>372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272</v>
      </c>
      <c r="C158" t="s">
        <v>36</v>
      </c>
      <c r="D158" t="s">
        <v>58</v>
      </c>
      <c r="E158" t="s">
        <v>363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273</v>
      </c>
      <c r="C159" t="s">
        <v>36</v>
      </c>
      <c r="D159" t="s">
        <v>53</v>
      </c>
      <c r="E159" t="s">
        <v>373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274</v>
      </c>
      <c r="C160" t="s">
        <v>36</v>
      </c>
      <c r="D160" t="s">
        <v>48</v>
      </c>
      <c r="E160" t="s">
        <v>374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275</v>
      </c>
      <c r="C161" t="s">
        <v>36</v>
      </c>
      <c r="D161" t="s">
        <v>98</v>
      </c>
      <c r="E161" t="s">
        <v>365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276</v>
      </c>
      <c r="C162" t="s">
        <v>36</v>
      </c>
      <c r="D162" t="s">
        <v>64</v>
      </c>
      <c r="E162" t="s">
        <v>378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277</v>
      </c>
      <c r="C163" t="s">
        <v>36</v>
      </c>
      <c r="D163" t="s">
        <v>62</v>
      </c>
      <c r="E163" t="s">
        <v>379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278</v>
      </c>
      <c r="C164" t="s">
        <v>130</v>
      </c>
      <c r="D164" t="s">
        <v>41</v>
      </c>
      <c r="E164" t="s">
        <v>148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414</v>
      </c>
      <c r="C165" t="s">
        <v>0</v>
      </c>
      <c r="D165" t="s">
        <v>55</v>
      </c>
      <c r="E165" t="s">
        <v>352</v>
      </c>
      <c r="F165" s="108"/>
      <c r="G165" s="108">
        <v>6005016422</v>
      </c>
      <c r="H165" s="108"/>
      <c r="I165" t="s">
        <v>446</v>
      </c>
    </row>
    <row r="166" spans="1:9" s="84" customFormat="1">
      <c r="A166" s="105">
        <v>6005016423</v>
      </c>
      <c r="B166" t="s">
        <v>403</v>
      </c>
      <c r="C166" t="s">
        <v>0</v>
      </c>
      <c r="D166" t="s">
        <v>103</v>
      </c>
      <c r="E166" t="s">
        <v>353</v>
      </c>
      <c r="F166" s="108"/>
      <c r="G166" s="108">
        <v>6005016423</v>
      </c>
      <c r="H166" s="108">
        <v>6005016423</v>
      </c>
      <c r="I166" t="s">
        <v>447</v>
      </c>
    </row>
    <row r="167" spans="1:9" s="84" customFormat="1">
      <c r="A167" s="105">
        <v>6005126423</v>
      </c>
      <c r="B167" t="s">
        <v>279</v>
      </c>
      <c r="C167" t="s">
        <v>1</v>
      </c>
      <c r="D167" t="s">
        <v>97</v>
      </c>
      <c r="E167" t="s">
        <v>364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280</v>
      </c>
      <c r="C168" t="s">
        <v>21</v>
      </c>
      <c r="D168" t="s">
        <v>45</v>
      </c>
      <c r="E168" t="s">
        <v>355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355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355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355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281</v>
      </c>
      <c r="C172" t="s">
        <v>21</v>
      </c>
      <c r="D172" t="s">
        <v>45</v>
      </c>
      <c r="E172" t="s">
        <v>355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282</v>
      </c>
      <c r="C173" t="s">
        <v>21</v>
      </c>
      <c r="D173" t="s">
        <v>45</v>
      </c>
      <c r="E173" t="s">
        <v>355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355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355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355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283</v>
      </c>
      <c r="C177" t="s">
        <v>21</v>
      </c>
      <c r="D177" t="s">
        <v>45</v>
      </c>
      <c r="E177" t="s">
        <v>355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284</v>
      </c>
      <c r="C178" t="s">
        <v>21</v>
      </c>
      <c r="D178" t="s">
        <v>45</v>
      </c>
      <c r="E178" t="s">
        <v>355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285</v>
      </c>
      <c r="C179" t="s">
        <v>21</v>
      </c>
      <c r="D179" t="s">
        <v>45</v>
      </c>
      <c r="E179" t="s">
        <v>355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286</v>
      </c>
      <c r="C180" t="s">
        <v>21</v>
      </c>
      <c r="D180" t="s">
        <v>45</v>
      </c>
      <c r="E180" t="s">
        <v>355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355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287</v>
      </c>
      <c r="C182" t="s">
        <v>21</v>
      </c>
      <c r="D182" t="s">
        <v>45</v>
      </c>
      <c r="E182" t="s">
        <v>355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288</v>
      </c>
      <c r="C183" t="s">
        <v>21</v>
      </c>
      <c r="D183" t="s">
        <v>45</v>
      </c>
      <c r="E183" t="s">
        <v>355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289</v>
      </c>
      <c r="C184" t="s">
        <v>21</v>
      </c>
      <c r="D184" t="s">
        <v>45</v>
      </c>
      <c r="E184" t="s">
        <v>355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290</v>
      </c>
      <c r="C185" t="s">
        <v>21</v>
      </c>
      <c r="D185" t="s">
        <v>45</v>
      </c>
      <c r="E185" t="s">
        <v>355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291</v>
      </c>
      <c r="C186" t="s">
        <v>21</v>
      </c>
      <c r="D186" t="s">
        <v>45</v>
      </c>
      <c r="E186" t="s">
        <v>355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292</v>
      </c>
      <c r="C187" t="s">
        <v>9</v>
      </c>
      <c r="D187" t="s">
        <v>48</v>
      </c>
      <c r="E187" t="s">
        <v>374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293</v>
      </c>
      <c r="C188" t="s">
        <v>9</v>
      </c>
      <c r="D188" t="s">
        <v>48</v>
      </c>
      <c r="E188" t="s">
        <v>374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294</v>
      </c>
      <c r="C189" t="s">
        <v>10</v>
      </c>
      <c r="D189" t="s">
        <v>64</v>
      </c>
      <c r="E189" t="s">
        <v>378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295</v>
      </c>
      <c r="C190" t="s">
        <v>11</v>
      </c>
      <c r="D190" t="s">
        <v>114</v>
      </c>
      <c r="E190" t="s">
        <v>357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296</v>
      </c>
      <c r="C191" t="s">
        <v>11</v>
      </c>
      <c r="D191" t="s">
        <v>59</v>
      </c>
      <c r="E191" t="s">
        <v>358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297</v>
      </c>
      <c r="C192" t="s">
        <v>11</v>
      </c>
      <c r="D192" t="s">
        <v>59</v>
      </c>
      <c r="E192" t="s">
        <v>358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298</v>
      </c>
      <c r="C193" t="s">
        <v>11</v>
      </c>
      <c r="D193" t="s">
        <v>96</v>
      </c>
      <c r="E193" t="s">
        <v>359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299</v>
      </c>
      <c r="C194" t="s">
        <v>11</v>
      </c>
      <c r="D194" t="s">
        <v>96</v>
      </c>
      <c r="E194" t="s">
        <v>359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300</v>
      </c>
      <c r="C195" t="s">
        <v>11</v>
      </c>
      <c r="D195" t="s">
        <v>96</v>
      </c>
      <c r="E195" t="s">
        <v>359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301</v>
      </c>
      <c r="C196" t="s">
        <v>11</v>
      </c>
      <c r="D196" t="s">
        <v>58</v>
      </c>
      <c r="E196" t="s">
        <v>363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302</v>
      </c>
      <c r="C197" t="s">
        <v>11</v>
      </c>
      <c r="D197" t="s">
        <v>97</v>
      </c>
      <c r="E197" t="s">
        <v>364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303</v>
      </c>
      <c r="C198" t="s">
        <v>11</v>
      </c>
      <c r="D198" t="s">
        <v>97</v>
      </c>
      <c r="E198" t="s">
        <v>364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304</v>
      </c>
      <c r="C199" t="s">
        <v>11</v>
      </c>
      <c r="D199" t="s">
        <v>97</v>
      </c>
      <c r="E199" t="s">
        <v>364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305</v>
      </c>
      <c r="C200" t="s">
        <v>11</v>
      </c>
      <c r="D200" t="s">
        <v>64</v>
      </c>
      <c r="E200" t="s">
        <v>378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306</v>
      </c>
      <c r="C201" t="s">
        <v>11</v>
      </c>
      <c r="D201" t="s">
        <v>98</v>
      </c>
      <c r="E201" t="s">
        <v>365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307</v>
      </c>
      <c r="C202" t="s">
        <v>11</v>
      </c>
      <c r="D202" t="s">
        <v>51</v>
      </c>
      <c r="E202" t="s">
        <v>366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308</v>
      </c>
      <c r="C203" t="s">
        <v>11</v>
      </c>
      <c r="D203" t="s">
        <v>49</v>
      </c>
      <c r="E203" t="s">
        <v>367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309</v>
      </c>
      <c r="C204" t="s">
        <v>11</v>
      </c>
      <c r="D204" t="s">
        <v>47</v>
      </c>
      <c r="E204" t="s">
        <v>368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310</v>
      </c>
      <c r="C205" t="s">
        <v>11</v>
      </c>
      <c r="D205" t="s">
        <v>50</v>
      </c>
      <c r="E205" t="s">
        <v>369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311</v>
      </c>
      <c r="C206" t="s">
        <v>11</v>
      </c>
      <c r="D206" t="s">
        <v>50</v>
      </c>
      <c r="E206" t="s">
        <v>369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312</v>
      </c>
      <c r="C207" t="s">
        <v>11</v>
      </c>
      <c r="D207" t="s">
        <v>50</v>
      </c>
      <c r="E207" t="s">
        <v>369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313</v>
      </c>
      <c r="C208" t="s">
        <v>11</v>
      </c>
      <c r="D208" t="s">
        <v>50</v>
      </c>
      <c r="E208" t="s">
        <v>369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314</v>
      </c>
      <c r="C209" t="s">
        <v>36</v>
      </c>
      <c r="D209" t="s">
        <v>42</v>
      </c>
      <c r="E209" t="s">
        <v>370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315</v>
      </c>
      <c r="C210" t="s">
        <v>36</v>
      </c>
      <c r="D210" t="s">
        <v>114</v>
      </c>
      <c r="E210" t="s">
        <v>357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316</v>
      </c>
      <c r="C211" t="s">
        <v>36</v>
      </c>
      <c r="D211" t="s">
        <v>56</v>
      </c>
      <c r="E211" t="s">
        <v>371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317</v>
      </c>
      <c r="C212" t="s">
        <v>36</v>
      </c>
      <c r="D212" t="s">
        <v>57</v>
      </c>
      <c r="E212" t="s">
        <v>372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318</v>
      </c>
      <c r="C213" t="s">
        <v>36</v>
      </c>
      <c r="D213" t="s">
        <v>58</v>
      </c>
      <c r="E213" t="s">
        <v>363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319</v>
      </c>
      <c r="C214" t="s">
        <v>36</v>
      </c>
      <c r="D214" t="s">
        <v>53</v>
      </c>
      <c r="E214" t="s">
        <v>373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320</v>
      </c>
      <c r="C215" t="s">
        <v>36</v>
      </c>
      <c r="D215" t="s">
        <v>64</v>
      </c>
      <c r="E215" t="s">
        <v>378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321</v>
      </c>
      <c r="C216" t="s">
        <v>36</v>
      </c>
      <c r="D216" t="s">
        <v>64</v>
      </c>
      <c r="E216" t="s">
        <v>378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322</v>
      </c>
      <c r="C217" t="s">
        <v>36</v>
      </c>
      <c r="D217" t="s">
        <v>98</v>
      </c>
      <c r="E217" t="s">
        <v>365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444</v>
      </c>
      <c r="C218" t="s">
        <v>36</v>
      </c>
      <c r="D218" t="s">
        <v>64</v>
      </c>
      <c r="E218" t="s">
        <v>378</v>
      </c>
      <c r="F218" s="108"/>
      <c r="G218" s="108">
        <v>6005246676</v>
      </c>
      <c r="H218" s="108"/>
      <c r="I218" t="s">
        <v>448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117</v>
      </c>
      <c r="E219" t="s">
        <v>383</v>
      </c>
      <c r="F219" s="108" t="s">
        <v>553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117</v>
      </c>
      <c r="E220" t="s">
        <v>383</v>
      </c>
      <c r="F220" s="108" t="s">
        <v>554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117</v>
      </c>
      <c r="E221" t="s">
        <v>383</v>
      </c>
      <c r="F221" s="108" t="s">
        <v>555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116</v>
      </c>
      <c r="C222" t="s">
        <v>15</v>
      </c>
      <c r="D222" t="s">
        <v>116</v>
      </c>
      <c r="E222" t="s">
        <v>381</v>
      </c>
      <c r="F222" s="108" t="s">
        <v>556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104</v>
      </c>
      <c r="C223" t="s">
        <v>15</v>
      </c>
      <c r="D223" t="s">
        <v>104</v>
      </c>
      <c r="E223" t="s">
        <v>384</v>
      </c>
      <c r="F223" s="108" t="s">
        <v>557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118</v>
      </c>
      <c r="E224" t="s">
        <v>385</v>
      </c>
      <c r="F224" s="108" t="s">
        <v>558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118</v>
      </c>
      <c r="E225" t="s">
        <v>385</v>
      </c>
      <c r="F225" s="108" t="s">
        <v>559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118</v>
      </c>
      <c r="E226" t="s">
        <v>385</v>
      </c>
      <c r="F226" s="108" t="s">
        <v>560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386</v>
      </c>
      <c r="F227" s="108" t="s">
        <v>561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387</v>
      </c>
      <c r="F228" s="108" t="s">
        <v>562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106</v>
      </c>
      <c r="C229"/>
      <c r="D229" t="s">
        <v>120</v>
      </c>
      <c r="E229" t="s">
        <v>388</v>
      </c>
      <c r="F229" s="108" t="s">
        <v>563</v>
      </c>
      <c r="G229" s="108">
        <v>9114120005</v>
      </c>
      <c r="H229" s="108">
        <v>9114120005</v>
      </c>
      <c r="I229"/>
    </row>
    <row r="230" spans="1:9" s="84" customFormat="1">
      <c r="A230" s="290">
        <v>9114120006</v>
      </c>
      <c r="B230" s="291" t="s">
        <v>141</v>
      </c>
      <c r="C230"/>
      <c r="D230" s="291" t="s">
        <v>100</v>
      </c>
      <c r="E230" t="s">
        <v>348</v>
      </c>
      <c r="F230" s="108" t="s">
        <v>564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107</v>
      </c>
      <c r="C231"/>
      <c r="D231" t="s">
        <v>113</v>
      </c>
      <c r="E231" t="s">
        <v>389</v>
      </c>
      <c r="F231" s="108" t="s">
        <v>565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101</v>
      </c>
      <c r="C232"/>
      <c r="D232" t="s">
        <v>101</v>
      </c>
      <c r="E232" t="s">
        <v>12</v>
      </c>
      <c r="F232" s="108" t="s">
        <v>566</v>
      </c>
      <c r="G232" s="108"/>
      <c r="H232" s="108"/>
      <c r="I232"/>
    </row>
    <row r="233" spans="1:9" s="84" customFormat="1">
      <c r="A233" s="105">
        <v>9114120009</v>
      </c>
      <c r="B233" t="s">
        <v>108</v>
      </c>
      <c r="C233"/>
      <c r="D233" t="s">
        <v>121</v>
      </c>
      <c r="E233" t="s">
        <v>390</v>
      </c>
      <c r="F233" s="108" t="s">
        <v>567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99</v>
      </c>
      <c r="C234"/>
      <c r="D234" t="s">
        <v>99</v>
      </c>
      <c r="E234" t="s">
        <v>391</v>
      </c>
      <c r="F234" s="108" t="s">
        <v>568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392</v>
      </c>
      <c r="F235" s="108" t="s">
        <v>569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105</v>
      </c>
      <c r="C236"/>
      <c r="D236" t="s">
        <v>105</v>
      </c>
      <c r="E236" t="s">
        <v>393</v>
      </c>
      <c r="F236" s="108" t="s">
        <v>570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142</v>
      </c>
      <c r="C237"/>
      <c r="D237" t="s">
        <v>142</v>
      </c>
      <c r="E237" t="s">
        <v>394</v>
      </c>
      <c r="F237" s="108" t="s">
        <v>571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112</v>
      </c>
      <c r="C238"/>
      <c r="D238" t="s">
        <v>112</v>
      </c>
      <c r="E238" t="s">
        <v>395</v>
      </c>
      <c r="F238" s="108" t="s">
        <v>572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677</v>
      </c>
      <c r="C239"/>
      <c r="D239" t="s">
        <v>677</v>
      </c>
      <c r="E239" t="s">
        <v>396</v>
      </c>
      <c r="F239" s="108" t="s">
        <v>573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678</v>
      </c>
      <c r="C240"/>
      <c r="D240" t="s">
        <v>678</v>
      </c>
      <c r="E240" t="s">
        <v>397</v>
      </c>
      <c r="F240" s="108" t="s">
        <v>574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411</v>
      </c>
      <c r="C241" t="s">
        <v>31</v>
      </c>
      <c r="D241" t="s">
        <v>59</v>
      </c>
      <c r="E241" t="s">
        <v>31</v>
      </c>
      <c r="F241" t="s">
        <v>501</v>
      </c>
      <c r="G241" s="108"/>
      <c r="H241"/>
      <c r="I241"/>
    </row>
    <row r="242" spans="1:9" s="84" customFormat="1">
      <c r="A242" s="106">
        <v>5005016373</v>
      </c>
      <c r="B242" s="107" t="s">
        <v>412</v>
      </c>
      <c r="C242" s="107" t="s">
        <v>150</v>
      </c>
      <c r="D242" s="107" t="s">
        <v>55</v>
      </c>
      <c r="E242" s="107" t="s">
        <v>150</v>
      </c>
      <c r="F242" s="107" t="s">
        <v>473</v>
      </c>
      <c r="G242" s="107"/>
      <c r="H242" s="108"/>
      <c r="I242" s="107"/>
    </row>
    <row r="243" spans="1:9" s="84" customFormat="1">
      <c r="A243" s="106">
        <v>6005016422</v>
      </c>
      <c r="B243" s="107" t="s">
        <v>414</v>
      </c>
      <c r="C243" s="107" t="s">
        <v>0</v>
      </c>
      <c r="D243" s="107" t="s">
        <v>55</v>
      </c>
      <c r="E243" s="107" t="s">
        <v>352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161</v>
      </c>
      <c r="C244" s="107" t="s">
        <v>35</v>
      </c>
      <c r="D244" s="107" t="s">
        <v>100</v>
      </c>
      <c r="E244" s="107" t="s">
        <v>35</v>
      </c>
      <c r="F244" s="107" t="s">
        <v>468</v>
      </c>
      <c r="G244" s="107"/>
      <c r="H244" s="108"/>
      <c r="I244" s="107"/>
    </row>
    <row r="245" spans="1:9">
      <c r="A245" s="106">
        <v>6006016630</v>
      </c>
      <c r="B245" s="107" t="s">
        <v>674</v>
      </c>
      <c r="C245" s="107" t="s">
        <v>675</v>
      </c>
      <c r="D245" s="107" t="s">
        <v>45</v>
      </c>
      <c r="E245" s="107" t="s">
        <v>355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9"/>
  <sheetViews>
    <sheetView workbookViewId="0">
      <pane ySplit="1" topLeftCell="A45" activePane="bottomLeft" state="frozen"/>
      <selection pane="bottomLeft" activeCell="A60" sqref="A60"/>
    </sheetView>
  </sheetViews>
  <sheetFormatPr defaultColWidth="9" defaultRowHeight="13.5"/>
  <cols>
    <col min="1" max="1" width="11.625" style="286" bestFit="1" customWidth="1"/>
    <col min="2" max="2" width="19" style="283" bestFit="1" customWidth="1"/>
    <col min="3" max="3" width="3.875" style="284" bestFit="1" customWidth="1"/>
    <col min="4" max="4" width="10.125" style="283" bestFit="1" customWidth="1"/>
    <col min="5" max="5" width="9" style="283"/>
    <col min="6" max="6" width="10.875" style="283" bestFit="1" customWidth="1"/>
    <col min="7" max="7" width="19.5" style="283" bestFit="1" customWidth="1"/>
    <col min="8" max="8" width="9" style="283"/>
    <col min="9" max="9" width="13.5" style="283" customWidth="1"/>
    <col min="10" max="16384" width="9" style="283"/>
  </cols>
  <sheetData>
    <row r="1" spans="1:7">
      <c r="B1" s="283" t="s">
        <v>92</v>
      </c>
      <c r="D1" s="283" t="s">
        <v>81</v>
      </c>
      <c r="E1" s="283" t="s">
        <v>82</v>
      </c>
    </row>
    <row r="2" spans="1:7">
      <c r="A2" s="286">
        <v>1412000004</v>
      </c>
      <c r="B2" s="285" t="s">
        <v>664</v>
      </c>
      <c r="C2" s="284" t="s">
        <v>592</v>
      </c>
      <c r="D2" s="283" t="s">
        <v>158</v>
      </c>
      <c r="E2" s="283" t="s">
        <v>158</v>
      </c>
      <c r="G2" s="283" t="s">
        <v>639</v>
      </c>
    </row>
    <row r="3" spans="1:7">
      <c r="A3" s="287">
        <v>1412000005</v>
      </c>
      <c r="B3" s="285" t="s">
        <v>665</v>
      </c>
      <c r="C3" s="284" t="s">
        <v>593</v>
      </c>
      <c r="D3" s="283" t="s">
        <v>158</v>
      </c>
      <c r="E3" s="283" t="s">
        <v>158</v>
      </c>
    </row>
    <row r="4" spans="1:7">
      <c r="A4" s="287">
        <v>1412000062</v>
      </c>
      <c r="B4" s="285" t="s">
        <v>645</v>
      </c>
      <c r="C4" s="284" t="s">
        <v>595</v>
      </c>
      <c r="D4" s="283" t="s">
        <v>443</v>
      </c>
      <c r="E4" s="283" t="s">
        <v>158</v>
      </c>
    </row>
    <row r="5" spans="1:7">
      <c r="A5" s="287">
        <v>1412000034</v>
      </c>
      <c r="B5" s="285" t="s">
        <v>421</v>
      </c>
      <c r="C5" s="284" t="s">
        <v>598</v>
      </c>
      <c r="D5" s="283" t="s">
        <v>158</v>
      </c>
      <c r="E5" s="283" t="s">
        <v>158</v>
      </c>
    </row>
    <row r="6" spans="1:7">
      <c r="A6" s="287">
        <v>1412000048</v>
      </c>
      <c r="B6" s="285" t="s">
        <v>420</v>
      </c>
      <c r="C6" s="284" t="s">
        <v>599</v>
      </c>
      <c r="D6" s="283" t="s">
        <v>443</v>
      </c>
      <c r="E6" s="283" t="s">
        <v>158</v>
      </c>
    </row>
    <row r="7" spans="1:7">
      <c r="A7" s="286">
        <v>1412000055</v>
      </c>
      <c r="B7" s="283" t="s">
        <v>658</v>
      </c>
      <c r="C7" s="284" t="s">
        <v>600</v>
      </c>
      <c r="D7" s="283" t="s">
        <v>443</v>
      </c>
      <c r="E7" s="283" t="s">
        <v>158</v>
      </c>
    </row>
    <row r="8" spans="1:7">
      <c r="A8" s="287">
        <v>1412000050</v>
      </c>
      <c r="B8" s="285" t="s">
        <v>618</v>
      </c>
      <c r="C8" s="284" t="s">
        <v>619</v>
      </c>
      <c r="D8" s="283" t="s">
        <v>158</v>
      </c>
      <c r="E8" s="283" t="s">
        <v>158</v>
      </c>
    </row>
    <row r="9" spans="1:7">
      <c r="A9" s="286">
        <v>1412000077</v>
      </c>
      <c r="B9" s="285" t="s">
        <v>620</v>
      </c>
      <c r="C9" s="284" t="s">
        <v>621</v>
      </c>
      <c r="D9" s="283" t="s">
        <v>158</v>
      </c>
      <c r="E9" s="283" t="s">
        <v>158</v>
      </c>
    </row>
    <row r="10" spans="1:7">
      <c r="A10" s="287">
        <v>1412000053</v>
      </c>
      <c r="B10" s="285" t="s">
        <v>581</v>
      </c>
      <c r="C10" s="284" t="s">
        <v>596</v>
      </c>
      <c r="D10" s="283" t="s">
        <v>443</v>
      </c>
      <c r="E10" s="283" t="s">
        <v>158</v>
      </c>
    </row>
    <row r="11" spans="1:7">
      <c r="A11" s="287">
        <v>1412000008</v>
      </c>
      <c r="B11" s="285" t="s">
        <v>431</v>
      </c>
      <c r="C11" s="284" t="s">
        <v>605</v>
      </c>
      <c r="D11" s="283" t="s">
        <v>443</v>
      </c>
      <c r="E11" s="283" t="s">
        <v>158</v>
      </c>
    </row>
    <row r="12" spans="1:7">
      <c r="A12" s="287">
        <v>1412000010</v>
      </c>
      <c r="B12" s="285" t="s">
        <v>429</v>
      </c>
      <c r="C12" s="284" t="s">
        <v>606</v>
      </c>
      <c r="D12" s="283" t="s">
        <v>575</v>
      </c>
      <c r="E12" s="283" t="s">
        <v>158</v>
      </c>
    </row>
    <row r="13" spans="1:7">
      <c r="A13" s="287">
        <v>1412000054</v>
      </c>
      <c r="B13" s="285" t="s">
        <v>422</v>
      </c>
      <c r="C13" s="284" t="s">
        <v>607</v>
      </c>
      <c r="D13" s="283" t="s">
        <v>575</v>
      </c>
      <c r="E13" s="283" t="s">
        <v>158</v>
      </c>
    </row>
    <row r="14" spans="1:7">
      <c r="A14" s="287">
        <v>1412000036</v>
      </c>
      <c r="B14" s="285" t="s">
        <v>644</v>
      </c>
      <c r="C14" s="284" t="s">
        <v>610</v>
      </c>
      <c r="D14" s="283" t="s">
        <v>443</v>
      </c>
      <c r="E14" s="283" t="s">
        <v>158</v>
      </c>
    </row>
    <row r="15" spans="1:7">
      <c r="A15" s="287">
        <v>1412000006</v>
      </c>
      <c r="B15" s="285" t="s">
        <v>423</v>
      </c>
      <c r="C15" s="284" t="s">
        <v>613</v>
      </c>
      <c r="D15" s="283" t="s">
        <v>575</v>
      </c>
      <c r="E15" s="283" t="s">
        <v>158</v>
      </c>
    </row>
    <row r="16" spans="1:7">
      <c r="A16" s="287">
        <v>1412000039</v>
      </c>
      <c r="B16" s="285" t="s">
        <v>424</v>
      </c>
      <c r="C16" s="284" t="s">
        <v>614</v>
      </c>
      <c r="D16" s="283" t="s">
        <v>575</v>
      </c>
      <c r="E16" s="283" t="s">
        <v>158</v>
      </c>
    </row>
    <row r="17" spans="1:5">
      <c r="A17" s="287">
        <v>1412000040</v>
      </c>
      <c r="B17" s="285" t="s">
        <v>442</v>
      </c>
      <c r="C17" s="284" t="s">
        <v>615</v>
      </c>
      <c r="D17" s="283" t="s">
        <v>575</v>
      </c>
      <c r="E17" s="283" t="s">
        <v>158</v>
      </c>
    </row>
    <row r="18" spans="1:5">
      <c r="A18" s="286">
        <v>1412000013</v>
      </c>
      <c r="B18" s="285" t="s">
        <v>666</v>
      </c>
      <c r="C18" s="284" t="s">
        <v>608</v>
      </c>
      <c r="D18" s="283" t="s">
        <v>575</v>
      </c>
      <c r="E18" s="283" t="s">
        <v>158</v>
      </c>
    </row>
    <row r="19" spans="1:5">
      <c r="A19" s="286">
        <v>1412000080</v>
      </c>
      <c r="B19" s="285" t="s">
        <v>439</v>
      </c>
      <c r="C19" s="284" t="s">
        <v>604</v>
      </c>
      <c r="D19" s="283" t="s">
        <v>575</v>
      </c>
      <c r="E19" s="283" t="s">
        <v>158</v>
      </c>
    </row>
    <row r="20" spans="1:5">
      <c r="A20" s="286">
        <v>1412000044</v>
      </c>
      <c r="B20" s="285" t="s">
        <v>441</v>
      </c>
      <c r="C20" s="284" t="s">
        <v>603</v>
      </c>
      <c r="D20" s="283" t="s">
        <v>443</v>
      </c>
      <c r="E20" s="283" t="s">
        <v>158</v>
      </c>
    </row>
    <row r="21" spans="1:5">
      <c r="A21" s="287">
        <v>1412000056</v>
      </c>
      <c r="B21" s="285" t="s">
        <v>440</v>
      </c>
      <c r="C21" s="284" t="s">
        <v>602</v>
      </c>
      <c r="D21" s="283" t="s">
        <v>158</v>
      </c>
      <c r="E21" s="283" t="s">
        <v>158</v>
      </c>
    </row>
    <row r="22" spans="1:5">
      <c r="A22" s="287">
        <v>1412000018</v>
      </c>
      <c r="B22" s="285" t="s">
        <v>427</v>
      </c>
      <c r="C22" s="284" t="s">
        <v>625</v>
      </c>
      <c r="D22" s="283" t="s">
        <v>576</v>
      </c>
      <c r="E22" s="283" t="s">
        <v>158</v>
      </c>
    </row>
    <row r="23" spans="1:5">
      <c r="A23" s="287">
        <v>1412000019</v>
      </c>
      <c r="B23" s="285" t="s">
        <v>587</v>
      </c>
      <c r="C23" s="284" t="s">
        <v>626</v>
      </c>
      <c r="D23" s="283" t="s">
        <v>576</v>
      </c>
      <c r="E23" s="283" t="s">
        <v>158</v>
      </c>
    </row>
    <row r="24" spans="1:5">
      <c r="A24" s="287">
        <v>1412000058</v>
      </c>
      <c r="B24" s="285" t="s">
        <v>432</v>
      </c>
      <c r="C24" s="284" t="s">
        <v>627</v>
      </c>
      <c r="D24" s="283" t="s">
        <v>576</v>
      </c>
      <c r="E24" s="283" t="s">
        <v>158</v>
      </c>
    </row>
    <row r="25" spans="1:5">
      <c r="A25" s="287">
        <v>1412000042</v>
      </c>
      <c r="B25" s="285" t="s">
        <v>433</v>
      </c>
      <c r="C25" s="284" t="s">
        <v>628</v>
      </c>
      <c r="D25" s="283" t="s">
        <v>576</v>
      </c>
      <c r="E25" s="283" t="s">
        <v>158</v>
      </c>
    </row>
    <row r="26" spans="1:5">
      <c r="A26" s="287">
        <v>1412000021</v>
      </c>
      <c r="B26" s="285" t="s">
        <v>434</v>
      </c>
      <c r="C26" s="284" t="s">
        <v>629</v>
      </c>
      <c r="D26" s="283" t="s">
        <v>576</v>
      </c>
      <c r="E26" s="283" t="s">
        <v>158</v>
      </c>
    </row>
    <row r="27" spans="1:5">
      <c r="A27" s="287">
        <v>1412000022</v>
      </c>
      <c r="B27" s="285" t="s">
        <v>438</v>
      </c>
      <c r="C27" s="284" t="s">
        <v>631</v>
      </c>
      <c r="D27" s="283" t="s">
        <v>576</v>
      </c>
      <c r="E27" s="283" t="s">
        <v>158</v>
      </c>
    </row>
    <row r="28" spans="1:5">
      <c r="A28" s="287">
        <v>1412000024</v>
      </c>
      <c r="B28" s="285" t="s">
        <v>436</v>
      </c>
      <c r="C28" s="284" t="s">
        <v>632</v>
      </c>
      <c r="D28" s="283" t="s">
        <v>577</v>
      </c>
      <c r="E28" s="283" t="s">
        <v>159</v>
      </c>
    </row>
    <row r="29" spans="1:5">
      <c r="A29" s="287">
        <v>1412000025</v>
      </c>
      <c r="B29" s="285" t="s">
        <v>425</v>
      </c>
      <c r="C29" s="284" t="s">
        <v>633</v>
      </c>
      <c r="D29" s="283" t="s">
        <v>577</v>
      </c>
      <c r="E29" s="283" t="s">
        <v>159</v>
      </c>
    </row>
    <row r="30" spans="1:5">
      <c r="A30" s="287">
        <v>1412000026</v>
      </c>
      <c r="B30" s="285" t="s">
        <v>430</v>
      </c>
      <c r="C30" s="284" t="s">
        <v>634</v>
      </c>
      <c r="D30" s="283" t="s">
        <v>577</v>
      </c>
      <c r="E30" s="283" t="s">
        <v>159</v>
      </c>
    </row>
    <row r="31" spans="1:5">
      <c r="A31" s="287">
        <v>1412000028</v>
      </c>
      <c r="B31" s="285" t="s">
        <v>426</v>
      </c>
      <c r="C31" s="284" t="s">
        <v>635</v>
      </c>
      <c r="D31" s="283" t="s">
        <v>577</v>
      </c>
      <c r="E31" s="283" t="s">
        <v>159</v>
      </c>
    </row>
    <row r="32" spans="1:5">
      <c r="A32" s="287">
        <v>1412000029</v>
      </c>
      <c r="B32" s="285" t="s">
        <v>435</v>
      </c>
      <c r="C32" s="284" t="s">
        <v>636</v>
      </c>
      <c r="D32" s="283" t="s">
        <v>577</v>
      </c>
      <c r="E32" s="283" t="s">
        <v>159</v>
      </c>
    </row>
    <row r="33" spans="1:5">
      <c r="A33" s="287">
        <v>1412000030</v>
      </c>
      <c r="B33" s="285" t="s">
        <v>437</v>
      </c>
      <c r="C33" s="284" t="s">
        <v>637</v>
      </c>
      <c r="D33" s="283" t="s">
        <v>577</v>
      </c>
      <c r="E33" s="283" t="s">
        <v>160</v>
      </c>
    </row>
    <row r="34" spans="1:5">
      <c r="A34" s="287">
        <v>1412000086</v>
      </c>
      <c r="B34" s="285" t="s">
        <v>428</v>
      </c>
      <c r="C34" s="284" t="s">
        <v>638</v>
      </c>
      <c r="D34" s="283" t="s">
        <v>577</v>
      </c>
      <c r="E34" s="283" t="s">
        <v>159</v>
      </c>
    </row>
    <row r="35" spans="1:5">
      <c r="A35" s="287">
        <v>1412000063</v>
      </c>
      <c r="B35" s="285" t="s">
        <v>667</v>
      </c>
      <c r="C35" s="284" t="s">
        <v>601</v>
      </c>
      <c r="D35" s="283" t="s">
        <v>443</v>
      </c>
      <c r="E35" s="283" t="s">
        <v>158</v>
      </c>
    </row>
    <row r="36" spans="1:5">
      <c r="A36" s="287">
        <v>1412000066</v>
      </c>
      <c r="B36" s="285" t="s">
        <v>419</v>
      </c>
      <c r="C36" s="284" t="s">
        <v>594</v>
      </c>
      <c r="D36" s="283" t="s">
        <v>158</v>
      </c>
      <c r="E36" s="283" t="s">
        <v>158</v>
      </c>
    </row>
    <row r="37" spans="1:5">
      <c r="A37" s="287">
        <v>1412000035</v>
      </c>
      <c r="B37" s="285" t="s">
        <v>586</v>
      </c>
      <c r="C37" s="284" t="s">
        <v>609</v>
      </c>
      <c r="D37" s="283" t="s">
        <v>575</v>
      </c>
      <c r="E37" s="283" t="s">
        <v>158</v>
      </c>
    </row>
    <row r="38" spans="1:5">
      <c r="A38" s="287">
        <v>1412000016</v>
      </c>
      <c r="B38" s="285" t="s">
        <v>583</v>
      </c>
      <c r="C38" s="284" t="s">
        <v>616</v>
      </c>
      <c r="D38" s="283" t="s">
        <v>575</v>
      </c>
      <c r="E38" s="283" t="s">
        <v>158</v>
      </c>
    </row>
    <row r="39" spans="1:5">
      <c r="A39" s="287">
        <v>1412000069</v>
      </c>
      <c r="B39" s="285" t="s">
        <v>584</v>
      </c>
      <c r="C39" s="284" t="s">
        <v>617</v>
      </c>
      <c r="D39" s="283" t="s">
        <v>575</v>
      </c>
      <c r="E39" s="283" t="s">
        <v>158</v>
      </c>
    </row>
    <row r="40" spans="1:5">
      <c r="A40" s="287">
        <v>1412000070</v>
      </c>
      <c r="B40" s="285" t="s">
        <v>588</v>
      </c>
      <c r="C40" s="284" t="s">
        <v>630</v>
      </c>
      <c r="D40" s="283" t="s">
        <v>576</v>
      </c>
      <c r="E40" s="283" t="s">
        <v>158</v>
      </c>
    </row>
    <row r="41" spans="1:5">
      <c r="A41" s="287">
        <v>1412000072</v>
      </c>
      <c r="B41" s="285" t="s">
        <v>646</v>
      </c>
      <c r="C41" s="284" t="s">
        <v>611</v>
      </c>
      <c r="D41" s="283" t="s">
        <v>443</v>
      </c>
      <c r="E41" s="283" t="s">
        <v>160</v>
      </c>
    </row>
    <row r="42" spans="1:5">
      <c r="A42" s="287">
        <v>1412000073</v>
      </c>
      <c r="B42" s="285" t="s">
        <v>585</v>
      </c>
      <c r="C42" s="284" t="s">
        <v>612</v>
      </c>
      <c r="D42" s="283" t="s">
        <v>443</v>
      </c>
      <c r="E42" s="283" t="s">
        <v>158</v>
      </c>
    </row>
    <row r="43" spans="1:5">
      <c r="A43" s="286">
        <v>1412000075</v>
      </c>
      <c r="B43" s="285" t="s">
        <v>582</v>
      </c>
      <c r="C43" s="284" t="s">
        <v>597</v>
      </c>
      <c r="D43" s="283" t="s">
        <v>443</v>
      </c>
      <c r="E43" s="283" t="s">
        <v>158</v>
      </c>
    </row>
    <row r="44" spans="1:5">
      <c r="A44" s="286">
        <v>1412000057</v>
      </c>
      <c r="B44" s="285" t="s">
        <v>622</v>
      </c>
      <c r="C44" s="284" t="s">
        <v>623</v>
      </c>
      <c r="D44" s="283" t="s">
        <v>158</v>
      </c>
      <c r="E44" s="283" t="s">
        <v>158</v>
      </c>
    </row>
    <row r="45" spans="1:5">
      <c r="A45" s="287">
        <v>1412000078</v>
      </c>
      <c r="B45" s="285" t="s">
        <v>668</v>
      </c>
      <c r="C45" s="284" t="s">
        <v>624</v>
      </c>
      <c r="D45" s="283" t="s">
        <v>158</v>
      </c>
      <c r="E45" s="283" t="s">
        <v>158</v>
      </c>
    </row>
    <row r="46" spans="1:5">
      <c r="A46" s="286">
        <v>1412000081</v>
      </c>
      <c r="B46" s="285" t="s">
        <v>647</v>
      </c>
      <c r="C46" s="284" t="s">
        <v>640</v>
      </c>
      <c r="D46" s="283" t="s">
        <v>158</v>
      </c>
      <c r="E46" s="283" t="s">
        <v>158</v>
      </c>
    </row>
    <row r="47" spans="1:5">
      <c r="A47" s="286">
        <v>1412000083</v>
      </c>
      <c r="B47" s="285" t="s">
        <v>648</v>
      </c>
      <c r="C47" s="284" t="s">
        <v>650</v>
      </c>
      <c r="D47" s="283" t="s">
        <v>158</v>
      </c>
      <c r="E47" s="283" t="s">
        <v>158</v>
      </c>
    </row>
    <row r="48" spans="1:5">
      <c r="A48" s="286">
        <v>1412000084</v>
      </c>
      <c r="B48" s="283" t="s">
        <v>649</v>
      </c>
      <c r="C48" s="284" t="s">
        <v>654</v>
      </c>
      <c r="D48" s="283" t="s">
        <v>575</v>
      </c>
      <c r="E48" s="283" t="s">
        <v>158</v>
      </c>
    </row>
    <row r="49" spans="1:5">
      <c r="A49" s="286">
        <v>1412000087</v>
      </c>
      <c r="B49" s="285" t="s">
        <v>651</v>
      </c>
      <c r="C49" s="284" t="s">
        <v>655</v>
      </c>
      <c r="D49" s="283" t="s">
        <v>443</v>
      </c>
      <c r="E49" s="283" t="s">
        <v>158</v>
      </c>
    </row>
    <row r="50" spans="1:5">
      <c r="A50" s="286">
        <v>1412000088</v>
      </c>
      <c r="B50" s="283" t="s">
        <v>652</v>
      </c>
      <c r="C50" s="284" t="s">
        <v>656</v>
      </c>
      <c r="D50" s="283" t="s">
        <v>443</v>
      </c>
      <c r="E50" s="283" t="s">
        <v>158</v>
      </c>
    </row>
    <row r="51" spans="1:5">
      <c r="A51" s="286">
        <v>1412000089</v>
      </c>
      <c r="B51" s="283" t="s">
        <v>653</v>
      </c>
      <c r="C51" s="284" t="s">
        <v>657</v>
      </c>
      <c r="D51" s="283" t="s">
        <v>575</v>
      </c>
      <c r="E51" s="283" t="s">
        <v>158</v>
      </c>
    </row>
    <row r="52" spans="1:5">
      <c r="A52" s="286">
        <v>1412000091</v>
      </c>
      <c r="B52" s="283" t="s">
        <v>660</v>
      </c>
      <c r="C52" s="288" t="s">
        <v>659</v>
      </c>
      <c r="D52" s="283" t="s">
        <v>577</v>
      </c>
      <c r="E52" s="283" t="s">
        <v>159</v>
      </c>
    </row>
    <row r="53" spans="1:5">
      <c r="A53" s="286">
        <v>1412000092</v>
      </c>
      <c r="B53" s="283" t="s">
        <v>661</v>
      </c>
      <c r="C53" s="288" t="s">
        <v>662</v>
      </c>
      <c r="D53" s="283" t="s">
        <v>575</v>
      </c>
      <c r="E53" s="283" t="s">
        <v>158</v>
      </c>
    </row>
    <row r="54" spans="1:5">
      <c r="A54" s="286">
        <v>1412000093</v>
      </c>
      <c r="B54" s="283" t="s">
        <v>669</v>
      </c>
      <c r="C54" s="288" t="s">
        <v>663</v>
      </c>
      <c r="D54" s="283" t="s">
        <v>577</v>
      </c>
      <c r="E54" s="283" t="s">
        <v>159</v>
      </c>
    </row>
    <row r="55" spans="1:5">
      <c r="A55" s="286">
        <v>1412000094</v>
      </c>
      <c r="B55" s="283" t="s">
        <v>670</v>
      </c>
      <c r="C55" s="288" t="s">
        <v>681</v>
      </c>
      <c r="D55" s="283" t="s">
        <v>443</v>
      </c>
      <c r="E55" s="283" t="s">
        <v>158</v>
      </c>
    </row>
    <row r="56" spans="1:5">
      <c r="A56" s="286">
        <v>1412000096</v>
      </c>
      <c r="B56" s="285" t="s">
        <v>671</v>
      </c>
      <c r="C56" s="288" t="s">
        <v>682</v>
      </c>
      <c r="D56" s="283" t="s">
        <v>158</v>
      </c>
      <c r="E56" s="283" t="s">
        <v>158</v>
      </c>
    </row>
    <row r="57" spans="1:5">
      <c r="A57" s="286">
        <v>1412000098</v>
      </c>
      <c r="B57" s="283" t="s">
        <v>679</v>
      </c>
      <c r="C57" s="288" t="s">
        <v>683</v>
      </c>
      <c r="D57" s="283" t="s">
        <v>158</v>
      </c>
      <c r="E57" s="283" t="s">
        <v>158</v>
      </c>
    </row>
    <row r="58" spans="1:5">
      <c r="A58" s="286">
        <v>1412000099</v>
      </c>
      <c r="B58" s="283" t="s">
        <v>680</v>
      </c>
      <c r="C58" s="288" t="s">
        <v>684</v>
      </c>
      <c r="D58" s="283" t="s">
        <v>158</v>
      </c>
      <c r="E58" s="283" t="s">
        <v>158</v>
      </c>
    </row>
    <row r="59" spans="1:5">
      <c r="A59" s="286">
        <v>1412000101</v>
      </c>
      <c r="B59" s="285" t="s">
        <v>692</v>
      </c>
      <c r="C59" s="284">
        <v>66</v>
      </c>
      <c r="D59" s="283" t="s">
        <v>158</v>
      </c>
      <c r="E59" s="283" t="s">
        <v>158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1"/>
  </cols>
  <sheetData>
    <row r="2" spans="1:2">
      <c r="A2" s="123" t="s">
        <v>673</v>
      </c>
      <c r="B2" s="241" t="s">
        <v>400</v>
      </c>
    </row>
    <row r="3" spans="1:2" ht="15">
      <c r="A3" s="92">
        <v>4</v>
      </c>
      <c r="B3" s="242">
        <v>20</v>
      </c>
    </row>
    <row r="4" spans="1:2" ht="15">
      <c r="A4" s="92">
        <v>5</v>
      </c>
      <c r="B4" s="242">
        <v>19</v>
      </c>
    </row>
    <row r="5" spans="1:2" ht="15">
      <c r="A5" s="92">
        <v>6</v>
      </c>
      <c r="B5" s="242">
        <v>21</v>
      </c>
    </row>
    <row r="6" spans="1:2" ht="15">
      <c r="A6" s="92">
        <v>7</v>
      </c>
      <c r="B6" s="242">
        <v>23</v>
      </c>
    </row>
    <row r="7" spans="1:2" ht="15">
      <c r="A7" s="92">
        <v>8</v>
      </c>
      <c r="B7" s="242">
        <v>20</v>
      </c>
    </row>
    <row r="8" spans="1:2" ht="15">
      <c r="A8" s="92">
        <v>9</v>
      </c>
      <c r="B8" s="242">
        <v>19</v>
      </c>
    </row>
    <row r="9" spans="1:2" ht="15">
      <c r="A9" s="92">
        <v>10</v>
      </c>
      <c r="B9" s="242">
        <v>23</v>
      </c>
    </row>
    <row r="10" spans="1:2" ht="15">
      <c r="A10" s="92">
        <v>11</v>
      </c>
      <c r="B10" s="242">
        <v>20</v>
      </c>
    </row>
    <row r="11" spans="1:2" ht="15">
      <c r="A11" s="92">
        <v>12</v>
      </c>
      <c r="B11" s="242">
        <v>22</v>
      </c>
    </row>
    <row r="12" spans="1:2" ht="15">
      <c r="A12" s="92">
        <v>1</v>
      </c>
      <c r="B12" s="242">
        <v>20</v>
      </c>
    </row>
    <row r="13" spans="1:2" ht="15">
      <c r="A13" s="92">
        <v>2</v>
      </c>
      <c r="B13" s="242">
        <v>15</v>
      </c>
    </row>
    <row r="14" spans="1:2" ht="15">
      <c r="A14" s="92">
        <v>3</v>
      </c>
      <c r="B14" s="242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2025-03-25T02:27:47Z</dcterms:modified>
</cp:coreProperties>
</file>