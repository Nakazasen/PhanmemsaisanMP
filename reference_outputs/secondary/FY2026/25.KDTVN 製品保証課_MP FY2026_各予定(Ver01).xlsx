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HUTHUY_VN201115\PQC\3. LỢI NHUẬN\7. MP_FY\FY2026MP\"/>
    </mc:Choice>
  </mc:AlternateContent>
  <xr:revisionPtr revIDLastSave="0" documentId="13_ncr:1_{81B9110D-5CFB-4781-978B-45436B704405}" xr6:coauthVersionLast="47" xr6:coauthVersionMax="47" xr10:uidLastSave="{00000000-0000-0000-0000-000000000000}"/>
  <bookViews>
    <workbookView xWindow="-110" yWindow="-110" windowWidth="19420" windowHeight="10300" tabRatio="702" activeTab="2" xr2:uid="{E16210CA-B46F-40E9-8CE5-2A7DE48A76CD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'内訳ﾘｽﾄ(4～3月)'!$A$7:$T$811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0" l="1"/>
  <c r="J53" i="10"/>
  <c r="J52" i="10"/>
  <c r="F53" i="10"/>
  <c r="F52" i="10"/>
  <c r="R139" i="10"/>
  <c r="Q61" i="10" l="1"/>
  <c r="P61" i="10"/>
  <c r="O61" i="10"/>
  <c r="N61" i="10"/>
  <c r="M61" i="10"/>
  <c r="L61" i="10"/>
  <c r="K61" i="10"/>
  <c r="J48" i="10" l="1"/>
  <c r="J54" i="10"/>
  <c r="K54" i="10"/>
  <c r="Q115" i="10" l="1"/>
  <c r="P115" i="10"/>
  <c r="O115" i="10"/>
  <c r="N115" i="10"/>
  <c r="M115" i="10"/>
  <c r="L115" i="10"/>
  <c r="K115" i="10"/>
  <c r="J115" i="10"/>
  <c r="I115" i="10"/>
  <c r="H115" i="10"/>
  <c r="G115" i="10"/>
  <c r="F115" i="10"/>
  <c r="P113" i="10"/>
  <c r="M112" i="10"/>
  <c r="L111" i="10"/>
  <c r="L109" i="10"/>
  <c r="K110" i="10"/>
  <c r="H108" i="10"/>
  <c r="N45" i="10"/>
  <c r="P134" i="10"/>
  <c r="R134" i="10" s="1"/>
  <c r="P133" i="10"/>
  <c r="F129" i="10" l="1"/>
  <c r="G129" i="10"/>
  <c r="Q122" i="10"/>
  <c r="P122" i="10"/>
  <c r="O122" i="10"/>
  <c r="N122" i="10"/>
  <c r="M122" i="10"/>
  <c r="L122" i="10"/>
  <c r="K122" i="10"/>
  <c r="J122" i="10"/>
  <c r="I122" i="10"/>
  <c r="H122" i="10"/>
  <c r="G122" i="10"/>
  <c r="Q121" i="10"/>
  <c r="P121" i="10"/>
  <c r="O121" i="10"/>
  <c r="N121" i="10"/>
  <c r="M121" i="10"/>
  <c r="L121" i="10"/>
  <c r="K121" i="10"/>
  <c r="J121" i="10"/>
  <c r="I121" i="10"/>
  <c r="H121" i="10"/>
  <c r="G121" i="10"/>
  <c r="F122" i="10"/>
  <c r="F121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Q129" i="10"/>
  <c r="P129" i="10"/>
  <c r="O129" i="10"/>
  <c r="N129" i="10"/>
  <c r="M129" i="10"/>
  <c r="L129" i="10"/>
  <c r="K129" i="10"/>
  <c r="J129" i="10"/>
  <c r="I129" i="10"/>
  <c r="H129" i="10"/>
  <c r="Q128" i="10"/>
  <c r="P128" i="10"/>
  <c r="O128" i="10"/>
  <c r="N128" i="10"/>
  <c r="M128" i="10"/>
  <c r="L128" i="10"/>
  <c r="K128" i="10"/>
  <c r="J128" i="10"/>
  <c r="I128" i="10"/>
  <c r="H128" i="10"/>
  <c r="G128" i="10"/>
  <c r="Q127" i="10"/>
  <c r="P127" i="10"/>
  <c r="O127" i="10"/>
  <c r="N127" i="10"/>
  <c r="M127" i="10"/>
  <c r="L127" i="10"/>
  <c r="K127" i="10"/>
  <c r="J127" i="10"/>
  <c r="I127" i="10"/>
  <c r="H127" i="10"/>
  <c r="G127" i="10"/>
  <c r="Q126" i="10"/>
  <c r="P126" i="10"/>
  <c r="O126" i="10"/>
  <c r="N126" i="10"/>
  <c r="M126" i="10"/>
  <c r="L126" i="10"/>
  <c r="K126" i="10"/>
  <c r="J126" i="10"/>
  <c r="I126" i="10"/>
  <c r="H126" i="10"/>
  <c r="G126" i="10"/>
  <c r="Q125" i="10"/>
  <c r="P125" i="10"/>
  <c r="O125" i="10"/>
  <c r="N125" i="10"/>
  <c r="M125" i="10"/>
  <c r="L125" i="10"/>
  <c r="K125" i="10"/>
  <c r="J125" i="10"/>
  <c r="I125" i="10"/>
  <c r="H125" i="10"/>
  <c r="G125" i="10"/>
  <c r="F128" i="10"/>
  <c r="F127" i="10"/>
  <c r="F126" i="10"/>
  <c r="F125" i="10"/>
  <c r="R130" i="10"/>
  <c r="R131" i="10"/>
  <c r="R120" i="10"/>
  <c r="R124" i="10"/>
  <c r="R142" i="10" l="1"/>
  <c r="R138" i="10" l="1"/>
  <c r="Q151" i="10"/>
  <c r="P151" i="10"/>
  <c r="Q152" i="10"/>
  <c r="O4" i="21"/>
  <c r="R4" i="21" s="1"/>
  <c r="K143" i="10"/>
  <c r="R143" i="10" s="1"/>
  <c r="R140" i="10"/>
  <c r="R137" i="10"/>
  <c r="R136" i="10"/>
  <c r="R135" i="10"/>
  <c r="R133" i="10"/>
  <c r="R128" i="10" l="1"/>
  <c r="R127" i="10"/>
  <c r="R123" i="10"/>
  <c r="R119" i="10"/>
  <c r="P114" i="10"/>
  <c r="R116" i="10"/>
  <c r="K107" i="10"/>
  <c r="Q104" i="10"/>
  <c r="Q103" i="10"/>
  <c r="Q102" i="10"/>
  <c r="Q101" i="10"/>
  <c r="Q100" i="10"/>
  <c r="Q97" i="10"/>
  <c r="Q96" i="10"/>
  <c r="Q93" i="10"/>
  <c r="Q92" i="10"/>
  <c r="P104" i="10"/>
  <c r="O104" i="10"/>
  <c r="N104" i="10"/>
  <c r="M104" i="10"/>
  <c r="L104" i="10"/>
  <c r="K104" i="10"/>
  <c r="J104" i="10"/>
  <c r="I104" i="10"/>
  <c r="H104" i="10"/>
  <c r="G104" i="10"/>
  <c r="F104" i="10"/>
  <c r="F103" i="10"/>
  <c r="F102" i="10"/>
  <c r="F101" i="10"/>
  <c r="F100" i="10"/>
  <c r="P103" i="10"/>
  <c r="O103" i="10"/>
  <c r="N103" i="10"/>
  <c r="M103" i="10"/>
  <c r="L103" i="10"/>
  <c r="K103" i="10"/>
  <c r="J103" i="10"/>
  <c r="I103" i="10"/>
  <c r="H103" i="10"/>
  <c r="G103" i="10"/>
  <c r="P102" i="10"/>
  <c r="O102" i="10"/>
  <c r="N102" i="10"/>
  <c r="M102" i="10"/>
  <c r="L102" i="10"/>
  <c r="K102" i="10"/>
  <c r="J102" i="10"/>
  <c r="I102" i="10"/>
  <c r="H102" i="10"/>
  <c r="G102" i="10"/>
  <c r="P101" i="10"/>
  <c r="O101" i="10"/>
  <c r="N101" i="10"/>
  <c r="M101" i="10"/>
  <c r="L101" i="10"/>
  <c r="K101" i="10"/>
  <c r="J101" i="10"/>
  <c r="I101" i="10"/>
  <c r="H101" i="10"/>
  <c r="G101" i="10"/>
  <c r="P100" i="10"/>
  <c r="O100" i="10"/>
  <c r="N100" i="10"/>
  <c r="M100" i="10"/>
  <c r="L100" i="10"/>
  <c r="K100" i="10"/>
  <c r="J100" i="10"/>
  <c r="I100" i="10"/>
  <c r="H100" i="10"/>
  <c r="G100" i="10"/>
  <c r="P97" i="10"/>
  <c r="O97" i="10"/>
  <c r="N97" i="10"/>
  <c r="M97" i="10"/>
  <c r="L97" i="10"/>
  <c r="K97" i="10"/>
  <c r="J97" i="10"/>
  <c r="I97" i="10"/>
  <c r="H97" i="10"/>
  <c r="G97" i="10"/>
  <c r="F97" i="10"/>
  <c r="P96" i="10"/>
  <c r="O96" i="10"/>
  <c r="N96" i="10"/>
  <c r="M96" i="10"/>
  <c r="L96" i="10"/>
  <c r="K96" i="10"/>
  <c r="J96" i="10"/>
  <c r="I96" i="10"/>
  <c r="H96" i="10"/>
  <c r="G96" i="10"/>
  <c r="F96" i="10"/>
  <c r="P93" i="10"/>
  <c r="O93" i="10"/>
  <c r="N93" i="10"/>
  <c r="M93" i="10"/>
  <c r="L93" i="10"/>
  <c r="K93" i="10"/>
  <c r="J93" i="10"/>
  <c r="I93" i="10"/>
  <c r="H93" i="10"/>
  <c r="G93" i="10"/>
  <c r="F93" i="10"/>
  <c r="P92" i="10"/>
  <c r="O92" i="10"/>
  <c r="N92" i="10"/>
  <c r="M92" i="10"/>
  <c r="L92" i="10"/>
  <c r="K92" i="10"/>
  <c r="J92" i="10"/>
  <c r="I92" i="10"/>
  <c r="H92" i="10"/>
  <c r="G92" i="10"/>
  <c r="F92" i="10"/>
  <c r="R99" i="10"/>
  <c r="R95" i="10"/>
  <c r="R91" i="10"/>
  <c r="K89" i="10"/>
  <c r="J89" i="10"/>
  <c r="I89" i="10"/>
  <c r="H89" i="10"/>
  <c r="G89" i="10"/>
  <c r="F89" i="10"/>
  <c r="M88" i="10"/>
  <c r="L88" i="10"/>
  <c r="K88" i="10"/>
  <c r="J88" i="10"/>
  <c r="I88" i="10"/>
  <c r="H88" i="10"/>
  <c r="G88" i="10"/>
  <c r="F88" i="10"/>
  <c r="M87" i="10"/>
  <c r="L87" i="10"/>
  <c r="K87" i="10"/>
  <c r="J87" i="10"/>
  <c r="I87" i="10"/>
  <c r="H87" i="10"/>
  <c r="G87" i="10"/>
  <c r="F87" i="10"/>
  <c r="M86" i="10"/>
  <c r="L86" i="10"/>
  <c r="K86" i="10"/>
  <c r="J86" i="10"/>
  <c r="I86" i="10"/>
  <c r="H86" i="10"/>
  <c r="G86" i="10"/>
  <c r="F86" i="10"/>
  <c r="M85" i="10"/>
  <c r="L85" i="10"/>
  <c r="K85" i="10"/>
  <c r="J85" i="10"/>
  <c r="I85" i="10"/>
  <c r="H85" i="10"/>
  <c r="G85" i="10"/>
  <c r="F85" i="10"/>
  <c r="M84" i="10"/>
  <c r="L84" i="10"/>
  <c r="K84" i="10"/>
  <c r="J84" i="10"/>
  <c r="I84" i="10"/>
  <c r="H84" i="10"/>
  <c r="G84" i="10"/>
  <c r="F84" i="10"/>
  <c r="M83" i="10"/>
  <c r="L83" i="10"/>
  <c r="K83" i="10"/>
  <c r="J83" i="10"/>
  <c r="I83" i="10"/>
  <c r="H83" i="10"/>
  <c r="G83" i="10"/>
  <c r="F83" i="10"/>
  <c r="I82" i="10"/>
  <c r="H82" i="10"/>
  <c r="G82" i="10"/>
  <c r="F82" i="10"/>
  <c r="R81" i="10"/>
  <c r="K79" i="10"/>
  <c r="J79" i="10"/>
  <c r="I79" i="10"/>
  <c r="H79" i="10"/>
  <c r="G79" i="10"/>
  <c r="F79" i="10"/>
  <c r="M78" i="10"/>
  <c r="L78" i="10"/>
  <c r="K78" i="10"/>
  <c r="J78" i="10"/>
  <c r="I78" i="10"/>
  <c r="H78" i="10"/>
  <c r="G78" i="10"/>
  <c r="F78" i="10"/>
  <c r="M77" i="10"/>
  <c r="L77" i="10"/>
  <c r="K77" i="10"/>
  <c r="J77" i="10"/>
  <c r="I77" i="10"/>
  <c r="H77" i="10"/>
  <c r="G77" i="10"/>
  <c r="F77" i="10"/>
  <c r="M76" i="10"/>
  <c r="L76" i="10"/>
  <c r="K76" i="10"/>
  <c r="J76" i="10"/>
  <c r="I76" i="10"/>
  <c r="H76" i="10"/>
  <c r="G76" i="10"/>
  <c r="F76" i="10"/>
  <c r="M75" i="10"/>
  <c r="L75" i="10"/>
  <c r="K75" i="10"/>
  <c r="J75" i="10"/>
  <c r="I75" i="10"/>
  <c r="H75" i="10"/>
  <c r="G75" i="10"/>
  <c r="F75" i="10"/>
  <c r="M74" i="10"/>
  <c r="L74" i="10"/>
  <c r="K74" i="10"/>
  <c r="J74" i="10"/>
  <c r="I74" i="10"/>
  <c r="H74" i="10"/>
  <c r="G74" i="10"/>
  <c r="F74" i="10"/>
  <c r="M73" i="10"/>
  <c r="L73" i="10"/>
  <c r="K73" i="10"/>
  <c r="J73" i="10"/>
  <c r="I73" i="10"/>
  <c r="H73" i="10"/>
  <c r="G73" i="10"/>
  <c r="F73" i="10"/>
  <c r="I72" i="10"/>
  <c r="H72" i="10"/>
  <c r="G72" i="10"/>
  <c r="F72" i="10"/>
  <c r="R71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R67" i="10"/>
  <c r="Q64" i="10"/>
  <c r="P64" i="10"/>
  <c r="O64" i="10"/>
  <c r="N64" i="10"/>
  <c r="M64" i="10"/>
  <c r="L64" i="10"/>
  <c r="K64" i="10"/>
  <c r="J64" i="10"/>
  <c r="I64" i="10"/>
  <c r="H64" i="10"/>
  <c r="G64" i="10"/>
  <c r="Q63" i="10"/>
  <c r="P63" i="10"/>
  <c r="O63" i="10"/>
  <c r="N63" i="10"/>
  <c r="M63" i="10"/>
  <c r="L63" i="10"/>
  <c r="K63" i="10"/>
  <c r="J63" i="10"/>
  <c r="I63" i="10"/>
  <c r="H63" i="10"/>
  <c r="G63" i="10"/>
  <c r="Q62" i="10"/>
  <c r="P62" i="10"/>
  <c r="O62" i="10"/>
  <c r="N62" i="10"/>
  <c r="M62" i="10"/>
  <c r="L62" i="10"/>
  <c r="K62" i="10"/>
  <c r="J62" i="10"/>
  <c r="I62" i="10"/>
  <c r="H62" i="10"/>
  <c r="G62" i="10"/>
  <c r="J61" i="10"/>
  <c r="I61" i="10"/>
  <c r="H61" i="10"/>
  <c r="G61" i="10"/>
  <c r="F64" i="10"/>
  <c r="F63" i="10"/>
  <c r="F62" i="10"/>
  <c r="F61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Q56" i="10" l="1"/>
  <c r="P56" i="10"/>
  <c r="O56" i="10"/>
  <c r="N56" i="10"/>
  <c r="M56" i="10"/>
  <c r="L56" i="10"/>
  <c r="K56" i="10"/>
  <c r="J56" i="10"/>
  <c r="I56" i="10"/>
  <c r="H56" i="10"/>
  <c r="G56" i="10"/>
  <c r="F56" i="10"/>
  <c r="P54" i="10"/>
  <c r="M48" i="10"/>
  <c r="I46" i="10"/>
  <c r="L53" i="10" l="1"/>
  <c r="J51" i="10"/>
  <c r="R51" i="10" s="1"/>
  <c r="J50" i="10"/>
  <c r="R50" i="10" s="1"/>
  <c r="J49" i="10"/>
  <c r="R49" i="10" s="1"/>
  <c r="R48" i="10"/>
  <c r="J43" i="10"/>
  <c r="R43" i="10" s="1"/>
  <c r="J42" i="10"/>
  <c r="R42" i="10" s="1"/>
  <c r="J41" i="10"/>
  <c r="R41" i="10" s="1"/>
  <c r="J40" i="10"/>
  <c r="R40" i="10" s="1"/>
  <c r="J39" i="10"/>
  <c r="R39" i="10" s="1"/>
  <c r="K44" i="10"/>
  <c r="R44" i="10" s="1"/>
  <c r="F2" i="10"/>
  <c r="G2" i="10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D5" i="10"/>
  <c r="C70" i="5" s="1"/>
  <c r="C70" i="32" s="1"/>
  <c r="H2" i="36"/>
  <c r="G2" i="36"/>
  <c r="F2" i="36"/>
  <c r="N98" i="5"/>
  <c r="N98" i="32" s="1"/>
  <c r="M98" i="5"/>
  <c r="M98" i="32" s="1"/>
  <c r="L98" i="5"/>
  <c r="L98" i="32" s="1"/>
  <c r="K98" i="5"/>
  <c r="K98" i="32" s="1"/>
  <c r="J98" i="5"/>
  <c r="J98" i="32" s="1"/>
  <c r="I98" i="5"/>
  <c r="H98" i="5"/>
  <c r="G98" i="5"/>
  <c r="G98" i="32" s="1"/>
  <c r="F98" i="5"/>
  <c r="F98" i="32" s="1"/>
  <c r="E98" i="5"/>
  <c r="E98" i="32" s="1"/>
  <c r="D98" i="5"/>
  <c r="D98" i="32" s="1"/>
  <c r="C98" i="5"/>
  <c r="C98" i="32" s="1"/>
  <c r="N97" i="5"/>
  <c r="M97" i="5"/>
  <c r="L97" i="5"/>
  <c r="L97" i="32" s="1"/>
  <c r="K97" i="5"/>
  <c r="J97" i="5"/>
  <c r="J97" i="32" s="1"/>
  <c r="I97" i="5"/>
  <c r="I97" i="32" s="1"/>
  <c r="H97" i="5"/>
  <c r="H97" i="32" s="1"/>
  <c r="G97" i="5"/>
  <c r="G97" i="32" s="1"/>
  <c r="F97" i="5"/>
  <c r="F97" i="32" s="1"/>
  <c r="E97" i="5"/>
  <c r="E97" i="32" s="1"/>
  <c r="D97" i="5"/>
  <c r="D97" i="32" s="1"/>
  <c r="C97" i="5"/>
  <c r="N93" i="5"/>
  <c r="M93" i="5"/>
  <c r="L93" i="5"/>
  <c r="L93" i="32" s="1"/>
  <c r="K93" i="5"/>
  <c r="K93" i="32" s="1"/>
  <c r="J93" i="5"/>
  <c r="J93" i="32" s="1"/>
  <c r="I93" i="5"/>
  <c r="H93" i="5"/>
  <c r="H93" i="32" s="1"/>
  <c r="G93" i="5"/>
  <c r="G93" i="32" s="1"/>
  <c r="F93" i="5"/>
  <c r="E93" i="5"/>
  <c r="E93" i="32" s="1"/>
  <c r="D93" i="5"/>
  <c r="D93" i="32" s="1"/>
  <c r="C93" i="5"/>
  <c r="N92" i="5"/>
  <c r="N92" i="32" s="1"/>
  <c r="M92" i="5"/>
  <c r="M92" i="32" s="1"/>
  <c r="L92" i="5"/>
  <c r="K92" i="5"/>
  <c r="J92" i="5"/>
  <c r="J92" i="32" s="1"/>
  <c r="I92" i="5"/>
  <c r="I92" i="32" s="1"/>
  <c r="H92" i="5"/>
  <c r="H92" i="32" s="1"/>
  <c r="G92" i="5"/>
  <c r="F92" i="5"/>
  <c r="F92" i="32" s="1"/>
  <c r="E92" i="5"/>
  <c r="E92" i="32" s="1"/>
  <c r="D92" i="5"/>
  <c r="C92" i="5"/>
  <c r="C92" i="32" s="1"/>
  <c r="N88" i="5"/>
  <c r="N88" i="32" s="1"/>
  <c r="M88" i="5"/>
  <c r="M88" i="32" s="1"/>
  <c r="L88" i="5"/>
  <c r="K88" i="5"/>
  <c r="K88" i="32" s="1"/>
  <c r="J88" i="5"/>
  <c r="J88" i="32" s="1"/>
  <c r="I88" i="5"/>
  <c r="I88" i="32" s="1"/>
  <c r="H88" i="5"/>
  <c r="H88" i="32" s="1"/>
  <c r="G88" i="5"/>
  <c r="G88" i="32" s="1"/>
  <c r="F88" i="5"/>
  <c r="F88" i="32" s="1"/>
  <c r="E88" i="5"/>
  <c r="E88" i="32" s="1"/>
  <c r="D88" i="5"/>
  <c r="C88" i="5"/>
  <c r="C88" i="32" s="1"/>
  <c r="N87" i="5"/>
  <c r="N87" i="32" s="1"/>
  <c r="M87" i="5"/>
  <c r="L87" i="5"/>
  <c r="L87" i="32" s="1"/>
  <c r="K87" i="5"/>
  <c r="K87" i="32" s="1"/>
  <c r="J87" i="5"/>
  <c r="J87" i="32" s="1"/>
  <c r="I87" i="5"/>
  <c r="I87" i="32" s="1"/>
  <c r="H87" i="5"/>
  <c r="H87" i="32" s="1"/>
  <c r="G87" i="5"/>
  <c r="F87" i="5"/>
  <c r="E87" i="5"/>
  <c r="E87" i="32" s="1"/>
  <c r="D87" i="5"/>
  <c r="D87" i="32" s="1"/>
  <c r="C87" i="5"/>
  <c r="C87" i="32" s="1"/>
  <c r="N74" i="5"/>
  <c r="N74" i="32" s="1"/>
  <c r="M74" i="5"/>
  <c r="M74" i="32" s="1"/>
  <c r="L74" i="5"/>
  <c r="L74" i="32" s="1"/>
  <c r="K74" i="5"/>
  <c r="K74" i="32" s="1"/>
  <c r="J74" i="5"/>
  <c r="J77" i="5" s="1"/>
  <c r="J77" i="32" s="1"/>
  <c r="I74" i="5"/>
  <c r="I74" i="32" s="1"/>
  <c r="H74" i="5"/>
  <c r="H74" i="32" s="1"/>
  <c r="G74" i="5"/>
  <c r="G74" i="32" s="1"/>
  <c r="F74" i="5"/>
  <c r="F74" i="32" s="1"/>
  <c r="E74" i="5"/>
  <c r="E74" i="32" s="1"/>
  <c r="D74" i="5"/>
  <c r="D74" i="32" s="1"/>
  <c r="C74" i="5"/>
  <c r="C74" i="32" s="1"/>
  <c r="N68" i="5"/>
  <c r="N68" i="32" s="1"/>
  <c r="M68" i="5"/>
  <c r="M68" i="32" s="1"/>
  <c r="L68" i="5"/>
  <c r="L68" i="32" s="1"/>
  <c r="K68" i="5"/>
  <c r="K68" i="32" s="1"/>
  <c r="J68" i="5"/>
  <c r="J68" i="32" s="1"/>
  <c r="I68" i="5"/>
  <c r="I68" i="32" s="1"/>
  <c r="H68" i="5"/>
  <c r="H68" i="32" s="1"/>
  <c r="G68" i="5"/>
  <c r="G68" i="32" s="1"/>
  <c r="F68" i="5"/>
  <c r="F68" i="32" s="1"/>
  <c r="E68" i="5"/>
  <c r="E68" i="32" s="1"/>
  <c r="D68" i="5"/>
  <c r="D68" i="32" s="1"/>
  <c r="C68" i="5"/>
  <c r="C68" i="32" s="1"/>
  <c r="R811" i="10"/>
  <c r="R810" i="10"/>
  <c r="R809" i="10"/>
  <c r="R808" i="10"/>
  <c r="R807" i="10"/>
  <c r="R806" i="10"/>
  <c r="R805" i="10"/>
  <c r="R804" i="10"/>
  <c r="R803" i="10"/>
  <c r="R802" i="10"/>
  <c r="R801" i="10"/>
  <c r="R800" i="10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1" i="10"/>
  <c r="R132" i="10"/>
  <c r="R122" i="10"/>
  <c r="R121" i="10"/>
  <c r="R129" i="10"/>
  <c r="R126" i="10"/>
  <c r="R125" i="10"/>
  <c r="R117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8" i="10"/>
  <c r="R97" i="10"/>
  <c r="R96" i="10"/>
  <c r="R94" i="10"/>
  <c r="R93" i="10"/>
  <c r="R92" i="10"/>
  <c r="R90" i="10"/>
  <c r="R89" i="10"/>
  <c r="R88" i="10"/>
  <c r="R87" i="10"/>
  <c r="R86" i="10"/>
  <c r="R85" i="10"/>
  <c r="R84" i="10"/>
  <c r="R83" i="10"/>
  <c r="R82" i="10"/>
  <c r="R80" i="10"/>
  <c r="R79" i="10"/>
  <c r="R78" i="10"/>
  <c r="R77" i="10"/>
  <c r="R76" i="10"/>
  <c r="R75" i="10"/>
  <c r="R74" i="10"/>
  <c r="R73" i="10"/>
  <c r="R72" i="10"/>
  <c r="R70" i="10"/>
  <c r="R69" i="10"/>
  <c r="R68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47" i="10"/>
  <c r="R46" i="10"/>
  <c r="R45" i="10"/>
  <c r="Q29" i="10"/>
  <c r="P29" i="10"/>
  <c r="O29" i="10"/>
  <c r="N29" i="10"/>
  <c r="N5" i="10" s="1"/>
  <c r="M29" i="10"/>
  <c r="M5" i="10" s="1"/>
  <c r="L29" i="10"/>
  <c r="K29" i="10"/>
  <c r="J29" i="10"/>
  <c r="I29" i="10"/>
  <c r="I5" i="10" s="1"/>
  <c r="H29" i="10"/>
  <c r="H5" i="10" s="1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28" i="10"/>
  <c r="F27" i="10"/>
  <c r="F26" i="10"/>
  <c r="C1" i="5"/>
  <c r="C1" i="32" s="1"/>
  <c r="R38" i="10"/>
  <c r="R37" i="10"/>
  <c r="R35" i="10"/>
  <c r="R25" i="10"/>
  <c r="O88" i="5" s="1"/>
  <c r="R24" i="10"/>
  <c r="O87" i="5" s="1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C5" i="10"/>
  <c r="D1" i="21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4" i="32"/>
  <c r="E4" i="32"/>
  <c r="F4" i="32"/>
  <c r="G4" i="32"/>
  <c r="H4" i="32"/>
  <c r="I4" i="32"/>
  <c r="J4" i="32"/>
  <c r="K4" i="32"/>
  <c r="L4" i="32"/>
  <c r="M4" i="32"/>
  <c r="N4" i="32"/>
  <c r="O4" i="32"/>
  <c r="C134" i="10" l="1"/>
  <c r="D134" i="10" s="1"/>
  <c r="C139" i="10"/>
  <c r="D139" i="10" s="1"/>
  <c r="Q5" i="10"/>
  <c r="O5" i="10"/>
  <c r="P5" i="10"/>
  <c r="R52" i="10"/>
  <c r="C131" i="10"/>
  <c r="D131" i="10" s="1"/>
  <c r="C130" i="10"/>
  <c r="D130" i="10" s="1"/>
  <c r="C124" i="10"/>
  <c r="D124" i="10" s="1"/>
  <c r="C120" i="10"/>
  <c r="D120" i="10" s="1"/>
  <c r="C138" i="10"/>
  <c r="D138" i="10" s="1"/>
  <c r="C142" i="10"/>
  <c r="D142" i="10" s="1"/>
  <c r="C140" i="10"/>
  <c r="D140" i="10" s="1"/>
  <c r="C143" i="10"/>
  <c r="D143" i="10" s="1"/>
  <c r="C135" i="10"/>
  <c r="D135" i="10" s="1"/>
  <c r="C137" i="10"/>
  <c r="D137" i="10" s="1"/>
  <c r="C136" i="10"/>
  <c r="D136" i="10" s="1"/>
  <c r="C133" i="10"/>
  <c r="D133" i="10" s="1"/>
  <c r="C128" i="10"/>
  <c r="D128" i="10" s="1"/>
  <c r="C127" i="10"/>
  <c r="D127" i="10" s="1"/>
  <c r="C724" i="10"/>
  <c r="D724" i="10" s="1"/>
  <c r="C119" i="10"/>
  <c r="D119" i="10" s="1"/>
  <c r="C123" i="10"/>
  <c r="D123" i="10" s="1"/>
  <c r="C762" i="10"/>
  <c r="D762" i="10" s="1"/>
  <c r="C116" i="10"/>
  <c r="D116" i="10" s="1"/>
  <c r="E94" i="32"/>
  <c r="M99" i="5"/>
  <c r="C773" i="10"/>
  <c r="D773" i="10" s="1"/>
  <c r="C473" i="10"/>
  <c r="D473" i="10" s="1"/>
  <c r="C366" i="10"/>
  <c r="D366" i="10" s="1"/>
  <c r="C715" i="10"/>
  <c r="D715" i="10" s="1"/>
  <c r="C75" i="10"/>
  <c r="D75" i="10" s="1"/>
  <c r="C648" i="10"/>
  <c r="D648" i="10" s="1"/>
  <c r="C359" i="10"/>
  <c r="D359" i="10" s="1"/>
  <c r="C806" i="10"/>
  <c r="D806" i="10" s="1"/>
  <c r="C361" i="10"/>
  <c r="D361" i="10" s="1"/>
  <c r="C227" i="10"/>
  <c r="D227" i="10" s="1"/>
  <c r="C464" i="10"/>
  <c r="D464" i="10" s="1"/>
  <c r="C340" i="10"/>
  <c r="D340" i="10" s="1"/>
  <c r="C887" i="10"/>
  <c r="D887" i="10" s="1"/>
  <c r="C501" i="10"/>
  <c r="D501" i="10" s="1"/>
  <c r="C70" i="10"/>
  <c r="D70" i="10" s="1"/>
  <c r="C508" i="10"/>
  <c r="D508" i="10" s="1"/>
  <c r="C1003" i="10"/>
  <c r="D1003" i="10" s="1"/>
  <c r="C306" i="10"/>
  <c r="D306" i="10" s="1"/>
  <c r="C255" i="10"/>
  <c r="D255" i="10" s="1"/>
  <c r="G70" i="5"/>
  <c r="G70" i="32" s="1"/>
  <c r="C429" i="10"/>
  <c r="D429" i="10" s="1"/>
  <c r="C901" i="10"/>
  <c r="D901" i="10" s="1"/>
  <c r="O93" i="5"/>
  <c r="O98" i="5"/>
  <c r="C958" i="10"/>
  <c r="D958" i="10" s="1"/>
  <c r="E77" i="5"/>
  <c r="E77" i="32" s="1"/>
  <c r="C777" i="10"/>
  <c r="D777" i="10" s="1"/>
  <c r="C976" i="10"/>
  <c r="D976" i="10" s="1"/>
  <c r="L64" i="5"/>
  <c r="L64" i="32" s="1"/>
  <c r="C31" i="10"/>
  <c r="D31" i="10" s="1"/>
  <c r="C674" i="10"/>
  <c r="D674" i="10" s="1"/>
  <c r="C433" i="10"/>
  <c r="D433" i="10" s="1"/>
  <c r="C224" i="10"/>
  <c r="D224" i="10" s="1"/>
  <c r="C511" i="10"/>
  <c r="D511" i="10" s="1"/>
  <c r="C893" i="10"/>
  <c r="D893" i="10" s="1"/>
  <c r="C883" i="10"/>
  <c r="D883" i="10" s="1"/>
  <c r="C150" i="10"/>
  <c r="D150" i="10" s="1"/>
  <c r="C828" i="10"/>
  <c r="D828" i="10" s="1"/>
  <c r="I75" i="5"/>
  <c r="I75" i="32" s="1"/>
  <c r="C855" i="10"/>
  <c r="D855" i="10" s="1"/>
  <c r="C129" i="10"/>
  <c r="D129" i="10" s="1"/>
  <c r="C175" i="10"/>
  <c r="D175" i="10" s="1"/>
  <c r="C837" i="10"/>
  <c r="D837" i="10" s="1"/>
  <c r="C811" i="10"/>
  <c r="D811" i="10" s="1"/>
  <c r="C849" i="10"/>
  <c r="D849" i="10" s="1"/>
  <c r="C557" i="10"/>
  <c r="D557" i="10" s="1"/>
  <c r="C854" i="10"/>
  <c r="D854" i="10" s="1"/>
  <c r="C339" i="10"/>
  <c r="D339" i="10" s="1"/>
  <c r="C962" i="10"/>
  <c r="D962" i="10" s="1"/>
  <c r="C205" i="10"/>
  <c r="D205" i="10" s="1"/>
  <c r="C903" i="10"/>
  <c r="D903" i="10" s="1"/>
  <c r="C448" i="10"/>
  <c r="D448" i="10" s="1"/>
  <c r="I70" i="5"/>
  <c r="I70" i="32" s="1"/>
  <c r="C347" i="10"/>
  <c r="D347" i="10" s="1"/>
  <c r="C242" i="10"/>
  <c r="D242" i="10" s="1"/>
  <c r="C996" i="10"/>
  <c r="D996" i="10" s="1"/>
  <c r="C804" i="10"/>
  <c r="D804" i="10" s="1"/>
  <c r="C101" i="10"/>
  <c r="D101" i="10" s="1"/>
  <c r="C30" i="10"/>
  <c r="D30" i="10" s="1"/>
  <c r="C167" i="10"/>
  <c r="D167" i="10" s="1"/>
  <c r="C308" i="10"/>
  <c r="D308" i="10" s="1"/>
  <c r="C88" i="10"/>
  <c r="D88" i="10" s="1"/>
  <c r="R29" i="10"/>
  <c r="M70" i="5"/>
  <c r="M70" i="32" s="1"/>
  <c r="C1009" i="10"/>
  <c r="D1009" i="10" s="1"/>
  <c r="C505" i="10"/>
  <c r="D505" i="10" s="1"/>
  <c r="C685" i="10"/>
  <c r="D685" i="10" s="1"/>
  <c r="C812" i="10"/>
  <c r="D812" i="10" s="1"/>
  <c r="E64" i="5"/>
  <c r="E64" i="32" s="1"/>
  <c r="C973" i="10"/>
  <c r="D973" i="10" s="1"/>
  <c r="C649" i="10"/>
  <c r="D649" i="10" s="1"/>
  <c r="C149" i="10"/>
  <c r="D149" i="10" s="1"/>
  <c r="C297" i="10"/>
  <c r="D297" i="10" s="1"/>
  <c r="C219" i="10"/>
  <c r="D219" i="10" s="1"/>
  <c r="C781" i="10"/>
  <c r="D781" i="10" s="1"/>
  <c r="C614" i="10"/>
  <c r="D614" i="10" s="1"/>
  <c r="C936" i="10"/>
  <c r="D936" i="10" s="1"/>
  <c r="C33" i="10"/>
  <c r="D33" i="10" s="1"/>
  <c r="C311" i="10"/>
  <c r="D311" i="10" s="1"/>
  <c r="C820" i="10"/>
  <c r="D820" i="10" s="1"/>
  <c r="C203" i="10"/>
  <c r="D203" i="10" s="1"/>
  <c r="C450" i="10"/>
  <c r="D450" i="10" s="1"/>
  <c r="H77" i="5"/>
  <c r="H77" i="32" s="1"/>
  <c r="L61" i="5"/>
  <c r="L61" i="32" s="1"/>
  <c r="C668" i="10"/>
  <c r="D668" i="10" s="1"/>
  <c r="C40" i="10"/>
  <c r="D40" i="10" s="1"/>
  <c r="C826" i="10"/>
  <c r="D826" i="10" s="1"/>
  <c r="C1004" i="10"/>
  <c r="D1004" i="10" s="1"/>
  <c r="C495" i="10"/>
  <c r="D495" i="10" s="1"/>
  <c r="C437" i="10"/>
  <c r="D437" i="10" s="1"/>
  <c r="C238" i="10"/>
  <c r="D238" i="10" s="1"/>
  <c r="C424" i="10"/>
  <c r="D424" i="10" s="1"/>
  <c r="L70" i="5"/>
  <c r="L70" i="32" s="1"/>
  <c r="H62" i="5"/>
  <c r="H62" i="32" s="1"/>
  <c r="C163" i="10"/>
  <c r="D163" i="10" s="1"/>
  <c r="M78" i="5"/>
  <c r="M78" i="32" s="1"/>
  <c r="C168" i="10"/>
  <c r="D168" i="10" s="1"/>
  <c r="C620" i="10"/>
  <c r="D620" i="10" s="1"/>
  <c r="O61" i="5"/>
  <c r="C375" i="10"/>
  <c r="D375" i="10" s="1"/>
  <c r="C677" i="10"/>
  <c r="D677" i="10" s="1"/>
  <c r="C54" i="10"/>
  <c r="D54" i="10" s="1"/>
  <c r="C474" i="10"/>
  <c r="D474" i="10" s="1"/>
  <c r="C405" i="10"/>
  <c r="D405" i="10" s="1"/>
  <c r="C943" i="10"/>
  <c r="D943" i="10" s="1"/>
  <c r="C891" i="10"/>
  <c r="D891" i="10" s="1"/>
  <c r="C945" i="10"/>
  <c r="D945" i="10" s="1"/>
  <c r="C960" i="10"/>
  <c r="D960" i="10" s="1"/>
  <c r="C939" i="10"/>
  <c r="D939" i="10" s="1"/>
  <c r="C27" i="10"/>
  <c r="D27" i="10" s="1"/>
  <c r="J62" i="5"/>
  <c r="J62" i="32" s="1"/>
  <c r="D70" i="5"/>
  <c r="D70" i="32" s="1"/>
  <c r="C795" i="10"/>
  <c r="D795" i="10" s="1"/>
  <c r="C80" i="10"/>
  <c r="D80" i="10" s="1"/>
  <c r="C628" i="10"/>
  <c r="D628" i="10" s="1"/>
  <c r="C161" i="10"/>
  <c r="D161" i="10" s="1"/>
  <c r="C824" i="10"/>
  <c r="D824" i="10" s="1"/>
  <c r="C591" i="10"/>
  <c r="D591" i="10" s="1"/>
  <c r="C528" i="10"/>
  <c r="D528" i="10" s="1"/>
  <c r="C502" i="10"/>
  <c r="D502" i="10" s="1"/>
  <c r="C89" i="5"/>
  <c r="F89" i="5"/>
  <c r="C95" i="10"/>
  <c r="D95" i="10" s="1"/>
  <c r="C99" i="10"/>
  <c r="D99" i="10" s="1"/>
  <c r="R26" i="10"/>
  <c r="O76" i="5"/>
  <c r="K61" i="5"/>
  <c r="K61" i="32" s="1"/>
  <c r="M64" i="5"/>
  <c r="M64" i="32" s="1"/>
  <c r="H71" i="5"/>
  <c r="H71" i="32" s="1"/>
  <c r="J69" i="5"/>
  <c r="J69" i="32" s="1"/>
  <c r="E62" i="5"/>
  <c r="E62" i="32" s="1"/>
  <c r="M77" i="5"/>
  <c r="M77" i="32" s="1"/>
  <c r="L76" i="5"/>
  <c r="L76" i="32" s="1"/>
  <c r="K62" i="5"/>
  <c r="K62" i="32" s="1"/>
  <c r="F78" i="5"/>
  <c r="F78" i="32" s="1"/>
  <c r="G69" i="5"/>
  <c r="G69" i="32" s="1"/>
  <c r="O62" i="5"/>
  <c r="C75" i="5"/>
  <c r="C75" i="32" s="1"/>
  <c r="L69" i="5"/>
  <c r="L69" i="32" s="1"/>
  <c r="G61" i="5"/>
  <c r="G61" i="32" s="1"/>
  <c r="M76" i="5"/>
  <c r="M76" i="32" s="1"/>
  <c r="C64" i="5"/>
  <c r="C64" i="32" s="1"/>
  <c r="F61" i="5"/>
  <c r="F61" i="32" s="1"/>
  <c r="D77" i="5"/>
  <c r="D77" i="32" s="1"/>
  <c r="G78" i="5"/>
  <c r="G78" i="32" s="1"/>
  <c r="N69" i="5"/>
  <c r="N69" i="32" s="1"/>
  <c r="L75" i="5"/>
  <c r="L75" i="32" s="1"/>
  <c r="D78" i="5"/>
  <c r="D78" i="32" s="1"/>
  <c r="I69" i="5"/>
  <c r="C61" i="5"/>
  <c r="C61" i="32" s="1"/>
  <c r="N72" i="5"/>
  <c r="N72" i="32" s="1"/>
  <c r="J72" i="5"/>
  <c r="J72" i="32" s="1"/>
  <c r="D71" i="5"/>
  <c r="D71" i="32" s="1"/>
  <c r="D69" i="5"/>
  <c r="D69" i="32" s="1"/>
  <c r="G76" i="5"/>
  <c r="G76" i="32" s="1"/>
  <c r="N70" i="5"/>
  <c r="N70" i="32" s="1"/>
  <c r="H70" i="5"/>
  <c r="H70" i="32" s="1"/>
  <c r="J75" i="5"/>
  <c r="J75" i="32" s="1"/>
  <c r="N76" i="5"/>
  <c r="N76" i="32" s="1"/>
  <c r="E61" i="5"/>
  <c r="E61" i="32" s="1"/>
  <c r="F76" i="5"/>
  <c r="F76" i="32" s="1"/>
  <c r="D64" i="5"/>
  <c r="D64" i="32" s="1"/>
  <c r="K71" i="5"/>
  <c r="K71" i="32" s="1"/>
  <c r="O75" i="5"/>
  <c r="K64" i="5"/>
  <c r="K64" i="32" s="1"/>
  <c r="L77" i="5"/>
  <c r="L77" i="32" s="1"/>
  <c r="I71" i="5"/>
  <c r="I71" i="32" s="1"/>
  <c r="K72" i="5"/>
  <c r="K72" i="32" s="1"/>
  <c r="O70" i="5"/>
  <c r="K75" i="5"/>
  <c r="K75" i="32" s="1"/>
  <c r="F62" i="5"/>
  <c r="F62" i="32" s="1"/>
  <c r="E70" i="5"/>
  <c r="E70" i="32" s="1"/>
  <c r="F64" i="5"/>
  <c r="F64" i="32" s="1"/>
  <c r="L72" i="5"/>
  <c r="L72" i="32" s="1"/>
  <c r="D61" i="5"/>
  <c r="D61" i="32" s="1"/>
  <c r="C81" i="10"/>
  <c r="D81" i="10" s="1"/>
  <c r="C91" i="10"/>
  <c r="D91" i="10" s="1"/>
  <c r="R53" i="10"/>
  <c r="R5" i="10" s="1"/>
  <c r="L89" i="5"/>
  <c r="I89" i="5"/>
  <c r="H69" i="5"/>
  <c r="H69" i="32" s="1"/>
  <c r="J61" i="5"/>
  <c r="J61" i="32" s="1"/>
  <c r="E78" i="5"/>
  <c r="E78" i="32" s="1"/>
  <c r="N62" i="5"/>
  <c r="N62" i="32" s="1"/>
  <c r="O78" i="5"/>
  <c r="I78" i="5"/>
  <c r="I78" i="32" s="1"/>
  <c r="H72" i="5"/>
  <c r="H72" i="32" s="1"/>
  <c r="D72" i="5"/>
  <c r="D72" i="32" s="1"/>
  <c r="F72" i="5"/>
  <c r="F72" i="32" s="1"/>
  <c r="F69" i="5"/>
  <c r="F69" i="32" s="1"/>
  <c r="F75" i="5"/>
  <c r="F75" i="32" s="1"/>
  <c r="G72" i="5"/>
  <c r="G72" i="32" s="1"/>
  <c r="G64" i="5"/>
  <c r="G64" i="32" s="1"/>
  <c r="F70" i="5"/>
  <c r="F70" i="32" s="1"/>
  <c r="H75" i="5"/>
  <c r="H75" i="32" s="1"/>
  <c r="O72" i="5"/>
  <c r="I89" i="32"/>
  <c r="C67" i="10"/>
  <c r="D67" i="10" s="1"/>
  <c r="C71" i="10"/>
  <c r="D71" i="10" s="1"/>
  <c r="M75" i="5"/>
  <c r="M75" i="32" s="1"/>
  <c r="C69" i="5"/>
  <c r="I61" i="5"/>
  <c r="I61" i="32" s="1"/>
  <c r="J76" i="5"/>
  <c r="J76" i="32" s="1"/>
  <c r="G77" i="5"/>
  <c r="G77" i="32" s="1"/>
  <c r="D76" i="5"/>
  <c r="D76" i="32" s="1"/>
  <c r="J64" i="5"/>
  <c r="J64" i="32" s="1"/>
  <c r="H61" i="5"/>
  <c r="H61" i="32" s="1"/>
  <c r="C72" i="5"/>
  <c r="C72" i="32" s="1"/>
  <c r="M62" i="5"/>
  <c r="M62" i="32" s="1"/>
  <c r="C62" i="5"/>
  <c r="C62" i="32" s="1"/>
  <c r="J70" i="5"/>
  <c r="J70" i="32" s="1"/>
  <c r="D62" i="5"/>
  <c r="D62" i="32" s="1"/>
  <c r="M72" i="5"/>
  <c r="M72" i="32" s="1"/>
  <c r="I62" i="5"/>
  <c r="I62" i="32" s="1"/>
  <c r="E89" i="5"/>
  <c r="B2" i="5"/>
  <c r="B2" i="32" s="1"/>
  <c r="K78" i="5"/>
  <c r="K78" i="32" s="1"/>
  <c r="C76" i="5"/>
  <c r="C76" i="32" s="1"/>
  <c r="E75" i="5"/>
  <c r="E75" i="32" s="1"/>
  <c r="O69" i="5"/>
  <c r="D75" i="5"/>
  <c r="D75" i="32" s="1"/>
  <c r="N61" i="5"/>
  <c r="N61" i="32" s="1"/>
  <c r="N75" i="5"/>
  <c r="N75" i="32" s="1"/>
  <c r="I72" i="5"/>
  <c r="I72" i="32" s="1"/>
  <c r="K76" i="5"/>
  <c r="K76" i="32" s="1"/>
  <c r="E69" i="5"/>
  <c r="E69" i="32" s="1"/>
  <c r="G75" i="5"/>
  <c r="G75" i="32" s="1"/>
  <c r="E72" i="5"/>
  <c r="E72" i="32" s="1"/>
  <c r="L78" i="5"/>
  <c r="L78" i="32" s="1"/>
  <c r="M61" i="5"/>
  <c r="M61" i="32" s="1"/>
  <c r="H78" i="5"/>
  <c r="H78" i="32" s="1"/>
  <c r="K69" i="5"/>
  <c r="K69" i="32" s="1"/>
  <c r="C71" i="5"/>
  <c r="C71" i="32" s="1"/>
  <c r="E76" i="5"/>
  <c r="E76" i="32" s="1"/>
  <c r="H64" i="5"/>
  <c r="H64" i="32" s="1"/>
  <c r="G62" i="5"/>
  <c r="G62" i="32" s="1"/>
  <c r="J78" i="5"/>
  <c r="J78" i="32" s="1"/>
  <c r="I64" i="5"/>
  <c r="I64" i="32" s="1"/>
  <c r="N64" i="5"/>
  <c r="N64" i="32" s="1"/>
  <c r="C78" i="5"/>
  <c r="C78" i="32" s="1"/>
  <c r="L62" i="5"/>
  <c r="L62" i="32" s="1"/>
  <c r="M69" i="5"/>
  <c r="M69" i="32" s="1"/>
  <c r="N77" i="5"/>
  <c r="N77" i="32" s="1"/>
  <c r="H76" i="5"/>
  <c r="H76" i="32" s="1"/>
  <c r="O64" i="5"/>
  <c r="N78" i="5"/>
  <c r="N78" i="32" s="1"/>
  <c r="F77" i="5"/>
  <c r="F77" i="32" s="1"/>
  <c r="I76" i="5"/>
  <c r="I76" i="32" s="1"/>
  <c r="K70" i="5"/>
  <c r="K70" i="32" s="1"/>
  <c r="R27" i="10"/>
  <c r="N71" i="5"/>
  <c r="N71" i="32" s="1"/>
  <c r="J74" i="32"/>
  <c r="O74" i="32" s="1"/>
  <c r="R28" i="10"/>
  <c r="M97" i="32"/>
  <c r="M99" i="32" s="1"/>
  <c r="F87" i="32"/>
  <c r="F89" i="32" s="1"/>
  <c r="C89" i="32"/>
  <c r="F71" i="5"/>
  <c r="F71" i="32" s="1"/>
  <c r="G99" i="5"/>
  <c r="J89" i="32"/>
  <c r="J71" i="5"/>
  <c r="J71" i="32" s="1"/>
  <c r="J89" i="5"/>
  <c r="G99" i="32"/>
  <c r="K89" i="32"/>
  <c r="F5" i="10"/>
  <c r="G71" i="5"/>
  <c r="G71" i="32" s="1"/>
  <c r="H89" i="32"/>
  <c r="M71" i="5"/>
  <c r="M71" i="32" s="1"/>
  <c r="E89" i="32"/>
  <c r="E94" i="5"/>
  <c r="C567" i="10"/>
  <c r="D567" i="10" s="1"/>
  <c r="L5" i="10"/>
  <c r="J5" i="10"/>
  <c r="K5" i="10"/>
  <c r="K89" i="5"/>
  <c r="L88" i="32"/>
  <c r="L89" i="32" s="1"/>
  <c r="O89" i="5"/>
  <c r="H89" i="5"/>
  <c r="N89" i="5"/>
  <c r="J99" i="32"/>
  <c r="D99" i="5"/>
  <c r="C77" i="5"/>
  <c r="C77" i="32" s="1"/>
  <c r="J99" i="5"/>
  <c r="E99" i="32"/>
  <c r="I77" i="5"/>
  <c r="I77" i="32" s="1"/>
  <c r="K77" i="5"/>
  <c r="K77" i="32" s="1"/>
  <c r="D99" i="32"/>
  <c r="O68" i="32"/>
  <c r="E71" i="5"/>
  <c r="E71" i="32" s="1"/>
  <c r="L71" i="5"/>
  <c r="L71" i="32" s="1"/>
  <c r="H94" i="5"/>
  <c r="M89" i="5"/>
  <c r="M87" i="32"/>
  <c r="M89" i="32" s="1"/>
  <c r="C1000" i="10"/>
  <c r="D1000" i="10" s="1"/>
  <c r="C49" i="10"/>
  <c r="D49" i="10" s="1"/>
  <c r="C367" i="10"/>
  <c r="D367" i="10" s="1"/>
  <c r="C914" i="10"/>
  <c r="D914" i="10" s="1"/>
  <c r="C744" i="10"/>
  <c r="D744" i="10" s="1"/>
  <c r="C556" i="10"/>
  <c r="D556" i="10" s="1"/>
  <c r="C112" i="10"/>
  <c r="D112" i="10" s="1"/>
  <c r="C957" i="10"/>
  <c r="D957" i="10" s="1"/>
  <c r="C927" i="10"/>
  <c r="D927" i="10" s="1"/>
  <c r="C59" i="10"/>
  <c r="D59" i="10" s="1"/>
  <c r="C159" i="10"/>
  <c r="D159" i="10" s="1"/>
  <c r="C211" i="10"/>
  <c r="D211" i="10" s="1"/>
  <c r="C520" i="10"/>
  <c r="D520" i="10" s="1"/>
  <c r="C179" i="10"/>
  <c r="D179" i="10" s="1"/>
  <c r="C968" i="10"/>
  <c r="D968" i="10" s="1"/>
  <c r="C979" i="10"/>
  <c r="D979" i="10" s="1"/>
  <c r="C876" i="10"/>
  <c r="D876" i="10" s="1"/>
  <c r="C852" i="10"/>
  <c r="D852" i="10" s="1"/>
  <c r="C987" i="10"/>
  <c r="D987" i="10" s="1"/>
  <c r="C387" i="10"/>
  <c r="D387" i="10" s="1"/>
  <c r="C894" i="10"/>
  <c r="D894" i="10" s="1"/>
  <c r="C249" i="10"/>
  <c r="D249" i="10" s="1"/>
  <c r="C606" i="10"/>
  <c r="D606" i="10" s="1"/>
  <c r="C660" i="10"/>
  <c r="D660" i="10" s="1"/>
  <c r="C428" i="10"/>
  <c r="D428" i="10" s="1"/>
  <c r="C304" i="10"/>
  <c r="D304" i="10" s="1"/>
  <c r="C588" i="10"/>
  <c r="D588" i="10" s="1"/>
  <c r="C585" i="10"/>
  <c r="D585" i="10" s="1"/>
  <c r="C317" i="10"/>
  <c r="D317" i="10" s="1"/>
  <c r="C186" i="10"/>
  <c r="D186" i="10" s="1"/>
  <c r="C56" i="10"/>
  <c r="D56" i="10" s="1"/>
  <c r="C584" i="10"/>
  <c r="D584" i="10" s="1"/>
  <c r="C446" i="10"/>
  <c r="D446" i="10" s="1"/>
  <c r="C313" i="10"/>
  <c r="D313" i="10" s="1"/>
  <c r="C63" i="10"/>
  <c r="D63" i="10" s="1"/>
  <c r="C717" i="10"/>
  <c r="D717" i="10" s="1"/>
  <c r="C907" i="10"/>
  <c r="D907" i="10" s="1"/>
  <c r="C954" i="10"/>
  <c r="D954" i="10" s="1"/>
  <c r="C998" i="10"/>
  <c r="D998" i="10" s="1"/>
  <c r="C379" i="10"/>
  <c r="D379" i="10" s="1"/>
  <c r="C245" i="10"/>
  <c r="D245" i="10" s="1"/>
  <c r="C103" i="10"/>
  <c r="D103" i="10" s="1"/>
  <c r="C217" i="10"/>
  <c r="D217" i="10" s="1"/>
  <c r="C865" i="10"/>
  <c r="D865" i="10" s="1"/>
  <c r="C851" i="10"/>
  <c r="D851" i="10" s="1"/>
  <c r="C896" i="10"/>
  <c r="D896" i="10" s="1"/>
  <c r="C151" i="10"/>
  <c r="D151" i="10" s="1"/>
  <c r="C271" i="10"/>
  <c r="D271" i="10" s="1"/>
  <c r="C479" i="10"/>
  <c r="D479" i="10" s="1"/>
  <c r="C905" i="10"/>
  <c r="D905" i="10" s="1"/>
  <c r="C918" i="10"/>
  <c r="D918" i="10" s="1"/>
  <c r="C805" i="10"/>
  <c r="D805" i="10" s="1"/>
  <c r="C343" i="10"/>
  <c r="D343" i="10" s="1"/>
  <c r="C596" i="10"/>
  <c r="D596" i="10" s="1"/>
  <c r="C783" i="10"/>
  <c r="D783" i="10" s="1"/>
  <c r="C751" i="10"/>
  <c r="D751" i="10" s="1"/>
  <c r="C695" i="10"/>
  <c r="D695" i="10" s="1"/>
  <c r="C665" i="10"/>
  <c r="D665" i="10" s="1"/>
  <c r="C104" i="10"/>
  <c r="D104" i="10" s="1"/>
  <c r="C78" i="10"/>
  <c r="D78" i="10" s="1"/>
  <c r="C269" i="10"/>
  <c r="D269" i="10" s="1"/>
  <c r="C466" i="10"/>
  <c r="D466" i="10" s="1"/>
  <c r="C569" i="10"/>
  <c r="D569" i="10" s="1"/>
  <c r="C264" i="10"/>
  <c r="D264" i="10" s="1"/>
  <c r="C390" i="10"/>
  <c r="D390" i="10" s="1"/>
  <c r="C457" i="10"/>
  <c r="D457" i="10" s="1"/>
  <c r="C531" i="10"/>
  <c r="D531" i="10" s="1"/>
  <c r="C640" i="10"/>
  <c r="D640" i="10" s="1"/>
  <c r="C60" i="10"/>
  <c r="D60" i="10" s="1"/>
  <c r="C277" i="10"/>
  <c r="D277" i="10" s="1"/>
  <c r="C832" i="10"/>
  <c r="D832" i="10" s="1"/>
  <c r="C372" i="10"/>
  <c r="D372" i="10" s="1"/>
  <c r="C619" i="10"/>
  <c r="D619" i="10" s="1"/>
  <c r="C923" i="10"/>
  <c r="D923" i="10" s="1"/>
  <c r="C592" i="10"/>
  <c r="D592" i="10" s="1"/>
  <c r="C338" i="10"/>
  <c r="D338" i="10" s="1"/>
  <c r="C484" i="10"/>
  <c r="D484" i="10" s="1"/>
  <c r="C566" i="10"/>
  <c r="D566" i="10" s="1"/>
  <c r="C972" i="10"/>
  <c r="D972" i="10" s="1"/>
  <c r="C902" i="10"/>
  <c r="D902" i="10" s="1"/>
  <c r="C322" i="10"/>
  <c r="D322" i="10" s="1"/>
  <c r="C478" i="10"/>
  <c r="D478" i="10" s="1"/>
  <c r="C870" i="10"/>
  <c r="D870" i="10" s="1"/>
  <c r="C50" i="10"/>
  <c r="D50" i="10" s="1"/>
  <c r="D88" i="32"/>
  <c r="D89" i="5"/>
  <c r="M93" i="32"/>
  <c r="M94" i="32" s="1"/>
  <c r="M94" i="5"/>
  <c r="C858" i="10"/>
  <c r="D858" i="10" s="1"/>
  <c r="C229" i="10"/>
  <c r="D229" i="10" s="1"/>
  <c r="C994" i="10"/>
  <c r="D994" i="10" s="1"/>
  <c r="C679" i="10"/>
  <c r="D679" i="10" s="1"/>
  <c r="C635" i="10"/>
  <c r="D635" i="10" s="1"/>
  <c r="C737" i="10"/>
  <c r="D737" i="10" s="1"/>
  <c r="C601" i="10"/>
  <c r="D601" i="10" s="1"/>
  <c r="C51" i="10"/>
  <c r="D51" i="10" s="1"/>
  <c r="C93" i="10"/>
  <c r="D93" i="10" s="1"/>
  <c r="C935" i="10"/>
  <c r="D935" i="10" s="1"/>
  <c r="C68" i="10"/>
  <c r="D68" i="10" s="1"/>
  <c r="C532" i="10"/>
  <c r="D532" i="10" s="1"/>
  <c r="C48" i="10"/>
  <c r="D48" i="10" s="1"/>
  <c r="C736" i="10"/>
  <c r="D736" i="10" s="1"/>
  <c r="C678" i="10"/>
  <c r="D678" i="10" s="1"/>
  <c r="C191" i="10"/>
  <c r="D191" i="10" s="1"/>
  <c r="C599" i="10"/>
  <c r="D599" i="10" s="1"/>
  <c r="C551" i="10"/>
  <c r="D551" i="10" s="1"/>
  <c r="C499" i="10"/>
  <c r="D499" i="10" s="1"/>
  <c r="C730" i="10"/>
  <c r="D730" i="10" s="1"/>
  <c r="C840" i="10"/>
  <c r="D840" i="10" s="1"/>
  <c r="C257" i="10"/>
  <c r="D257" i="10" s="1"/>
  <c r="C897" i="10"/>
  <c r="D897" i="10" s="1"/>
  <c r="C156" i="10"/>
  <c r="D156" i="10" s="1"/>
  <c r="C84" i="10"/>
  <c r="D84" i="10" s="1"/>
  <c r="C608" i="10"/>
  <c r="D608" i="10" s="1"/>
  <c r="C937" i="10"/>
  <c r="D937" i="10" s="1"/>
  <c r="C941" i="10"/>
  <c r="D941" i="10" s="1"/>
  <c r="C295" i="10"/>
  <c r="D295" i="10" s="1"/>
  <c r="C83" i="10"/>
  <c r="D83" i="10" s="1"/>
  <c r="C234" i="10"/>
  <c r="D234" i="10" s="1"/>
  <c r="C564" i="10"/>
  <c r="D564" i="10" s="1"/>
  <c r="C334" i="10"/>
  <c r="D334" i="10" s="1"/>
  <c r="C507" i="10"/>
  <c r="D507" i="10" s="1"/>
  <c r="C916" i="10"/>
  <c r="D916" i="10" s="1"/>
  <c r="C698" i="10"/>
  <c r="D698" i="10" s="1"/>
  <c r="C754" i="10"/>
  <c r="D754" i="10" s="1"/>
  <c r="C530" i="10"/>
  <c r="D530" i="10" s="1"/>
  <c r="C997" i="10"/>
  <c r="D997" i="10" s="1"/>
  <c r="C884" i="10"/>
  <c r="D884" i="10" s="1"/>
  <c r="C544" i="10"/>
  <c r="D544" i="10" s="1"/>
  <c r="C152" i="10"/>
  <c r="D152" i="10" s="1"/>
  <c r="C821" i="10"/>
  <c r="D821" i="10" s="1"/>
  <c r="C61" i="10"/>
  <c r="D61" i="10" s="1"/>
  <c r="C886" i="10"/>
  <c r="D886" i="10" s="1"/>
  <c r="C746" i="10"/>
  <c r="D746" i="10" s="1"/>
  <c r="C253" i="10"/>
  <c r="D253" i="10" s="1"/>
  <c r="C919" i="10"/>
  <c r="D919" i="10" s="1"/>
  <c r="C920" i="10"/>
  <c r="D920" i="10" s="1"/>
  <c r="C122" i="10"/>
  <c r="D122" i="10" s="1"/>
  <c r="C667" i="10"/>
  <c r="D667" i="10" s="1"/>
  <c r="C1005" i="10"/>
  <c r="D1005" i="10" s="1"/>
  <c r="C86" i="10"/>
  <c r="D86" i="10" s="1"/>
  <c r="C315" i="10"/>
  <c r="D315" i="10" s="1"/>
  <c r="C439" i="10"/>
  <c r="D439" i="10" s="1"/>
  <c r="C645" i="10"/>
  <c r="D645" i="10" s="1"/>
  <c r="C982" i="10"/>
  <c r="D982" i="10" s="1"/>
  <c r="C281" i="10"/>
  <c r="D281" i="10" s="1"/>
  <c r="C764" i="10"/>
  <c r="D764" i="10" s="1"/>
  <c r="C220" i="10"/>
  <c r="D220" i="10" s="1"/>
  <c r="C121" i="10"/>
  <c r="D121" i="10" s="1"/>
  <c r="C971" i="10"/>
  <c r="D971" i="10" s="1"/>
  <c r="C272" i="10"/>
  <c r="D272" i="10" s="1"/>
  <c r="C651" i="10"/>
  <c r="D651" i="10" s="1"/>
  <c r="C836" i="10"/>
  <c r="D836" i="10" s="1"/>
  <c r="C885" i="10"/>
  <c r="D885" i="10" s="1"/>
  <c r="C921" i="10"/>
  <c r="D921" i="10" s="1"/>
  <c r="C285" i="10"/>
  <c r="D285" i="10" s="1"/>
  <c r="C767" i="10"/>
  <c r="D767" i="10" s="1"/>
  <c r="C785" i="10"/>
  <c r="D785" i="10" s="1"/>
  <c r="C118" i="10"/>
  <c r="D118" i="10" s="1"/>
  <c r="C692" i="10"/>
  <c r="D692" i="10" s="1"/>
  <c r="C146" i="10"/>
  <c r="D146" i="10" s="1"/>
  <c r="C228" i="10"/>
  <c r="D228" i="10" s="1"/>
  <c r="C489" i="10"/>
  <c r="D489" i="10" s="1"/>
  <c r="C843" i="10"/>
  <c r="D843" i="10" s="1"/>
  <c r="C813" i="10"/>
  <c r="D813" i="10" s="1"/>
  <c r="C399" i="10"/>
  <c r="D399" i="10" s="1"/>
  <c r="C760" i="10"/>
  <c r="D760" i="10" s="1"/>
  <c r="C293" i="10"/>
  <c r="D293" i="10" s="1"/>
  <c r="C409" i="10"/>
  <c r="D409" i="10" s="1"/>
  <c r="C376" i="10"/>
  <c r="D376" i="10" s="1"/>
  <c r="C604" i="10"/>
  <c r="D604" i="10" s="1"/>
  <c r="C906" i="10"/>
  <c r="D906" i="10" s="1"/>
  <c r="C659" i="10"/>
  <c r="D659" i="10" s="1"/>
  <c r="C719" i="10"/>
  <c r="D719" i="10" s="1"/>
  <c r="C796" i="10"/>
  <c r="D796" i="10" s="1"/>
  <c r="C934" i="10"/>
  <c r="D934" i="10" s="1"/>
  <c r="C713" i="10"/>
  <c r="D713" i="10" s="1"/>
  <c r="C188" i="10"/>
  <c r="D188" i="10" s="1"/>
  <c r="C1010" i="10"/>
  <c r="D1010" i="10" s="1"/>
  <c r="C834" i="10"/>
  <c r="D834" i="10" s="1"/>
  <c r="C185" i="10"/>
  <c r="D185" i="10" s="1"/>
  <c r="C132" i="10"/>
  <c r="D132" i="10" s="1"/>
  <c r="C74" i="10"/>
  <c r="D74" i="10" s="1"/>
  <c r="C181" i="10"/>
  <c r="D181" i="10" s="1"/>
  <c r="C940" i="10"/>
  <c r="D940" i="10" s="1"/>
  <c r="C693" i="10"/>
  <c r="D693" i="10" s="1"/>
  <c r="C164" i="10"/>
  <c r="D164" i="10" s="1"/>
  <c r="C470" i="10"/>
  <c r="D470" i="10" s="1"/>
  <c r="C880" i="10"/>
  <c r="D880" i="10" s="1"/>
  <c r="C1006" i="10"/>
  <c r="D1006" i="10" s="1"/>
  <c r="C712" i="10"/>
  <c r="D712" i="10" s="1"/>
  <c r="C621" i="10"/>
  <c r="D621" i="10" s="1"/>
  <c r="C830" i="10"/>
  <c r="D830" i="10" s="1"/>
  <c r="C562" i="10"/>
  <c r="D562" i="10" s="1"/>
  <c r="C115" i="10"/>
  <c r="D115" i="10" s="1"/>
  <c r="C929" i="10"/>
  <c r="D929" i="10" s="1"/>
  <c r="C200" i="10"/>
  <c r="D200" i="10" s="1"/>
  <c r="C421" i="10"/>
  <c r="D421" i="10" s="1"/>
  <c r="C294" i="10"/>
  <c r="D294" i="10" s="1"/>
  <c r="C627" i="10"/>
  <c r="D627" i="10" s="1"/>
  <c r="C735" i="10"/>
  <c r="D735" i="10" s="1"/>
  <c r="C231" i="10"/>
  <c r="D231" i="10" s="1"/>
  <c r="C867" i="10"/>
  <c r="D867" i="10" s="1"/>
  <c r="C166" i="10"/>
  <c r="D166" i="10" s="1"/>
  <c r="C291" i="10"/>
  <c r="D291" i="10" s="1"/>
  <c r="C878" i="10"/>
  <c r="D878" i="10" s="1"/>
  <c r="C985" i="10"/>
  <c r="D985" i="10" s="1"/>
  <c r="C327" i="10"/>
  <c r="D327" i="10" s="1"/>
  <c r="C100" i="10"/>
  <c r="D100" i="10" s="1"/>
  <c r="C206" i="10"/>
  <c r="D206" i="10" s="1"/>
  <c r="C612" i="10"/>
  <c r="D612" i="10" s="1"/>
  <c r="C396" i="10"/>
  <c r="D396" i="10" s="1"/>
  <c r="C802" i="10"/>
  <c r="D802" i="10" s="1"/>
  <c r="C639" i="10"/>
  <c r="D639" i="10" s="1"/>
  <c r="C663" i="10"/>
  <c r="D663" i="10" s="1"/>
  <c r="C714" i="10"/>
  <c r="D714" i="10" s="1"/>
  <c r="C759" i="10"/>
  <c r="D759" i="10" s="1"/>
  <c r="C819" i="10"/>
  <c r="D819" i="10" s="1"/>
  <c r="C82" i="10"/>
  <c r="D82" i="10" s="1"/>
  <c r="C721" i="10"/>
  <c r="D721" i="10" s="1"/>
  <c r="C978" i="10"/>
  <c r="D978" i="10" s="1"/>
  <c r="C925" i="10"/>
  <c r="D925" i="10" s="1"/>
  <c r="C527" i="10"/>
  <c r="D527" i="10" s="1"/>
  <c r="C307" i="10"/>
  <c r="D307" i="10" s="1"/>
  <c r="C114" i="10"/>
  <c r="D114" i="10" s="1"/>
  <c r="C173" i="10"/>
  <c r="D173" i="10" s="1"/>
  <c r="C904" i="10"/>
  <c r="D904" i="10" s="1"/>
  <c r="C908" i="10"/>
  <c r="D908" i="10" s="1"/>
  <c r="C705" i="10"/>
  <c r="D705" i="10" s="1"/>
  <c r="C981" i="10"/>
  <c r="D981" i="10" s="1"/>
  <c r="C154" i="10"/>
  <c r="D154" i="10" s="1"/>
  <c r="C113" i="10"/>
  <c r="D113" i="10" s="1"/>
  <c r="C237" i="10"/>
  <c r="D237" i="10" s="1"/>
  <c r="C565" i="10"/>
  <c r="D565" i="10" s="1"/>
  <c r="C946" i="10"/>
  <c r="D946" i="10" s="1"/>
  <c r="C899" i="10"/>
  <c r="D899" i="10" s="1"/>
  <c r="C761" i="10"/>
  <c r="D761" i="10" s="1"/>
  <c r="C953" i="10"/>
  <c r="D953" i="10" s="1"/>
  <c r="C184" i="10"/>
  <c r="D184" i="10" s="1"/>
  <c r="C345" i="10"/>
  <c r="D345" i="10" s="1"/>
  <c r="C517" i="10"/>
  <c r="D517" i="10" s="1"/>
  <c r="C106" i="10"/>
  <c r="D106" i="10" s="1"/>
  <c r="C72" i="10"/>
  <c r="D72" i="10" s="1"/>
  <c r="C222" i="10"/>
  <c r="D222" i="10" s="1"/>
  <c r="C309" i="10"/>
  <c r="D309" i="10" s="1"/>
  <c r="C503" i="10"/>
  <c r="D503" i="10" s="1"/>
  <c r="C498" i="10"/>
  <c r="D498" i="10" s="1"/>
  <c r="C342" i="10"/>
  <c r="D342" i="10" s="1"/>
  <c r="C426" i="10"/>
  <c r="D426" i="10" s="1"/>
  <c r="C349" i="10"/>
  <c r="D349" i="10" s="1"/>
  <c r="C66" i="10"/>
  <c r="D66" i="10" s="1"/>
  <c r="C251" i="10"/>
  <c r="D251" i="10" s="1"/>
  <c r="C769" i="10"/>
  <c r="D769" i="10" s="1"/>
  <c r="C814" i="10"/>
  <c r="D814" i="10" s="1"/>
  <c r="C305" i="10"/>
  <c r="D305" i="10" s="1"/>
  <c r="C449" i="10"/>
  <c r="D449" i="10" s="1"/>
  <c r="C110" i="10"/>
  <c r="D110" i="10" s="1"/>
  <c r="C363" i="10"/>
  <c r="D363" i="10" s="1"/>
  <c r="C653" i="10"/>
  <c r="D653" i="10" s="1"/>
  <c r="C411" i="10"/>
  <c r="D411" i="10" s="1"/>
  <c r="C197" i="10"/>
  <c r="D197" i="10" s="1"/>
  <c r="C782" i="10"/>
  <c r="D782" i="10" s="1"/>
  <c r="C689" i="10"/>
  <c r="D689" i="10" s="1"/>
  <c r="C64" i="10"/>
  <c r="D64" i="10" s="1"/>
  <c r="C548" i="10"/>
  <c r="D548" i="10" s="1"/>
  <c r="C587" i="10"/>
  <c r="D587" i="10" s="1"/>
  <c r="C643" i="10"/>
  <c r="D643" i="10" s="1"/>
  <c r="C775" i="10"/>
  <c r="D775" i="10" s="1"/>
  <c r="C741" i="10"/>
  <c r="D741" i="10" s="1"/>
  <c r="C335" i="10"/>
  <c r="D335" i="10" s="1"/>
  <c r="C938" i="10"/>
  <c r="D938" i="10" s="1"/>
  <c r="C432" i="10"/>
  <c r="D432" i="10" s="1"/>
  <c r="C1012" i="10"/>
  <c r="D1012" i="10" s="1"/>
  <c r="C963" i="10"/>
  <c r="D963" i="10" s="1"/>
  <c r="C427" i="10"/>
  <c r="D427" i="10" s="1"/>
  <c r="C248" i="10"/>
  <c r="D248" i="10" s="1"/>
  <c r="C680" i="10"/>
  <c r="D680" i="10" s="1"/>
  <c r="C270" i="10"/>
  <c r="D270" i="10" s="1"/>
  <c r="C444" i="10"/>
  <c r="D444" i="10" s="1"/>
  <c r="C542" i="10"/>
  <c r="D542" i="10" s="1"/>
  <c r="C623" i="10"/>
  <c r="D623" i="10" s="1"/>
  <c r="C647" i="10"/>
  <c r="D647" i="10" s="1"/>
  <c r="C690" i="10"/>
  <c r="D690" i="10" s="1"/>
  <c r="C732" i="10"/>
  <c r="D732" i="10" s="1"/>
  <c r="C788" i="10"/>
  <c r="D788" i="10" s="1"/>
  <c r="C774" i="10"/>
  <c r="D774" i="10" s="1"/>
  <c r="C373" i="10"/>
  <c r="D373" i="10" s="1"/>
  <c r="C974" i="10"/>
  <c r="D974" i="10" s="1"/>
  <c r="C933" i="10"/>
  <c r="D933" i="10" s="1"/>
  <c r="C797" i="10"/>
  <c r="D797" i="10" s="1"/>
  <c r="C454" i="10"/>
  <c r="D454" i="10" s="1"/>
  <c r="C241" i="10"/>
  <c r="D241" i="10" s="1"/>
  <c r="C147" i="10"/>
  <c r="D147" i="10" s="1"/>
  <c r="C848" i="10"/>
  <c r="D848" i="10" s="1"/>
  <c r="C863" i="10"/>
  <c r="D863" i="10" s="1"/>
  <c r="C801" i="10"/>
  <c r="D801" i="10" s="1"/>
  <c r="C221" i="10"/>
  <c r="D221" i="10" s="1"/>
  <c r="C178" i="10"/>
  <c r="D178" i="10" s="1"/>
  <c r="C273" i="10"/>
  <c r="D273" i="10" s="1"/>
  <c r="C458" i="10"/>
  <c r="D458" i="10" s="1"/>
  <c r="C615" i="10"/>
  <c r="D615" i="10" s="1"/>
  <c r="C818" i="10"/>
  <c r="D818" i="10" s="1"/>
  <c r="C942" i="10"/>
  <c r="D942" i="10" s="1"/>
  <c r="C825" i="10"/>
  <c r="D825" i="10" s="1"/>
  <c r="C105" i="10"/>
  <c r="D105" i="10" s="1"/>
  <c r="C263" i="10"/>
  <c r="D263" i="10" s="1"/>
  <c r="C413" i="10"/>
  <c r="D413" i="10" s="1"/>
  <c r="C576" i="10"/>
  <c r="D576" i="10" s="1"/>
  <c r="C58" i="10"/>
  <c r="D58" i="10" s="1"/>
  <c r="C190" i="10"/>
  <c r="D190" i="10" s="1"/>
  <c r="C371" i="10"/>
  <c r="D371" i="10" s="1"/>
  <c r="C580" i="10"/>
  <c r="D580" i="10" s="1"/>
  <c r="C583" i="10"/>
  <c r="D583" i="10" s="1"/>
  <c r="C280" i="10"/>
  <c r="D280" i="10" s="1"/>
  <c r="C364" i="10"/>
  <c r="D364" i="10" s="1"/>
  <c r="C398" i="10"/>
  <c r="D398" i="10" s="1"/>
  <c r="C314" i="10"/>
  <c r="D314" i="10" s="1"/>
  <c r="C469" i="10"/>
  <c r="D469" i="10" s="1"/>
  <c r="C888" i="10"/>
  <c r="D888" i="10" s="1"/>
  <c r="C975" i="10"/>
  <c r="D975" i="10" s="1"/>
  <c r="C684" i="10"/>
  <c r="D684" i="10" s="1"/>
  <c r="C673" i="10"/>
  <c r="D673" i="10" s="1"/>
  <c r="C34" i="10"/>
  <c r="D34" i="10" s="1"/>
  <c r="C686" i="10"/>
  <c r="D686" i="10" s="1"/>
  <c r="C215" i="10"/>
  <c r="D215" i="10" s="1"/>
  <c r="C172" i="10"/>
  <c r="D172" i="10" s="1"/>
  <c r="C259" i="10"/>
  <c r="D259" i="10" s="1"/>
  <c r="C847" i="10"/>
  <c r="D847" i="10" s="1"/>
  <c r="C472" i="10"/>
  <c r="D472" i="10" s="1"/>
  <c r="C32" i="10"/>
  <c r="D32" i="10" s="1"/>
  <c r="C420" i="10"/>
  <c r="D420" i="10" s="1"/>
  <c r="C726" i="10"/>
  <c r="D726" i="10" s="1"/>
  <c r="C676" i="10"/>
  <c r="D676" i="10" s="1"/>
  <c r="C835" i="10"/>
  <c r="D835" i="10" s="1"/>
  <c r="C1007" i="10"/>
  <c r="D1007" i="10" s="1"/>
  <c r="C725" i="10"/>
  <c r="D725" i="10" s="1"/>
  <c r="C109" i="10"/>
  <c r="D109" i="10" s="1"/>
  <c r="C524" i="10"/>
  <c r="D524" i="10" s="1"/>
  <c r="C882" i="10"/>
  <c r="D882" i="10" s="1"/>
  <c r="C729" i="10"/>
  <c r="D729" i="10" s="1"/>
  <c r="C55" i="10"/>
  <c r="D55" i="10" s="1"/>
  <c r="C492" i="10"/>
  <c r="D492" i="10" s="1"/>
  <c r="C76" i="10"/>
  <c r="D76" i="10" s="1"/>
  <c r="C341" i="10"/>
  <c r="D341" i="10" s="1"/>
  <c r="C463" i="10"/>
  <c r="D463" i="10" s="1"/>
  <c r="C312" i="10"/>
  <c r="D312" i="10" s="1"/>
  <c r="C540" i="10"/>
  <c r="D540" i="10" s="1"/>
  <c r="C624" i="10"/>
  <c r="D624" i="10" s="1"/>
  <c r="C631" i="10"/>
  <c r="D631" i="10" s="1"/>
  <c r="C671" i="10"/>
  <c r="D671" i="10" s="1"/>
  <c r="C703" i="10"/>
  <c r="D703" i="10" s="1"/>
  <c r="C770" i="10"/>
  <c r="D770" i="10" s="1"/>
  <c r="C799" i="10"/>
  <c r="D799" i="10" s="1"/>
  <c r="C513" i="10"/>
  <c r="D513" i="10" s="1"/>
  <c r="C279" i="10"/>
  <c r="D279" i="10" s="1"/>
  <c r="C977" i="10"/>
  <c r="D977" i="10" s="1"/>
  <c r="C926" i="10"/>
  <c r="D926" i="10" s="1"/>
  <c r="C1008" i="10"/>
  <c r="D1008" i="10" s="1"/>
  <c r="C391" i="10"/>
  <c r="D391" i="10" s="1"/>
  <c r="C41" i="10"/>
  <c r="D41" i="10" s="1"/>
  <c r="C223" i="10"/>
  <c r="D223" i="10" s="1"/>
  <c r="C815" i="10"/>
  <c r="D815" i="10" s="1"/>
  <c r="C853" i="10"/>
  <c r="D853" i="10" s="1"/>
  <c r="C209" i="10"/>
  <c r="D209" i="10" s="1"/>
  <c r="C170" i="10"/>
  <c r="D170" i="10" s="1"/>
  <c r="C144" i="10"/>
  <c r="D144" i="10" s="1"/>
  <c r="C77" i="10"/>
  <c r="D77" i="10" s="1"/>
  <c r="C319" i="10"/>
  <c r="D319" i="10" s="1"/>
  <c r="C613" i="10"/>
  <c r="D613" i="10" s="1"/>
  <c r="C823" i="10"/>
  <c r="D823" i="10" s="1"/>
  <c r="C290" i="10"/>
  <c r="D290" i="10" s="1"/>
  <c r="C351" i="10"/>
  <c r="D351" i="10" s="1"/>
  <c r="C949" i="10"/>
  <c r="D949" i="10" s="1"/>
  <c r="C857" i="10"/>
  <c r="D857" i="10" s="1"/>
  <c r="C475" i="10"/>
  <c r="D475" i="10" s="1"/>
  <c r="C798" i="10"/>
  <c r="D798" i="10" s="1"/>
  <c r="C443" i="10"/>
  <c r="D443" i="10" s="1"/>
  <c r="C874" i="10"/>
  <c r="D874" i="10" s="1"/>
  <c r="C157" i="10"/>
  <c r="D157" i="10" s="1"/>
  <c r="C917" i="10"/>
  <c r="D917" i="10" s="1"/>
  <c r="C45" i="10"/>
  <c r="D45" i="10" s="1"/>
  <c r="C707" i="10"/>
  <c r="D707" i="10" s="1"/>
  <c r="C988" i="10"/>
  <c r="D988" i="10" s="1"/>
  <c r="C299" i="10"/>
  <c r="D299" i="10" s="1"/>
  <c r="C451" i="10"/>
  <c r="D451" i="10" s="1"/>
  <c r="C662" i="10"/>
  <c r="D662" i="10" s="1"/>
  <c r="C384" i="10"/>
  <c r="D384" i="10" s="1"/>
  <c r="C572" i="10"/>
  <c r="D572" i="10" s="1"/>
  <c r="C563" i="10"/>
  <c r="D563" i="10" s="1"/>
  <c r="C779" i="10"/>
  <c r="D779" i="10" s="1"/>
  <c r="C681" i="10"/>
  <c r="D681" i="10" s="1"/>
  <c r="C192" i="10"/>
  <c r="D192" i="10" s="1"/>
  <c r="C809" i="10"/>
  <c r="D809" i="10" s="1"/>
  <c r="C487" i="10"/>
  <c r="D487" i="10" s="1"/>
  <c r="C145" i="10"/>
  <c r="D145" i="10" s="1"/>
  <c r="C108" i="10"/>
  <c r="D108" i="10" s="1"/>
  <c r="C742" i="10"/>
  <c r="D742" i="10" s="1"/>
  <c r="C630" i="10"/>
  <c r="D630" i="10" s="1"/>
  <c r="C550" i="10"/>
  <c r="D550" i="10" s="1"/>
  <c r="C26" i="10"/>
  <c r="D26" i="10" s="1"/>
  <c r="C607" i="10"/>
  <c r="D607" i="10" s="1"/>
  <c r="C468" i="10"/>
  <c r="D468" i="10" s="1"/>
  <c r="C418" i="10"/>
  <c r="D418" i="10" s="1"/>
  <c r="C386" i="10"/>
  <c r="D386" i="10" s="1"/>
  <c r="C354" i="10"/>
  <c r="D354" i="10" s="1"/>
  <c r="C330" i="10"/>
  <c r="D330" i="10" s="1"/>
  <c r="C300" i="10"/>
  <c r="D300" i="10" s="1"/>
  <c r="C268" i="10"/>
  <c r="D268" i="10" s="1"/>
  <c r="C650" i="10"/>
  <c r="D650" i="10" s="1"/>
  <c r="C573" i="10"/>
  <c r="D573" i="10" s="1"/>
  <c r="C456" i="10"/>
  <c r="D456" i="10" s="1"/>
  <c r="C734" i="10"/>
  <c r="D734" i="10" s="1"/>
  <c r="C519" i="10"/>
  <c r="D519" i="10" s="1"/>
  <c r="C846" i="10"/>
  <c r="D846" i="10" s="1"/>
  <c r="C842" i="10"/>
  <c r="D842" i="10" s="1"/>
  <c r="C239" i="10"/>
  <c r="D239" i="10" s="1"/>
  <c r="C155" i="10"/>
  <c r="D155" i="10" s="1"/>
  <c r="C605" i="10"/>
  <c r="D605" i="10" s="1"/>
  <c r="C704" i="10"/>
  <c r="D704" i="10" s="1"/>
  <c r="C558" i="10"/>
  <c r="D558" i="10" s="1"/>
  <c r="C494" i="10"/>
  <c r="D494" i="10" s="1"/>
  <c r="C561" i="10"/>
  <c r="D561" i="10" s="1"/>
  <c r="C481" i="10"/>
  <c r="D481" i="10" s="1"/>
  <c r="C392" i="10"/>
  <c r="D392" i="10" s="1"/>
  <c r="C360" i="10"/>
  <c r="D360" i="10" s="1"/>
  <c r="C310" i="10"/>
  <c r="D310" i="10" s="1"/>
  <c r="C278" i="10"/>
  <c r="D278" i="10" s="1"/>
  <c r="C602" i="10"/>
  <c r="D602" i="10" s="1"/>
  <c r="C488" i="10"/>
  <c r="D488" i="10" s="1"/>
  <c r="C610" i="10"/>
  <c r="D610" i="10" s="1"/>
  <c r="C496" i="10"/>
  <c r="D496" i="10" s="1"/>
  <c r="C333" i="10"/>
  <c r="D333" i="10" s="1"/>
  <c r="C254" i="10"/>
  <c r="D254" i="10" s="1"/>
  <c r="C210" i="10"/>
  <c r="D210" i="10" s="1"/>
  <c r="C44" i="10"/>
  <c r="D44" i="10" s="1"/>
  <c r="C486" i="10"/>
  <c r="D486" i="10" s="1"/>
  <c r="C171" i="10"/>
  <c r="D171" i="10" s="1"/>
  <c r="C675" i="10"/>
  <c r="D675" i="10" s="1"/>
  <c r="C590" i="10"/>
  <c r="D590" i="10" s="1"/>
  <c r="C491" i="10"/>
  <c r="D491" i="10" s="1"/>
  <c r="C618" i="10"/>
  <c r="D618" i="10" s="1"/>
  <c r="C476" i="10"/>
  <c r="D476" i="10" s="1"/>
  <c r="C422" i="10"/>
  <c r="D422" i="10" s="1"/>
  <c r="C368" i="10"/>
  <c r="D368" i="10" s="1"/>
  <c r="C336" i="10"/>
  <c r="D336" i="10" s="1"/>
  <c r="C274" i="10"/>
  <c r="D274" i="10" s="1"/>
  <c r="C699" i="10"/>
  <c r="D699" i="10" s="1"/>
  <c r="C477" i="10"/>
  <c r="D477" i="10" s="1"/>
  <c r="C377" i="10"/>
  <c r="D377" i="10" s="1"/>
  <c r="C485" i="10"/>
  <c r="D485" i="10" s="1"/>
  <c r="C389" i="10"/>
  <c r="D389" i="10" s="1"/>
  <c r="C244" i="10"/>
  <c r="D244" i="10" s="1"/>
  <c r="C198" i="10"/>
  <c r="D198" i="10" s="1"/>
  <c r="C959" i="10"/>
  <c r="D959" i="10" s="1"/>
  <c r="C331" i="10"/>
  <c r="D331" i="10" s="1"/>
  <c r="C989" i="10"/>
  <c r="D989" i="10" s="1"/>
  <c r="C750" i="10"/>
  <c r="D750" i="10" s="1"/>
  <c r="C383" i="10"/>
  <c r="D383" i="10" s="1"/>
  <c r="C196" i="10"/>
  <c r="D196" i="10" s="1"/>
  <c r="C243" i="10"/>
  <c r="D243" i="10" s="1"/>
  <c r="C740" i="10"/>
  <c r="D740" i="10" s="1"/>
  <c r="C208" i="10"/>
  <c r="D208" i="10" s="1"/>
  <c r="C636" i="10"/>
  <c r="D636" i="10" s="1"/>
  <c r="C952" i="10"/>
  <c r="D952" i="10" s="1"/>
  <c r="C193" i="10"/>
  <c r="D193" i="10" s="1"/>
  <c r="C355" i="10"/>
  <c r="D355" i="10" s="1"/>
  <c r="C990" i="10"/>
  <c r="D990" i="10" s="1"/>
  <c r="C856" i="10"/>
  <c r="D856" i="10" s="1"/>
  <c r="C889" i="10"/>
  <c r="D889" i="10" s="1"/>
  <c r="C609" i="10"/>
  <c r="D609" i="10" s="1"/>
  <c r="C42" i="10"/>
  <c r="D42" i="10" s="1"/>
  <c r="C258" i="10"/>
  <c r="D258" i="10" s="1"/>
  <c r="C406" i="10"/>
  <c r="D406" i="10" s="1"/>
  <c r="C644" i="10"/>
  <c r="D644" i="10" s="1"/>
  <c r="C283" i="10"/>
  <c r="D283" i="10" s="1"/>
  <c r="C694" i="10"/>
  <c r="D694" i="10" s="1"/>
  <c r="C552" i="10"/>
  <c r="D552" i="10" s="1"/>
  <c r="C765" i="10"/>
  <c r="D765" i="10" s="1"/>
  <c r="C656" i="10"/>
  <c r="D656" i="10" s="1"/>
  <c r="C415" i="10"/>
  <c r="D415" i="10" s="1"/>
  <c r="C688" i="10"/>
  <c r="D688" i="10" s="1"/>
  <c r="C611" i="10"/>
  <c r="D611" i="10" s="1"/>
  <c r="C534" i="10"/>
  <c r="D534" i="10" s="1"/>
  <c r="C766" i="10"/>
  <c r="D766" i="10" s="1"/>
  <c r="C589" i="10"/>
  <c r="D589" i="10" s="1"/>
  <c r="C525" i="10"/>
  <c r="D525" i="10" s="1"/>
  <c r="C452" i="10"/>
  <c r="D452" i="10" s="1"/>
  <c r="C410" i="10"/>
  <c r="D410" i="10" s="1"/>
  <c r="C378" i="10"/>
  <c r="D378" i="10" s="1"/>
  <c r="C324" i="10"/>
  <c r="D324" i="10" s="1"/>
  <c r="C292" i="10"/>
  <c r="D292" i="10" s="1"/>
  <c r="C260" i="10"/>
  <c r="D260" i="10" s="1"/>
  <c r="C616" i="10"/>
  <c r="D616" i="10" s="1"/>
  <c r="C549" i="10"/>
  <c r="D549" i="10" s="1"/>
  <c r="C431" i="10"/>
  <c r="D431" i="10" s="1"/>
  <c r="C617" i="10"/>
  <c r="D617" i="10" s="1"/>
  <c r="C233" i="10"/>
  <c r="D233" i="10" s="1"/>
  <c r="C195" i="10"/>
  <c r="D195" i="10" s="1"/>
  <c r="C879" i="10"/>
  <c r="D879" i="10" s="1"/>
  <c r="C462" i="10"/>
  <c r="D462" i="10" s="1"/>
  <c r="C435" i="10"/>
  <c r="D435" i="10" s="1"/>
  <c r="C829" i="10"/>
  <c r="D829" i="10" s="1"/>
  <c r="C816" i="10"/>
  <c r="D816" i="10" s="1"/>
  <c r="C598" i="10"/>
  <c r="D598" i="10" s="1"/>
  <c r="C539" i="10"/>
  <c r="D539" i="10" s="1"/>
  <c r="C638" i="10"/>
  <c r="D638" i="10" s="1"/>
  <c r="C536" i="10"/>
  <c r="D536" i="10" s="1"/>
  <c r="C414" i="10"/>
  <c r="D414" i="10" s="1"/>
  <c r="C382" i="10"/>
  <c r="D382" i="10" s="1"/>
  <c r="C328" i="10"/>
  <c r="D328" i="10" s="1"/>
  <c r="C298" i="10"/>
  <c r="D298" i="10" s="1"/>
  <c r="C723" i="10"/>
  <c r="D723" i="10" s="1"/>
  <c r="C578" i="10"/>
  <c r="D578" i="10" s="1"/>
  <c r="C385" i="10"/>
  <c r="D385" i="10" s="1"/>
  <c r="C560" i="10"/>
  <c r="D560" i="10" s="1"/>
  <c r="C403" i="10"/>
  <c r="D403" i="10" s="1"/>
  <c r="C301" i="10"/>
  <c r="D301" i="10" s="1"/>
  <c r="C230" i="10"/>
  <c r="D230" i="10" s="1"/>
  <c r="C226" i="10"/>
  <c r="D226" i="10" s="1"/>
  <c r="C753" i="10"/>
  <c r="D753" i="10" s="1"/>
  <c r="C700" i="10"/>
  <c r="D700" i="10" s="1"/>
  <c r="C986" i="10"/>
  <c r="D986" i="10" s="1"/>
  <c r="C79" i="10"/>
  <c r="D79" i="10" s="1"/>
  <c r="C493" i="10"/>
  <c r="D493" i="10" s="1"/>
  <c r="C969" i="10"/>
  <c r="D969" i="10" s="1"/>
  <c r="C664" i="10"/>
  <c r="D664" i="10" s="1"/>
  <c r="C594" i="10"/>
  <c r="D594" i="10" s="1"/>
  <c r="C352" i="10"/>
  <c r="D352" i="10" s="1"/>
  <c r="C655" i="10"/>
  <c r="D655" i="10" s="1"/>
  <c r="C780" i="10"/>
  <c r="D780" i="10" s="1"/>
  <c r="C850" i="10"/>
  <c r="D850" i="10" s="1"/>
  <c r="C956" i="10"/>
  <c r="D956" i="10" s="1"/>
  <c r="C162" i="10"/>
  <c r="D162" i="10" s="1"/>
  <c r="C506" i="10"/>
  <c r="D506" i="10" s="1"/>
  <c r="C860" i="10"/>
  <c r="D860" i="10" s="1"/>
  <c r="C984" i="10"/>
  <c r="D984" i="10" s="1"/>
  <c r="C440" i="10"/>
  <c r="D440" i="10" s="1"/>
  <c r="C92" i="10"/>
  <c r="D92" i="10" s="1"/>
  <c r="C240" i="10"/>
  <c r="D240" i="10" s="1"/>
  <c r="C768" i="10"/>
  <c r="D768" i="10" s="1"/>
  <c r="C302" i="10"/>
  <c r="D302" i="10" s="1"/>
  <c r="C465" i="10"/>
  <c r="D465" i="10" s="1"/>
  <c r="C784" i="10"/>
  <c r="D784" i="10" s="1"/>
  <c r="C603" i="10"/>
  <c r="D603" i="10" s="1"/>
  <c r="C570" i="10"/>
  <c r="D570" i="10" s="1"/>
  <c r="C875" i="10"/>
  <c r="D875" i="10" s="1"/>
  <c r="C873" i="10"/>
  <c r="D873" i="10" s="1"/>
  <c r="C275" i="10"/>
  <c r="D275" i="10" s="1"/>
  <c r="C1002" i="10"/>
  <c r="D1002" i="10" s="1"/>
  <c r="C827" i="10"/>
  <c r="D827" i="10" s="1"/>
  <c r="C652" i="10"/>
  <c r="D652" i="10" s="1"/>
  <c r="C595" i="10"/>
  <c r="D595" i="10" s="1"/>
  <c r="C518" i="10"/>
  <c r="D518" i="10" s="1"/>
  <c r="C696" i="10"/>
  <c r="D696" i="10" s="1"/>
  <c r="C568" i="10"/>
  <c r="D568" i="10" s="1"/>
  <c r="C504" i="10"/>
  <c r="D504" i="10" s="1"/>
  <c r="C436" i="10"/>
  <c r="D436" i="10" s="1"/>
  <c r="C402" i="10"/>
  <c r="D402" i="10" s="1"/>
  <c r="C370" i="10"/>
  <c r="D370" i="10" s="1"/>
  <c r="C346" i="10"/>
  <c r="D346" i="10" s="1"/>
  <c r="C316" i="10"/>
  <c r="D316" i="10" s="1"/>
  <c r="C284" i="10"/>
  <c r="D284" i="10" s="1"/>
  <c r="C790" i="10"/>
  <c r="D790" i="10" s="1"/>
  <c r="C512" i="10"/>
  <c r="D512" i="10" s="1"/>
  <c r="C401" i="10"/>
  <c r="D401" i="10" s="1"/>
  <c r="C626" i="10"/>
  <c r="D626" i="10" s="1"/>
  <c r="C289" i="10"/>
  <c r="D289" i="10" s="1"/>
  <c r="C983" i="10"/>
  <c r="D983" i="10" s="1"/>
  <c r="C537" i="10"/>
  <c r="D537" i="10" s="1"/>
  <c r="C910" i="10"/>
  <c r="D910" i="10" s="1"/>
  <c r="C831" i="10"/>
  <c r="D831" i="10" s="1"/>
  <c r="C98" i="10"/>
  <c r="D98" i="10" s="1"/>
  <c r="C898" i="10"/>
  <c r="D898" i="10" s="1"/>
  <c r="C646" i="10"/>
  <c r="D646" i="10" s="1"/>
  <c r="C579" i="10"/>
  <c r="D579" i="10" s="1"/>
  <c r="C776" i="10"/>
  <c r="D776" i="10" s="1"/>
  <c r="C593" i="10"/>
  <c r="D593" i="10" s="1"/>
  <c r="C460" i="10"/>
  <c r="D460" i="10" s="1"/>
  <c r="C404" i="10"/>
  <c r="D404" i="10" s="1"/>
  <c r="C350" i="10"/>
  <c r="D350" i="10" s="1"/>
  <c r="C320" i="10"/>
  <c r="D320" i="10" s="1"/>
  <c r="C266" i="10"/>
  <c r="D266" i="10" s="1"/>
  <c r="C642" i="10"/>
  <c r="D642" i="10" s="1"/>
  <c r="C459" i="10"/>
  <c r="D459" i="10" s="1"/>
  <c r="C752" i="10"/>
  <c r="D752" i="10" s="1"/>
  <c r="C471" i="10"/>
  <c r="D471" i="10" s="1"/>
  <c r="C365" i="10"/>
  <c r="D365" i="10" s="1"/>
  <c r="C246" i="10"/>
  <c r="D246" i="10" s="1"/>
  <c r="C194" i="10"/>
  <c r="D194" i="10" s="1"/>
  <c r="C52" i="10"/>
  <c r="D52" i="10" s="1"/>
  <c r="C810" i="10"/>
  <c r="D810" i="10" s="1"/>
  <c r="C980" i="10"/>
  <c r="D980" i="10" s="1"/>
  <c r="C763" i="10"/>
  <c r="D763" i="10" s="1"/>
  <c r="C574" i="10"/>
  <c r="D574" i="10" s="1"/>
  <c r="C510" i="10"/>
  <c r="D510" i="10" s="1"/>
  <c r="C586" i="10"/>
  <c r="D586" i="10" s="1"/>
  <c r="C497" i="10"/>
  <c r="D497" i="10" s="1"/>
  <c r="C412" i="10"/>
  <c r="D412" i="10" s="1"/>
  <c r="C380" i="10"/>
  <c r="D380" i="10" s="1"/>
  <c r="C318" i="10"/>
  <c r="D318" i="10" s="1"/>
  <c r="C286" i="10"/>
  <c r="D286" i="10" s="1"/>
  <c r="C632" i="10"/>
  <c r="D632" i="10" s="1"/>
  <c r="C535" i="10"/>
  <c r="D535" i="10" s="1"/>
  <c r="C718" i="10"/>
  <c r="D718" i="10" s="1"/>
  <c r="C516" i="10"/>
  <c r="D516" i="10" s="1"/>
  <c r="C357" i="10"/>
  <c r="D357" i="10" s="1"/>
  <c r="C252" i="10"/>
  <c r="D252" i="10" s="1"/>
  <c r="C214" i="10"/>
  <c r="D214" i="10" s="1"/>
  <c r="C46" i="10"/>
  <c r="D46" i="10" s="1"/>
  <c r="C85" i="10"/>
  <c r="D85" i="10" s="1"/>
  <c r="C625" i="10"/>
  <c r="D625" i="10" s="1"/>
  <c r="C1001" i="10"/>
  <c r="D1001" i="10" s="1"/>
  <c r="C881" i="10"/>
  <c r="D881" i="10" s="1"/>
  <c r="C838" i="10"/>
  <c r="D838" i="10" s="1"/>
  <c r="C947" i="10"/>
  <c r="D947" i="10" s="1"/>
  <c r="C912" i="10"/>
  <c r="D912" i="10" s="1"/>
  <c r="C895" i="10"/>
  <c r="D895" i="10" s="1"/>
  <c r="C303" i="10"/>
  <c r="D303" i="10" s="1"/>
  <c r="C90" i="10"/>
  <c r="D90" i="10" s="1"/>
  <c r="C862" i="10"/>
  <c r="D862" i="10" s="1"/>
  <c r="C28" i="10"/>
  <c r="D28" i="10" s="1"/>
  <c r="C353" i="10"/>
  <c r="D353" i="10" s="1"/>
  <c r="C932" i="10"/>
  <c r="D932" i="10" s="1"/>
  <c r="C991" i="10"/>
  <c r="D991" i="10" s="1"/>
  <c r="C964" i="10"/>
  <c r="D964" i="10" s="1"/>
  <c r="C395" i="10"/>
  <c r="D395" i="10" s="1"/>
  <c r="C747" i="10"/>
  <c r="D747" i="10" s="1"/>
  <c r="C65" i="10"/>
  <c r="D65" i="10" s="1"/>
  <c r="C43" i="10"/>
  <c r="D43" i="10" s="1"/>
  <c r="C951" i="10"/>
  <c r="D951" i="10" s="1"/>
  <c r="C141" i="10"/>
  <c r="D141" i="10" s="1"/>
  <c r="C538" i="10"/>
  <c r="D538" i="10" s="1"/>
  <c r="C999" i="10"/>
  <c r="D999" i="10" s="1"/>
  <c r="C571" i="10"/>
  <c r="D571" i="10" s="1"/>
  <c r="C575" i="10"/>
  <c r="D575" i="10" s="1"/>
  <c r="C408" i="10"/>
  <c r="D408" i="10" s="1"/>
  <c r="C344" i="10"/>
  <c r="D344" i="10" s="1"/>
  <c r="C282" i="10"/>
  <c r="D282" i="10" s="1"/>
  <c r="C521" i="10"/>
  <c r="D521" i="10" s="1"/>
  <c r="C509" i="10"/>
  <c r="D509" i="10" s="1"/>
  <c r="C261" i="10"/>
  <c r="D261" i="10" s="1"/>
  <c r="C89" i="10"/>
  <c r="D89" i="10" s="1"/>
  <c r="C533" i="10"/>
  <c r="D533" i="10" s="1"/>
  <c r="C423" i="10"/>
  <c r="D423" i="10" s="1"/>
  <c r="C267" i="10"/>
  <c r="D267" i="10" s="1"/>
  <c r="C909" i="10"/>
  <c r="D909" i="10" s="1"/>
  <c r="C992" i="10"/>
  <c r="D992" i="10" s="1"/>
  <c r="C864" i="10"/>
  <c r="D864" i="10" s="1"/>
  <c r="C911" i="10"/>
  <c r="D911" i="10" s="1"/>
  <c r="C581" i="10"/>
  <c r="D581" i="10" s="1"/>
  <c r="C323" i="10"/>
  <c r="D323" i="10" s="1"/>
  <c r="C212" i="10"/>
  <c r="D212" i="10" s="1"/>
  <c r="C111" i="10"/>
  <c r="D111" i="10" s="1"/>
  <c r="C176" i="10"/>
  <c r="D176" i="10" s="1"/>
  <c r="C993" i="10"/>
  <c r="D993" i="10" s="1"/>
  <c r="C757" i="10"/>
  <c r="D757" i="10" s="1"/>
  <c r="C900" i="10"/>
  <c r="D900" i="10" s="1"/>
  <c r="C199" i="10"/>
  <c r="D199" i="10" s="1"/>
  <c r="C125" i="10"/>
  <c r="D125" i="10" s="1"/>
  <c r="C381" i="10"/>
  <c r="D381" i="10" s="1"/>
  <c r="C577" i="10"/>
  <c r="D577" i="10" s="1"/>
  <c r="C922" i="10"/>
  <c r="D922" i="10" s="1"/>
  <c r="C966" i="10"/>
  <c r="D966" i="10" s="1"/>
  <c r="C35" i="10"/>
  <c r="D35" i="10" s="1"/>
  <c r="C430" i="10"/>
  <c r="D430" i="10" s="1"/>
  <c r="C803" i="10"/>
  <c r="D803" i="10" s="1"/>
  <c r="C772" i="10"/>
  <c r="D772" i="10" s="1"/>
  <c r="C716" i="10"/>
  <c r="D716" i="10" s="1"/>
  <c r="C687" i="10"/>
  <c r="D687" i="10" s="1"/>
  <c r="C641" i="10"/>
  <c r="D641" i="10" s="1"/>
  <c r="C38" i="10"/>
  <c r="D38" i="10" s="1"/>
  <c r="C182" i="10"/>
  <c r="D182" i="10" s="1"/>
  <c r="C325" i="10"/>
  <c r="D325" i="10" s="1"/>
  <c r="C417" i="10"/>
  <c r="D417" i="10" s="1"/>
  <c r="C597" i="10"/>
  <c r="D597" i="10" s="1"/>
  <c r="C348" i="10"/>
  <c r="D348" i="10" s="1"/>
  <c r="C400" i="10"/>
  <c r="D400" i="10" s="1"/>
  <c r="C666" i="10"/>
  <c r="D666" i="10" s="1"/>
  <c r="C555" i="10"/>
  <c r="D555" i="10" s="1"/>
  <c r="C204" i="10"/>
  <c r="D204" i="10" s="1"/>
  <c r="C36" i="10"/>
  <c r="D36" i="10" s="1"/>
  <c r="C425" i="10"/>
  <c r="D425" i="10" s="1"/>
  <c r="C288" i="10"/>
  <c r="D288" i="10" s="1"/>
  <c r="C691" i="10"/>
  <c r="D691" i="10" s="1"/>
  <c r="C771" i="10"/>
  <c r="D771" i="10" s="1"/>
  <c r="C965" i="10"/>
  <c r="D965" i="10" s="1"/>
  <c r="C745" i="10"/>
  <c r="D745" i="10" s="1"/>
  <c r="C710" i="10"/>
  <c r="D710" i="10" s="1"/>
  <c r="C362" i="10"/>
  <c r="D362" i="10" s="1"/>
  <c r="C543" i="10"/>
  <c r="D543" i="10" s="1"/>
  <c r="C817" i="10"/>
  <c r="D817" i="10" s="1"/>
  <c r="C658" i="10"/>
  <c r="D658" i="10" s="1"/>
  <c r="C438" i="10"/>
  <c r="D438" i="10" s="1"/>
  <c r="C39" i="10"/>
  <c r="D39" i="10" s="1"/>
  <c r="C126" i="10"/>
  <c r="D126" i="10" s="1"/>
  <c r="C967" i="10"/>
  <c r="D967" i="10" s="1"/>
  <c r="C117" i="10"/>
  <c r="D117" i="10" s="1"/>
  <c r="C792" i="10"/>
  <c r="D792" i="10" s="1"/>
  <c r="C526" i="10"/>
  <c r="D526" i="10" s="1"/>
  <c r="C522" i="10"/>
  <c r="D522" i="10" s="1"/>
  <c r="C388" i="10"/>
  <c r="D388" i="10" s="1"/>
  <c r="C326" i="10"/>
  <c r="D326" i="10" s="1"/>
  <c r="C262" i="10"/>
  <c r="D262" i="10" s="1"/>
  <c r="C442" i="10"/>
  <c r="D442" i="10" s="1"/>
  <c r="C461" i="10"/>
  <c r="D461" i="10" s="1"/>
  <c r="C218" i="10"/>
  <c r="D218" i="10" s="1"/>
  <c r="C69" i="10"/>
  <c r="D69" i="10" s="1"/>
  <c r="C102" i="10"/>
  <c r="D102" i="10" s="1"/>
  <c r="C483" i="10"/>
  <c r="D483" i="10" s="1"/>
  <c r="C235" i="10"/>
  <c r="D235" i="10" s="1"/>
  <c r="C96" i="10"/>
  <c r="D96" i="10" s="1"/>
  <c r="C845" i="10"/>
  <c r="D845" i="10" s="1"/>
  <c r="C950" i="10"/>
  <c r="D950" i="10" s="1"/>
  <c r="C868" i="10"/>
  <c r="D868" i="10" s="1"/>
  <c r="C731" i="10"/>
  <c r="D731" i="10" s="1"/>
  <c r="C514" i="10"/>
  <c r="D514" i="10" s="1"/>
  <c r="C287" i="10"/>
  <c r="D287" i="10" s="1"/>
  <c r="C160" i="10"/>
  <c r="D160" i="10" s="1"/>
  <c r="C189" i="10"/>
  <c r="D189" i="10" s="1"/>
  <c r="C931" i="10"/>
  <c r="D931" i="10" s="1"/>
  <c r="C948" i="10"/>
  <c r="D948" i="10" s="1"/>
  <c r="C944" i="10"/>
  <c r="D944" i="10" s="1"/>
  <c r="C177" i="10"/>
  <c r="D177" i="10" s="1"/>
  <c r="C57" i="10"/>
  <c r="D57" i="10" s="1"/>
  <c r="C822" i="10"/>
  <c r="D822" i="10" s="1"/>
  <c r="C807" i="10"/>
  <c r="D807" i="10" s="1"/>
  <c r="C970" i="10"/>
  <c r="D970" i="10" s="1"/>
  <c r="C928" i="10"/>
  <c r="D928" i="10" s="1"/>
  <c r="C265" i="10"/>
  <c r="D265" i="10" s="1"/>
  <c r="C728" i="10"/>
  <c r="D728" i="10" s="1"/>
  <c r="C791" i="10"/>
  <c r="D791" i="10" s="1"/>
  <c r="C743" i="10"/>
  <c r="D743" i="10" s="1"/>
  <c r="C706" i="10"/>
  <c r="D706" i="10" s="1"/>
  <c r="C657" i="10"/>
  <c r="D657" i="10" s="1"/>
  <c r="C633" i="10"/>
  <c r="D633" i="10" s="1"/>
  <c r="C94" i="10"/>
  <c r="D94" i="10" s="1"/>
  <c r="C62" i="10"/>
  <c r="D62" i="10" s="1"/>
  <c r="C236" i="10"/>
  <c r="D236" i="10" s="1"/>
  <c r="C553" i="10"/>
  <c r="D553" i="10" s="1"/>
  <c r="C445" i="10"/>
  <c r="D445" i="10" s="1"/>
  <c r="C296" i="10"/>
  <c r="D296" i="10" s="1"/>
  <c r="C358" i="10"/>
  <c r="D358" i="10" s="1"/>
  <c r="C529" i="10"/>
  <c r="D529" i="10" s="1"/>
  <c r="C755" i="10"/>
  <c r="D755" i="10" s="1"/>
  <c r="C800" i="10"/>
  <c r="D800" i="10" s="1"/>
  <c r="C397" i="10"/>
  <c r="D397" i="10" s="1"/>
  <c r="C447" i="10"/>
  <c r="D447" i="10" s="1"/>
  <c r="C545" i="10"/>
  <c r="D545" i="10" s="1"/>
  <c r="C441" i="10"/>
  <c r="D441" i="10" s="1"/>
  <c r="C515" i="10"/>
  <c r="D515" i="10" s="1"/>
  <c r="C187" i="10"/>
  <c r="D187" i="10" s="1"/>
  <c r="C701" i="10"/>
  <c r="D701" i="10" s="1"/>
  <c r="C369" i="10"/>
  <c r="D369" i="10" s="1"/>
  <c r="C276" i="10"/>
  <c r="D276" i="10" s="1"/>
  <c r="C394" i="10"/>
  <c r="D394" i="10" s="1"/>
  <c r="C654" i="10"/>
  <c r="D654" i="10" s="1"/>
  <c r="C787" i="10"/>
  <c r="D787" i="10" s="1"/>
  <c r="C866" i="10"/>
  <c r="D866" i="10" s="1"/>
  <c r="C523" i="10"/>
  <c r="D523" i="10" s="1"/>
  <c r="C256" i="10"/>
  <c r="D256" i="10" s="1"/>
  <c r="C697" i="10"/>
  <c r="D697" i="10" s="1"/>
  <c r="C683" i="10"/>
  <c r="D683" i="10" s="1"/>
  <c r="C183" i="10"/>
  <c r="D183" i="10" s="1"/>
  <c r="C393" i="10"/>
  <c r="D393" i="10" s="1"/>
  <c r="G87" i="32"/>
  <c r="G89" i="5"/>
  <c r="F93" i="32"/>
  <c r="F94" i="32" s="1"/>
  <c r="F94" i="5"/>
  <c r="N89" i="32"/>
  <c r="K92" i="32"/>
  <c r="K94" i="32" s="1"/>
  <c r="K94" i="5"/>
  <c r="O68" i="5"/>
  <c r="O71" i="5" s="1"/>
  <c r="O92" i="5"/>
  <c r="O94" i="5" s="1"/>
  <c r="O74" i="5"/>
  <c r="O77" i="5" s="1"/>
  <c r="O97" i="5"/>
  <c r="O99" i="5" s="1"/>
  <c r="K97" i="32"/>
  <c r="K99" i="32" s="1"/>
  <c r="K99" i="5"/>
  <c r="E99" i="5"/>
  <c r="J94" i="32"/>
  <c r="D92" i="32"/>
  <c r="D94" i="5"/>
  <c r="H98" i="32"/>
  <c r="H99" i="32" s="1"/>
  <c r="H99" i="5"/>
  <c r="N99" i="5"/>
  <c r="N97" i="32"/>
  <c r="N99" i="32" s="1"/>
  <c r="G92" i="32"/>
  <c r="G94" i="32" s="1"/>
  <c r="G94" i="5"/>
  <c r="I93" i="32"/>
  <c r="I94" i="32" s="1"/>
  <c r="I94" i="5"/>
  <c r="L99" i="32"/>
  <c r="I98" i="32"/>
  <c r="I99" i="32" s="1"/>
  <c r="I99" i="5"/>
  <c r="C995" i="10"/>
  <c r="D995" i="10" s="1"/>
  <c r="C961" i="10"/>
  <c r="D961" i="10" s="1"/>
  <c r="C180" i="10"/>
  <c r="D180" i="10" s="1"/>
  <c r="C756" i="10"/>
  <c r="D756" i="10" s="1"/>
  <c r="C453" i="10"/>
  <c r="D453" i="10" s="1"/>
  <c r="C861" i="10"/>
  <c r="D861" i="10" s="1"/>
  <c r="C622" i="10"/>
  <c r="D622" i="10" s="1"/>
  <c r="C482" i="10"/>
  <c r="D482" i="10" s="1"/>
  <c r="C148" i="10"/>
  <c r="D148" i="10" s="1"/>
  <c r="C739" i="10"/>
  <c r="D739" i="10" s="1"/>
  <c r="C708" i="10"/>
  <c r="D708" i="10" s="1"/>
  <c r="C467" i="10"/>
  <c r="D467" i="10" s="1"/>
  <c r="C890" i="10"/>
  <c r="D890" i="10" s="1"/>
  <c r="C202" i="10"/>
  <c r="D202" i="10" s="1"/>
  <c r="C554" i="10"/>
  <c r="D554" i="10" s="1"/>
  <c r="C722" i="10"/>
  <c r="D722" i="10" s="1"/>
  <c r="C174" i="10"/>
  <c r="D174" i="10" s="1"/>
  <c r="C924" i="10"/>
  <c r="D924" i="10" s="1"/>
  <c r="C670" i="10"/>
  <c r="D670" i="10" s="1"/>
  <c r="C332" i="10"/>
  <c r="D332" i="10" s="1"/>
  <c r="C455" i="10"/>
  <c r="D455" i="10" s="1"/>
  <c r="C844" i="10"/>
  <c r="D844" i="10" s="1"/>
  <c r="C165" i="10"/>
  <c r="D165" i="10" s="1"/>
  <c r="C833" i="10"/>
  <c r="D833" i="10" s="1"/>
  <c r="C29" i="10"/>
  <c r="D29" i="10" s="1"/>
  <c r="C877" i="10"/>
  <c r="D877" i="10" s="1"/>
  <c r="C500" i="10"/>
  <c r="D500" i="10" s="1"/>
  <c r="C250" i="10"/>
  <c r="D250" i="10" s="1"/>
  <c r="C634" i="10"/>
  <c r="D634" i="10" s="1"/>
  <c r="C629" i="10"/>
  <c r="D629" i="10" s="1"/>
  <c r="C738" i="10"/>
  <c r="D738" i="10" s="1"/>
  <c r="C329" i="10"/>
  <c r="D329" i="10" s="1"/>
  <c r="C859" i="10"/>
  <c r="D859" i="10" s="1"/>
  <c r="C201" i="10"/>
  <c r="D201" i="10" s="1"/>
  <c r="C37" i="10"/>
  <c r="D37" i="10" s="1"/>
  <c r="C839" i="10"/>
  <c r="D839" i="10" s="1"/>
  <c r="C87" i="10"/>
  <c r="D87" i="10" s="1"/>
  <c r="C541" i="10"/>
  <c r="D541" i="10" s="1"/>
  <c r="C374" i="10"/>
  <c r="D374" i="10" s="1"/>
  <c r="C872" i="10"/>
  <c r="D872" i="10" s="1"/>
  <c r="C637" i="10"/>
  <c r="D637" i="10" s="1"/>
  <c r="C669" i="10"/>
  <c r="D669" i="10" s="1"/>
  <c r="C711" i="10"/>
  <c r="D711" i="10" s="1"/>
  <c r="C748" i="10"/>
  <c r="D748" i="10" s="1"/>
  <c r="C794" i="10"/>
  <c r="D794" i="10" s="1"/>
  <c r="C546" i="10"/>
  <c r="D546" i="10" s="1"/>
  <c r="C247" i="10"/>
  <c r="D247" i="10" s="1"/>
  <c r="C955" i="10"/>
  <c r="D955" i="10" s="1"/>
  <c r="C892" i="10"/>
  <c r="D892" i="10" s="1"/>
  <c r="C733" i="10"/>
  <c r="D733" i="10" s="1"/>
  <c r="C419" i="10"/>
  <c r="D419" i="10" s="1"/>
  <c r="C73" i="10"/>
  <c r="D73" i="10" s="1"/>
  <c r="C169" i="10"/>
  <c r="D169" i="10" s="1"/>
  <c r="C915" i="10"/>
  <c r="D915" i="10" s="1"/>
  <c r="C871" i="10"/>
  <c r="D871" i="10" s="1"/>
  <c r="C789" i="10"/>
  <c r="D789" i="10" s="1"/>
  <c r="C225" i="10"/>
  <c r="D225" i="10" s="1"/>
  <c r="C869" i="10"/>
  <c r="D869" i="10" s="1"/>
  <c r="C407" i="10"/>
  <c r="D407" i="10" s="1"/>
  <c r="C434" i="10"/>
  <c r="D434" i="10" s="1"/>
  <c r="C153" i="10"/>
  <c r="D153" i="10" s="1"/>
  <c r="C416" i="10"/>
  <c r="D416" i="10" s="1"/>
  <c r="C682" i="10"/>
  <c r="D682" i="10" s="1"/>
  <c r="C547" i="10"/>
  <c r="D547" i="10" s="1"/>
  <c r="C841" i="10"/>
  <c r="D841" i="10" s="1"/>
  <c r="C758" i="10"/>
  <c r="D758" i="10" s="1"/>
  <c r="C582" i="10"/>
  <c r="D582" i="10" s="1"/>
  <c r="C786" i="10"/>
  <c r="D786" i="10" s="1"/>
  <c r="C207" i="10"/>
  <c r="D207" i="10" s="1"/>
  <c r="C107" i="10"/>
  <c r="D107" i="10" s="1"/>
  <c r="C749" i="10"/>
  <c r="D749" i="10" s="1"/>
  <c r="C702" i="10"/>
  <c r="D702" i="10" s="1"/>
  <c r="C709" i="10"/>
  <c r="D709" i="10" s="1"/>
  <c r="C808" i="10"/>
  <c r="D808" i="10" s="1"/>
  <c r="C321" i="10"/>
  <c r="D321" i="10" s="1"/>
  <c r="C793" i="10"/>
  <c r="D793" i="10" s="1"/>
  <c r="C232" i="10"/>
  <c r="D232" i="10" s="1"/>
  <c r="C600" i="10"/>
  <c r="D600" i="10" s="1"/>
  <c r="C727" i="10"/>
  <c r="D727" i="10" s="1"/>
  <c r="C720" i="10"/>
  <c r="D720" i="10" s="1"/>
  <c r="C930" i="10"/>
  <c r="D930" i="10" s="1"/>
  <c r="C213" i="10"/>
  <c r="D213" i="10" s="1"/>
  <c r="C53" i="10"/>
  <c r="D53" i="10" s="1"/>
  <c r="C47" i="10"/>
  <c r="D47" i="10" s="1"/>
  <c r="C97" i="10"/>
  <c r="D97" i="10" s="1"/>
  <c r="C480" i="10"/>
  <c r="D480" i="10" s="1"/>
  <c r="C356" i="10"/>
  <c r="D356" i="10" s="1"/>
  <c r="C661" i="10"/>
  <c r="D661" i="10" s="1"/>
  <c r="C778" i="10"/>
  <c r="D778" i="10" s="1"/>
  <c r="C913" i="10"/>
  <c r="D913" i="10" s="1"/>
  <c r="C672" i="10"/>
  <c r="D672" i="10" s="1"/>
  <c r="C158" i="10"/>
  <c r="D158" i="10" s="1"/>
  <c r="C337" i="10"/>
  <c r="D337" i="10" s="1"/>
  <c r="C1011" i="10"/>
  <c r="D1011" i="10" s="1"/>
  <c r="C216" i="10"/>
  <c r="D216" i="10" s="1"/>
  <c r="C559" i="10"/>
  <c r="D559" i="10" s="1"/>
  <c r="C490" i="10"/>
  <c r="D490" i="10" s="1"/>
  <c r="L92" i="32"/>
  <c r="L94" i="32" s="1"/>
  <c r="L94" i="5"/>
  <c r="C93" i="32"/>
  <c r="C94" i="5"/>
  <c r="N93" i="32"/>
  <c r="N94" i="32" s="1"/>
  <c r="N94" i="5"/>
  <c r="F99" i="5"/>
  <c r="L99" i="5"/>
  <c r="C97" i="32"/>
  <c r="C99" i="5"/>
  <c r="F99" i="32"/>
  <c r="H94" i="32"/>
  <c r="J94" i="5"/>
  <c r="K73" i="5" l="1"/>
  <c r="C73" i="5"/>
  <c r="C69" i="32"/>
  <c r="C73" i="32" s="1"/>
  <c r="K73" i="32"/>
  <c r="G73" i="5"/>
  <c r="O72" i="32"/>
  <c r="D73" i="32"/>
  <c r="J73" i="5"/>
  <c r="H73" i="5"/>
  <c r="H73" i="32"/>
  <c r="O77" i="32"/>
  <c r="E79" i="32"/>
  <c r="I79" i="32"/>
  <c r="I79" i="5"/>
  <c r="F73" i="32"/>
  <c r="D79" i="32"/>
  <c r="M73" i="32"/>
  <c r="G79" i="32"/>
  <c r="I73" i="5"/>
  <c r="M79" i="32"/>
  <c r="L73" i="32"/>
  <c r="O70" i="32"/>
  <c r="K43" i="5"/>
  <c r="K43" i="32" s="1"/>
  <c r="N79" i="5"/>
  <c r="I69" i="32"/>
  <c r="I73" i="32" s="1"/>
  <c r="J79" i="32"/>
  <c r="L79" i="32"/>
  <c r="J79" i="5"/>
  <c r="M79" i="5"/>
  <c r="O88" i="32"/>
  <c r="N73" i="5"/>
  <c r="C79" i="5"/>
  <c r="G79" i="5"/>
  <c r="H50" i="5"/>
  <c r="H50" i="32" s="1"/>
  <c r="N73" i="32"/>
  <c r="D79" i="5"/>
  <c r="D73" i="5"/>
  <c r="H79" i="32"/>
  <c r="N79" i="32"/>
  <c r="F79" i="32"/>
  <c r="O78" i="32"/>
  <c r="F21" i="5"/>
  <c r="F21" i="32" s="1"/>
  <c r="J23" i="5"/>
  <c r="J23" i="32" s="1"/>
  <c r="M36" i="5"/>
  <c r="M36" i="32" s="1"/>
  <c r="E10" i="5"/>
  <c r="E10" i="32" s="1"/>
  <c r="N57" i="5"/>
  <c r="N57" i="32" s="1"/>
  <c r="E79" i="5"/>
  <c r="O62" i="32"/>
  <c r="O61" i="32"/>
  <c r="H79" i="5"/>
  <c r="H67" i="5" s="1"/>
  <c r="K42" i="5"/>
  <c r="K42" i="32" s="1"/>
  <c r="M73" i="5"/>
  <c r="O64" i="32"/>
  <c r="K79" i="32"/>
  <c r="C79" i="32"/>
  <c r="C67" i="32" s="1"/>
  <c r="L79" i="5"/>
  <c r="E73" i="32"/>
  <c r="F79" i="5"/>
  <c r="E42" i="5"/>
  <c r="E42" i="32" s="1"/>
  <c r="N15" i="5"/>
  <c r="N15" i="32" s="1"/>
  <c r="O76" i="32"/>
  <c r="J35" i="5"/>
  <c r="J35" i="32" s="1"/>
  <c r="H44" i="5"/>
  <c r="H44" i="32" s="1"/>
  <c r="M49" i="5"/>
  <c r="M49" i="32" s="1"/>
  <c r="M6" i="5"/>
  <c r="M6" i="32" s="1"/>
  <c r="D9" i="5"/>
  <c r="D9" i="32" s="1"/>
  <c r="J43" i="5"/>
  <c r="J43" i="32" s="1"/>
  <c r="E48" i="5"/>
  <c r="E48" i="32" s="1"/>
  <c r="K46" i="5"/>
  <c r="K46" i="32" s="1"/>
  <c r="M21" i="5"/>
  <c r="M21" i="32" s="1"/>
  <c r="E20" i="5"/>
  <c r="E20" i="32" s="1"/>
  <c r="E17" i="5"/>
  <c r="E17" i="32" s="1"/>
  <c r="L39" i="5"/>
  <c r="L39" i="32" s="1"/>
  <c r="F41" i="5"/>
  <c r="F41" i="32" s="1"/>
  <c r="L40" i="5"/>
  <c r="L40" i="32" s="1"/>
  <c r="O29" i="5"/>
  <c r="O27" i="5"/>
  <c r="K6" i="5"/>
  <c r="K6" i="32" s="1"/>
  <c r="C35" i="5"/>
  <c r="C35" i="32" s="1"/>
  <c r="I34" i="5"/>
  <c r="I34" i="32" s="1"/>
  <c r="E56" i="5"/>
  <c r="E56" i="32" s="1"/>
  <c r="O10" i="5"/>
  <c r="O79" i="5" s="1"/>
  <c r="M42" i="5"/>
  <c r="M42" i="32" s="1"/>
  <c r="G6" i="5"/>
  <c r="G6" i="32" s="1"/>
  <c r="F38" i="5"/>
  <c r="F38" i="32" s="1"/>
  <c r="I15" i="5"/>
  <c r="I15" i="32" s="1"/>
  <c r="D35" i="5"/>
  <c r="D35" i="32" s="1"/>
  <c r="M16" i="5"/>
  <c r="M16" i="32" s="1"/>
  <c r="G26" i="5"/>
  <c r="G26" i="32" s="1"/>
  <c r="H6" i="5"/>
  <c r="H6" i="32" s="1"/>
  <c r="O59" i="5"/>
  <c r="I42" i="5"/>
  <c r="I42" i="32" s="1"/>
  <c r="E46" i="5"/>
  <c r="E46" i="32" s="1"/>
  <c r="C50" i="5"/>
  <c r="C50" i="32" s="1"/>
  <c r="K22" i="5"/>
  <c r="K22" i="32" s="1"/>
  <c r="F42" i="5"/>
  <c r="F42" i="32" s="1"/>
  <c r="G58" i="5"/>
  <c r="G58" i="32" s="1"/>
  <c r="F30" i="5"/>
  <c r="F30" i="32" s="1"/>
  <c r="M57" i="5"/>
  <c r="M57" i="32" s="1"/>
  <c r="N28" i="5"/>
  <c r="N28" i="32" s="1"/>
  <c r="J22" i="5"/>
  <c r="J22" i="32" s="1"/>
  <c r="E39" i="5"/>
  <c r="E39" i="32" s="1"/>
  <c r="K27" i="5"/>
  <c r="K27" i="32" s="1"/>
  <c r="I44" i="5"/>
  <c r="I44" i="32" s="1"/>
  <c r="N55" i="5"/>
  <c r="N55" i="32" s="1"/>
  <c r="F28" i="5"/>
  <c r="F28" i="32" s="1"/>
  <c r="K28" i="5"/>
  <c r="K28" i="32" s="1"/>
  <c r="F57" i="5"/>
  <c r="F57" i="32" s="1"/>
  <c r="O39" i="5"/>
  <c r="E57" i="5"/>
  <c r="E57" i="32" s="1"/>
  <c r="C26" i="5"/>
  <c r="C26" i="32" s="1"/>
  <c r="J65" i="5"/>
  <c r="J65" i="32" s="1"/>
  <c r="N6" i="5"/>
  <c r="G65" i="5"/>
  <c r="G65" i="32" s="1"/>
  <c r="C41" i="5"/>
  <c r="C41" i="32" s="1"/>
  <c r="G33" i="5"/>
  <c r="G33" i="32" s="1"/>
  <c r="G54" i="5"/>
  <c r="G54" i="32" s="1"/>
  <c r="F32" i="5"/>
  <c r="F32" i="32" s="1"/>
  <c r="O17" i="5"/>
  <c r="N20" i="5"/>
  <c r="N20" i="32" s="1"/>
  <c r="O18" i="5"/>
  <c r="H24" i="5"/>
  <c r="H24" i="32" s="1"/>
  <c r="O14" i="5"/>
  <c r="E31" i="5"/>
  <c r="E31" i="32" s="1"/>
  <c r="E30" i="5"/>
  <c r="E30" i="32" s="1"/>
  <c r="J49" i="5"/>
  <c r="J49" i="32" s="1"/>
  <c r="O28" i="5"/>
  <c r="J31" i="5"/>
  <c r="J31" i="32" s="1"/>
  <c r="H52" i="5"/>
  <c r="H52" i="32" s="1"/>
  <c r="I9" i="5"/>
  <c r="I9" i="32" s="1"/>
  <c r="N60" i="5"/>
  <c r="N60" i="32" s="1"/>
  <c r="I26" i="5"/>
  <c r="I26" i="32" s="1"/>
  <c r="M54" i="5"/>
  <c r="M54" i="32" s="1"/>
  <c r="D26" i="5"/>
  <c r="D26" i="32" s="1"/>
  <c r="E51" i="5"/>
  <c r="E51" i="32" s="1"/>
  <c r="C7" i="5"/>
  <c r="C7" i="32" s="1"/>
  <c r="K50" i="5"/>
  <c r="K50" i="32" s="1"/>
  <c r="L46" i="5"/>
  <c r="L46" i="32" s="1"/>
  <c r="M37" i="5"/>
  <c r="M37" i="32" s="1"/>
  <c r="D31" i="5"/>
  <c r="D31" i="32" s="1"/>
  <c r="H53" i="5"/>
  <c r="H53" i="32" s="1"/>
  <c r="H26" i="5"/>
  <c r="H26" i="32" s="1"/>
  <c r="G44" i="5"/>
  <c r="G44" i="32" s="1"/>
  <c r="H47" i="5"/>
  <c r="H47" i="32" s="1"/>
  <c r="K49" i="5"/>
  <c r="K49" i="32" s="1"/>
  <c r="I41" i="5"/>
  <c r="I41" i="32" s="1"/>
  <c r="H32" i="5"/>
  <c r="H32" i="32" s="1"/>
  <c r="N45" i="5"/>
  <c r="N45" i="32" s="1"/>
  <c r="E55" i="5"/>
  <c r="E55" i="32" s="1"/>
  <c r="M46" i="5"/>
  <c r="M46" i="32" s="1"/>
  <c r="I39" i="5"/>
  <c r="I39" i="32" s="1"/>
  <c r="D44" i="5"/>
  <c r="D44" i="32" s="1"/>
  <c r="G36" i="5"/>
  <c r="G36" i="32" s="1"/>
  <c r="D58" i="5"/>
  <c r="D58" i="32" s="1"/>
  <c r="E14" i="5"/>
  <c r="E14" i="32" s="1"/>
  <c r="F16" i="5"/>
  <c r="F16" i="32" s="1"/>
  <c r="N56" i="5"/>
  <c r="N56" i="32" s="1"/>
  <c r="G22" i="5"/>
  <c r="G22" i="32" s="1"/>
  <c r="D45" i="5"/>
  <c r="D45" i="32" s="1"/>
  <c r="C33" i="5"/>
  <c r="C33" i="32" s="1"/>
  <c r="E34" i="5"/>
  <c r="E34" i="32" s="1"/>
  <c r="L49" i="5"/>
  <c r="L49" i="32" s="1"/>
  <c r="C45" i="5"/>
  <c r="C45" i="32" s="1"/>
  <c r="J54" i="5"/>
  <c r="J54" i="32" s="1"/>
  <c r="F6" i="5"/>
  <c r="F6" i="32" s="1"/>
  <c r="H19" i="5"/>
  <c r="H19" i="32" s="1"/>
  <c r="K65" i="5"/>
  <c r="K65" i="32" s="1"/>
  <c r="M14" i="5"/>
  <c r="M14" i="32" s="1"/>
  <c r="G51" i="5"/>
  <c r="G51" i="32" s="1"/>
  <c r="K45" i="5"/>
  <c r="K45" i="32" s="1"/>
  <c r="E54" i="5"/>
  <c r="E54" i="32" s="1"/>
  <c r="C47" i="5"/>
  <c r="C47" i="32" s="1"/>
  <c r="M18" i="5"/>
  <c r="M18" i="32" s="1"/>
  <c r="H55" i="5"/>
  <c r="H55" i="32" s="1"/>
  <c r="L42" i="5"/>
  <c r="L42" i="32" s="1"/>
  <c r="M40" i="5"/>
  <c r="M40" i="32" s="1"/>
  <c r="L56" i="5"/>
  <c r="L56" i="32" s="1"/>
  <c r="J20" i="5"/>
  <c r="J20" i="32" s="1"/>
  <c r="C42" i="5"/>
  <c r="C42" i="32" s="1"/>
  <c r="O30" i="5"/>
  <c r="N42" i="5"/>
  <c r="N42" i="32" s="1"/>
  <c r="I29" i="5"/>
  <c r="I29" i="32" s="1"/>
  <c r="K32" i="5"/>
  <c r="K32" i="32" s="1"/>
  <c r="L41" i="5"/>
  <c r="L41" i="32" s="1"/>
  <c r="E43" i="5"/>
  <c r="E43" i="32" s="1"/>
  <c r="M29" i="5"/>
  <c r="M29" i="32" s="1"/>
  <c r="D7" i="5"/>
  <c r="D7" i="32" s="1"/>
  <c r="H27" i="5"/>
  <c r="H27" i="32" s="1"/>
  <c r="K33" i="5"/>
  <c r="K33" i="32" s="1"/>
  <c r="D46" i="5"/>
  <c r="D46" i="32" s="1"/>
  <c r="F60" i="5"/>
  <c r="F60" i="32" s="1"/>
  <c r="F18" i="5"/>
  <c r="F18" i="32" s="1"/>
  <c r="H20" i="5"/>
  <c r="H20" i="32" s="1"/>
  <c r="G37" i="5"/>
  <c r="G37" i="32" s="1"/>
  <c r="O23" i="5"/>
  <c r="L7" i="5"/>
  <c r="L7" i="32" s="1"/>
  <c r="F24" i="5"/>
  <c r="F24" i="32" s="1"/>
  <c r="E15" i="5"/>
  <c r="E15" i="32" s="1"/>
  <c r="G19" i="5"/>
  <c r="G19" i="32" s="1"/>
  <c r="L37" i="5"/>
  <c r="L37" i="32" s="1"/>
  <c r="O49" i="5"/>
  <c r="D15" i="5"/>
  <c r="D15" i="32" s="1"/>
  <c r="N33" i="5"/>
  <c r="N33" i="32" s="1"/>
  <c r="L31" i="5"/>
  <c r="L31" i="32" s="1"/>
  <c r="K37" i="5"/>
  <c r="K37" i="32" s="1"/>
  <c r="M55" i="5"/>
  <c r="M55" i="32" s="1"/>
  <c r="O22" i="5"/>
  <c r="G7" i="5"/>
  <c r="G7" i="32" s="1"/>
  <c r="M65" i="5"/>
  <c r="M65" i="32" s="1"/>
  <c r="N58" i="5"/>
  <c r="N58" i="32" s="1"/>
  <c r="H58" i="5"/>
  <c r="H58" i="32" s="1"/>
  <c r="L50" i="5"/>
  <c r="L50" i="32" s="1"/>
  <c r="J30" i="5"/>
  <c r="J30" i="32" s="1"/>
  <c r="D36" i="5"/>
  <c r="D36" i="32" s="1"/>
  <c r="H56" i="5"/>
  <c r="H56" i="32" s="1"/>
  <c r="J58" i="5"/>
  <c r="J58" i="32" s="1"/>
  <c r="I21" i="5"/>
  <c r="I21" i="32" s="1"/>
  <c r="N39" i="5"/>
  <c r="N39" i="32" s="1"/>
  <c r="K9" i="5"/>
  <c r="K9" i="32" s="1"/>
  <c r="D33" i="5"/>
  <c r="D33" i="32" s="1"/>
  <c r="M26" i="5"/>
  <c r="M26" i="32" s="1"/>
  <c r="F56" i="5"/>
  <c r="F56" i="32" s="1"/>
  <c r="D54" i="5"/>
  <c r="D54" i="32" s="1"/>
  <c r="N49" i="5"/>
  <c r="N49" i="32" s="1"/>
  <c r="I48" i="5"/>
  <c r="I48" i="32" s="1"/>
  <c r="E21" i="5"/>
  <c r="E21" i="32" s="1"/>
  <c r="L9" i="5"/>
  <c r="L9" i="32" s="1"/>
  <c r="O20" i="5"/>
  <c r="N24" i="5"/>
  <c r="N24" i="32" s="1"/>
  <c r="D27" i="5"/>
  <c r="D27" i="32" s="1"/>
  <c r="M24" i="5"/>
  <c r="M24" i="32" s="1"/>
  <c r="L17" i="5"/>
  <c r="L17" i="32" s="1"/>
  <c r="G28" i="5"/>
  <c r="G28" i="32" s="1"/>
  <c r="H30" i="5"/>
  <c r="H30" i="32" s="1"/>
  <c r="J39" i="5"/>
  <c r="J39" i="32" s="1"/>
  <c r="F49" i="5"/>
  <c r="F49" i="32" s="1"/>
  <c r="O33" i="5"/>
  <c r="I20" i="5"/>
  <c r="I20" i="32" s="1"/>
  <c r="M30" i="5"/>
  <c r="M30" i="32" s="1"/>
  <c r="N19" i="5"/>
  <c r="N19" i="32" s="1"/>
  <c r="G34" i="5"/>
  <c r="G34" i="32" s="1"/>
  <c r="M59" i="5"/>
  <c r="M59" i="32" s="1"/>
  <c r="K60" i="5"/>
  <c r="K60" i="32" s="1"/>
  <c r="C10" i="5"/>
  <c r="C10" i="32" s="1"/>
  <c r="O48" i="5"/>
  <c r="M52" i="5"/>
  <c r="M52" i="32" s="1"/>
  <c r="L36" i="5"/>
  <c r="L36" i="32" s="1"/>
  <c r="L58" i="5"/>
  <c r="L58" i="32" s="1"/>
  <c r="O54" i="5"/>
  <c r="I33" i="5"/>
  <c r="I33" i="32" s="1"/>
  <c r="G21" i="5"/>
  <c r="G21" i="32" s="1"/>
  <c r="J51" i="5"/>
  <c r="J51" i="32" s="1"/>
  <c r="M47" i="5"/>
  <c r="M47" i="32" s="1"/>
  <c r="N38" i="5"/>
  <c r="N38" i="32" s="1"/>
  <c r="N54" i="5"/>
  <c r="N54" i="32" s="1"/>
  <c r="H57" i="5"/>
  <c r="H57" i="32" s="1"/>
  <c r="G57" i="5"/>
  <c r="G57" i="32" s="1"/>
  <c r="C31" i="5"/>
  <c r="C31" i="32" s="1"/>
  <c r="N52" i="5"/>
  <c r="N52" i="32" s="1"/>
  <c r="N41" i="5"/>
  <c r="N41" i="32" s="1"/>
  <c r="H29" i="5"/>
  <c r="H29" i="32" s="1"/>
  <c r="J29" i="5"/>
  <c r="J29" i="32" s="1"/>
  <c r="K14" i="5"/>
  <c r="K14" i="32" s="1"/>
  <c r="H42" i="5"/>
  <c r="H42" i="32" s="1"/>
  <c r="J19" i="5"/>
  <c r="J19" i="32" s="1"/>
  <c r="H35" i="5"/>
  <c r="H35" i="32" s="1"/>
  <c r="L25" i="5"/>
  <c r="L25" i="32" s="1"/>
  <c r="D19" i="5"/>
  <c r="D19" i="32" s="1"/>
  <c r="N10" i="5"/>
  <c r="N10" i="32" s="1"/>
  <c r="K26" i="5"/>
  <c r="K26" i="32" s="1"/>
  <c r="H25" i="5"/>
  <c r="H25" i="32" s="1"/>
  <c r="E22" i="5"/>
  <c r="E22" i="32" s="1"/>
  <c r="D16" i="5"/>
  <c r="D16" i="32" s="1"/>
  <c r="F45" i="5"/>
  <c r="F45" i="32" s="1"/>
  <c r="M25" i="5"/>
  <c r="M25" i="32" s="1"/>
  <c r="G31" i="5"/>
  <c r="G31" i="32" s="1"/>
  <c r="E23" i="5"/>
  <c r="E23" i="32" s="1"/>
  <c r="N30" i="5"/>
  <c r="N30" i="32" s="1"/>
  <c r="O60" i="5"/>
  <c r="K58" i="5"/>
  <c r="K58" i="32" s="1"/>
  <c r="J38" i="5"/>
  <c r="J38" i="32" s="1"/>
  <c r="O26" i="5"/>
  <c r="I37" i="5"/>
  <c r="I37" i="32" s="1"/>
  <c r="I50" i="5"/>
  <c r="I50" i="32" s="1"/>
  <c r="N48" i="5"/>
  <c r="N48" i="32" s="1"/>
  <c r="J45" i="5"/>
  <c r="J45" i="32" s="1"/>
  <c r="M51" i="5"/>
  <c r="M51" i="32" s="1"/>
  <c r="E52" i="5"/>
  <c r="E52" i="32" s="1"/>
  <c r="C43" i="5"/>
  <c r="C43" i="32" s="1"/>
  <c r="D42" i="5"/>
  <c r="D42" i="32" s="1"/>
  <c r="L43" i="5"/>
  <c r="L43" i="32" s="1"/>
  <c r="I7" i="5"/>
  <c r="I7" i="32" s="1"/>
  <c r="C15" i="5"/>
  <c r="C15" i="32" s="1"/>
  <c r="C60" i="5"/>
  <c r="C60" i="32" s="1"/>
  <c r="O41" i="5"/>
  <c r="K16" i="5"/>
  <c r="K16" i="32" s="1"/>
  <c r="G18" i="5"/>
  <c r="G18" i="32" s="1"/>
  <c r="I25" i="5"/>
  <c r="I25" i="32" s="1"/>
  <c r="L20" i="5"/>
  <c r="L20" i="32" s="1"/>
  <c r="E53" i="5"/>
  <c r="E53" i="32" s="1"/>
  <c r="O52" i="5"/>
  <c r="L59" i="5"/>
  <c r="L59" i="32" s="1"/>
  <c r="E33" i="5"/>
  <c r="E33" i="32" s="1"/>
  <c r="J17" i="5"/>
  <c r="J17" i="32" s="1"/>
  <c r="K21" i="5"/>
  <c r="K21" i="32" s="1"/>
  <c r="O42" i="5"/>
  <c r="M41" i="5"/>
  <c r="M41" i="32" s="1"/>
  <c r="D10" i="5"/>
  <c r="D10" i="32" s="1"/>
  <c r="I31" i="5"/>
  <c r="I31" i="32" s="1"/>
  <c r="H40" i="5"/>
  <c r="H40" i="32" s="1"/>
  <c r="J14" i="5"/>
  <c r="J14" i="32" s="1"/>
  <c r="I43" i="5"/>
  <c r="I43" i="32" s="1"/>
  <c r="N22" i="5"/>
  <c r="N22" i="32" s="1"/>
  <c r="I27" i="5"/>
  <c r="I27" i="32" s="1"/>
  <c r="I54" i="5"/>
  <c r="I54" i="32" s="1"/>
  <c r="G38" i="5"/>
  <c r="G38" i="32" s="1"/>
  <c r="J33" i="5"/>
  <c r="J33" i="32" s="1"/>
  <c r="H38" i="5"/>
  <c r="H38" i="32" s="1"/>
  <c r="H49" i="5"/>
  <c r="H49" i="32" s="1"/>
  <c r="J27" i="5"/>
  <c r="J27" i="32" s="1"/>
  <c r="J57" i="5"/>
  <c r="J57" i="32" s="1"/>
  <c r="F20" i="5"/>
  <c r="F20" i="32" s="1"/>
  <c r="F55" i="5"/>
  <c r="F55" i="32" s="1"/>
  <c r="L14" i="5"/>
  <c r="L14" i="32" s="1"/>
  <c r="N27" i="5"/>
  <c r="N27" i="32" s="1"/>
  <c r="D59" i="5"/>
  <c r="D59" i="32" s="1"/>
  <c r="O16" i="5"/>
  <c r="N50" i="5"/>
  <c r="N50" i="32" s="1"/>
  <c r="K40" i="5"/>
  <c r="K40" i="32" s="1"/>
  <c r="L57" i="5"/>
  <c r="L57" i="32" s="1"/>
  <c r="C57" i="5"/>
  <c r="C57" i="32" s="1"/>
  <c r="E6" i="5"/>
  <c r="E6" i="32" s="1"/>
  <c r="L44" i="5"/>
  <c r="L44" i="32" s="1"/>
  <c r="D43" i="5"/>
  <c r="D43" i="32" s="1"/>
  <c r="I60" i="5"/>
  <c r="I60" i="32" s="1"/>
  <c r="E41" i="5"/>
  <c r="E41" i="32" s="1"/>
  <c r="F54" i="5"/>
  <c r="F54" i="32" s="1"/>
  <c r="M23" i="5"/>
  <c r="M23" i="32" s="1"/>
  <c r="F51" i="5"/>
  <c r="F51" i="32" s="1"/>
  <c r="M48" i="5"/>
  <c r="M48" i="32" s="1"/>
  <c r="O50" i="5"/>
  <c r="G47" i="5"/>
  <c r="G47" i="32" s="1"/>
  <c r="F34" i="5"/>
  <c r="F34" i="32" s="1"/>
  <c r="K20" i="5"/>
  <c r="K20" i="32" s="1"/>
  <c r="J60" i="5"/>
  <c r="J60" i="32" s="1"/>
  <c r="H51" i="5"/>
  <c r="H51" i="32" s="1"/>
  <c r="N7" i="5"/>
  <c r="N7" i="32" s="1"/>
  <c r="E7" i="5"/>
  <c r="E7" i="32" s="1"/>
  <c r="E19" i="5"/>
  <c r="E19" i="32" s="1"/>
  <c r="N18" i="5"/>
  <c r="N18" i="32" s="1"/>
  <c r="H10" i="5"/>
  <c r="H10" i="32" s="1"/>
  <c r="C6" i="5"/>
  <c r="C6" i="32" s="1"/>
  <c r="H60" i="5"/>
  <c r="H60" i="32" s="1"/>
  <c r="D52" i="5"/>
  <c r="D52" i="32" s="1"/>
  <c r="I45" i="5"/>
  <c r="I45" i="32" s="1"/>
  <c r="M39" i="5"/>
  <c r="M39" i="32" s="1"/>
  <c r="H22" i="5"/>
  <c r="H22" i="32" s="1"/>
  <c r="F17" i="5"/>
  <c r="F17" i="32" s="1"/>
  <c r="F7" i="5"/>
  <c r="F7" i="32" s="1"/>
  <c r="G59" i="5"/>
  <c r="G59" i="32" s="1"/>
  <c r="O36" i="5"/>
  <c r="E59" i="5"/>
  <c r="E59" i="32" s="1"/>
  <c r="L6" i="5"/>
  <c r="C56" i="5"/>
  <c r="C56" i="32" s="1"/>
  <c r="I65" i="5"/>
  <c r="I65" i="32" s="1"/>
  <c r="J41" i="5"/>
  <c r="J41" i="32" s="1"/>
  <c r="M19" i="5"/>
  <c r="M19" i="32" s="1"/>
  <c r="L38" i="5"/>
  <c r="L38" i="32" s="1"/>
  <c r="F40" i="5"/>
  <c r="F40" i="32" s="1"/>
  <c r="J26" i="5"/>
  <c r="J26" i="32" s="1"/>
  <c r="D51" i="5"/>
  <c r="D51" i="32" s="1"/>
  <c r="E40" i="5"/>
  <c r="E40" i="32" s="1"/>
  <c r="I14" i="5"/>
  <c r="I14" i="32" s="1"/>
  <c r="E45" i="5"/>
  <c r="E45" i="32" s="1"/>
  <c r="K17" i="5"/>
  <c r="K17" i="32" s="1"/>
  <c r="H41" i="5"/>
  <c r="H41" i="32" s="1"/>
  <c r="L23" i="5"/>
  <c r="L23" i="32" s="1"/>
  <c r="C25" i="5"/>
  <c r="C25" i="32" s="1"/>
  <c r="E29" i="5"/>
  <c r="E29" i="32" s="1"/>
  <c r="H23" i="5"/>
  <c r="H23" i="32" s="1"/>
  <c r="O19" i="5"/>
  <c r="I59" i="5"/>
  <c r="I59" i="32" s="1"/>
  <c r="K59" i="5"/>
  <c r="K59" i="32" s="1"/>
  <c r="G55" i="5"/>
  <c r="G55" i="32" s="1"/>
  <c r="E16" i="5"/>
  <c r="E16" i="32" s="1"/>
  <c r="D6" i="5"/>
  <c r="D6" i="32" s="1"/>
  <c r="I23" i="5"/>
  <c r="I23" i="32" s="1"/>
  <c r="D49" i="5"/>
  <c r="D49" i="32" s="1"/>
  <c r="J7" i="5"/>
  <c r="J7" i="32" s="1"/>
  <c r="H7" i="5"/>
  <c r="H7" i="32" s="1"/>
  <c r="E35" i="5"/>
  <c r="E35" i="32" s="1"/>
  <c r="J32" i="5"/>
  <c r="J32" i="32" s="1"/>
  <c r="D24" i="5"/>
  <c r="D24" i="32" s="1"/>
  <c r="C49" i="5"/>
  <c r="C49" i="32" s="1"/>
  <c r="F36" i="5"/>
  <c r="F36" i="32" s="1"/>
  <c r="F23" i="5"/>
  <c r="F23" i="32" s="1"/>
  <c r="H9" i="5"/>
  <c r="H9" i="32" s="1"/>
  <c r="G29" i="5"/>
  <c r="G29" i="32" s="1"/>
  <c r="C36" i="5"/>
  <c r="C36" i="32" s="1"/>
  <c r="C22" i="5"/>
  <c r="C22" i="32" s="1"/>
  <c r="K47" i="5"/>
  <c r="K47" i="32" s="1"/>
  <c r="L45" i="5"/>
  <c r="L45" i="32" s="1"/>
  <c r="O47" i="5"/>
  <c r="I53" i="5"/>
  <c r="I53" i="32" s="1"/>
  <c r="I57" i="5"/>
  <c r="I57" i="32" s="1"/>
  <c r="L55" i="5"/>
  <c r="L55" i="32" s="1"/>
  <c r="J21" i="5"/>
  <c r="J21" i="32" s="1"/>
  <c r="M22" i="5"/>
  <c r="M22" i="32" s="1"/>
  <c r="O43" i="5"/>
  <c r="C39" i="5"/>
  <c r="C39" i="32" s="1"/>
  <c r="D20" i="5"/>
  <c r="D20" i="32" s="1"/>
  <c r="F58" i="5"/>
  <c r="F58" i="32" s="1"/>
  <c r="L18" i="5"/>
  <c r="L18" i="32" s="1"/>
  <c r="J42" i="5"/>
  <c r="J42" i="32" s="1"/>
  <c r="N17" i="5"/>
  <c r="N17" i="32" s="1"/>
  <c r="L29" i="5"/>
  <c r="L29" i="32" s="1"/>
  <c r="M56" i="5"/>
  <c r="M56" i="32" s="1"/>
  <c r="K24" i="5"/>
  <c r="K24" i="32" s="1"/>
  <c r="O9" i="5"/>
  <c r="L65" i="5"/>
  <c r="L65" i="32" s="1"/>
  <c r="I52" i="5"/>
  <c r="I52" i="32" s="1"/>
  <c r="H21" i="5"/>
  <c r="H21" i="32" s="1"/>
  <c r="D38" i="5"/>
  <c r="D38" i="32" s="1"/>
  <c r="H33" i="5"/>
  <c r="H33" i="32" s="1"/>
  <c r="O34" i="5"/>
  <c r="C58" i="5"/>
  <c r="C58" i="32" s="1"/>
  <c r="L47" i="5"/>
  <c r="L47" i="32" s="1"/>
  <c r="J18" i="5"/>
  <c r="J18" i="32" s="1"/>
  <c r="O32" i="5"/>
  <c r="K34" i="5"/>
  <c r="K34" i="32" s="1"/>
  <c r="K7" i="5"/>
  <c r="K7" i="32" s="1"/>
  <c r="K44" i="5"/>
  <c r="K44" i="32" s="1"/>
  <c r="G39" i="5"/>
  <c r="G39" i="32" s="1"/>
  <c r="O55" i="5"/>
  <c r="D41" i="5"/>
  <c r="D41" i="32" s="1"/>
  <c r="D21" i="5"/>
  <c r="D21" i="32" s="1"/>
  <c r="D60" i="5"/>
  <c r="D60" i="32" s="1"/>
  <c r="L35" i="5"/>
  <c r="L35" i="32" s="1"/>
  <c r="L10" i="5"/>
  <c r="L10" i="32" s="1"/>
  <c r="I56" i="5"/>
  <c r="I56" i="32" s="1"/>
  <c r="C20" i="5"/>
  <c r="C20" i="32" s="1"/>
  <c r="H28" i="5"/>
  <c r="H28" i="32" s="1"/>
  <c r="O40" i="5"/>
  <c r="C30" i="5"/>
  <c r="C30" i="32" s="1"/>
  <c r="M58" i="5"/>
  <c r="M58" i="32" s="1"/>
  <c r="J40" i="5"/>
  <c r="J40" i="32" s="1"/>
  <c r="F27" i="5"/>
  <c r="F27" i="32" s="1"/>
  <c r="M20" i="5"/>
  <c r="M20" i="32" s="1"/>
  <c r="N44" i="5"/>
  <c r="N44" i="32" s="1"/>
  <c r="H17" i="5"/>
  <c r="H17" i="32" s="1"/>
  <c r="O46" i="5"/>
  <c r="D25" i="5"/>
  <c r="D25" i="32" s="1"/>
  <c r="I40" i="5"/>
  <c r="I40" i="32" s="1"/>
  <c r="D22" i="5"/>
  <c r="D22" i="32" s="1"/>
  <c r="G27" i="5"/>
  <c r="G27" i="32" s="1"/>
  <c r="F52" i="5"/>
  <c r="F52" i="32" s="1"/>
  <c r="M27" i="5"/>
  <c r="M27" i="32" s="1"/>
  <c r="K31" i="5"/>
  <c r="K31" i="32" s="1"/>
  <c r="M50" i="5"/>
  <c r="M50" i="32" s="1"/>
  <c r="O38" i="5"/>
  <c r="D50" i="5"/>
  <c r="D50" i="32" s="1"/>
  <c r="N59" i="5"/>
  <c r="N59" i="32" s="1"/>
  <c r="J34" i="5"/>
  <c r="J34" i="32" s="1"/>
  <c r="J9" i="5"/>
  <c r="J9" i="32" s="1"/>
  <c r="G49" i="5"/>
  <c r="G49" i="32" s="1"/>
  <c r="N16" i="5"/>
  <c r="N16" i="32" s="1"/>
  <c r="F73" i="5"/>
  <c r="D89" i="32"/>
  <c r="K79" i="5"/>
  <c r="K67" i="5" s="1"/>
  <c r="K67" i="32"/>
  <c r="M67" i="32"/>
  <c r="L73" i="5"/>
  <c r="E67" i="32"/>
  <c r="O93" i="32"/>
  <c r="E73" i="5"/>
  <c r="J44" i="5"/>
  <c r="J44" i="32" s="1"/>
  <c r="C59" i="5"/>
  <c r="C59" i="32" s="1"/>
  <c r="N25" i="5"/>
  <c r="N25" i="32" s="1"/>
  <c r="J59" i="5"/>
  <c r="J59" i="32" s="1"/>
  <c r="G89" i="32"/>
  <c r="O87" i="32"/>
  <c r="F31" i="5"/>
  <c r="F31" i="32" s="1"/>
  <c r="O73" i="5"/>
  <c r="E36" i="5"/>
  <c r="E36" i="32" s="1"/>
  <c r="N31" i="5"/>
  <c r="N31" i="32" s="1"/>
  <c r="D55" i="5"/>
  <c r="D55" i="32" s="1"/>
  <c r="K30" i="5"/>
  <c r="K30" i="32" s="1"/>
  <c r="C37" i="5"/>
  <c r="C37" i="32" s="1"/>
  <c r="G15" i="5"/>
  <c r="G15" i="32" s="1"/>
  <c r="C19" i="5"/>
  <c r="C19" i="32" s="1"/>
  <c r="E18" i="5"/>
  <c r="E18" i="32" s="1"/>
  <c r="H43" i="5"/>
  <c r="H43" i="32" s="1"/>
  <c r="G40" i="5"/>
  <c r="G40" i="32" s="1"/>
  <c r="H15" i="5"/>
  <c r="H15" i="32" s="1"/>
  <c r="D53" i="5"/>
  <c r="D53" i="32" s="1"/>
  <c r="C40" i="5"/>
  <c r="C40" i="32" s="1"/>
  <c r="H31" i="5"/>
  <c r="H31" i="32" s="1"/>
  <c r="N36" i="5"/>
  <c r="N36" i="32" s="1"/>
  <c r="C21" i="5"/>
  <c r="C21" i="32" s="1"/>
  <c r="D48" i="5"/>
  <c r="D48" i="32" s="1"/>
  <c r="H54" i="5"/>
  <c r="H54" i="32" s="1"/>
  <c r="F33" i="5"/>
  <c r="F33" i="32" s="1"/>
  <c r="L15" i="5"/>
  <c r="L15" i="32" s="1"/>
  <c r="F22" i="5"/>
  <c r="F22" i="32" s="1"/>
  <c r="E24" i="5"/>
  <c r="E24" i="32" s="1"/>
  <c r="F9" i="5"/>
  <c r="F9" i="32" s="1"/>
  <c r="G45" i="5"/>
  <c r="G45" i="32" s="1"/>
  <c r="I18" i="5"/>
  <c r="I18" i="32" s="1"/>
  <c r="C29" i="5"/>
  <c r="C29" i="32" s="1"/>
  <c r="K18" i="5"/>
  <c r="K18" i="32" s="1"/>
  <c r="D47" i="5"/>
  <c r="D47" i="32" s="1"/>
  <c r="C51" i="5"/>
  <c r="C51" i="32" s="1"/>
  <c r="D17" i="5"/>
  <c r="D17" i="32" s="1"/>
  <c r="I17" i="5"/>
  <c r="I17" i="32" s="1"/>
  <c r="F10" i="5"/>
  <c r="F10" i="32" s="1"/>
  <c r="N32" i="5"/>
  <c r="N32" i="32" s="1"/>
  <c r="C54" i="5"/>
  <c r="C54" i="32" s="1"/>
  <c r="F37" i="5"/>
  <c r="F37" i="32" s="1"/>
  <c r="G60" i="5"/>
  <c r="G60" i="32" s="1"/>
  <c r="G30" i="5"/>
  <c r="G30" i="32" s="1"/>
  <c r="G14" i="5"/>
  <c r="G14" i="32" s="1"/>
  <c r="I28" i="5"/>
  <c r="I28" i="32" s="1"/>
  <c r="J24" i="5"/>
  <c r="J24" i="32" s="1"/>
  <c r="O44" i="5"/>
  <c r="I67" i="32"/>
  <c r="E38" i="5"/>
  <c r="E38" i="32" s="1"/>
  <c r="F39" i="5"/>
  <c r="F39" i="32" s="1"/>
  <c r="H59" i="5"/>
  <c r="H59" i="32" s="1"/>
  <c r="G23" i="5"/>
  <c r="G23" i="32" s="1"/>
  <c r="I36" i="5"/>
  <c r="I36" i="32" s="1"/>
  <c r="K41" i="5"/>
  <c r="K41" i="32" s="1"/>
  <c r="C38" i="5"/>
  <c r="C38" i="32" s="1"/>
  <c r="C24" i="5"/>
  <c r="C24" i="32" s="1"/>
  <c r="L33" i="5"/>
  <c r="L33" i="32" s="1"/>
  <c r="F15" i="5"/>
  <c r="F15" i="32" s="1"/>
  <c r="C44" i="5"/>
  <c r="C44" i="32" s="1"/>
  <c r="G42" i="5"/>
  <c r="G42" i="32" s="1"/>
  <c r="K54" i="5"/>
  <c r="K54" i="32" s="1"/>
  <c r="E44" i="5"/>
  <c r="E44" i="32" s="1"/>
  <c r="D29" i="5"/>
  <c r="D29" i="32" s="1"/>
  <c r="O37" i="5"/>
  <c r="N37" i="5"/>
  <c r="N37" i="32" s="1"/>
  <c r="J55" i="5"/>
  <c r="J55" i="32" s="1"/>
  <c r="K38" i="5"/>
  <c r="K38" i="32" s="1"/>
  <c r="G52" i="5"/>
  <c r="G52" i="32" s="1"/>
  <c r="C17" i="5"/>
  <c r="C17" i="32" s="1"/>
  <c r="M44" i="5"/>
  <c r="M44" i="32" s="1"/>
  <c r="J15" i="5"/>
  <c r="J15" i="32" s="1"/>
  <c r="N35" i="5"/>
  <c r="N35" i="32" s="1"/>
  <c r="D32" i="5"/>
  <c r="D32" i="32" s="1"/>
  <c r="O31" i="5"/>
  <c r="E26" i="5"/>
  <c r="E26" i="32" s="1"/>
  <c r="N23" i="5"/>
  <c r="N23" i="32" s="1"/>
  <c r="J37" i="5"/>
  <c r="J37" i="32" s="1"/>
  <c r="I22" i="5"/>
  <c r="I22" i="32" s="1"/>
  <c r="K57" i="5"/>
  <c r="K57" i="32" s="1"/>
  <c r="M32" i="5"/>
  <c r="M32" i="32" s="1"/>
  <c r="I6" i="5"/>
  <c r="I6" i="32" s="1"/>
  <c r="C27" i="5"/>
  <c r="C27" i="32" s="1"/>
  <c r="D34" i="5"/>
  <c r="D34" i="32" s="1"/>
  <c r="L26" i="5"/>
  <c r="L26" i="32" s="1"/>
  <c r="K53" i="5"/>
  <c r="K53" i="32" s="1"/>
  <c r="N40" i="5"/>
  <c r="N40" i="32" s="1"/>
  <c r="C16" i="5"/>
  <c r="C16" i="32" s="1"/>
  <c r="J28" i="5"/>
  <c r="J28" i="32" s="1"/>
  <c r="H37" i="5"/>
  <c r="H37" i="32" s="1"/>
  <c r="I38" i="5"/>
  <c r="I38" i="32" s="1"/>
  <c r="M15" i="5"/>
  <c r="M15" i="32" s="1"/>
  <c r="N43" i="5"/>
  <c r="N43" i="32" s="1"/>
  <c r="G20" i="5"/>
  <c r="G20" i="32" s="1"/>
  <c r="I47" i="5"/>
  <c r="I47" i="32" s="1"/>
  <c r="M17" i="5"/>
  <c r="M17" i="32" s="1"/>
  <c r="G41" i="5"/>
  <c r="G41" i="32" s="1"/>
  <c r="N47" i="5"/>
  <c r="N47" i="32" s="1"/>
  <c r="I51" i="5"/>
  <c r="I51" i="32" s="1"/>
  <c r="J56" i="5"/>
  <c r="J56" i="32" s="1"/>
  <c r="O35" i="5"/>
  <c r="E65" i="5"/>
  <c r="E65" i="32" s="1"/>
  <c r="J48" i="5"/>
  <c r="J48" i="32" s="1"/>
  <c r="E58" i="5"/>
  <c r="E58" i="32" s="1"/>
  <c r="F50" i="5"/>
  <c r="F50" i="32" s="1"/>
  <c r="F46" i="5"/>
  <c r="F46" i="32" s="1"/>
  <c r="D40" i="5"/>
  <c r="D40" i="32" s="1"/>
  <c r="J25" i="5"/>
  <c r="J25" i="32" s="1"/>
  <c r="G50" i="5"/>
  <c r="G50" i="32" s="1"/>
  <c r="D94" i="32"/>
  <c r="O92" i="32"/>
  <c r="M9" i="5"/>
  <c r="M9" i="32" s="1"/>
  <c r="C53" i="5"/>
  <c r="C53" i="32" s="1"/>
  <c r="L22" i="5"/>
  <c r="L22" i="32" s="1"/>
  <c r="M7" i="5"/>
  <c r="M7" i="32" s="1"/>
  <c r="K39" i="5"/>
  <c r="K39" i="32" s="1"/>
  <c r="I49" i="5"/>
  <c r="I49" i="32" s="1"/>
  <c r="J36" i="5"/>
  <c r="J36" i="32" s="1"/>
  <c r="I35" i="5"/>
  <c r="I35" i="32" s="1"/>
  <c r="H14" i="5"/>
  <c r="H14" i="32" s="1"/>
  <c r="O51" i="5"/>
  <c r="N21" i="5"/>
  <c r="N21" i="32" s="1"/>
  <c r="J6" i="5"/>
  <c r="J6" i="32" s="1"/>
  <c r="G53" i="5"/>
  <c r="G53" i="32" s="1"/>
  <c r="F29" i="5"/>
  <c r="F29" i="32" s="1"/>
  <c r="I10" i="5"/>
  <c r="I10" i="32" s="1"/>
  <c r="G46" i="5"/>
  <c r="G46" i="32" s="1"/>
  <c r="K19" i="5"/>
  <c r="K19" i="32" s="1"/>
  <c r="I16" i="5"/>
  <c r="I16" i="32" s="1"/>
  <c r="E49" i="5"/>
  <c r="E49" i="32" s="1"/>
  <c r="G17" i="5"/>
  <c r="G17" i="32" s="1"/>
  <c r="L19" i="5"/>
  <c r="L19" i="32" s="1"/>
  <c r="F25" i="5"/>
  <c r="F25" i="32" s="1"/>
  <c r="E37" i="5"/>
  <c r="E37" i="32" s="1"/>
  <c r="E32" i="5"/>
  <c r="E32" i="32" s="1"/>
  <c r="L54" i="5"/>
  <c r="L54" i="32" s="1"/>
  <c r="I46" i="5"/>
  <c r="I46" i="32" s="1"/>
  <c r="M53" i="5"/>
  <c r="M53" i="32" s="1"/>
  <c r="L30" i="5"/>
  <c r="L30" i="32" s="1"/>
  <c r="C48" i="5"/>
  <c r="C48" i="32" s="1"/>
  <c r="N26" i="5"/>
  <c r="N26" i="32" s="1"/>
  <c r="C28" i="5"/>
  <c r="C28" i="32" s="1"/>
  <c r="N51" i="5"/>
  <c r="N51" i="32" s="1"/>
  <c r="N65" i="5"/>
  <c r="N65" i="32" s="1"/>
  <c r="D18" i="5"/>
  <c r="D18" i="32" s="1"/>
  <c r="M43" i="5"/>
  <c r="M43" i="32" s="1"/>
  <c r="C34" i="5"/>
  <c r="C34" i="32" s="1"/>
  <c r="E47" i="5"/>
  <c r="E47" i="32" s="1"/>
  <c r="L24" i="5"/>
  <c r="L24" i="32" s="1"/>
  <c r="L60" i="5"/>
  <c r="L60" i="32" s="1"/>
  <c r="F53" i="5"/>
  <c r="F53" i="32" s="1"/>
  <c r="K51" i="5"/>
  <c r="K51" i="32" s="1"/>
  <c r="M35" i="5"/>
  <c r="M35" i="32" s="1"/>
  <c r="E50" i="5"/>
  <c r="E50" i="32" s="1"/>
  <c r="K29" i="5"/>
  <c r="K29" i="32" s="1"/>
  <c r="L16" i="5"/>
  <c r="L16" i="32" s="1"/>
  <c r="H36" i="5"/>
  <c r="H36" i="32" s="1"/>
  <c r="M60" i="5"/>
  <c r="M60" i="32" s="1"/>
  <c r="I24" i="5"/>
  <c r="I24" i="32" s="1"/>
  <c r="O56" i="5"/>
  <c r="K36" i="5"/>
  <c r="K36" i="32" s="1"/>
  <c r="E9" i="5"/>
  <c r="E9" i="32" s="1"/>
  <c r="J10" i="5"/>
  <c r="J10" i="32" s="1"/>
  <c r="F19" i="5"/>
  <c r="F19" i="32" s="1"/>
  <c r="G32" i="5"/>
  <c r="G32" i="32" s="1"/>
  <c r="I30" i="5"/>
  <c r="I30" i="32" s="1"/>
  <c r="L51" i="5"/>
  <c r="L51" i="32" s="1"/>
  <c r="D28" i="5"/>
  <c r="D28" i="32" s="1"/>
  <c r="O53" i="5"/>
  <c r="G25" i="5"/>
  <c r="G25" i="32" s="1"/>
  <c r="H45" i="5"/>
  <c r="H45" i="32" s="1"/>
  <c r="L28" i="5"/>
  <c r="L28" i="32" s="1"/>
  <c r="G35" i="5"/>
  <c r="G35" i="32" s="1"/>
  <c r="J16" i="5"/>
  <c r="J16" i="32" s="1"/>
  <c r="K35" i="5"/>
  <c r="K35" i="32" s="1"/>
  <c r="G16" i="5"/>
  <c r="G16" i="32" s="1"/>
  <c r="O6" i="5"/>
  <c r="C32" i="5"/>
  <c r="C32" i="32" s="1"/>
  <c r="H16" i="5"/>
  <c r="H16" i="32" s="1"/>
  <c r="D14" i="5"/>
  <c r="D14" i="32" s="1"/>
  <c r="N34" i="5"/>
  <c r="N34" i="32" s="1"/>
  <c r="K15" i="5"/>
  <c r="K15" i="32" s="1"/>
  <c r="F43" i="5"/>
  <c r="F43" i="32" s="1"/>
  <c r="F35" i="5"/>
  <c r="F35" i="32" s="1"/>
  <c r="C9" i="5"/>
  <c r="C9" i="32" s="1"/>
  <c r="H48" i="5"/>
  <c r="H48" i="32" s="1"/>
  <c r="F65" i="5"/>
  <c r="F65" i="32" s="1"/>
  <c r="I55" i="5"/>
  <c r="I55" i="32" s="1"/>
  <c r="O97" i="32"/>
  <c r="C99" i="32"/>
  <c r="K55" i="5"/>
  <c r="K55" i="32" s="1"/>
  <c r="E28" i="5"/>
  <c r="E28" i="32" s="1"/>
  <c r="H18" i="5"/>
  <c r="H18" i="32" s="1"/>
  <c r="L32" i="5"/>
  <c r="L32" i="32" s="1"/>
  <c r="O45" i="5"/>
  <c r="H46" i="5"/>
  <c r="H46" i="32" s="1"/>
  <c r="M10" i="5"/>
  <c r="M10" i="32" s="1"/>
  <c r="J53" i="5"/>
  <c r="J53" i="32" s="1"/>
  <c r="G24" i="5"/>
  <c r="G24" i="32" s="1"/>
  <c r="L52" i="5"/>
  <c r="L52" i="32" s="1"/>
  <c r="K52" i="5"/>
  <c r="K52" i="32" s="1"/>
  <c r="K48" i="5"/>
  <c r="K48" i="32" s="1"/>
  <c r="N29" i="5"/>
  <c r="N29" i="32" s="1"/>
  <c r="K56" i="5"/>
  <c r="K56" i="32" s="1"/>
  <c r="H65" i="5"/>
  <c r="H65" i="32" s="1"/>
  <c r="F26" i="5"/>
  <c r="F26" i="32" s="1"/>
  <c r="K23" i="5"/>
  <c r="K23" i="32" s="1"/>
  <c r="K25" i="5"/>
  <c r="K25" i="32" s="1"/>
  <c r="F59" i="5"/>
  <c r="F59" i="32" s="1"/>
  <c r="N46" i="5"/>
  <c r="N46" i="32" s="1"/>
  <c r="D23" i="5"/>
  <c r="D23" i="32" s="1"/>
  <c r="F47" i="5"/>
  <c r="F47" i="32" s="1"/>
  <c r="O25" i="5"/>
  <c r="C55" i="5"/>
  <c r="C55" i="32" s="1"/>
  <c r="D56" i="5"/>
  <c r="D56" i="32" s="1"/>
  <c r="I19" i="5"/>
  <c r="I19" i="32" s="1"/>
  <c r="J47" i="5"/>
  <c r="J47" i="32" s="1"/>
  <c r="J50" i="5"/>
  <c r="J50" i="32" s="1"/>
  <c r="F48" i="5"/>
  <c r="F48" i="32" s="1"/>
  <c r="I58" i="5"/>
  <c r="I58" i="32" s="1"/>
  <c r="N14" i="5"/>
  <c r="O58" i="5"/>
  <c r="I32" i="5"/>
  <c r="I32" i="32" s="1"/>
  <c r="K10" i="5"/>
  <c r="K10" i="32" s="1"/>
  <c r="D39" i="5"/>
  <c r="D39" i="32" s="1"/>
  <c r="D37" i="5"/>
  <c r="D37" i="32" s="1"/>
  <c r="C65" i="5"/>
  <c r="C65" i="32" s="1"/>
  <c r="G10" i="5"/>
  <c r="G10" i="32" s="1"/>
  <c r="G56" i="5"/>
  <c r="G56" i="32" s="1"/>
  <c r="G43" i="5"/>
  <c r="G43" i="32" s="1"/>
  <c r="G48" i="5"/>
  <c r="G48" i="32" s="1"/>
  <c r="L48" i="5"/>
  <c r="L48" i="32" s="1"/>
  <c r="C18" i="5"/>
  <c r="C18" i="32" s="1"/>
  <c r="O24" i="5"/>
  <c r="M28" i="5"/>
  <c r="M28" i="32" s="1"/>
  <c r="M33" i="5"/>
  <c r="M33" i="32" s="1"/>
  <c r="L53" i="5"/>
  <c r="L53" i="32" s="1"/>
  <c r="F44" i="5"/>
  <c r="F44" i="32" s="1"/>
  <c r="N9" i="5"/>
  <c r="N9" i="32" s="1"/>
  <c r="E25" i="5"/>
  <c r="E25" i="32" s="1"/>
  <c r="L21" i="5"/>
  <c r="L21" i="32" s="1"/>
  <c r="M34" i="5"/>
  <c r="M34" i="32" s="1"/>
  <c r="F14" i="5"/>
  <c r="F14" i="32" s="1"/>
  <c r="J52" i="5"/>
  <c r="J52" i="32" s="1"/>
  <c r="C23" i="5"/>
  <c r="C23" i="32" s="1"/>
  <c r="O21" i="5"/>
  <c r="O57" i="5"/>
  <c r="C46" i="5"/>
  <c r="C46" i="32" s="1"/>
  <c r="H39" i="5"/>
  <c r="H39" i="32" s="1"/>
  <c r="N53" i="5"/>
  <c r="N53" i="32" s="1"/>
  <c r="M38" i="5"/>
  <c r="M38" i="32" s="1"/>
  <c r="O15" i="5"/>
  <c r="L27" i="5"/>
  <c r="L27" i="32" s="1"/>
  <c r="E27" i="5"/>
  <c r="E27" i="32" s="1"/>
  <c r="D30" i="5"/>
  <c r="D30" i="32" s="1"/>
  <c r="G9" i="5"/>
  <c r="G9" i="32" s="1"/>
  <c r="O7" i="5"/>
  <c r="O65" i="5"/>
  <c r="E60" i="5"/>
  <c r="E60" i="32" s="1"/>
  <c r="D57" i="5"/>
  <c r="D57" i="32" s="1"/>
  <c r="J46" i="5"/>
  <c r="J46" i="32" s="1"/>
  <c r="H34" i="5"/>
  <c r="H34" i="32" s="1"/>
  <c r="C52" i="5"/>
  <c r="C52" i="32" s="1"/>
  <c r="M45" i="5"/>
  <c r="M45" i="32" s="1"/>
  <c r="L34" i="5"/>
  <c r="L34" i="32" s="1"/>
  <c r="D65" i="5"/>
  <c r="D65" i="32" s="1"/>
  <c r="M31" i="5"/>
  <c r="M31" i="32" s="1"/>
  <c r="C14" i="5"/>
  <c r="C94" i="32"/>
  <c r="O98" i="32"/>
  <c r="O75" i="32"/>
  <c r="E8" i="5"/>
  <c r="N6" i="32"/>
  <c r="O71" i="32"/>
  <c r="J73" i="32"/>
  <c r="J67" i="32" s="1"/>
  <c r="G73" i="32"/>
  <c r="O69" i="32"/>
  <c r="M67" i="5" l="1"/>
  <c r="D67" i="32"/>
  <c r="J67" i="5"/>
  <c r="O89" i="32"/>
  <c r="N67" i="5"/>
  <c r="G67" i="5"/>
  <c r="C67" i="5"/>
  <c r="L67" i="32"/>
  <c r="I67" i="5"/>
  <c r="G67" i="32"/>
  <c r="H67" i="32"/>
  <c r="G8" i="5"/>
  <c r="G5" i="5" s="1"/>
  <c r="G12" i="5" s="1"/>
  <c r="G8" i="32"/>
  <c r="G5" i="32" s="1"/>
  <c r="G12" i="32" s="1"/>
  <c r="O94" i="32"/>
  <c r="F67" i="5"/>
  <c r="O79" i="32"/>
  <c r="N67" i="32"/>
  <c r="F67" i="32"/>
  <c r="E67" i="5"/>
  <c r="L67" i="5"/>
  <c r="E8" i="32"/>
  <c r="E5" i="32" s="1"/>
  <c r="E12" i="32" s="1"/>
  <c r="E81" i="32" s="1"/>
  <c r="M8" i="32"/>
  <c r="M5" i="32" s="1"/>
  <c r="M12" i="32" s="1"/>
  <c r="M81" i="32" s="1"/>
  <c r="C8" i="5"/>
  <c r="C5" i="5" s="1"/>
  <c r="C12" i="5" s="1"/>
  <c r="C81" i="5" s="1"/>
  <c r="L8" i="5"/>
  <c r="L5" i="5" s="1"/>
  <c r="L12" i="5" s="1"/>
  <c r="J8" i="32"/>
  <c r="J5" i="32" s="1"/>
  <c r="J12" i="32" s="1"/>
  <c r="J81" i="32" s="1"/>
  <c r="I8" i="32"/>
  <c r="I5" i="32" s="1"/>
  <c r="I12" i="32" s="1"/>
  <c r="I81" i="32" s="1"/>
  <c r="D8" i="32"/>
  <c r="D5" i="32" s="1"/>
  <c r="D12" i="32" s="1"/>
  <c r="D67" i="5"/>
  <c r="H8" i="32"/>
  <c r="H5" i="32" s="1"/>
  <c r="H12" i="32" s="1"/>
  <c r="N8" i="5"/>
  <c r="N5" i="5" s="1"/>
  <c r="N12" i="5" s="1"/>
  <c r="D8" i="5"/>
  <c r="D5" i="5" s="1"/>
  <c r="D12" i="5" s="1"/>
  <c r="N8" i="32"/>
  <c r="N5" i="32" s="1"/>
  <c r="N12" i="32" s="1"/>
  <c r="H8" i="5"/>
  <c r="H5" i="5" s="1"/>
  <c r="H12" i="5" s="1"/>
  <c r="H81" i="5" s="1"/>
  <c r="L6" i="32"/>
  <c r="L8" i="32" s="1"/>
  <c r="L5" i="32" s="1"/>
  <c r="L12" i="32" s="1"/>
  <c r="M8" i="5"/>
  <c r="M5" i="5" s="1"/>
  <c r="M12" i="5" s="1"/>
  <c r="M81" i="5" s="1"/>
  <c r="O59" i="32"/>
  <c r="O7" i="32"/>
  <c r="J8" i="5"/>
  <c r="J5" i="5" s="1"/>
  <c r="J12" i="5" s="1"/>
  <c r="O45" i="32"/>
  <c r="O20" i="32"/>
  <c r="F8" i="5"/>
  <c r="F5" i="5" s="1"/>
  <c r="F12" i="5" s="1"/>
  <c r="O42" i="32"/>
  <c r="F8" i="32"/>
  <c r="F5" i="32" s="1"/>
  <c r="F12" i="32" s="1"/>
  <c r="K8" i="5"/>
  <c r="K5" i="5" s="1"/>
  <c r="K12" i="5" s="1"/>
  <c r="K81" i="5" s="1"/>
  <c r="K8" i="32"/>
  <c r="K5" i="32" s="1"/>
  <c r="K12" i="32" s="1"/>
  <c r="K81" i="32" s="1"/>
  <c r="O30" i="32"/>
  <c r="I8" i="5"/>
  <c r="I5" i="5" s="1"/>
  <c r="I12" i="5" s="1"/>
  <c r="O22" i="32"/>
  <c r="O58" i="32"/>
  <c r="E5" i="5"/>
  <c r="E12" i="5" s="1"/>
  <c r="O46" i="32"/>
  <c r="O21" i="32"/>
  <c r="O33" i="32"/>
  <c r="O56" i="32"/>
  <c r="N63" i="5"/>
  <c r="N13" i="5" s="1"/>
  <c r="O49" i="32"/>
  <c r="O31" i="32"/>
  <c r="O25" i="32"/>
  <c r="O38" i="32"/>
  <c r="O28" i="32"/>
  <c r="O60" i="32"/>
  <c r="O44" i="32"/>
  <c r="O65" i="32"/>
  <c r="O15" i="32"/>
  <c r="O26" i="32"/>
  <c r="O50" i="32"/>
  <c r="O39" i="32"/>
  <c r="O47" i="32"/>
  <c r="O55" i="32"/>
  <c r="O57" i="32"/>
  <c r="O41" i="32"/>
  <c r="O17" i="32"/>
  <c r="O35" i="32"/>
  <c r="O10" i="32"/>
  <c r="O36" i="32"/>
  <c r="O16" i="32"/>
  <c r="O27" i="32"/>
  <c r="O53" i="32"/>
  <c r="O32" i="32"/>
  <c r="O23" i="32"/>
  <c r="O34" i="32"/>
  <c r="O48" i="32"/>
  <c r="O43" i="32"/>
  <c r="O18" i="32"/>
  <c r="O24" i="32"/>
  <c r="O63" i="5"/>
  <c r="O13" i="5" s="1"/>
  <c r="O9" i="32"/>
  <c r="O8" i="5"/>
  <c r="O5" i="5" s="1"/>
  <c r="O12" i="5" s="1"/>
  <c r="O67" i="5"/>
  <c r="O51" i="32"/>
  <c r="O37" i="32"/>
  <c r="N14" i="32"/>
  <c r="O73" i="32"/>
  <c r="G63" i="5"/>
  <c r="G63" i="32" s="1"/>
  <c r="G13" i="32" s="1"/>
  <c r="L63" i="5"/>
  <c r="L13" i="5" s="1"/>
  <c r="H63" i="5"/>
  <c r="H13" i="5" s="1"/>
  <c r="E63" i="5"/>
  <c r="E13" i="5" s="1"/>
  <c r="O40" i="32"/>
  <c r="F63" i="5"/>
  <c r="F13" i="5" s="1"/>
  <c r="O52" i="32"/>
  <c r="D63" i="5"/>
  <c r="D63" i="32" s="1"/>
  <c r="D13" i="32" s="1"/>
  <c r="K63" i="5"/>
  <c r="K13" i="5" s="1"/>
  <c r="I63" i="5"/>
  <c r="I13" i="5" s="1"/>
  <c r="O54" i="32"/>
  <c r="O19" i="32"/>
  <c r="O99" i="32"/>
  <c r="C14" i="32"/>
  <c r="M63" i="5"/>
  <c r="M13" i="5" s="1"/>
  <c r="C63" i="5"/>
  <c r="C13" i="5" s="1"/>
  <c r="J63" i="5"/>
  <c r="J13" i="5" s="1"/>
  <c r="J66" i="5" s="1"/>
  <c r="O29" i="32"/>
  <c r="G3" i="10" a="1"/>
  <c r="G3" i="10" s="1"/>
  <c r="I3" i="10" a="1"/>
  <c r="I3" i="10" s="1"/>
  <c r="M3" i="10" a="1"/>
  <c r="M3" i="10" s="1"/>
  <c r="C8" i="32"/>
  <c r="C5" i="32" s="1"/>
  <c r="C12" i="32" s="1"/>
  <c r="L3" i="10" a="1"/>
  <c r="L3" i="10" s="1"/>
  <c r="K3" i="10" l="1" a="1"/>
  <c r="K3" i="10" s="1"/>
  <c r="J80" i="5"/>
  <c r="J81" i="5"/>
  <c r="D81" i="32"/>
  <c r="O67" i="32"/>
  <c r="L81" i="32"/>
  <c r="N81" i="5"/>
  <c r="G81" i="32"/>
  <c r="G81" i="5"/>
  <c r="L81" i="5"/>
  <c r="F81" i="5"/>
  <c r="N81" i="32"/>
  <c r="H81" i="32"/>
  <c r="F81" i="32"/>
  <c r="D81" i="5"/>
  <c r="E81" i="5"/>
  <c r="D66" i="32"/>
  <c r="D80" i="32" s="1"/>
  <c r="H66" i="5"/>
  <c r="H80" i="5" s="1"/>
  <c r="O6" i="32"/>
  <c r="O8" i="32" s="1"/>
  <c r="O5" i="32" s="1"/>
  <c r="O12" i="32" s="1"/>
  <c r="O14" i="32"/>
  <c r="L66" i="5"/>
  <c r="L80" i="5" s="1"/>
  <c r="N63" i="32"/>
  <c r="N13" i="32" s="1"/>
  <c r="N66" i="32" s="1"/>
  <c r="N80" i="32" s="1"/>
  <c r="K66" i="5"/>
  <c r="K80" i="5" s="1"/>
  <c r="E66" i="5"/>
  <c r="E80" i="5" s="1"/>
  <c r="H3" i="10" a="1"/>
  <c r="H3" i="10" s="1"/>
  <c r="Q3" i="10" a="1"/>
  <c r="Q3" i="10" s="1"/>
  <c r="I63" i="32"/>
  <c r="I13" i="32" s="1"/>
  <c r="I66" i="32" s="1"/>
  <c r="I80" i="32" s="1"/>
  <c r="M66" i="5"/>
  <c r="M80" i="5" s="1"/>
  <c r="D13" i="5"/>
  <c r="D66" i="5" s="1"/>
  <c r="D80" i="5" s="1"/>
  <c r="L63" i="32"/>
  <c r="L13" i="32" s="1"/>
  <c r="L66" i="32" s="1"/>
  <c r="L80" i="32" s="1"/>
  <c r="I66" i="5"/>
  <c r="I80" i="5" s="1"/>
  <c r="F63" i="32"/>
  <c r="F13" i="32" s="1"/>
  <c r="F66" i="32" s="1"/>
  <c r="F80" i="32" s="1"/>
  <c r="E63" i="32"/>
  <c r="E13" i="32" s="1"/>
  <c r="E66" i="32" s="1"/>
  <c r="E80" i="32" s="1"/>
  <c r="J63" i="32"/>
  <c r="J13" i="32" s="1"/>
  <c r="J66" i="32" s="1"/>
  <c r="J80" i="32" s="1"/>
  <c r="N66" i="5"/>
  <c r="N80" i="5" s="1"/>
  <c r="F66" i="5"/>
  <c r="F80" i="5" s="1"/>
  <c r="N3" i="10" a="1"/>
  <c r="N3" i="10" s="1"/>
  <c r="I81" i="5"/>
  <c r="K63" i="32"/>
  <c r="K13" i="32" s="1"/>
  <c r="K66" i="32" s="1"/>
  <c r="K80" i="32" s="1"/>
  <c r="O3" i="10" a="1"/>
  <c r="O3" i="10" s="1"/>
  <c r="P3" i="10" a="1"/>
  <c r="P3" i="10" s="1"/>
  <c r="M63" i="32"/>
  <c r="M13" i="32" s="1"/>
  <c r="M66" i="32" s="1"/>
  <c r="M80" i="32" s="1"/>
  <c r="F3" i="10" a="1"/>
  <c r="F3" i="10" s="1"/>
  <c r="C63" i="32"/>
  <c r="C13" i="32" s="1"/>
  <c r="C66" i="32" s="1"/>
  <c r="C80" i="32" s="1"/>
  <c r="C66" i="5"/>
  <c r="C80" i="5" s="1"/>
  <c r="J3" i="10" a="1"/>
  <c r="J3" i="10" s="1"/>
  <c r="G13" i="5"/>
  <c r="G66" i="5" s="1"/>
  <c r="G80" i="5" s="1"/>
  <c r="G66" i="32"/>
  <c r="G80" i="32" s="1"/>
  <c r="O81" i="5"/>
  <c r="O66" i="5"/>
  <c r="O80" i="5" s="1"/>
  <c r="H63" i="32"/>
  <c r="H13" i="32" s="1"/>
  <c r="H66" i="32" s="1"/>
  <c r="H80" i="32" s="1"/>
  <c r="C81" i="32"/>
  <c r="O81" i="32" l="1"/>
  <c r="O63" i="32"/>
  <c r="O13" i="32" s="1"/>
  <c r="O66" i="32" s="1"/>
  <c r="O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92DEFDEB-DB09-4F14-BCDD-44B55D6C4C3A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9D9D19A4-A3AB-4A28-A17F-7BEB70C00FBF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<sst xmlns="http://schemas.openxmlformats.org/spreadsheetml/2006/main" count="1934" uniqueCount="852">
  <si>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</si>
  <si>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</si>
  <si>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</si>
  <si>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</si>
  <si>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</si>
  <si>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</si>
  <si>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</si>
  <si>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</si>
  <si>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</si>
  <si>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</si>
  <si>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</si>
  <si>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</si>
  <si>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</si>
  <si>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</si>
  <si>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</si>
  <si>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</si>
  <si>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</si>
  <si>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</si>
  <si>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</si>
  <si>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</si>
  <si>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</si>
  <si>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</si>
  <si>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</si>
  <si>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</si>
  <si>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</si>
  <si>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</si>
  <si>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</si>
  <si>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</si>
  <si>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</si>
  <si>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</si>
  <si>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</si>
  <si>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</si>
  <si>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</si>
  <si>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</si>
  <si>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</si>
  <si>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</si>
  <si>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</si>
  <si>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</si>
  <si>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</si>
  <si>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</si>
  <si>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</si>
  <si>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</si>
  <si>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</si>
  <si>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</si>
  <si>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</si>
  <si>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</si>
  <si>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</si>
  <si>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</si>
  <si>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</si>
  <si>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</si>
  <si>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</si>
  <si>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</si>
  <si>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</si>
  <si>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</si>
  <si>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</si>
  <si>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</si>
  <si>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</si>
  <si>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</si>
  <si>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</si>
  <si>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</si>
  <si>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</si>
  <si>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</si>
  <si>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</si>
  <si>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</si>
  <si>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</si>
  <si>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</si>
  <si>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</si>
  <si>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</si>
  <si>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</si>
  <si>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</si>
  <si>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</si>
  <si>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</si>
  <si>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</si>
  <si>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</si>
  <si>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</si>
  <si>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</si>
  <si>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</si>
  <si>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</si>
  <si>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</si>
  <si>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</si>
  <si>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</si>
  <si>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</si>
  <si>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</si>
  <si>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</si>
  <si>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</si>
  <si>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</si>
  <si>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</si>
  <si>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</si>
  <si>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</si>
  <si>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</si>
  <si>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</si>
  <si>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</si>
  <si>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</si>
  <si>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</si>
  <si>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</si>
  <si>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</si>
  <si>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</si>
  <si>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</si>
  <si>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</si>
  <si>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</si>
  <si>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</si>
  <si>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</si>
  <si>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</si>
  <si>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</si>
  <si>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</si>
  <si>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</si>
  <si>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</si>
  <si>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</si>
  <si>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</si>
  <si>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</si>
  <si>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</si>
  <si>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</si>
  <si>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</si>
  <si>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</si>
  <si>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</si>
  <si>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</si>
  <si>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</si>
  <si>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</si>
  <si>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</si>
  <si>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</si>
  <si>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</si>
  <si>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</si>
  <si>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</si>
  <si>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</si>
  <si>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</si>
  <si>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</si>
  <si>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</si>
  <si>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</si>
  <si>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</si>
  <si>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</si>
  <si>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</si>
  <si>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</si>
  <si>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</si>
  <si>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</si>
  <si>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</si>
  <si>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</si>
  <si>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</si>
  <si>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</si>
  <si>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</si>
  <si>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</si>
  <si>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</si>
  <si>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</si>
  <si>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</si>
  <si>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</si>
  <si>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</si>
  <si>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</si>
  <si>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</si>
  <si>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</si>
  <si>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</si>
  <si>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</si>
  <si>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</si>
  <si>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</si>
  <si>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</si>
  <si>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</si>
  <si>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</si>
  <si>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</si>
  <si>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</si>
  <si>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</si>
  <si>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</si>
  <si>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</si>
  <si>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</si>
  <si>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</si>
  <si>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</si>
  <si>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</si>
  <si>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</si>
  <si>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</si>
  <si>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</si>
  <si>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</si>
  <si>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</si>
  <si>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</si>
  <si>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</si>
  <si>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</si>
  <si>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</si>
  <si>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</si>
  <si>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</si>
  <si>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</si>
  <si>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</si>
  <si>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</si>
  <si>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</si>
  <si>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</si>
  <si>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</si>
  <si>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</si>
  <si>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</si>
  <si>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</si>
  <si>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</si>
  <si>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</si>
  <si>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</si>
  <si>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</si>
  <si>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</si>
  <si>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</si>
  <si>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</si>
  <si>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</si>
  <si>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</si>
  <si>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</si>
  <si>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</si>
  <si>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</si>
  <si>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</si>
  <si>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</si>
  <si>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</si>
  <si>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</si>
  <si>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</si>
  <si>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</si>
  <si>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</si>
  <si>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</si>
  <si>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</si>
  <si>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</si>
  <si>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</si>
  <si>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</si>
  <si>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</si>
  <si>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</si>
  <si>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</si>
  <si>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</si>
  <si>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</si>
  <si>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</si>
  <si>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</si>
  <si>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</si>
  <si>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</si>
  <si>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</si>
  <si>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</si>
  <si>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</si>
  <si>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</si>
  <si>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</si>
  <si>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</si>
  <si>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</si>
  <si>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</si>
  <si>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</si>
  <si>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</si>
  <si>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</si>
  <si>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</si>
  <si>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</si>
  <si>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</si>
  <si>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</si>
  <si>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</si>
  <si>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</si>
  <si>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</si>
  <si>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</si>
  <si>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</si>
  <si>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</si>
  <si>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</si>
  <si>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</si>
  <si>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</si>
  <si>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</si>
  <si>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</si>
  <si>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</si>
  <si>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</si>
  <si>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</si>
  <si>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</si>
  <si>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</si>
  <si>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</si>
  <si>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</si>
  <si>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</si>
  <si>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</si>
  <si>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</si>
  <si>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</si>
  <si>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</si>
  <si>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</si>
  <si>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</si>
  <si>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</si>
  <si>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</si>
  <si>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</si>
  <si>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</si>
  <si>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</si>
  <si>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</si>
  <si>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</si>
  <si>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</si>
  <si>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</si>
  <si>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</si>
  <si>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</si>
  <si>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</si>
  <si>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</si>
  <si>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</si>
  <si>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</si>
  <si>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</si>
  <si>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</si>
  <si>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</si>
  <si>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</si>
  <si>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</si>
  <si>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</si>
  <si>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</si>
  <si>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</si>
  <si>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</si>
  <si>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</si>
  <si>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</si>
  <si>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</si>
  <si>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</si>
  <si>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</si>
  <si>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</si>
  <si>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</si>
  <si>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</si>
  <si>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</si>
  <si>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</si>
  <si>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</si>
  <si>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</si>
  <si>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</si>
  <si>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</si>
  <si>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</si>
  <si>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</si>
  <si>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</si>
  <si>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</si>
  <si>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</si>
  <si>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</si>
  <si>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</si>
  <si>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</si>
  <si>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</si>
  <si>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</si>
  <si>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</si>
  <si>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</si>
  <si>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</si>
  <si>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</si>
  <si>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</si>
  <si>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</si>
  <si>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</si>
  <si>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</si>
  <si>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</si>
  <si>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</si>
  <si>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</si>
  <si>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</si>
  <si>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</si>
  <si>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</si>
  <si>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</si>
  <si>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</si>
  <si>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</si>
  <si>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</si>
  <si>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</si>
  <si>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</si>
  <si>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</si>
  <si>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</si>
  <si>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</si>
  <si>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</si>
  <si>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</si>
  <si>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</si>
  <si>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</si>
  <si>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</si>
  <si>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</si>
  <si>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</si>
  <si>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</si>
  <si>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</si>
  <si>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</si>
  <si>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</si>
  <si>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</si>
  <si>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</si>
  <si>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</si>
  <si>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</si>
  <si>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</si>
  <si>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</si>
  <si>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</si>
  <si>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</si>
  <si>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</si>
  <si>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</si>
  <si>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</si>
  <si>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</si>
  <si>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</si>
  <si>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</si>
  <si>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</si>
  <si>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</si>
  <si>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</si>
  <si>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</si>
  <si>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</si>
  <si>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</si>
  <si>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</si>
  <si>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</si>
  <si>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</si>
  <si>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</si>
  <si>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</si>
  <si>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</si>
  <si>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</si>
  <si>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</si>
  <si>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</si>
  <si>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</si>
  <si>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</si>
  <si>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</si>
  <si>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</si>
  <si>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</si>
  <si>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</si>
  <si>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</si>
  <si>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</si>
  <si>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</si>
  <si>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</si>
  <si>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</si>
  <si>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</si>
  <si>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</si>
  <si>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</si>
  <si>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</si>
  <si>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</si>
  <si>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</si>
  <si>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</si>
  <si>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</si>
  <si>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</si>
  <si>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</si>
  <si>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</si>
  <si>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</si>
  <si>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</si>
  <si>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</si>
  <si>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</si>
  <si>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</si>
  <si>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</si>
  <si>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</si>
  <si>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</si>
  <si>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</si>
  <si>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</si>
  <si>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</si>
  <si>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</si>
  <si>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</si>
  <si>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</si>
  <si>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</si>
  <si>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</si>
  <si>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</si>
  <si>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</si>
  <si>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</si>
  <si>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</si>
  <si>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</si>
  <si>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</si>
  <si>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</si>
  <si>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</si>
  <si>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</si>
  <si>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</si>
  <si>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</si>
  <si>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</si>
  <si>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</si>
  <si>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</si>
  <si>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</si>
  <si>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</si>
  <si>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</si>
  <si>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</si>
  <si>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</si>
  <si>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</si>
  <si>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</si>
  <si>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</si>
  <si>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</si>
  <si>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</si>
  <si>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</si>
  <si>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</si>
  <si>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</si>
  <si>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</si>
  <si>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</si>
  <si>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</si>
  <si>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</si>
  <si>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</si>
  <si>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</si>
  <si>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</si>
  <si>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</si>
  <si>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</si>
  <si>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</si>
  <si>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</si>
  <si>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</si>
  <si>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</si>
  <si>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</si>
  <si>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</si>
  <si>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</si>
  <si>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</si>
  <si>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</si>
  <si>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</si>
  <si>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</si>
  <si>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</si>
  <si>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</si>
  <si>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</si>
  <si>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</si>
  <si>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</si>
  <si>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</si>
  <si>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</si>
  <si>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</si>
  <si>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</si>
  <si>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</si>
  <si>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</si>
  <si>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</si>
  <si>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</si>
  <si>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</si>
  <si>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</si>
  <si>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</si>
  <si>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</si>
  <si>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</si>
  <si>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</si>
  <si>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</si>
  <si>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</si>
  <si>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</si>
  <si>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</si>
  <si>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</si>
  <si>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</si>
  <si>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</si>
  <si>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</si>
  <si>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</si>
  <si>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</si>
  <si>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</si>
  <si>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</si>
  <si>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</si>
  <si>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</si>
  <si>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</si>
  <si>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</si>
  <si>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</si>
  <si>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</si>
  <si>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</si>
  <si>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</si>
  <si>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</si>
  <si>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</si>
  <si>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</si>
  <si>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</si>
  <si>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</si>
  <si>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</si>
  <si>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</si>
  <si>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</si>
  <si>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</si>
  <si>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</si>
  <si>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</si>
  <si>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</si>
  <si>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</si>
  <si>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</si>
  <si>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</si>
  <si>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</si>
  <si>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</si>
  <si>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</si>
  <si>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</si>
  <si>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</si>
  <si>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</si>
  <si>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</si>
  <si>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</si>
  <si>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</si>
  <si>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</si>
  <si>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</si>
  <si>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</si>
  <si>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</si>
  <si>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</si>
  <si>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</si>
  <si>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</si>
  <si>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</si>
  <si>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</si>
  <si>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</si>
  <si>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</si>
  <si>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</si>
  <si>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</si>
  <si>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</si>
  <si>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</si>
  <si>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</si>
  <si>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</si>
  <si>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</si>
  <si>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</si>
  <si>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</si>
  <si>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</si>
  <si>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</si>
  <si>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</si>
  <si>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</si>
  <si>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</si>
  <si>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</si>
  <si>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</si>
  <si>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</si>
  <si>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</si>
  <si>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</si>
  <si>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</si>
  <si>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</si>
  <si>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</si>
  <si>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</si>
  <si>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</si>
  <si>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</si>
  <si>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</si>
  <si>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</si>
  <si>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</si>
  <si>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</si>
  <si>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</si>
  <si>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</si>
  <si>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</si>
  <si>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</si>
  <si>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</si>
  <si>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</si>
  <si>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</si>
  <si>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</si>
  <si>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</si>
  <si>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</si>
  <si>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</si>
  <si>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</si>
  <si>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</si>
  <si>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</si>
  <si>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</si>
  <si>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</si>
  <si>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</si>
  <si>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</si>
  <si>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</si>
  <si>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</si>
  <si>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</si>
  <si>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</si>
  <si>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</si>
  <si>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</si>
  <si>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</si>
  <si>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</si>
  <si>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</si>
  <si>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</si>
  <si>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</si>
  <si>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</si>
  <si>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</si>
  <si>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</si>
  <si>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</si>
  <si>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</si>
  <si>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</si>
  <si>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</si>
  <si>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</si>
  <si>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</si>
  <si>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</si>
  <si>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</si>
  <si>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</si>
  <si>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</si>
  <si>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</si>
  <si>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</si>
  <si>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</si>
  <si>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</si>
  <si>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</si>
  <si>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</si>
  <si>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</si>
  <si>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</si>
  <si>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</si>
  <si>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</si>
  <si>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</si>
  <si>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</si>
  <si>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</si>
  <si>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</si>
  <si>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</si>
  <si>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</si>
  <si>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</si>
  <si>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</si>
  <si>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</si>
  <si>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</si>
  <si>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</si>
  <si>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</si>
  <si>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</si>
  <si>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</si>
  <si>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</si>
  <si>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</si>
  <si>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</si>
  <si>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</si>
  <si>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</si>
  <si>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</si>
  <si>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</si>
  <si>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</si>
  <si>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</si>
  <si>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</si>
  <si>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</si>
  <si>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</si>
  <si>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</si>
  <si>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</si>
  <si>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</si>
  <si>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</si>
  <si>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</si>
  <si>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</si>
  <si>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</si>
  <si>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</si>
  <si>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</si>
  <si>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</si>
  <si>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</si>
  <si>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</si>
  <si>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</si>
  <si>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</si>
  <si>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</si>
  <si>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</si>
  <si>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</si>
  <si>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</si>
  <si>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</si>
  <si>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</si>
  <si>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</si>
  <si>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</si>
  <si>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</si>
  <si>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</si>
  <si>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</si>
  <si>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</si>
  <si>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</si>
  <si>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</si>
  <si>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</si>
  <si>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</si>
  <si>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</si>
  <si>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</si>
  <si>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</si>
  <si>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</si>
  <si>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</si>
  <si>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</si>
  <si>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</si>
  <si>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</si>
  <si>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</si>
  <si>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</si>
  <si>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</si>
  <si>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</si>
  <si>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</si>
  <si>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</si>
  <si>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</si>
  <si>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</si>
  <si>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</si>
  <si>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</si>
  <si>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</si>
  <si>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</si>
  <si>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</si>
  <si>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</si>
  <si>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</si>
  <si>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</si>
  <si>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</si>
  <si>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</si>
  <si>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</si>
  <si>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</si>
  <si>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Mail</t>
  </si>
  <si>
    <t>R3</t>
  </si>
  <si>
    <t>MES</t>
  </si>
  <si>
    <t>Gas</t>
  </si>
  <si>
    <t>Probe TCP305A</t>
  </si>
  <si>
    <t>Probe TCP303</t>
  </si>
  <si>
    <t>Child finger U20-68</t>
  </si>
  <si>
    <t>Noise Simulator</t>
  </si>
  <si>
    <t>NSE</t>
  </si>
  <si>
    <t>NSE3</t>
  </si>
  <si>
    <t>EMI clamp</t>
  </si>
  <si>
    <t>Code verifier</t>
  </si>
  <si>
    <t>Photometer</t>
  </si>
  <si>
    <t>Hilogger</t>
  </si>
  <si>
    <t>Wireless  ①</t>
  </si>
  <si>
    <t>Wireless  ②</t>
  </si>
  <si>
    <t>Wireless  ③</t>
  </si>
  <si>
    <t>Wireless  ④</t>
  </si>
  <si>
    <t>Midi data logger</t>
  </si>
  <si>
    <t>Electro</t>
  </si>
  <si>
    <t>Spectro</t>
  </si>
  <si>
    <t>Volmeter</t>
  </si>
  <si>
    <t>AC Booster</t>
  </si>
  <si>
    <t>AC Master</t>
  </si>
  <si>
    <t>Chamber1</t>
  </si>
  <si>
    <t>Chamber2</t>
  </si>
  <si>
    <t>Thẻ + ảnh 社員証（写真含む）：58,000Vnd、 写真：500Vnd</t>
  </si>
  <si>
    <t>Bao thẻ 社員証用ケース ：3,600Vnd</t>
  </si>
  <si>
    <t>Bút　ペン：3,000Vnd</t>
  </si>
  <si>
    <t>Số　ノート．ﾜｰｶｰ：4,000Vnd、ｽﾀｯﾌ：9,100Vnd</t>
  </si>
  <si>
    <t>フィロソフィ手帳1： 18,000Vnd．　フィロソフィ手帳2： 9,200Vnd</t>
  </si>
  <si>
    <t>Giày シューズ．男性：84,000Vnd, 女性：82,000Vnd</t>
  </si>
  <si>
    <t>Phí logistics</t>
  </si>
  <si>
    <t>予定</t>
  </si>
  <si>
    <t>見込み</t>
  </si>
  <si>
    <t>エアインポート</t>
  </si>
  <si>
    <t>宅配便のインポート</t>
  </si>
  <si>
    <t>海の輸入</t>
  </si>
  <si>
    <t>Phí hệ thống</t>
  </si>
  <si>
    <t>R3使費　（2名）</t>
  </si>
  <si>
    <t>MES使費　（3名）</t>
  </si>
  <si>
    <t>PLM使費　（1名）</t>
  </si>
  <si>
    <t>PLM</t>
  </si>
  <si>
    <t>Phí khấu hao</t>
  </si>
  <si>
    <t>Khấu hao tiền nhà 建物</t>
  </si>
  <si>
    <t>Nhà</t>
  </si>
  <si>
    <t>Khấu hao tiền đất 土地</t>
  </si>
  <si>
    <t>Đất</t>
  </si>
  <si>
    <t>Phí khấu hao dụng cụ</t>
  </si>
  <si>
    <t>DO GA KIEM TRA IC-TAG MEBIUS　(2025/07）</t>
  </si>
  <si>
    <t>TU SAY GIAY　(2025/11）</t>
  </si>
  <si>
    <t>CAU TRUC PALANG DIEN　(2025/11）</t>
  </si>
  <si>
    <t>WHITE PHOTOMETER - TC-6DX　(2025/11）</t>
  </si>
  <si>
    <t>SPECTRODENSITOMETER - FD5　(2025/11）</t>
  </si>
  <si>
    <t>PROGRAMMABLE AC/DC POWER SOURCE - ES2000S　(2025/11）</t>
  </si>
  <si>
    <t>PROGRAMMABLE AC/DC POWER SOURCE - ES2000B　(2025/11）</t>
  </si>
  <si>
    <t>DO GA KIEM TRA IC-TAG 6TH NEXT　(2025/09）</t>
  </si>
  <si>
    <t xml:space="preserve">Phí lãi xuất dụng cụ </t>
  </si>
  <si>
    <t>Phí lãi xuất</t>
  </si>
  <si>
    <t>Lãi suất tiền nhà 建物</t>
  </si>
  <si>
    <t>Lãi suất tiền đất 土地</t>
  </si>
  <si>
    <t>Phí điện nước</t>
  </si>
  <si>
    <t>Điện</t>
  </si>
  <si>
    <t>水道代</t>
  </si>
  <si>
    <t>Nước</t>
  </si>
  <si>
    <t>Phí phúc lợi</t>
  </si>
  <si>
    <t>ガス代</t>
  </si>
  <si>
    <t>手洗い洗剤費</t>
  </si>
  <si>
    <t>Nước rửa tay</t>
  </si>
  <si>
    <t>トイレットペーパ</t>
  </si>
  <si>
    <t>Giấy vệ sinh</t>
  </si>
  <si>
    <t>清掃費用</t>
  </si>
  <si>
    <t>Chi phí làm sạch</t>
  </si>
  <si>
    <t>バス代： 7名 (A.Hạnh,Tiến,An,Thủy,Loan,Hùng,VũB)</t>
  </si>
  <si>
    <t>Xe đưa đón người Việt</t>
  </si>
  <si>
    <t>タクシー代： 残業</t>
  </si>
  <si>
    <t>Taxi</t>
  </si>
  <si>
    <t>Phí phân bổ</t>
  </si>
  <si>
    <t>5005016371
生産用消耗品費</t>
  </si>
  <si>
    <t>5005246288
OFFICE SUPPLIES (P)</t>
  </si>
  <si>
    <t>5004086291
福利厚生費</t>
  </si>
  <si>
    <t>5005026371
消耗工具器具備品費</t>
  </si>
  <si>
    <t>5005046281
機械設備修繕費</t>
  </si>
  <si>
    <t>5005046282
その他修繕費</t>
  </si>
  <si>
    <t>5005136281
通信費</t>
  </si>
  <si>
    <t>5004086293
教育訓練費</t>
  </si>
  <si>
    <t>5005246283
ライセンス料</t>
  </si>
  <si>
    <t>5005136291
郵送代</t>
  </si>
  <si>
    <t>8月：＋2人</t>
  </si>
  <si>
    <t>Quần ズボン：116,000Vnd</t>
  </si>
  <si>
    <t>Mũ 帽子　白：33,500Vnd、カラー：39,000Vnd</t>
  </si>
  <si>
    <t>新入社員の健康診断： 175,000Vnd/スタッフ</t>
  </si>
  <si>
    <t xml:space="preserve">Lịch bỏ túi ポケットカレンダー 11月： 800Vnd/枚 </t>
  </si>
  <si>
    <t>1/16-7/15：一人産休</t>
  </si>
  <si>
    <t>Box使用料： 1,336円/月　（1名）</t>
  </si>
  <si>
    <t>4月予定</t>
  </si>
  <si>
    <t>5月予定</t>
  </si>
  <si>
    <t>6月予定</t>
  </si>
  <si>
    <t>7月予定</t>
  </si>
  <si>
    <t>8月予定</t>
  </si>
  <si>
    <t>9月予定</t>
  </si>
  <si>
    <t>10月予定</t>
  </si>
  <si>
    <t>11月予定</t>
  </si>
  <si>
    <t>12月予定</t>
  </si>
  <si>
    <t>1月予定</t>
  </si>
  <si>
    <t>2月予定</t>
  </si>
  <si>
    <t>3月予定</t>
  </si>
  <si>
    <t>メール使費：　前月21日～当月20日を翌月 （15名） →9月：＋1名</t>
  </si>
  <si>
    <t xml:space="preserve">Phí lãi suất dụng cụ </t>
  </si>
  <si>
    <t>Phí lãi suất</t>
  </si>
  <si>
    <t>Chi phí tiện ích</t>
  </si>
  <si>
    <t>電気代</t>
  </si>
  <si>
    <t>新人歓迎会：40,000Vnd/人（新人と係長）．8月に二人新人</t>
  </si>
  <si>
    <t>日本語クラスのキャンセル料（Huy）</t>
  </si>
  <si>
    <t>携帯電話代</t>
  </si>
  <si>
    <t>制服</t>
  </si>
  <si>
    <t>文房具（ペンやノート等）</t>
  </si>
  <si>
    <t>トナー発注</t>
  </si>
  <si>
    <t>用紙発注</t>
  </si>
  <si>
    <t>マスク</t>
  </si>
  <si>
    <t>手袋</t>
  </si>
  <si>
    <t>その他（テープ、ドラム布）</t>
  </si>
  <si>
    <t>Spica PRT/MFP のPF</t>
  </si>
  <si>
    <t>新しいスタッフのパソコン</t>
  </si>
  <si>
    <t>新しいスタッフのテーブル</t>
  </si>
  <si>
    <t>新しいスタッフの椅子</t>
  </si>
  <si>
    <t>計測器の校正用費</t>
  </si>
  <si>
    <t>クレーン安全検定：PQC4、PQC5</t>
  </si>
  <si>
    <t>Spica　PRT/MFP　IC DATA読み出し治具（本体）　．（2026/2から）</t>
  </si>
  <si>
    <t>Spica　PRT/MFP　IC DATA読み出し治具（本体）　．　（2026/2から）</t>
  </si>
  <si>
    <t>Spica　PRT/MFP　IC DATA読み出し治具（本体）</t>
  </si>
  <si>
    <t>Spica　PRT/MFP　IC DATA読み出し治具（本体検査）</t>
  </si>
  <si>
    <t>Windows11へアップグレードの非サポートPCに代わるDesktop注文</t>
  </si>
  <si>
    <t>C 棟の倉庫のコンセントとランプシステム増設</t>
  </si>
  <si>
    <t>物流の毎月連絡から検査用トナーと用紙の税関費：200ドル/月</t>
  </si>
  <si>
    <t>Văn phòng phẩm</t>
  </si>
  <si>
    <t>Đồng phục</t>
  </si>
  <si>
    <t>Mực</t>
  </si>
  <si>
    <t>Giấy</t>
  </si>
  <si>
    <t>Khẩu trang</t>
  </si>
  <si>
    <t>Găng tay</t>
  </si>
  <si>
    <t>Khác (tape, wiper)</t>
  </si>
  <si>
    <t>設備：棚、基板、USB等</t>
  </si>
  <si>
    <t>Thiết bị</t>
  </si>
  <si>
    <t>Spica PRT/MFP のドラム治具</t>
  </si>
  <si>
    <t>健康診断：189,000Vnd(男）/204,000Vnd（女）．12月   7月1日の前の入社員</t>
  </si>
  <si>
    <t>KYOCERA祭り ：126,000Vnd/人．9月    Số người chốt ngày 01 của tháng</t>
  </si>
  <si>
    <t>月餅：56,000Vnd/人．10月     Tính cả nghỉ sinh</t>
  </si>
  <si>
    <r>
      <t>10年勤続記念コンパ(549,000Vnd)と念品(382,000Vnd)．10月</t>
    </r>
    <r>
      <rPr>
        <sz val="9"/>
        <color theme="1"/>
        <rFont val="ＭＳ Ｐゴシック"/>
        <family val="3"/>
        <charset val="128"/>
      </rPr>
      <t xml:space="preserve"> （1人）</t>
    </r>
  </si>
  <si>
    <t>運動会：107,000Vnd/人 ：11月   Số người chốt ngày 01 của tháng</t>
  </si>
  <si>
    <t>忘年会： 300,000Vnd/人    翌月：2月  Tháng tiếp theo của tháng tổ chức</t>
  </si>
  <si>
    <t>Cốc xếp  折りたたみコップ ：6,800Vnd ． 2月、9月</t>
  </si>
  <si>
    <t>FY2025決起コンパ：200,000Vnd/参加名　翌月：6月</t>
  </si>
  <si>
    <t>お年玉： 100,000Vnd/人：2月</t>
  </si>
  <si>
    <t>誕生日会：163,000Vnd／人  Nghỉ sinh đi làm lại nhận vào tháng tiếp theo</t>
  </si>
  <si>
    <t>フィロソフィ論文参加賞：100,000Vnd．7月   3月31日の前の入社員 (一人産休）</t>
  </si>
  <si>
    <t>A3パターン検査用自動化治具</t>
  </si>
  <si>
    <t>Áo ngắn tay  制服・夏： 165,000Vnd 【1月-2月→2月に配布】　→7月まで一人産休：8月に配賦</t>
  </si>
  <si>
    <t>Áo mùa đông 制服・冬：175,000Vnd 【5月-10月→10月に配布】　→7月まで一人産休：8月に配賦</t>
  </si>
  <si>
    <t>社員旅行： 1,890,000 Vnd/人．5月  旅行日の1ヶ月前の入社員．6月に産休人のギフトを配賦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</si>
</sst>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¥&quot;#,##0_);[Red]\(&quot;¥&quot;#,##0\)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8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13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69" fontId="73" fillId="0" borderId="0" xfId="67" applyNumberFormat="1" applyFont="1" applyFill="1" applyAlignment="1">
      <alignment horizontal="center" vertical="center"/>
    </xf>
    <xf numFmtId="168" fontId="74" fillId="25" borderId="10" xfId="67" applyNumberFormat="1" applyFont="1" applyFill="1" applyBorder="1" applyAlignment="1">
      <alignment horizontal="center" vertical="center"/>
    </xf>
    <xf numFmtId="168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69" fontId="73" fillId="0" borderId="0" xfId="68" applyNumberFormat="1" applyFont="1" applyFill="1" applyAlignment="1">
      <alignment horizontal="center" vertical="center"/>
    </xf>
    <xf numFmtId="168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3" fillId="0" borderId="0" xfId="67" applyNumberFormat="1" applyFont="1" applyAlignment="1">
      <alignment horizontal="center" vertical="center"/>
    </xf>
    <xf numFmtId="180" fontId="73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2" fontId="85" fillId="0" borderId="0" xfId="171" applyNumberFormat="1" applyFont="1">
      <alignment vertical="center"/>
    </xf>
    <xf numFmtId="172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2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5" fillId="35" borderId="13" xfId="0" applyFont="1" applyFill="1" applyBorder="1"/>
    <xf numFmtId="0" fontId="5" fillId="35" borderId="13" xfId="0" applyFont="1" applyFill="1" applyBorder="1" applyAlignment="1">
      <alignment horizontal="center" vertical="center"/>
    </xf>
    <xf numFmtId="3" fontId="5" fillId="36" borderId="13" xfId="0" applyNumberFormat="1" applyFont="1" applyFill="1" applyBorder="1"/>
    <xf numFmtId="0" fontId="5" fillId="35" borderId="13" xfId="0" applyFont="1" applyFill="1" applyBorder="1" applyAlignment="1">
      <alignment vertical="center" wrapText="1"/>
    </xf>
    <xf numFmtId="8" fontId="5" fillId="36" borderId="13" xfId="0" applyNumberFormat="1" applyFont="1" applyFill="1" applyBorder="1" applyAlignment="1">
      <alignment vertical="center"/>
    </xf>
    <xf numFmtId="0" fontId="5" fillId="35" borderId="13" xfId="0" applyFont="1" applyFill="1" applyBorder="1" applyAlignment="1">
      <alignment horizontal="left" vertical="center" wrapText="1"/>
    </xf>
    <xf numFmtId="1" fontId="5" fillId="36" borderId="13" xfId="0" applyNumberFormat="1" applyFont="1" applyFill="1" applyBorder="1" applyAlignment="1">
      <alignment vertical="center"/>
    </xf>
    <xf numFmtId="0" fontId="5" fillId="36" borderId="13" xfId="0" applyFont="1" applyFill="1" applyBorder="1"/>
    <xf numFmtId="40" fontId="5" fillId="34" borderId="39" xfId="0" applyNumberFormat="1" applyFont="1" applyFill="1" applyBorder="1" applyAlignment="1" applyProtection="1">
      <alignment wrapText="1"/>
      <protection locked="0"/>
    </xf>
    <xf numFmtId="0" fontId="0" fillId="0" borderId="24" xfId="129" applyFont="1" applyBorder="1" applyAlignment="1" applyProtection="1">
      <alignment horizontal="center"/>
      <protection locked="0"/>
    </xf>
    <xf numFmtId="40" fontId="73" fillId="34" borderId="39" xfId="0" applyNumberFormat="1" applyFont="1" applyFill="1" applyBorder="1" applyProtection="1">
      <protection locked="0"/>
    </xf>
    <xf numFmtId="6" fontId="5" fillId="36" borderId="13" xfId="0" applyNumberFormat="1" applyFont="1" applyFill="1" applyBorder="1" applyAlignment="1">
      <alignment vertical="center"/>
    </xf>
    <xf numFmtId="0" fontId="5" fillId="35" borderId="13" xfId="0" applyFont="1" applyFill="1" applyBorder="1" applyAlignment="1">
      <alignment horizontal="center" vertical="center" wrapText="1"/>
    </xf>
  </cellXfs>
  <cellStyles count="175">
    <cellStyle name="_FY2014 MP作成依頼（KDTCN).1207(3)" xfId="1" xr:uid="{110B9CC4-68F8-4982-8BCE-28592F1116BF}"/>
    <cellStyle name="20% - Accent1" xfId="2" xr:uid="{F848687B-3BDE-4498-8829-A172EA3E423E}"/>
    <cellStyle name="20% - Accent2" xfId="3" xr:uid="{4A1F4583-2F48-49E1-B0FC-51B245C1AAD0}"/>
    <cellStyle name="20% - Accent3" xfId="4" xr:uid="{936CACA4-8383-4D06-88F9-C7D9B35603FD}"/>
    <cellStyle name="20% - Accent4" xfId="5" xr:uid="{243A61B5-84AD-499A-A5C9-F21017A46548}"/>
    <cellStyle name="20% - Accent5" xfId="6" xr:uid="{C5773779-E7E1-4DBB-B0C5-BB8D3A4CF039}"/>
    <cellStyle name="20% - Accent6" xfId="7" xr:uid="{FC073A43-9CE5-409C-A510-F1D13B9026DC}"/>
    <cellStyle name="20% - アクセント 1" xfId="8" xr:uid="{E39B9E04-C39D-4505-9D20-64B754742F5E}"/>
    <cellStyle name="20% - アクセント 1 2" xfId="9" xr:uid="{C1A843F1-F653-433E-9BF0-8306684113E8}"/>
    <cellStyle name="20% - アクセント 2" xfId="10" xr:uid="{0A3BF916-B2DF-4935-8012-A621903BA1D5}"/>
    <cellStyle name="20% - アクセント 2 2" xfId="11" xr:uid="{8583DD4D-E5D0-49BC-B7E9-ABA2A8BB075A}"/>
    <cellStyle name="20% - アクセント 3" xfId="12" xr:uid="{3F2958BF-8E59-4AB7-AD04-411D1D583290}"/>
    <cellStyle name="20% - アクセント 3 2" xfId="13" xr:uid="{2ABA857D-2771-4404-AED0-A56A3AC44D6A}"/>
    <cellStyle name="20% - アクセント 4" xfId="14" xr:uid="{34E3BE12-BC93-4032-89F9-A4DD828B04A5}"/>
    <cellStyle name="20% - アクセント 4 2" xfId="15" xr:uid="{18FD03E8-92B8-4A1C-B109-ADE113608E5E}"/>
    <cellStyle name="20% - アクセント 5" xfId="16" xr:uid="{9D4DC089-EA1B-4359-9D38-CCA78DF217A4}"/>
    <cellStyle name="20% - アクセント 5 2" xfId="17" xr:uid="{650A40F0-3199-46E4-8CDB-02A141E31E8A}"/>
    <cellStyle name="20% - アクセント 6" xfId="18" xr:uid="{3288BFFE-C6AE-4340-B7FE-BD9DBA3D9F56}"/>
    <cellStyle name="20% - アクセント 6 2" xfId="19" xr:uid="{BF1E25CF-2963-44A0-B73C-FA5584DE11CA}"/>
    <cellStyle name="3232" xfId="20" xr:uid="{31824E79-F93E-4BDB-B202-BC2329346401}"/>
    <cellStyle name="40% - Accent1" xfId="21" xr:uid="{F67932D9-8816-4EBB-94C0-F97C0ACC5272}"/>
    <cellStyle name="40% - Accent2" xfId="22" xr:uid="{082F6D5E-0B6F-4106-B68A-7FAED54FDD57}"/>
    <cellStyle name="40% - Accent3" xfId="23" xr:uid="{CB6CA8AC-3559-4F97-9DA2-2350D42701A5}"/>
    <cellStyle name="40% - Accent4" xfId="24" xr:uid="{18DD77C8-5DC9-422C-B84A-BB38A0A2CF06}"/>
    <cellStyle name="40% - Accent5" xfId="25" xr:uid="{38BFE56F-8D3B-444B-A80F-B10D2EB74E71}"/>
    <cellStyle name="40% - Accent6" xfId="26" xr:uid="{14849119-276E-46F0-B525-4DBE7F9EFAB0}"/>
    <cellStyle name="40% - アクセント 1" xfId="27" xr:uid="{8718BBBB-19DA-4198-9127-644D4AEAB470}"/>
    <cellStyle name="40% - アクセント 1 2" xfId="28" xr:uid="{884D7E38-9298-49DC-AC5E-7B853346297D}"/>
    <cellStyle name="40% - アクセント 2" xfId="29" xr:uid="{ADF2020D-ACF3-4A68-BDAE-F8DE8D001220}"/>
    <cellStyle name="40% - アクセント 2 2" xfId="30" xr:uid="{3B335E7D-EB3C-4139-B86D-4F63D7B0F964}"/>
    <cellStyle name="40% - アクセント 3" xfId="31" xr:uid="{CFE2BED0-2C8E-49F3-A2D4-2B9330218A2E}"/>
    <cellStyle name="40% - アクセント 3 2" xfId="32" xr:uid="{040B92CB-2093-49D2-8F8B-B11D0547C345}"/>
    <cellStyle name="40% - アクセント 4" xfId="33" xr:uid="{B0F5DFD7-CFED-4AF4-BC1A-EE5F762731D2}"/>
    <cellStyle name="40% - アクセント 4 2" xfId="34" xr:uid="{6B01A714-D4BE-4233-B5FB-3B9BE15F5C11}"/>
    <cellStyle name="40% - アクセント 5" xfId="35" xr:uid="{4DB8B9FE-3289-4B55-A927-DF06932AEA02}"/>
    <cellStyle name="40% - アクセント 5 2" xfId="36" xr:uid="{2E0AAADB-B52C-4E6A-B888-B0AF125C64E5}"/>
    <cellStyle name="40% - アクセント 6" xfId="37" xr:uid="{15D2BA7B-82C3-45BA-BAD7-858F42F747BD}"/>
    <cellStyle name="40% - アクセント 6 2" xfId="38" xr:uid="{A779A7AB-715B-4FB8-8B62-39F662FC6383}"/>
    <cellStyle name="60% - Accent1" xfId="39" xr:uid="{E336827C-4B44-4F1B-AB72-E69977844244}"/>
    <cellStyle name="60% - Accent2" xfId="40" xr:uid="{FBE9711F-A050-4868-84E6-79DD957CFD9F}"/>
    <cellStyle name="60% - Accent3" xfId="41" xr:uid="{126F5316-F2C5-4BD1-8F6F-8CF13C9166C5}"/>
    <cellStyle name="60% - Accent4" xfId="42" xr:uid="{74217C92-D63C-409E-949E-669A5F53C25F}"/>
    <cellStyle name="60% - Accent5" xfId="43" xr:uid="{A9EA7802-F634-443F-91F3-1B0661CB5E92}"/>
    <cellStyle name="60% - Accent6" xfId="44" xr:uid="{3F14B3DF-FD56-4C4B-8D0B-40088CE13D4E}"/>
    <cellStyle name="60% - アクセント 1" xfId="45" xr:uid="{6878F9B0-A68B-418F-8A85-C72C8C8902E8}"/>
    <cellStyle name="60% - アクセント 1 2" xfId="46" xr:uid="{D9752658-8462-495A-BB05-1BD66CF3768F}"/>
    <cellStyle name="60% - アクセント 2" xfId="47" xr:uid="{A23392C6-8015-44F5-959C-58960D04033D}"/>
    <cellStyle name="60% - アクセント 2 2" xfId="48" xr:uid="{8E05E4B4-6FBB-4D90-BA14-D9764E6E1BA5}"/>
    <cellStyle name="60% - アクセント 3" xfId="49" xr:uid="{39469AA4-1681-4232-9A3A-72C00BA67E94}"/>
    <cellStyle name="60% - アクセント 3 2" xfId="50" xr:uid="{E1C68BF3-7D05-4B33-9B17-70E5A070902B}"/>
    <cellStyle name="60% - アクセント 4" xfId="51" xr:uid="{DC8DB3E1-847B-4287-B0D3-9DB52E9C6441}"/>
    <cellStyle name="60% - アクセント 4 2" xfId="52" xr:uid="{3046A66D-0D21-4E3B-AD91-C327AF184C62}"/>
    <cellStyle name="60% - アクセント 5" xfId="53" xr:uid="{AC2B5494-CCC9-4F57-9F69-EEEA23113C8F}"/>
    <cellStyle name="60% - アクセント 5 2" xfId="54" xr:uid="{DA8CD83C-06BD-4147-8666-E3FC876DD62C}"/>
    <cellStyle name="60% - アクセント 6" xfId="55" xr:uid="{5C4B1771-EE90-478C-867C-CC0870EE0D09}"/>
    <cellStyle name="60% - アクセント 6 2" xfId="56" xr:uid="{29122CE0-366B-4064-ABF0-3D02651660FE}"/>
    <cellStyle name="Accent1" xfId="57" xr:uid="{94576734-58E2-421C-9320-4E1F0BA1CFF8}"/>
    <cellStyle name="Accent2" xfId="58" xr:uid="{9CADCDBE-967C-4BBA-A46F-7FAA2B0E21DB}"/>
    <cellStyle name="Accent3" xfId="59" xr:uid="{D6EB28C7-B94F-4289-BD95-956B679417FB}"/>
    <cellStyle name="Accent4" xfId="60" xr:uid="{AADF8AFB-7542-447A-8398-D5F9F9297EC8}"/>
    <cellStyle name="Accent5" xfId="61" xr:uid="{5C059FA4-34E0-4A74-A970-1C4606DE2FCA}"/>
    <cellStyle name="Accent6" xfId="62" xr:uid="{C04D9D54-AB9D-4CE6-87F3-36D00DC2D890}"/>
    <cellStyle name="Bad" xfId="63" xr:uid="{DF6D5AA7-AC5F-48FA-A63C-2023045416D3}"/>
    <cellStyle name="Calculation" xfId="64" xr:uid="{F36D565F-6890-4C49-9D09-3E3D632F074C}"/>
    <cellStyle name="Check Cell" xfId="65" xr:uid="{31F5FCCD-F66C-4552-8C32-3EC1F3CE3EEC}"/>
    <cellStyle name="Comma" xfId="66" builtinId="3"/>
    <cellStyle name="Comma [0]" xfId="67" builtinId="6"/>
    <cellStyle name="Comma [0] 2" xfId="68" xr:uid="{DB44BB48-727A-4534-A61A-B590DCCA74DE}"/>
    <cellStyle name="Comma [0] 2 2" xfId="69" xr:uid="{1D31E0B0-E177-4495-83CC-37DB2A044782}"/>
    <cellStyle name="Comma [0] 3" xfId="70" xr:uid="{54D77C6A-416E-4358-9259-5278EC8B2384}"/>
    <cellStyle name="Comma [0] 4" xfId="71" xr:uid="{B7EF79DF-43B5-49BF-BA83-2EE24C466409}"/>
    <cellStyle name="Comma 2" xfId="72" xr:uid="{AB7D221E-8B4F-429E-B4C8-641219F88A65}"/>
    <cellStyle name="Comma 2 3" xfId="73" xr:uid="{06D5B1C2-A453-4BD7-8B64-B35AA3EE59CA}"/>
    <cellStyle name="Comma 3" xfId="74" xr:uid="{07CE2959-BEE2-424F-A10C-5A07CCF43CB3}"/>
    <cellStyle name="Comma 3 2 2" xfId="75" xr:uid="{1C277ABF-2B27-49F3-9C7D-82112591CA9A}"/>
    <cellStyle name="Comma 4" xfId="76" xr:uid="{DA21B17A-664A-4C61-8DD2-8BF6F2C8707F}"/>
    <cellStyle name="Comma 5" xfId="77" xr:uid="{D0A86BF8-EEE2-47F8-B561-9C1BB7DB0F14}"/>
    <cellStyle name="Comma 6" xfId="78" xr:uid="{08C58D9B-9B41-4A43-A642-B0AA9AFF2640}"/>
    <cellStyle name="Currency [0] 2" xfId="79" xr:uid="{30BBCFB9-88F7-48E7-A122-D8D86B8918CB}"/>
    <cellStyle name="Explanatory Text" xfId="80" xr:uid="{A6DBF581-8713-431E-B3B6-39151182B7D8}"/>
    <cellStyle name="Good" xfId="81" xr:uid="{9C94DCC8-55B6-4476-AEB1-B645731D0F11}"/>
    <cellStyle name="Heading 1" xfId="82" xr:uid="{E37C73D5-5451-4223-8420-E58EB9D2FB9C}"/>
    <cellStyle name="Heading 2" xfId="83" xr:uid="{7A86F107-2F01-4C5A-833E-B2C9B2D6E24A}"/>
    <cellStyle name="Heading 3" xfId="84" xr:uid="{E7966D5B-FA68-4E55-BB03-7B53F297925F}"/>
    <cellStyle name="Heading 4" xfId="85" xr:uid="{69CEE6A7-9C3A-4588-AC52-3B7605A52A74}"/>
    <cellStyle name="Input" xfId="86" xr:uid="{B0A7A077-9DCF-43A3-8946-DA744EE71BEA}"/>
    <cellStyle name="Linked Cell" xfId="87" xr:uid="{EA7ADD6C-9CA1-41D1-88EC-10202A41FF97}"/>
    <cellStyle name="Neutral" xfId="88" xr:uid="{80C7266F-2A73-4A3A-A90C-B8791D81C493}"/>
    <cellStyle name="Normal" xfId="0" builtinId="0"/>
    <cellStyle name="Normal 2" xfId="89" xr:uid="{511F0CA6-C69F-4874-9CB1-ACBBA0FC9F57}"/>
    <cellStyle name="Normal 2 2" xfId="90" xr:uid="{B3C77A71-4786-423B-A77C-73464AF8205B}"/>
    <cellStyle name="Normal 3" xfId="91" xr:uid="{E0FDEA99-6EEB-4EA2-BD7A-33C4E722A7F8}"/>
    <cellStyle name="Normal 4" xfId="92" xr:uid="{DFC10AC1-D550-470B-9FD9-1D0214FE3534}"/>
    <cellStyle name="Normal 5" xfId="93" xr:uid="{497EF922-75EC-4618-A33C-E7AF76D3B041}"/>
    <cellStyle name="Note" xfId="94" xr:uid="{5827FCFF-35D2-4DE9-AE8E-88238AD3C295}"/>
    <cellStyle name="Output" xfId="95" xr:uid="{88E1ABC6-EC00-4ED4-845D-FAAEBDCF7650}"/>
    <cellStyle name="Percent 2" xfId="96" xr:uid="{325DC9FC-A889-4CFF-A1B1-1ACFD3322001}"/>
    <cellStyle name="Percent 3" xfId="97" xr:uid="{E03DFE30-B224-4E22-AF12-0358386B43ED}"/>
    <cellStyle name="Title" xfId="98" xr:uid="{4BFE23A4-84F4-44F4-9077-68038CDCB25E}"/>
    <cellStyle name="Total" xfId="99" xr:uid="{81F0CBE4-A60C-4C9B-8521-14DF51F352BB}"/>
    <cellStyle name="Warning Text" xfId="100" xr:uid="{35FD436B-F323-4667-8280-D5833D634873}"/>
    <cellStyle name="アクセント 1" xfId="101" xr:uid="{4A867482-A309-4F2C-949B-AD45A0A335FC}"/>
    <cellStyle name="アクセント 1 2" xfId="102" xr:uid="{A1B5D7BB-5E94-48AD-BAF6-9C9AA557DC0C}"/>
    <cellStyle name="アクセント 2" xfId="103" xr:uid="{F60D7824-4380-4991-BC99-FEC0A72D3543}"/>
    <cellStyle name="アクセント 2 2" xfId="104" xr:uid="{0BAEE3FD-67F1-4A09-A995-EAD569EDCAFD}"/>
    <cellStyle name="アクセント 3" xfId="105" xr:uid="{176EB2F0-BFB7-4BDD-94BB-2DDF4B2018CF}"/>
    <cellStyle name="アクセント 3 2" xfId="106" xr:uid="{1EC6D191-2D81-415D-B4B1-7CED593A928B}"/>
    <cellStyle name="アクセント 4" xfId="107" xr:uid="{F3C6C4A2-69A9-48A6-822A-09281F35A25C}"/>
    <cellStyle name="アクセント 4 2" xfId="108" xr:uid="{9D1A357A-F55E-434F-A33E-F4EF07C0AC1B}"/>
    <cellStyle name="アクセント 5" xfId="109" xr:uid="{86BFAE91-4B2C-4712-8EC8-BD534F7D666A}"/>
    <cellStyle name="アクセント 5 2" xfId="110" xr:uid="{AC33B395-DA70-4BC0-81A4-E30B18E589B5}"/>
    <cellStyle name="アクセント 6" xfId="111" xr:uid="{19CB0E34-051B-4FB7-995E-C8C1E7D3C8CF}"/>
    <cellStyle name="アクセント 6 2" xfId="112" xr:uid="{3240C9EB-DA19-4A41-8B25-B0A36AF31DDD}"/>
    <cellStyle name="タイトル" xfId="113" xr:uid="{A4BEFECD-2A9F-4F5E-B3D1-E6FF9DCF3C27}"/>
    <cellStyle name="タイトル 2" xfId="114" xr:uid="{B164C360-CE1C-44F6-8036-3E88A21C3AD1}"/>
    <cellStyle name="チェック セル" xfId="115" xr:uid="{6D2D684E-D828-427C-8B62-1A7321FCB1DF}"/>
    <cellStyle name="チェック セル 2" xfId="116" xr:uid="{67D410E7-7C53-4F38-B29A-F9E3036020ED}"/>
    <cellStyle name="どちらでもない" xfId="117" xr:uid="{09D7AAB5-AF81-4BE1-A5FA-172797E644F4}"/>
    <cellStyle name="どちらでもない 2" xfId="118" xr:uid="{2BCFB9A1-3961-48CF-824B-620D3C2A09F1}"/>
    <cellStyle name="パーセント 2" xfId="119" xr:uid="{AAB1196A-4EA4-487B-99AF-65814542CAAF}"/>
    <cellStyle name="パーセント 3" xfId="120" xr:uid="{279094CC-C59A-4ABA-9B02-8B049214993B}"/>
    <cellStyle name="パーセント 3 2" xfId="121" xr:uid="{411245B4-3843-4ACC-B362-AAE3DCE88E1A}"/>
    <cellStyle name="メモ" xfId="122" xr:uid="{4B267FDF-B537-419A-A347-A25033695C93}"/>
    <cellStyle name="メモ 2" xfId="123" xr:uid="{97E3B10D-0B87-4F55-BA95-924158B6C905}"/>
    <cellStyle name="リンク セル" xfId="124" xr:uid="{4CF99F1C-08FD-4818-9B50-98BB59A7653F}"/>
    <cellStyle name="リンク セル 2" xfId="125" xr:uid="{18D5220E-E402-4965-8AF3-8C22CB5CFA1D}"/>
    <cellStyle name="一般_KMHK FY2008 時間当り採算 2007年4月 ( Month Plan )" xfId="128" xr:uid="{9DA9CC11-1D0E-41A7-BF39-DCB6302D9FDF}"/>
    <cellStyle name="一般_設備投資金額一覽表" xfId="129" xr:uid="{81CDEC3C-DE8C-4B56-A3BA-2FA5E890D5D4}"/>
    <cellStyle name="入力" xfId="161" xr:uid="{3BDC490E-D5B6-4BE2-90D5-79D360E5F617}"/>
    <cellStyle name="入力 2" xfId="162" xr:uid="{BF6F857D-9D2E-44BA-841B-9F1AB961FC6B}"/>
    <cellStyle name="出力" xfId="154" xr:uid="{2147AA1F-663D-459C-A143-A530ECCC0E62}"/>
    <cellStyle name="出力 2" xfId="155" xr:uid="{98614763-C5A2-400B-9B5C-636FE42EDAC2}"/>
    <cellStyle name="常规_総生産分析(0605-0606)" xfId="156" xr:uid="{6C11E774-3EED-449F-B0CC-3A2B89BDE2BB}"/>
    <cellStyle name="悪い" xfId="126" xr:uid="{99F05CDC-4B67-4948-BE1F-3B152AE9E5F7}"/>
    <cellStyle name="悪い 2" xfId="127" xr:uid="{2FA50B01-9C17-449D-A431-553FE2358925}"/>
    <cellStyle name="未定義" xfId="172" xr:uid="{D8271AC8-2024-441A-B683-A1508516D74E}"/>
    <cellStyle name="桁区切り [0.00] 2" xfId="134" xr:uid="{1CB56D9D-2CF4-471F-B859-0A8704C6E5BD}"/>
    <cellStyle name="桁区切り [0.00] 2 2" xfId="135" xr:uid="{DD216D23-A2FE-4671-BF5B-174853B9E57D}"/>
    <cellStyle name="桁区切り [0.00] 2 3" xfId="136" xr:uid="{12A3EF32-029A-480D-B517-1B918BDDB14A}"/>
    <cellStyle name="桁区切り 2" xfId="137" xr:uid="{5920709D-F6C2-4341-B7D1-C48DC71CA615}"/>
    <cellStyle name="桁区切り 2 2" xfId="138" xr:uid="{ACB1A30A-2377-4237-A2BE-7C592AF7F16F}"/>
    <cellStyle name="桁区切り 2 3" xfId="139" xr:uid="{7F5E9C6D-2443-401A-AD66-4F055A5DBF7D}"/>
    <cellStyle name="桁区切り 3" xfId="140" xr:uid="{4CFC75DC-E89D-4298-A940-B9891D725D26}"/>
    <cellStyle name="桁区切り 4" xfId="141" xr:uid="{98B78847-B1BB-4219-8F62-AA75FF5898C4}"/>
    <cellStyle name="桁区切り 5" xfId="142" xr:uid="{CB2EBD98-5822-43B7-AF80-07D6389986CB}"/>
    <cellStyle name="桁区切り 6" xfId="143" xr:uid="{FCBC5568-04A9-4E88-829A-68B508B44942}"/>
    <cellStyle name="標準 2" xfId="163" xr:uid="{884684CB-C271-4D4C-A784-9987C9E8D357}"/>
    <cellStyle name="標準 2 2" xfId="164" xr:uid="{89B4D373-17E3-4A3D-BDFD-2DFD8C31263A}"/>
    <cellStyle name="標準 3" xfId="165" xr:uid="{42DB5323-9766-44B0-A338-CE4E9674F429}"/>
    <cellStyle name="標準 3 2" xfId="166" xr:uid="{692BBAE8-1BFF-48F7-9CD3-6AC7EE9687F7}"/>
    <cellStyle name="標準 4" xfId="167" xr:uid="{27E426CD-2A88-4399-8B83-1BF904696AB3}"/>
    <cellStyle name="標準 4 2" xfId="168" xr:uid="{60A71087-D414-4CC5-A2DE-24E82A0E94C0}"/>
    <cellStyle name="標準_★予定用採算表フォーム（製造課用）" xfId="169" xr:uid="{7D7D6A0A-382A-459E-B1F0-A2BDE859B43A}"/>
    <cellStyle name="標準_03.2012 08 31 KDTVN採算表及集計表 FY2013_09（製技用）" xfId="170" xr:uid="{49A62B6B-B0B3-4311-B811-ED67AF1EDD3A}"/>
    <cellStyle name="標準_KDTVN 2012年9月1日付原価センタ" xfId="171" xr:uid="{5B318C79-961C-4EFE-A941-A1ED195249AF}"/>
    <cellStyle name="良い" xfId="173" xr:uid="{E1C9C0B0-5A6A-4F3A-9C6F-65E017670735}"/>
    <cellStyle name="良い 2" xfId="174" xr:uid="{CEA953EC-1B5A-4E95-A717-0F7C3B394A34}"/>
    <cellStyle name="見出し 1" xfId="144" xr:uid="{4771FE8E-3BCE-4127-ADF9-382F835E356E}"/>
    <cellStyle name="見出し 1 2" xfId="145" xr:uid="{960C42B2-B05E-4F17-8523-362C5BBEE584}"/>
    <cellStyle name="見出し 2" xfId="146" xr:uid="{B8D1FD8D-C2B0-4845-8FD4-DF0239200647}"/>
    <cellStyle name="見出し 2 2" xfId="147" xr:uid="{1BBDBF41-6E7C-41DF-AB92-863D964C7EC0}"/>
    <cellStyle name="見出し 3" xfId="148" xr:uid="{0CC5CBCD-30B8-4EDB-950A-53E8D8C290CA}"/>
    <cellStyle name="見出し 3 2" xfId="149" xr:uid="{E23238C0-2CD3-4FEA-8E56-3F22B0E994D3}"/>
    <cellStyle name="見出し 4" xfId="150" xr:uid="{82CB79BE-3EBE-45D8-97E2-85F6F4733B7E}"/>
    <cellStyle name="見出し 4 2" xfId="151" xr:uid="{EBC42B19-B9A1-45FD-9670-792D1BA79F26}"/>
    <cellStyle name="計算" xfId="130" xr:uid="{3649E213-76FB-44AE-81B6-20E21E9780FE}"/>
    <cellStyle name="計算 2" xfId="131" xr:uid="{0630082A-D6B2-4D1B-8820-AAF9CC2EA9FE}"/>
    <cellStyle name="説明文" xfId="157" xr:uid="{A240AC1F-C062-4864-9507-55B0EBD0B772}"/>
    <cellStyle name="説明文 2" xfId="158" xr:uid="{B6BA3C01-EBE1-4719-85A2-A87E2B059CB6}"/>
    <cellStyle name="警告文" xfId="132" xr:uid="{0EF2D2C2-FA6E-4218-89B3-63AB1C6F5121}"/>
    <cellStyle name="警告文 2" xfId="133" xr:uid="{CCFAB56D-9013-4D85-AB16-3E46542D5EC7}"/>
    <cellStyle name="通貨 2" xfId="159" xr:uid="{6315D706-7B97-4829-B20B-391D63D959C4}"/>
    <cellStyle name="通貨 3" xfId="160" xr:uid="{DA948E44-F739-4AB6-8E70-79C1A4017F17}"/>
    <cellStyle name="集計" xfId="152" xr:uid="{03B0BA21-2935-4327-A58D-A21E7EEC6140}"/>
    <cellStyle name="集計 2" xfId="153" xr:uid="{B493DB4C-D76B-4685-8A91-BE5ABA465187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6FFF2-4A6B-424A-BC78-A77EA4A13273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90625" style="20" customWidth="1"/>
    <col min="2" max="2" width="19.453125" style="23" customWidth="1"/>
    <col min="3" max="13" width="12.36328125" style="19" customWidth="1"/>
    <col min="14" max="15" width="11.9062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製品保証課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7.0000000003346941E-2</v>
      </c>
      <c r="D13" s="133">
        <f t="shared" ref="D13:O13" si="3">SUM(D14:D65)</f>
        <v>5.0000000001091394E-2</v>
      </c>
      <c r="E13" s="133">
        <f t="shared" si="3"/>
        <v>5.9999999999490683E-2</v>
      </c>
      <c r="F13" s="133">
        <f t="shared" si="3"/>
        <v>4.9999999999272404E-2</v>
      </c>
      <c r="G13" s="133">
        <f t="shared" si="3"/>
        <v>5.9999999999490683E-2</v>
      </c>
      <c r="H13" s="133">
        <f t="shared" si="3"/>
        <v>4.9999999999272404E-2</v>
      </c>
      <c r="I13" s="133">
        <f t="shared" si="3"/>
        <v>3.9999999999054126E-2</v>
      </c>
      <c r="J13" s="133">
        <f t="shared" si="3"/>
        <v>5.0000000001091394E-2</v>
      </c>
      <c r="K13" s="133">
        <f t="shared" si="3"/>
        <v>4.9999999999272404E-2</v>
      </c>
      <c r="L13" s="133">
        <f t="shared" si="3"/>
        <v>3.9999999999054126E-2</v>
      </c>
      <c r="M13" s="133">
        <f t="shared" si="3"/>
        <v>4.0000000000873115E-2</v>
      </c>
      <c r="N13" s="133">
        <f t="shared" si="3"/>
        <v>3.9999999999054126E-2</v>
      </c>
      <c r="O13" s="133">
        <f t="shared" si="3"/>
        <v>0.60000000000582077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3191.0600000000004</v>
      </c>
      <c r="D20" s="136">
        <f>ROUNDUP('採算表(VND)'!D20/$N$1,2)</f>
        <v>3188.2400000000002</v>
      </c>
      <c r="E20" s="136">
        <f>ROUNDUP('採算表(VND)'!E20/$N$1,2)</f>
        <v>3188.94</v>
      </c>
      <c r="F20" s="136">
        <f>ROUNDUP('採算表(VND)'!F20/$N$1,2)</f>
        <v>3096.3100000000004</v>
      </c>
      <c r="G20" s="136">
        <f>ROUNDUP('採算表(VND)'!G20/$N$1,2)</f>
        <v>3094.9700000000003</v>
      </c>
      <c r="H20" s="136">
        <f>ROUNDUP('採算表(VND)'!H20/$N$1,2)</f>
        <v>3017.17</v>
      </c>
      <c r="I20" s="136">
        <f>ROUNDUP('採算表(VND)'!I20/$N$1,2)</f>
        <v>2998.38</v>
      </c>
      <c r="J20" s="136">
        <f>ROUNDUP('採算表(VND)'!J20/$N$1,2)</f>
        <v>1710.17</v>
      </c>
      <c r="K20" s="136">
        <f>ROUNDUP('採算表(VND)'!K20/$N$1,2)</f>
        <v>1662.48</v>
      </c>
      <c r="L20" s="136">
        <f>ROUNDUP('採算表(VND)'!L20/$N$1,2)</f>
        <v>1659.3799999999999</v>
      </c>
      <c r="M20" s="136">
        <f>ROUNDUP('採算表(VND)'!M20/$N$1,2)</f>
        <v>1718.86</v>
      </c>
      <c r="N20" s="136">
        <f>ROUNDUP('採算表(VND)'!N20/$N$1,2)</f>
        <v>1726.75</v>
      </c>
      <c r="O20" s="136">
        <f t="shared" si="4"/>
        <v>30252.710000000006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3419.46</v>
      </c>
      <c r="D25" s="136">
        <f>ROUNDUP('採算表(VND)'!D25/$N$1,2)</f>
        <v>3110.9100000000003</v>
      </c>
      <c r="E25" s="136">
        <f>ROUNDUP('採算表(VND)'!E25/$N$1,2)</f>
        <v>3594.8100000000004</v>
      </c>
      <c r="F25" s="136">
        <f>ROUNDUP('採算表(VND)'!F25/$N$1,2)</f>
        <v>3808.9500000000003</v>
      </c>
      <c r="G25" s="136">
        <f>ROUNDUP('採算表(VND)'!G25/$N$1,2)</f>
        <v>3662.82</v>
      </c>
      <c r="H25" s="136">
        <f>ROUNDUP('採算表(VND)'!H25/$N$1,2)</f>
        <v>3288.84</v>
      </c>
      <c r="I25" s="136">
        <f>ROUNDUP('採算表(VND)'!I25/$N$1,2)</f>
        <v>3814.07</v>
      </c>
      <c r="J25" s="136">
        <f>ROUNDUP('採算表(VND)'!J25/$N$1,2)</f>
        <v>3684.05</v>
      </c>
      <c r="K25" s="136">
        <f>ROUNDUP('採算表(VND)'!K25/$N$1,2)</f>
        <v>3605.34</v>
      </c>
      <c r="L25" s="136">
        <f>ROUNDUP('採算表(VND)'!L25/$N$1,2)</f>
        <v>3602.7200000000003</v>
      </c>
      <c r="M25" s="136">
        <f>ROUNDUP('採算表(VND)'!M25/$N$1,2)</f>
        <v>3438.76</v>
      </c>
      <c r="N25" s="136">
        <f>ROUNDUP('採算表(VND)'!N25/$N$1,2)</f>
        <v>3304.3500000000004</v>
      </c>
      <c r="O25" s="136">
        <f t="shared" si="4"/>
        <v>42335.08</v>
      </c>
    </row>
    <row r="26" spans="1:15" ht="11.25" customHeight="1">
      <c r="A26" s="34"/>
      <c r="B26" s="37" t="s">
        <v>104</v>
      </c>
      <c r="C26" s="136">
        <f>ROUNDUP('採算表(VND)'!C26/$N$1,2)</f>
        <v>558.54</v>
      </c>
      <c r="D26" s="136">
        <f>ROUNDUP('採算表(VND)'!D26/$N$1,2)</f>
        <v>558.54</v>
      </c>
      <c r="E26" s="136">
        <f>ROUNDUP('採算表(VND)'!E26/$N$1,2)</f>
        <v>558.54</v>
      </c>
      <c r="F26" s="136">
        <f>ROUNDUP('採算表(VND)'!F26/$N$1,2)</f>
        <v>80</v>
      </c>
      <c r="G26" s="136">
        <f>ROUNDUP('採算表(VND)'!G26/$N$1,2)</f>
        <v>1665.87</v>
      </c>
      <c r="H26" s="136">
        <f>ROUNDUP('採算表(VND)'!H26/$N$1,2)</f>
        <v>80</v>
      </c>
      <c r="I26" s="136">
        <f>ROUNDUP('採算表(VND)'!I26/$N$1,2)</f>
        <v>80</v>
      </c>
      <c r="J26" s="136">
        <f>ROUNDUP('採算表(VND)'!J26/$N$1,2)</f>
        <v>80</v>
      </c>
      <c r="K26" s="136">
        <f>ROUNDUP('採算表(VND)'!K26/$N$1,2)</f>
        <v>80</v>
      </c>
      <c r="L26" s="136">
        <f>ROUNDUP('採算表(VND)'!L26/$N$1,2)</f>
        <v>80</v>
      </c>
      <c r="M26" s="136">
        <f>ROUNDUP('採算表(VND)'!M26/$N$1,2)</f>
        <v>380</v>
      </c>
      <c r="N26" s="136">
        <f>ROUNDUP('採算表(VND)'!N26/$N$1,2)</f>
        <v>80</v>
      </c>
      <c r="O26" s="136">
        <f t="shared" si="4"/>
        <v>4281.49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0</v>
      </c>
      <c r="H28" s="136">
        <f>ROUNDUP('採算表(VND)'!H28/$N$1,2)</f>
        <v>0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0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450.18</v>
      </c>
      <c r="D30" s="136">
        <f>ROUNDUP('採算表(VND)'!D30/$N$1,2)</f>
        <v>462.09999999999997</v>
      </c>
      <c r="E30" s="136">
        <f>ROUNDUP('採算表(VND)'!E30/$N$1,2)</f>
        <v>565.05999999999995</v>
      </c>
      <c r="F30" s="136">
        <f>ROUNDUP('採算表(VND)'!F30/$N$1,2)</f>
        <v>628.66999999999996</v>
      </c>
      <c r="G30" s="136">
        <f>ROUNDUP('採算表(VND)'!G30/$N$1,2)</f>
        <v>631.43999999999994</v>
      </c>
      <c r="H30" s="136">
        <f>ROUNDUP('採算表(VND)'!H30/$N$1,2)</f>
        <v>576.78</v>
      </c>
      <c r="I30" s="136">
        <f>ROUNDUP('採算表(VND)'!I30/$N$1,2)</f>
        <v>571.83000000000004</v>
      </c>
      <c r="J30" s="136">
        <f>ROUNDUP('採算表(VND)'!J30/$N$1,2)</f>
        <v>536.12</v>
      </c>
      <c r="K30" s="136">
        <f>ROUNDUP('採算表(VND)'!K30/$N$1,2)</f>
        <v>525.29999999999995</v>
      </c>
      <c r="L30" s="136">
        <f>ROUNDUP('採算表(VND)'!L30/$N$1,2)</f>
        <v>454.49</v>
      </c>
      <c r="M30" s="136">
        <f>ROUNDUP('採算表(VND)'!M30/$N$1,2)</f>
        <v>424.39</v>
      </c>
      <c r="N30" s="136">
        <f>ROUNDUP('採算表(VND)'!N30/$N$1,2)</f>
        <v>379.96</v>
      </c>
      <c r="O30" s="136">
        <f t="shared" si="4"/>
        <v>6206.32</v>
      </c>
    </row>
    <row r="31" spans="1:15" ht="11.25" customHeight="1">
      <c r="A31" s="34"/>
      <c r="B31" s="37" t="s">
        <v>59</v>
      </c>
      <c r="C31" s="136">
        <f>ROUNDUP('採算表(VND)'!C31/$N$1,2)</f>
        <v>3517.1400000000003</v>
      </c>
      <c r="D31" s="136">
        <f>ROUNDUP('採算表(VND)'!D31/$N$1,2)</f>
        <v>795.59</v>
      </c>
      <c r="E31" s="136">
        <f>ROUNDUP('採算表(VND)'!E31/$N$1,2)</f>
        <v>401.74</v>
      </c>
      <c r="F31" s="136">
        <f>ROUNDUP('採算表(VND)'!F31/$N$1,2)</f>
        <v>393.86</v>
      </c>
      <c r="G31" s="136">
        <f>ROUNDUP('採算表(VND)'!G31/$N$1,2)</f>
        <v>722.73</v>
      </c>
      <c r="H31" s="136">
        <f>ROUNDUP('採算表(VND)'!H31/$N$1,2)</f>
        <v>96.89</v>
      </c>
      <c r="I31" s="136">
        <f>ROUNDUP('採算表(VND)'!I31/$N$1,2)</f>
        <v>0</v>
      </c>
      <c r="J31" s="136">
        <f>ROUNDUP('採算表(VND)'!J31/$N$1,2)</f>
        <v>23.64</v>
      </c>
      <c r="K31" s="136">
        <f>ROUNDUP('採算表(VND)'!K31/$N$1,2)</f>
        <v>19.700000000000003</v>
      </c>
      <c r="L31" s="136">
        <f>ROUNDUP('採算表(VND)'!L31/$N$1,2)</f>
        <v>216.63</v>
      </c>
      <c r="M31" s="136">
        <f>ROUNDUP('採算表(VND)'!M31/$N$1,2)</f>
        <v>452.94</v>
      </c>
      <c r="N31" s="136">
        <f>ROUNDUP('採算表(VND)'!N31/$N$1,2)</f>
        <v>102.41000000000001</v>
      </c>
      <c r="O31" s="136">
        <f t="shared" si="4"/>
        <v>6743.2699999999995</v>
      </c>
    </row>
    <row r="32" spans="1:15" ht="11.25" customHeight="1">
      <c r="A32" s="38"/>
      <c r="B32" s="37" t="s">
        <v>61</v>
      </c>
      <c r="C32" s="136">
        <f>ROUNDUP('採算表(VND)'!C32/$N$1,2)</f>
        <v>200</v>
      </c>
      <c r="D32" s="136">
        <f>ROUNDUP('採算表(VND)'!D32/$N$1,2)</f>
        <v>200</v>
      </c>
      <c r="E32" s="136">
        <f>ROUNDUP('採算表(VND)'!E32/$N$1,2)</f>
        <v>200</v>
      </c>
      <c r="F32" s="136">
        <f>ROUNDUP('採算表(VND)'!F32/$N$1,2)</f>
        <v>200</v>
      </c>
      <c r="G32" s="136">
        <f>ROUNDUP('採算表(VND)'!G32/$N$1,2)</f>
        <v>200</v>
      </c>
      <c r="H32" s="136">
        <f>ROUNDUP('採算表(VND)'!H32/$N$1,2)</f>
        <v>200</v>
      </c>
      <c r="I32" s="136">
        <f>ROUNDUP('採算表(VND)'!I32/$N$1,2)</f>
        <v>200</v>
      </c>
      <c r="J32" s="136">
        <f>ROUNDUP('採算表(VND)'!J32/$N$1,2)</f>
        <v>200</v>
      </c>
      <c r="K32" s="136">
        <f>ROUNDUP('採算表(VND)'!K32/$N$1,2)</f>
        <v>200</v>
      </c>
      <c r="L32" s="136">
        <f>ROUNDUP('採算表(VND)'!L32/$N$1,2)</f>
        <v>200</v>
      </c>
      <c r="M32" s="136">
        <f>ROUNDUP('採算表(VND)'!M32/$N$1,2)</f>
        <v>200</v>
      </c>
      <c r="N32" s="136">
        <f>ROUNDUP('採算表(VND)'!N32/$N$1,2)</f>
        <v>200</v>
      </c>
      <c r="O32" s="136">
        <f t="shared" si="4"/>
        <v>2400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99.690000000000012</v>
      </c>
      <c r="D39" s="136">
        <f>ROUNDUP('採算表(VND)'!D39/$N$1,2)</f>
        <v>100.08</v>
      </c>
      <c r="E39" s="136">
        <f>ROUNDUP('採算表(VND)'!E39/$N$1,2)</f>
        <v>103.16000000000001</v>
      </c>
      <c r="F39" s="136">
        <f>ROUNDUP('採算表(VND)'!F39/$N$1,2)</f>
        <v>94.48</v>
      </c>
      <c r="G39" s="136">
        <f>ROUNDUP('採算表(VND)'!G39/$N$1,2)</f>
        <v>91.97</v>
      </c>
      <c r="H39" s="136">
        <f>ROUNDUP('採算表(VND)'!H39/$N$1,2)</f>
        <v>91.800000000000011</v>
      </c>
      <c r="I39" s="136">
        <f>ROUNDUP('採算表(VND)'!I39/$N$1,2)</f>
        <v>87.81</v>
      </c>
      <c r="J39" s="136">
        <f>ROUNDUP('採算表(VND)'!J39/$N$1,2)</f>
        <v>86.72</v>
      </c>
      <c r="K39" s="136">
        <f>ROUNDUP('採算表(VND)'!K39/$N$1,2)</f>
        <v>86.97</v>
      </c>
      <c r="L39" s="136">
        <f>ROUNDUP('採算表(VND)'!L39/$N$1,2)</f>
        <v>83.25</v>
      </c>
      <c r="M39" s="136">
        <f>ROUNDUP('採算表(VND)'!M39/$N$1,2)</f>
        <v>78.790000000000006</v>
      </c>
      <c r="N39" s="136">
        <f>ROUNDUP('採算表(VND)'!N39/$N$1,2)</f>
        <v>82.45</v>
      </c>
      <c r="O39" s="136">
        <f t="shared" si="4"/>
        <v>1087.17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3.1599999999999997</v>
      </c>
      <c r="D41" s="136">
        <f>ROUNDUP('採算表(VND)'!D41/$N$1,2)</f>
        <v>3.1599999999999997</v>
      </c>
      <c r="E41" s="136">
        <f>ROUNDUP('採算表(VND)'!E41/$N$1,2)</f>
        <v>3.1599999999999997</v>
      </c>
      <c r="F41" s="136">
        <f>ROUNDUP('採算表(VND)'!F41/$N$1,2)</f>
        <v>3.1599999999999997</v>
      </c>
      <c r="G41" s="136">
        <f>ROUNDUP('採算表(VND)'!G41/$N$1,2)</f>
        <v>3.1599999999999997</v>
      </c>
      <c r="H41" s="136">
        <f>ROUNDUP('採算表(VND)'!H41/$N$1,2)</f>
        <v>3.1599999999999997</v>
      </c>
      <c r="I41" s="136">
        <f>ROUNDUP('採算表(VND)'!I41/$N$1,2)</f>
        <v>3.1599999999999997</v>
      </c>
      <c r="J41" s="136">
        <f>ROUNDUP('採算表(VND)'!J41/$N$1,2)</f>
        <v>3.1599999999999997</v>
      </c>
      <c r="K41" s="136">
        <f>ROUNDUP('採算表(VND)'!K41/$N$1,2)</f>
        <v>3.1599999999999997</v>
      </c>
      <c r="L41" s="136">
        <f>ROUNDUP('採算表(VND)'!L41/$N$1,2)</f>
        <v>3.1599999999999997</v>
      </c>
      <c r="M41" s="136">
        <f>ROUNDUP('採算表(VND)'!M41/$N$1,2)</f>
        <v>3.1599999999999997</v>
      </c>
      <c r="N41" s="136">
        <f>ROUNDUP('採算表(VND)'!N41/$N$1,2)</f>
        <v>3.1599999999999997</v>
      </c>
      <c r="O41" s="136">
        <f t="shared" si="4"/>
        <v>37.919999999999995</v>
      </c>
    </row>
    <row r="42" spans="1:15" ht="11.25" customHeight="1">
      <c r="A42" s="38"/>
      <c r="B42" s="37" t="s">
        <v>98</v>
      </c>
      <c r="C42" s="136">
        <f>ROUNDUP('採算表(VND)'!C42/$N$1,2)</f>
        <v>2353.25</v>
      </c>
      <c r="D42" s="136">
        <f>ROUNDUP('採算表(VND)'!D42/$N$1,2)</f>
        <v>2353.25</v>
      </c>
      <c r="E42" s="136">
        <f>ROUNDUP('採算表(VND)'!E42/$N$1,2)</f>
        <v>2353.25</v>
      </c>
      <c r="F42" s="136">
        <f>ROUNDUP('採算表(VND)'!F42/$N$1,2)</f>
        <v>2353.25</v>
      </c>
      <c r="G42" s="136">
        <f>ROUNDUP('採算表(VND)'!G42/$N$1,2)</f>
        <v>2361.0600000000004</v>
      </c>
      <c r="H42" s="136">
        <f>ROUNDUP('採算表(VND)'!H42/$N$1,2)</f>
        <v>2364.71</v>
      </c>
      <c r="I42" s="136">
        <f>ROUNDUP('採算表(VND)'!I42/$N$1,2)</f>
        <v>2364.71</v>
      </c>
      <c r="J42" s="136">
        <f>ROUNDUP('採算表(VND)'!J42/$N$1,2)</f>
        <v>2366.19</v>
      </c>
      <c r="K42" s="136">
        <f>ROUNDUP('採算表(VND)'!K42/$N$1,2)</f>
        <v>2364.71</v>
      </c>
      <c r="L42" s="136">
        <f>ROUNDUP('採算表(VND)'!L42/$N$1,2)</f>
        <v>2364.71</v>
      </c>
      <c r="M42" s="136">
        <f>ROUNDUP('採算表(VND)'!M42/$N$1,2)</f>
        <v>2364.71</v>
      </c>
      <c r="N42" s="136">
        <f>ROUNDUP('採算表(VND)'!N42/$N$1,2)</f>
        <v>2364.71</v>
      </c>
      <c r="O42" s="136">
        <f t="shared" si="4"/>
        <v>28328.509999999995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1596.54</v>
      </c>
      <c r="D44" s="136">
        <f>ROUNDUP('採算表(VND)'!D44/$N$1,2)</f>
        <v>3757.03</v>
      </c>
      <c r="E44" s="136">
        <f>ROUNDUP('採算表(VND)'!E44/$N$1,2)</f>
        <v>829.08</v>
      </c>
      <c r="F44" s="136">
        <f>ROUNDUP('採算表(VND)'!F44/$N$1,2)</f>
        <v>646.91</v>
      </c>
      <c r="G44" s="136">
        <f>ROUNDUP('採算表(VND)'!G44/$N$1,2)</f>
        <v>591.67999999999995</v>
      </c>
      <c r="H44" s="136">
        <f>ROUNDUP('採算表(VND)'!H44/$N$1,2)</f>
        <v>737.5</v>
      </c>
      <c r="I44" s="136">
        <f>ROUNDUP('採算表(VND)'!I44/$N$1,2)</f>
        <v>547.97</v>
      </c>
      <c r="J44" s="136">
        <f>ROUNDUP('採算表(VND)'!J44/$N$1,2)</f>
        <v>655.66</v>
      </c>
      <c r="K44" s="136">
        <f>ROUNDUP('採算表(VND)'!K44/$N$1,2)</f>
        <v>787.52</v>
      </c>
      <c r="L44" s="136">
        <f>ROUNDUP('採算表(VND)'!L44/$N$1,2)</f>
        <v>437.27</v>
      </c>
      <c r="M44" s="136">
        <f>ROUNDUP('採算表(VND)'!M44/$N$1,2)</f>
        <v>1145.25</v>
      </c>
      <c r="N44" s="136">
        <f>ROUNDUP('採算表(VND)'!N44/$N$1,2)</f>
        <v>408.05</v>
      </c>
      <c r="O44" s="136">
        <f t="shared" si="4"/>
        <v>12140.46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1305.81</v>
      </c>
      <c r="D57" s="139">
        <f>ROUNDUP('採算表(VND)'!D57/$N$1,2)</f>
        <v>1189.01</v>
      </c>
      <c r="E57" s="139">
        <f>ROUNDUP('採算表(VND)'!E57/$N$1,2)</f>
        <v>1189.48</v>
      </c>
      <c r="F57" s="139">
        <f>ROUNDUP('採算表(VND)'!F57/$N$1,2)</f>
        <v>1179.81</v>
      </c>
      <c r="G57" s="139">
        <f>ROUNDUP('採算表(VND)'!G57/$N$1,2)</f>
        <v>1180.1500000000001</v>
      </c>
      <c r="H57" s="139">
        <f>ROUNDUP('採算表(VND)'!H57/$N$1,2)</f>
        <v>1168.23</v>
      </c>
      <c r="I57" s="139">
        <f>ROUNDUP('採算表(VND)'!I57/$N$1,2)</f>
        <v>1156.07</v>
      </c>
      <c r="J57" s="139">
        <f>ROUNDUP('採算表(VND)'!J57/$N$1,2)</f>
        <v>1155.8499999999999</v>
      </c>
      <c r="K57" s="139">
        <f>ROUNDUP('採算表(VND)'!K57/$N$1,2)</f>
        <v>1127.97</v>
      </c>
      <c r="L57" s="139">
        <f>ROUNDUP('採算表(VND)'!L57/$N$1,2)</f>
        <v>1125.8699999999999</v>
      </c>
      <c r="M57" s="139">
        <f>ROUNDUP('採算表(VND)'!M57/$N$1,2)</f>
        <v>1119.0899999999999</v>
      </c>
      <c r="N57" s="139">
        <f>ROUNDUP('採算表(VND)'!N57/$N$1,2)</f>
        <v>1131.97</v>
      </c>
      <c r="O57" s="139">
        <f t="shared" si="4"/>
        <v>14029.31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0</v>
      </c>
      <c r="G61" s="139">
        <f>ROUNDUP('採算表(VND)'!G61/$N$1,2)</f>
        <v>0</v>
      </c>
      <c r="H61" s="139">
        <f>ROUNDUP('採算表(VND)'!H61/$N$1,2)</f>
        <v>0</v>
      </c>
      <c r="I61" s="139">
        <f>ROUNDUP('採算表(VND)'!I61/$N$1,2)</f>
        <v>0</v>
      </c>
      <c r="J61" s="139">
        <f>ROUNDUP('採算表(VND)'!J61/$N$1,2)</f>
        <v>0</v>
      </c>
      <c r="K61" s="139">
        <f>ROUNDUP('採算表(VND)'!K61/$N$1,2)</f>
        <v>0</v>
      </c>
      <c r="L61" s="139">
        <f>ROUNDUP('採算表(VND)'!L61/$N$1,2)</f>
        <v>0</v>
      </c>
      <c r="M61" s="139">
        <f>ROUNDUP('採算表(VND)'!M61/$N$1,2)</f>
        <v>0</v>
      </c>
      <c r="N61" s="139">
        <f>ROUNDUP('採算表(VND)'!N61/$N$1,2)</f>
        <v>0</v>
      </c>
      <c r="O61" s="139">
        <f t="shared" si="4"/>
        <v>0</v>
      </c>
    </row>
    <row r="62" spans="1:15" ht="11.25" customHeight="1">
      <c r="A62" s="38"/>
      <c r="B62" s="37" t="s">
        <v>418</v>
      </c>
      <c r="C62" s="139">
        <f>ROUNDUP('採算表(VND)'!C62/$N$1,2)</f>
        <v>0</v>
      </c>
      <c r="D62" s="139">
        <f>ROUNDUP('採算表(VND)'!D62/$N$1,2)</f>
        <v>0</v>
      </c>
      <c r="E62" s="139">
        <f>ROUNDUP('採算表(VND)'!E62/$N$1,2)</f>
        <v>0</v>
      </c>
      <c r="F62" s="139">
        <f>ROUNDUP('採算表(VND)'!F62/$N$1,2)</f>
        <v>0</v>
      </c>
      <c r="G62" s="139">
        <f>ROUNDUP('採算表(VND)'!G62/$N$1,2)</f>
        <v>0</v>
      </c>
      <c r="H62" s="139">
        <f>ROUNDUP('採算表(VND)'!H62/$N$1,2)</f>
        <v>0</v>
      </c>
      <c r="I62" s="139">
        <f>ROUNDUP('採算表(VND)'!I62/$N$1,2)</f>
        <v>0</v>
      </c>
      <c r="J62" s="139">
        <f>ROUNDUP('採算表(VND)'!J62/$N$1,2)</f>
        <v>0</v>
      </c>
      <c r="K62" s="139">
        <f>ROUNDUP('採算表(VND)'!K62/$N$1,2)</f>
        <v>0</v>
      </c>
      <c r="L62" s="139">
        <f>ROUNDUP('採算表(VND)'!L62/$N$1,2)</f>
        <v>0</v>
      </c>
      <c r="M62" s="139">
        <f>ROUNDUP('採算表(VND)'!M62/$N$1,2)</f>
        <v>0</v>
      </c>
      <c r="N62" s="139">
        <f>ROUNDUP('採算表(VND)'!N62/$N$1,2)</f>
        <v>0</v>
      </c>
      <c r="O62" s="139">
        <f t="shared" si="4"/>
        <v>0</v>
      </c>
    </row>
    <row r="63" spans="1:15" ht="11.25" customHeight="1">
      <c r="A63" s="38"/>
      <c r="B63" s="37" t="s">
        <v>419</v>
      </c>
      <c r="C63" s="139">
        <f>ROUNDUP('採算表(VND)'!C63/$N$1,2)</f>
        <v>-16694.759999999998</v>
      </c>
      <c r="D63" s="139">
        <f>ROUNDUP('採算表(VND)'!D63/$N$1,2)</f>
        <v>-15717.86</v>
      </c>
      <c r="E63" s="139">
        <f>ROUNDUP('採算表(VND)'!E63/$N$1,2)</f>
        <v>-12987.16</v>
      </c>
      <c r="F63" s="139">
        <f>ROUNDUP('採算表(VND)'!F63/$N$1,2)</f>
        <v>-12485.35</v>
      </c>
      <c r="G63" s="139">
        <f>ROUNDUP('採算表(VND)'!G63/$N$1,2)</f>
        <v>-14205.79</v>
      </c>
      <c r="H63" s="139">
        <f>ROUNDUP('採算表(VND)'!H63/$N$1,2)</f>
        <v>-11625.03</v>
      </c>
      <c r="I63" s="139">
        <f>ROUNDUP('採算表(VND)'!I63/$N$1,2)</f>
        <v>-11823.960000000001</v>
      </c>
      <c r="J63" s="139">
        <f>ROUNDUP('採算表(VND)'!J63/$N$1,2)</f>
        <v>-10501.51</v>
      </c>
      <c r="K63" s="139">
        <f>ROUNDUP('採算表(VND)'!K63/$N$1,2)</f>
        <v>-10463.1</v>
      </c>
      <c r="L63" s="139">
        <f>ROUNDUP('採算表(VND)'!L63/$N$1,2)</f>
        <v>-10227.44</v>
      </c>
      <c r="M63" s="139">
        <f>ROUNDUP('採算表(VND)'!M63/$N$1,2)</f>
        <v>-11325.91</v>
      </c>
      <c r="N63" s="139">
        <f>ROUNDUP('採算表(VND)'!N63/$N$1,2)</f>
        <v>-9783.77</v>
      </c>
      <c r="O63" s="139">
        <f t="shared" si="4"/>
        <v>-147841.63999999998</v>
      </c>
    </row>
    <row r="64" spans="1:15" ht="11.25" customHeight="1">
      <c r="A64" s="38"/>
      <c r="B64" s="37" t="s">
        <v>143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-7.0000000003346941E-2</v>
      </c>
      <c r="D66" s="134">
        <f t="shared" ref="D66:O66" si="5">IF(ISBLANK(D4),"",D12-D13)</f>
        <v>-5.0000000001091394E-2</v>
      </c>
      <c r="E66" s="134">
        <f t="shared" si="5"/>
        <v>-5.9999999999490683E-2</v>
      </c>
      <c r="F66" s="134">
        <f t="shared" si="5"/>
        <v>-4.9999999999272404E-2</v>
      </c>
      <c r="G66" s="134">
        <f t="shared" si="5"/>
        <v>-5.9999999999490683E-2</v>
      </c>
      <c r="H66" s="134">
        <f t="shared" si="5"/>
        <v>-4.9999999999272404E-2</v>
      </c>
      <c r="I66" s="134">
        <f t="shared" si="5"/>
        <v>-3.9999999999054126E-2</v>
      </c>
      <c r="J66" s="134">
        <f t="shared" si="5"/>
        <v>-5.0000000001091394E-2</v>
      </c>
      <c r="K66" s="134">
        <f t="shared" si="5"/>
        <v>-4.9999999999272404E-2</v>
      </c>
      <c r="L66" s="134">
        <f t="shared" si="5"/>
        <v>-3.9999999999054126E-2</v>
      </c>
      <c r="M66" s="134">
        <f t="shared" si="5"/>
        <v>-4.0000000000873115E-2</v>
      </c>
      <c r="N66" s="134">
        <f t="shared" si="5"/>
        <v>-3.9999999999054126E-2</v>
      </c>
      <c r="O66" s="134">
        <f t="shared" si="5"/>
        <v>-0.60000000000582077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7081.5</v>
      </c>
      <c r="D68" s="135">
        <f>'採算表(VND)'!D68</f>
        <v>6681.5</v>
      </c>
      <c r="E68" s="135">
        <f>'採算表(VND)'!E68</f>
        <v>7421.5</v>
      </c>
      <c r="F68" s="135">
        <f>'採算表(VND)'!F68</f>
        <v>8251.5</v>
      </c>
      <c r="G68" s="135">
        <f>'採算表(VND)'!G68</f>
        <v>7520.5</v>
      </c>
      <c r="H68" s="135">
        <f>'採算表(VND)'!H68</f>
        <v>7130</v>
      </c>
      <c r="I68" s="135">
        <f>'採算表(VND)'!I68</f>
        <v>8708</v>
      </c>
      <c r="J68" s="135">
        <f>'採算表(VND)'!J68</f>
        <v>7554.5</v>
      </c>
      <c r="K68" s="135">
        <f>'採算表(VND)'!K68</f>
        <v>8313.5</v>
      </c>
      <c r="L68" s="135">
        <f>'採算表(VND)'!L68</f>
        <v>7565.5</v>
      </c>
      <c r="M68" s="135">
        <f>'採算表(VND)'!M68</f>
        <v>5567</v>
      </c>
      <c r="N68" s="135">
        <f>'採算表(VND)'!N68</f>
        <v>7544.5</v>
      </c>
      <c r="O68" s="135">
        <f>SUM(C68:N68)</f>
        <v>89339.5</v>
      </c>
    </row>
    <row r="69" spans="1:15" ht="11.25" customHeight="1">
      <c r="A69" s="38"/>
      <c r="B69" s="46" t="s">
        <v>88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126</v>
      </c>
      <c r="C70" s="140">
        <f>'採算表(VND)'!C70</f>
        <v>0</v>
      </c>
      <c r="D70" s="140">
        <f>'採算表(VND)'!D70</f>
        <v>0</v>
      </c>
      <c r="E70" s="140">
        <f>'採算表(VND)'!E70</f>
        <v>0</v>
      </c>
      <c r="F70" s="140">
        <f>'採算表(VND)'!F70</f>
        <v>0</v>
      </c>
      <c r="G70" s="140">
        <f>'採算表(VND)'!G70</f>
        <v>0</v>
      </c>
      <c r="H70" s="140">
        <f>'採算表(VND)'!H70</f>
        <v>0</v>
      </c>
      <c r="I70" s="140">
        <f>'採算表(VND)'!I70</f>
        <v>0</v>
      </c>
      <c r="J70" s="140">
        <f>'採算表(VND)'!J70</f>
        <v>0</v>
      </c>
      <c r="K70" s="140">
        <f>'採算表(VND)'!K70</f>
        <v>0</v>
      </c>
      <c r="L70" s="140">
        <f>'採算表(VND)'!L70</f>
        <v>0</v>
      </c>
      <c r="M70" s="140">
        <f>'採算表(VND)'!M70</f>
        <v>0</v>
      </c>
      <c r="N70" s="140">
        <f>'採算表(VND)'!N70</f>
        <v>0</v>
      </c>
      <c r="O70" s="140">
        <f>SUM(C70:N70)</f>
        <v>0</v>
      </c>
    </row>
    <row r="71" spans="1:15" ht="11.25" customHeight="1">
      <c r="A71" s="38"/>
      <c r="B71" s="47" t="s">
        <v>127</v>
      </c>
      <c r="C71" s="140">
        <f>'採算表(VND)'!C71</f>
        <v>-7081.5</v>
      </c>
      <c r="D71" s="140">
        <f>'採算表(VND)'!D71</f>
        <v>-6681.5</v>
      </c>
      <c r="E71" s="140">
        <f>'採算表(VND)'!E71</f>
        <v>-7421.5</v>
      </c>
      <c r="F71" s="140">
        <f>'採算表(VND)'!F71</f>
        <v>-8251.5</v>
      </c>
      <c r="G71" s="140">
        <f>'採算表(VND)'!G71</f>
        <v>-7520.5</v>
      </c>
      <c r="H71" s="140">
        <f>'採算表(VND)'!H71</f>
        <v>-7130</v>
      </c>
      <c r="I71" s="140">
        <f>'採算表(VND)'!I71</f>
        <v>-8708</v>
      </c>
      <c r="J71" s="140">
        <f>'採算表(VND)'!J71</f>
        <v>-7554.5</v>
      </c>
      <c r="K71" s="140">
        <f>'採算表(VND)'!K71</f>
        <v>-8313.5</v>
      </c>
      <c r="L71" s="140">
        <f>'採算表(VND)'!L71</f>
        <v>-7565.5</v>
      </c>
      <c r="M71" s="140">
        <f>'採算表(VND)'!M71</f>
        <v>-5567</v>
      </c>
      <c r="N71" s="140">
        <f>'採算表(VND)'!N71</f>
        <v>-7544.5</v>
      </c>
      <c r="O71" s="140">
        <f>SUM(C71:N71)</f>
        <v>-89339.5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580</v>
      </c>
      <c r="D74" s="135">
        <f>'採算表(VND)'!D74</f>
        <v>578</v>
      </c>
      <c r="E74" s="135">
        <f>'採算表(VND)'!E74</f>
        <v>582</v>
      </c>
      <c r="F74" s="135">
        <f>'採算表(VND)'!F74</f>
        <v>586</v>
      </c>
      <c r="G74" s="135">
        <f>'採算表(VND)'!G74</f>
        <v>610</v>
      </c>
      <c r="H74" s="135">
        <f>'採算表(VND)'!H74</f>
        <v>528</v>
      </c>
      <c r="I74" s="135">
        <f>'採算表(VND)'!I74</f>
        <v>536</v>
      </c>
      <c r="J74" s="135">
        <f>'採算表(VND)'!J74</f>
        <v>530</v>
      </c>
      <c r="K74" s="135">
        <f>'採算表(VND)'!K74</f>
        <v>534</v>
      </c>
      <c r="L74" s="135">
        <f>'採算表(VND)'!L74</f>
        <v>530</v>
      </c>
      <c r="M74" s="135">
        <f>'採算表(VND)'!M74</f>
        <v>520</v>
      </c>
      <c r="N74" s="135">
        <f>'採算表(VND)'!N74</f>
        <v>590</v>
      </c>
      <c r="O74" s="135">
        <f>SUM(C74:N74)</f>
        <v>6704</v>
      </c>
    </row>
    <row r="75" spans="1:15">
      <c r="A75" s="38"/>
      <c r="B75" s="37" t="s">
        <v>88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126</v>
      </c>
      <c r="C76" s="140">
        <f>'採算表(VND)'!C76</f>
        <v>0</v>
      </c>
      <c r="D76" s="140">
        <f>'採算表(VND)'!D76</f>
        <v>0</v>
      </c>
      <c r="E76" s="140">
        <f>'採算表(VND)'!E76</f>
        <v>0</v>
      </c>
      <c r="F76" s="140">
        <f>'採算表(VND)'!F76</f>
        <v>0</v>
      </c>
      <c r="G76" s="140">
        <f>'採算表(VND)'!G76</f>
        <v>0</v>
      </c>
      <c r="H76" s="140">
        <f>'採算表(VND)'!H76</f>
        <v>0</v>
      </c>
      <c r="I76" s="140">
        <f>'採算表(VND)'!I76</f>
        <v>0</v>
      </c>
      <c r="J76" s="140">
        <f>'採算表(VND)'!J76</f>
        <v>0</v>
      </c>
      <c r="K76" s="140">
        <f>'採算表(VND)'!K76</f>
        <v>0</v>
      </c>
      <c r="L76" s="140">
        <f>'採算表(VND)'!L76</f>
        <v>0</v>
      </c>
      <c r="M76" s="140">
        <f>'採算表(VND)'!M76</f>
        <v>0</v>
      </c>
      <c r="N76" s="140">
        <f>'採算表(VND)'!N76</f>
        <v>0</v>
      </c>
      <c r="O76" s="140">
        <f>SUM(C76:N76)</f>
        <v>0</v>
      </c>
    </row>
    <row r="77" spans="1:15">
      <c r="A77" s="38"/>
      <c r="B77" s="37" t="s">
        <v>127</v>
      </c>
      <c r="C77" s="140">
        <f>'採算表(VND)'!C77</f>
        <v>-580</v>
      </c>
      <c r="D77" s="140">
        <f>'採算表(VND)'!D77</f>
        <v>-578</v>
      </c>
      <c r="E77" s="140">
        <f>'採算表(VND)'!E77</f>
        <v>-582</v>
      </c>
      <c r="F77" s="140">
        <f>'採算表(VND)'!F77</f>
        <v>-586</v>
      </c>
      <c r="G77" s="140">
        <f>'採算表(VND)'!G77</f>
        <v>-610</v>
      </c>
      <c r="H77" s="140">
        <f>'採算表(VND)'!H77</f>
        <v>-528</v>
      </c>
      <c r="I77" s="140">
        <f>'採算表(VND)'!I77</f>
        <v>-536</v>
      </c>
      <c r="J77" s="140">
        <f>'採算表(VND)'!J77</f>
        <v>-530</v>
      </c>
      <c r="K77" s="140">
        <f>'採算表(VND)'!K77</f>
        <v>-534</v>
      </c>
      <c r="L77" s="140">
        <f>'採算表(VND)'!L77</f>
        <v>-530</v>
      </c>
      <c r="M77" s="140">
        <f>'採算表(VND)'!M77</f>
        <v>-520</v>
      </c>
      <c r="N77" s="140">
        <f>'採算表(VND)'!N77</f>
        <v>-590</v>
      </c>
      <c r="O77" s="140">
        <f>SUM(C77:N77)</f>
        <v>-6704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si="9"/>
        <v>0</v>
      </c>
      <c r="M80" s="144">
        <f t="shared" si="9"/>
        <v>0</v>
      </c>
      <c r="N80" s="144">
        <f t="shared" si="9"/>
        <v>0</v>
      </c>
      <c r="O80" s="144">
        <f t="shared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"/>
    <row r="83" spans="1:15" customFormat="1" ht="13"/>
    <row r="84" spans="1:15" customFormat="1" ht="13"/>
    <row r="85" spans="1:15" customFormat="1" ht="13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0</v>
      </c>
      <c r="D87" s="150">
        <f>'採算表(VND)'!D87</f>
        <v>0</v>
      </c>
      <c r="E87" s="150">
        <f>'採算表(VND)'!E87</f>
        <v>0</v>
      </c>
      <c r="F87" s="150">
        <f>'採算表(VND)'!F87</f>
        <v>0</v>
      </c>
      <c r="G87" s="150">
        <f>'採算表(VND)'!G87</f>
        <v>0</v>
      </c>
      <c r="H87" s="150">
        <f>'採算表(VND)'!H87</f>
        <v>0</v>
      </c>
      <c r="I87" s="150">
        <f>'採算表(VND)'!I87</f>
        <v>0</v>
      </c>
      <c r="J87" s="150">
        <f>'採算表(VND)'!J87</f>
        <v>0</v>
      </c>
      <c r="K87" s="150">
        <f>'採算表(VND)'!K87</f>
        <v>0</v>
      </c>
      <c r="L87" s="150">
        <f>'採算表(VND)'!L87</f>
        <v>0</v>
      </c>
      <c r="M87" s="150">
        <f>'採算表(VND)'!M87</f>
        <v>0</v>
      </c>
      <c r="N87" s="150">
        <f>'採算表(VND)'!N87</f>
        <v>0</v>
      </c>
      <c r="O87" s="150">
        <f>SUM(C87:N87)</f>
        <v>0</v>
      </c>
    </row>
    <row r="88" spans="1:15">
      <c r="A88" s="43"/>
      <c r="B88" s="59" t="s">
        <v>344</v>
      </c>
      <c r="C88" s="150">
        <f>'採算表(VND)'!C88</f>
        <v>45</v>
      </c>
      <c r="D88" s="150">
        <f>'採算表(VND)'!D88</f>
        <v>45</v>
      </c>
      <c r="E88" s="150">
        <f>'採算表(VND)'!E88</f>
        <v>45</v>
      </c>
      <c r="F88" s="150">
        <f>'採算表(VND)'!F88</f>
        <v>45</v>
      </c>
      <c r="G88" s="150">
        <f>'採算表(VND)'!G88</f>
        <v>47</v>
      </c>
      <c r="H88" s="150">
        <f>'採算表(VND)'!H88</f>
        <v>47</v>
      </c>
      <c r="I88" s="150">
        <f>'採算表(VND)'!I88</f>
        <v>47</v>
      </c>
      <c r="J88" s="150">
        <f>'採算表(VND)'!J88</f>
        <v>47</v>
      </c>
      <c r="K88" s="150">
        <f>'採算表(VND)'!K88</f>
        <v>47</v>
      </c>
      <c r="L88" s="150">
        <f>'採算表(VND)'!L88</f>
        <v>47</v>
      </c>
      <c r="M88" s="150">
        <f>'採算表(VND)'!M88</f>
        <v>47</v>
      </c>
      <c r="N88" s="150">
        <f>'採算表(VND)'!N88</f>
        <v>47</v>
      </c>
      <c r="O88" s="150">
        <f>SUM(C88:N88)</f>
        <v>556</v>
      </c>
    </row>
    <row r="89" spans="1:15">
      <c r="A89" s="44"/>
      <c r="B89" s="60" t="s">
        <v>18</v>
      </c>
      <c r="C89" s="151">
        <f t="shared" ref="C89:O89" si="11">C87+C88</f>
        <v>45</v>
      </c>
      <c r="D89" s="151">
        <f t="shared" si="11"/>
        <v>45</v>
      </c>
      <c r="E89" s="151">
        <f t="shared" si="11"/>
        <v>45</v>
      </c>
      <c r="F89" s="151">
        <f t="shared" si="11"/>
        <v>45</v>
      </c>
      <c r="G89" s="151">
        <f t="shared" si="11"/>
        <v>47</v>
      </c>
      <c r="H89" s="151">
        <f t="shared" si="11"/>
        <v>47</v>
      </c>
      <c r="I89" s="151">
        <f t="shared" si="11"/>
        <v>47</v>
      </c>
      <c r="J89" s="151">
        <f t="shared" si="11"/>
        <v>47</v>
      </c>
      <c r="K89" s="151">
        <f t="shared" si="11"/>
        <v>47</v>
      </c>
      <c r="L89" s="151">
        <f t="shared" si="11"/>
        <v>47</v>
      </c>
      <c r="M89" s="151">
        <f t="shared" si="11"/>
        <v>47</v>
      </c>
      <c r="N89" s="151">
        <f t="shared" si="11"/>
        <v>47</v>
      </c>
      <c r="O89" s="151">
        <f t="shared" si="11"/>
        <v>556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0</v>
      </c>
      <c r="D92" s="133">
        <f>'採算表(VND)'!D92</f>
        <v>0</v>
      </c>
      <c r="E92" s="133">
        <f>'採算表(VND)'!E92</f>
        <v>0</v>
      </c>
      <c r="F92" s="133">
        <f>'採算表(VND)'!F92</f>
        <v>0</v>
      </c>
      <c r="G92" s="133">
        <f>'採算表(VND)'!G92</f>
        <v>0</v>
      </c>
      <c r="H92" s="133">
        <f>'採算表(VND)'!H92</f>
        <v>0</v>
      </c>
      <c r="I92" s="133">
        <f>'採算表(VND)'!I92</f>
        <v>0</v>
      </c>
      <c r="J92" s="133">
        <f>'採算表(VND)'!J92</f>
        <v>0</v>
      </c>
      <c r="K92" s="133">
        <f>'採算表(VND)'!K92</f>
        <v>0</v>
      </c>
      <c r="L92" s="133">
        <f>'採算表(VND)'!L92</f>
        <v>0</v>
      </c>
      <c r="M92" s="133">
        <f>'採算表(VND)'!M92</f>
        <v>0</v>
      </c>
      <c r="N92" s="133">
        <f>'採算表(VND)'!N92</f>
        <v>0</v>
      </c>
      <c r="O92" s="133">
        <f>SUM(C92:N92)</f>
        <v>0</v>
      </c>
    </row>
    <row r="93" spans="1:15">
      <c r="B93" s="59" t="s">
        <v>325</v>
      </c>
      <c r="C93" s="133">
        <f>'採算表(VND)'!C93</f>
        <v>7081.5</v>
      </c>
      <c r="D93" s="133">
        <f>'採算表(VND)'!D93</f>
        <v>6681.5</v>
      </c>
      <c r="E93" s="133">
        <f>'採算表(VND)'!E93</f>
        <v>7421.5</v>
      </c>
      <c r="F93" s="133">
        <f>'採算表(VND)'!F93</f>
        <v>8251.5</v>
      </c>
      <c r="G93" s="133">
        <f>'採算表(VND)'!G93</f>
        <v>7520.5</v>
      </c>
      <c r="H93" s="133">
        <f>'採算表(VND)'!H93</f>
        <v>7130</v>
      </c>
      <c r="I93" s="133">
        <f>'採算表(VND)'!I93</f>
        <v>8708</v>
      </c>
      <c r="J93" s="133">
        <f>'採算表(VND)'!J93</f>
        <v>7554.5</v>
      </c>
      <c r="K93" s="133">
        <f>'採算表(VND)'!K93</f>
        <v>8313.5</v>
      </c>
      <c r="L93" s="133">
        <f>'採算表(VND)'!L93</f>
        <v>7565.5</v>
      </c>
      <c r="M93" s="133">
        <f>'採算表(VND)'!M93</f>
        <v>5567</v>
      </c>
      <c r="N93" s="133">
        <f>'採算表(VND)'!N93</f>
        <v>7544.5</v>
      </c>
      <c r="O93" s="133">
        <f>SUM(C93:N93)</f>
        <v>89339.5</v>
      </c>
    </row>
    <row r="94" spans="1:15">
      <c r="B94" s="61" t="s">
        <v>18</v>
      </c>
      <c r="C94" s="147">
        <f t="shared" ref="C94:O94" si="12">C92+C93</f>
        <v>7081.5</v>
      </c>
      <c r="D94" s="147">
        <f t="shared" si="12"/>
        <v>6681.5</v>
      </c>
      <c r="E94" s="147">
        <f t="shared" si="12"/>
        <v>7421.5</v>
      </c>
      <c r="F94" s="147">
        <f t="shared" si="12"/>
        <v>8251.5</v>
      </c>
      <c r="G94" s="147">
        <f t="shared" si="12"/>
        <v>7520.5</v>
      </c>
      <c r="H94" s="147">
        <f t="shared" si="12"/>
        <v>7130</v>
      </c>
      <c r="I94" s="147">
        <f t="shared" si="12"/>
        <v>8708</v>
      </c>
      <c r="J94" s="147">
        <f t="shared" si="12"/>
        <v>7554.5</v>
      </c>
      <c r="K94" s="147">
        <f t="shared" si="12"/>
        <v>8313.5</v>
      </c>
      <c r="L94" s="147">
        <f t="shared" si="12"/>
        <v>7565.5</v>
      </c>
      <c r="M94" s="147">
        <f t="shared" si="12"/>
        <v>5567</v>
      </c>
      <c r="N94" s="147">
        <f t="shared" si="12"/>
        <v>7544.5</v>
      </c>
      <c r="O94" s="147">
        <f t="shared" si="12"/>
        <v>89339.5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0</v>
      </c>
      <c r="D97" s="133">
        <f>'採算表(VND)'!D97</f>
        <v>0</v>
      </c>
      <c r="E97" s="133">
        <f>'採算表(VND)'!E97</f>
        <v>0</v>
      </c>
      <c r="F97" s="133">
        <f>'採算表(VND)'!F97</f>
        <v>0</v>
      </c>
      <c r="G97" s="133">
        <f>'採算表(VND)'!G97</f>
        <v>0</v>
      </c>
      <c r="H97" s="133">
        <f>'採算表(VND)'!H97</f>
        <v>0</v>
      </c>
      <c r="I97" s="133">
        <f>'採算表(VND)'!I97</f>
        <v>0</v>
      </c>
      <c r="J97" s="133">
        <f>'採算表(VND)'!J97</f>
        <v>0</v>
      </c>
      <c r="K97" s="133">
        <f>'採算表(VND)'!K97</f>
        <v>0</v>
      </c>
      <c r="L97" s="133">
        <f>'採算表(VND)'!L97</f>
        <v>0</v>
      </c>
      <c r="M97" s="133">
        <f>'採算表(VND)'!M97</f>
        <v>0</v>
      </c>
      <c r="N97" s="133">
        <f>'採算表(VND)'!N97</f>
        <v>0</v>
      </c>
      <c r="O97" s="133">
        <f>SUM(C97:N97)</f>
        <v>0</v>
      </c>
    </row>
    <row r="98" spans="2:15">
      <c r="B98" s="59" t="s">
        <v>327</v>
      </c>
      <c r="C98" s="133">
        <f>'採算表(VND)'!C98</f>
        <v>580</v>
      </c>
      <c r="D98" s="133">
        <f>'採算表(VND)'!D98</f>
        <v>578</v>
      </c>
      <c r="E98" s="133">
        <f>'採算表(VND)'!E98</f>
        <v>582</v>
      </c>
      <c r="F98" s="133">
        <f>'採算表(VND)'!F98</f>
        <v>586</v>
      </c>
      <c r="G98" s="133">
        <f>'採算表(VND)'!G98</f>
        <v>610</v>
      </c>
      <c r="H98" s="133">
        <f>'採算表(VND)'!H98</f>
        <v>528</v>
      </c>
      <c r="I98" s="133">
        <f>'採算表(VND)'!I98</f>
        <v>536</v>
      </c>
      <c r="J98" s="133">
        <f>'採算表(VND)'!J98</f>
        <v>530</v>
      </c>
      <c r="K98" s="133">
        <f>'採算表(VND)'!K98</f>
        <v>534</v>
      </c>
      <c r="L98" s="133">
        <f>'採算表(VND)'!L98</f>
        <v>530</v>
      </c>
      <c r="M98" s="133">
        <f>'採算表(VND)'!M98</f>
        <v>520</v>
      </c>
      <c r="N98" s="133">
        <f>'採算表(VND)'!N98</f>
        <v>590</v>
      </c>
      <c r="O98" s="133">
        <f>SUM(C98:N98)</f>
        <v>6704</v>
      </c>
    </row>
    <row r="99" spans="2:15">
      <c r="B99" s="61" t="s">
        <v>18</v>
      </c>
      <c r="C99" s="147">
        <f t="shared" ref="C99:O99" si="13">C97+C98</f>
        <v>580</v>
      </c>
      <c r="D99" s="147">
        <f t="shared" si="13"/>
        <v>578</v>
      </c>
      <c r="E99" s="147">
        <f t="shared" si="13"/>
        <v>582</v>
      </c>
      <c r="F99" s="147">
        <f t="shared" si="13"/>
        <v>586</v>
      </c>
      <c r="G99" s="147">
        <f t="shared" si="13"/>
        <v>610</v>
      </c>
      <c r="H99" s="147">
        <f t="shared" si="13"/>
        <v>528</v>
      </c>
      <c r="I99" s="147">
        <f t="shared" si="13"/>
        <v>536</v>
      </c>
      <c r="J99" s="147">
        <f t="shared" si="13"/>
        <v>530</v>
      </c>
      <c r="K99" s="147">
        <f t="shared" si="13"/>
        <v>534</v>
      </c>
      <c r="L99" s="147">
        <f t="shared" si="13"/>
        <v>530</v>
      </c>
      <c r="M99" s="147">
        <f t="shared" si="13"/>
        <v>520</v>
      </c>
      <c r="N99" s="147">
        <f t="shared" si="13"/>
        <v>590</v>
      </c>
      <c r="O99" s="147">
        <f t="shared" si="13"/>
        <v>6704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493B-7D53-40F0-A012-AF1DCD7A1CEB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90625" style="20" customWidth="1"/>
    <col min="2" max="2" width="19.453125" style="23" customWidth="1"/>
    <col min="3" max="15" width="15.6328125" style="19" customWidth="1"/>
    <col min="16" max="16" width="9" style="19"/>
    <col min="17" max="42" width="9" style="19" customWidth="1"/>
    <col min="43" max="43" width="13.26953125" style="19" bestFit="1" customWidth="1"/>
    <col min="44" max="46" width="11.7265625" style="19" bestFit="1" customWidth="1"/>
    <col min="47" max="47" width="9" style="19"/>
    <col min="48" max="51" width="14.36328125" style="19" bestFit="1" customWidth="1"/>
    <col min="52" max="52" width="9" style="19"/>
    <col min="53" max="56" width="14.7265625" style="19" bestFit="1" customWidth="1"/>
    <col min="57" max="57" width="9" style="19"/>
    <col min="58" max="58" width="15.26953125" style="19" bestFit="1" customWidth="1"/>
    <col min="59" max="60" width="11.7265625" style="19" bestFit="1" customWidth="1"/>
    <col min="61" max="61" width="12.63281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製品保証課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SUMIF('内訳ﾘｽﾄ(4～3月)'!$D$26:$D$1012,'採算表(VND)'!$B6,'内訳ﾘｽﾄ(4～3月)'!F$26:F$1012)</f>
        <v>0</v>
      </c>
      <c r="D6" s="153">
        <f>SUMIF('内訳ﾘｽﾄ(4～3月)'!$D$26:$D$1012,'採算表(VND)'!$B6,'内訳ﾘｽﾄ(4～3月)'!G$26:G$1012)</f>
        <v>0</v>
      </c>
      <c r="E6" s="153">
        <f>SUMIF('内訳ﾘｽﾄ(4～3月)'!$D$26:$D$1012,'採算表(VND)'!$B6,'内訳ﾘｽﾄ(4～3月)'!H$26:H$1012)</f>
        <v>0</v>
      </c>
      <c r="F6" s="153">
        <f>SUMIF('内訳ﾘｽﾄ(4～3月)'!$D$26:$D$1012,'採算表(VND)'!$B6,'内訳ﾘｽﾄ(4～3月)'!I$26:I$1012)</f>
        <v>0</v>
      </c>
      <c r="G6" s="153">
        <f>SUMIF('内訳ﾘｽﾄ(4～3月)'!$D$26:$D$1012,'採算表(VND)'!$B6,'内訳ﾘｽﾄ(4～3月)'!J$26:J$1012)</f>
        <v>0</v>
      </c>
      <c r="H6" s="153">
        <f>SUMIF('内訳ﾘｽﾄ(4～3月)'!$D$26:$D$1012,'採算表(VND)'!$B6,'内訳ﾘｽﾄ(4～3月)'!K$26:K$1012)</f>
        <v>0</v>
      </c>
      <c r="I6" s="153">
        <f>SUMIF('内訳ﾘｽﾄ(4～3月)'!$D$26:$D$1012,'採算表(VND)'!$B6,'内訳ﾘｽﾄ(4～3月)'!L$26:L$1012)</f>
        <v>0</v>
      </c>
      <c r="J6" s="153">
        <f>SUMIF('内訳ﾘｽﾄ(4～3月)'!$D$26:$D$1012,'採算表(VND)'!$B6,'内訳ﾘｽﾄ(4～3月)'!M$26:M$1012)</f>
        <v>0</v>
      </c>
      <c r="K6" s="153">
        <f>SUMIF('内訳ﾘｽﾄ(4～3月)'!$D$26:$D$1012,'採算表(VND)'!$B6,'内訳ﾘｽﾄ(4～3月)'!N$26:N$1012)</f>
        <v>0</v>
      </c>
      <c r="L6" s="153">
        <f>SUMIF('内訳ﾘｽﾄ(4～3月)'!$D$26:$D$1012,'採算表(VND)'!$B6,'内訳ﾘｽﾄ(4～3月)'!O$26:O$1012)</f>
        <v>0</v>
      </c>
      <c r="M6" s="153">
        <f>SUMIF('内訳ﾘｽﾄ(4～3月)'!$D$26:$D$1012,'採算表(VND)'!$B6,'内訳ﾘｽﾄ(4～3月)'!P$26:P$1012)</f>
        <v>0</v>
      </c>
      <c r="N6" s="153">
        <f>SUMIF('内訳ﾘｽﾄ(4～3月)'!$D$26:$D$1012,'採算表(VND)'!$B6,'内訳ﾘｽﾄ(4～3月)'!Q$26:Q$1012)</f>
        <v>0</v>
      </c>
      <c r="O6" s="153">
        <f>SUMIF('内訳ﾘｽﾄ(4～3月)'!$D$26:$D$811,'採算表(VND)'!$B6,'内訳ﾘｽﾄ(4～3月)'!R$26:R$811)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SUMIF('内訳ﾘｽﾄ(4～3月)'!$D$26:$D$1012,'採算表(VND)'!$B7,'内訳ﾘｽﾄ(4～3月)'!F$26:F$1012)</f>
        <v>0</v>
      </c>
      <c r="D7" s="154">
        <f>SUMIF('内訳ﾘｽﾄ(4～3月)'!$D$26:$D$1012,'採算表(VND)'!$B7,'内訳ﾘｽﾄ(4～3月)'!G$26:G$1012)</f>
        <v>0</v>
      </c>
      <c r="E7" s="154">
        <f>SUMIF('内訳ﾘｽﾄ(4～3月)'!$D$26:$D$1012,'採算表(VND)'!$B7,'内訳ﾘｽﾄ(4～3月)'!H$26:H$1012)</f>
        <v>0</v>
      </c>
      <c r="F7" s="154">
        <f>SUMIF('内訳ﾘｽﾄ(4～3月)'!$D$26:$D$1012,'採算表(VND)'!$B7,'内訳ﾘｽﾄ(4～3月)'!I$26:I$1012)</f>
        <v>0</v>
      </c>
      <c r="G7" s="154">
        <f>SUMIF('内訳ﾘｽﾄ(4～3月)'!$D$26:$D$1012,'採算表(VND)'!$B7,'内訳ﾘｽﾄ(4～3月)'!J$26:J$1012)</f>
        <v>0</v>
      </c>
      <c r="H7" s="154">
        <f>SUMIF('内訳ﾘｽﾄ(4～3月)'!$D$26:$D$1012,'採算表(VND)'!$B7,'内訳ﾘｽﾄ(4～3月)'!K$26:K$1012)</f>
        <v>0</v>
      </c>
      <c r="I7" s="154">
        <f>SUMIF('内訳ﾘｽﾄ(4～3月)'!$D$26:$D$1012,'採算表(VND)'!$B7,'内訳ﾘｽﾄ(4～3月)'!L$26:L$1012)</f>
        <v>0</v>
      </c>
      <c r="J7" s="154">
        <f>SUMIF('内訳ﾘｽﾄ(4～3月)'!$D$26:$D$1012,'採算表(VND)'!$B7,'内訳ﾘｽﾄ(4～3月)'!M$26:M$1012)</f>
        <v>0</v>
      </c>
      <c r="K7" s="154">
        <f>SUMIF('内訳ﾘｽﾄ(4～3月)'!$D$26:$D$1012,'採算表(VND)'!$B7,'内訳ﾘｽﾄ(4～3月)'!N$26:N$1012)</f>
        <v>0</v>
      </c>
      <c r="L7" s="154">
        <f>SUMIF('内訳ﾘｽﾄ(4～3月)'!$D$26:$D$1012,'採算表(VND)'!$B7,'内訳ﾘｽﾄ(4～3月)'!O$26:O$1012)</f>
        <v>0</v>
      </c>
      <c r="M7" s="154">
        <f>SUMIF('内訳ﾘｽﾄ(4～3月)'!$D$26:$D$1012,'採算表(VND)'!$B7,'内訳ﾘｽﾄ(4～3月)'!P$26:P$1012)</f>
        <v>0</v>
      </c>
      <c r="N7" s="154">
        <f>SUMIF('内訳ﾘｽﾄ(4～3月)'!$D$26:$D$1012,'採算表(VND)'!$B7,'内訳ﾘｽﾄ(4～3月)'!Q$26:Q$1012)</f>
        <v>0</v>
      </c>
      <c r="O7" s="154">
        <f>SUMIF('内訳ﾘｽﾄ(4～3月)'!$D$26:$D$811,'採算表(VND)'!$B7,'内訳ﾘｽﾄ(4～3月)'!R$26:R$811)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SUMIF('内訳ﾘｽﾄ(4～3月)'!$D$26:$D$1012,'採算表(VND)'!$B9,'内訳ﾘｽﾄ(4～3月)'!F$26:F$1012)</f>
        <v>0</v>
      </c>
      <c r="D9" s="150">
        <f>SUMIF('内訳ﾘｽﾄ(4～3月)'!$D$26:$D$1012,'採算表(VND)'!$B9,'内訳ﾘｽﾄ(4～3月)'!G$26:G$1012)</f>
        <v>0</v>
      </c>
      <c r="E9" s="150">
        <f>SUMIF('内訳ﾘｽﾄ(4～3月)'!$D$26:$D$1012,'採算表(VND)'!$B9,'内訳ﾘｽﾄ(4～3月)'!H$26:H$1012)</f>
        <v>0</v>
      </c>
      <c r="F9" s="150">
        <f>SUMIF('内訳ﾘｽﾄ(4～3月)'!$D$26:$D$1012,'採算表(VND)'!$B9,'内訳ﾘｽﾄ(4～3月)'!I$26:I$1012)</f>
        <v>0</v>
      </c>
      <c r="G9" s="150">
        <f>SUMIF('内訳ﾘｽﾄ(4～3月)'!$D$26:$D$1012,'採算表(VND)'!$B9,'内訳ﾘｽﾄ(4～3月)'!J$26:J$1012)</f>
        <v>0</v>
      </c>
      <c r="H9" s="150">
        <f>SUMIF('内訳ﾘｽﾄ(4～3月)'!$D$26:$D$1012,'採算表(VND)'!$B9,'内訳ﾘｽﾄ(4～3月)'!K$26:K$1012)</f>
        <v>0</v>
      </c>
      <c r="I9" s="150">
        <f>SUMIF('内訳ﾘｽﾄ(4～3月)'!$D$26:$D$1012,'採算表(VND)'!$B9,'内訳ﾘｽﾄ(4～3月)'!L$26:L$1012)</f>
        <v>0</v>
      </c>
      <c r="J9" s="150">
        <f>SUMIF('内訳ﾘｽﾄ(4～3月)'!$D$26:$D$1012,'採算表(VND)'!$B9,'内訳ﾘｽﾄ(4～3月)'!M$26:M$1012)</f>
        <v>0</v>
      </c>
      <c r="K9" s="150">
        <f>SUMIF('内訳ﾘｽﾄ(4～3月)'!$D$26:$D$1012,'採算表(VND)'!$B9,'内訳ﾘｽﾄ(4～3月)'!N$26:N$1012)</f>
        <v>0</v>
      </c>
      <c r="L9" s="150">
        <f>SUMIF('内訳ﾘｽﾄ(4～3月)'!$D$26:$D$1012,'採算表(VND)'!$B9,'内訳ﾘｽﾄ(4～3月)'!O$26:O$1012)</f>
        <v>0</v>
      </c>
      <c r="M9" s="150">
        <f>SUMIF('内訳ﾘｽﾄ(4～3月)'!$D$26:$D$1012,'採算表(VND)'!$B9,'内訳ﾘｽﾄ(4～3月)'!P$26:P$1012)</f>
        <v>0</v>
      </c>
      <c r="N9" s="150">
        <f>SUMIF('内訳ﾘｽﾄ(4～3月)'!$D$26:$D$1012,'採算表(VND)'!$B9,'内訳ﾘｽﾄ(4～3月)'!Q$26:Q$1012)</f>
        <v>0</v>
      </c>
      <c r="O9" s="150">
        <f>SUMIF('内訳ﾘｽﾄ(4～3月)'!$D$26:$D$811,'採算表(VND)'!$B9,'内訳ﾘｽﾄ(4～3月)'!R$26:R$811)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SUMIF('内訳ﾘｽﾄ(4～3月)'!$D$26:$D$1012,'採算表(VND)'!$B10,'内訳ﾘｽﾄ(4～3月)'!F$26:F$1012)</f>
        <v>0</v>
      </c>
      <c r="D10" s="150">
        <f>SUMIF('内訳ﾘｽﾄ(4～3月)'!$D$26:$D$1012,'採算表(VND)'!$B10,'内訳ﾘｽﾄ(4～3月)'!G$26:G$1012)</f>
        <v>0</v>
      </c>
      <c r="E10" s="150">
        <f>SUMIF('内訳ﾘｽﾄ(4～3月)'!$D$26:$D$1012,'採算表(VND)'!$B10,'内訳ﾘｽﾄ(4～3月)'!H$26:H$1012)</f>
        <v>0</v>
      </c>
      <c r="F10" s="150">
        <f>SUMIF('内訳ﾘｽﾄ(4～3月)'!$D$26:$D$1012,'採算表(VND)'!$B10,'内訳ﾘｽﾄ(4～3月)'!I$26:I$1012)</f>
        <v>0</v>
      </c>
      <c r="G10" s="150">
        <f>SUMIF('内訳ﾘｽﾄ(4～3月)'!$D$26:$D$1012,'採算表(VND)'!$B10,'内訳ﾘｽﾄ(4～3月)'!J$26:J$1012)</f>
        <v>0</v>
      </c>
      <c r="H10" s="150">
        <f>SUMIF('内訳ﾘｽﾄ(4～3月)'!$D$26:$D$1012,'採算表(VND)'!$B10,'内訳ﾘｽﾄ(4～3月)'!K$26:K$1012)</f>
        <v>0</v>
      </c>
      <c r="I10" s="150">
        <f>SUMIF('内訳ﾘｽﾄ(4～3月)'!$D$26:$D$1012,'採算表(VND)'!$B10,'内訳ﾘｽﾄ(4～3月)'!L$26:L$1012)</f>
        <v>0</v>
      </c>
      <c r="J10" s="150">
        <f>SUMIF('内訳ﾘｽﾄ(4～3月)'!$D$26:$D$1012,'採算表(VND)'!$B10,'内訳ﾘｽﾄ(4～3月)'!M$26:M$1012)</f>
        <v>0</v>
      </c>
      <c r="K10" s="150">
        <f>SUMIF('内訳ﾘｽﾄ(4～3月)'!$D$26:$D$1012,'採算表(VND)'!$B10,'内訳ﾘｽﾄ(4～3月)'!N$26:N$1012)</f>
        <v>0</v>
      </c>
      <c r="L10" s="150">
        <f>SUMIF('内訳ﾘｽﾄ(4～3月)'!$D$26:$D$1012,'採算表(VND)'!$B10,'内訳ﾘｽﾄ(4～3月)'!O$26:O$1012)</f>
        <v>0</v>
      </c>
      <c r="M10" s="150">
        <f>SUMIF('内訳ﾘｽﾄ(4～3月)'!$D$26:$D$1012,'採算表(VND)'!$B10,'内訳ﾘｽﾄ(4～3月)'!P$26:P$1012)</f>
        <v>0</v>
      </c>
      <c r="N10" s="150">
        <f>SUMIF('内訳ﾘｽﾄ(4～3月)'!$D$26:$D$1012,'採算表(VND)'!$B10,'内訳ﾘｽﾄ(4～3月)'!Q$26:Q$1012)</f>
        <v>0</v>
      </c>
      <c r="O10" s="150">
        <f>SUMIF('内訳ﾘｽﾄ(4～3月)'!$D$26:$D$811,'採算表(VND)'!$B10,'内訳ﾘｽﾄ(4～3月)'!R$26:R$811)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SUMIF('内訳ﾘｽﾄ(4～3月)'!$D$26:$D$1012,$B14,'内訳ﾘｽﾄ(4～3月)'!F$26:F$1012)</f>
        <v>0</v>
      </c>
      <c r="D14" s="157">
        <f>SUMIF('内訳ﾘｽﾄ(4～3月)'!$D$26:$D$1012,$B14,'内訳ﾘｽﾄ(4～3月)'!G$26:G$1012)</f>
        <v>0</v>
      </c>
      <c r="E14" s="157">
        <f>SUMIF('内訳ﾘｽﾄ(4～3月)'!$D$26:$D$1012,$B14,'内訳ﾘｽﾄ(4～3月)'!H$26:H$1012)</f>
        <v>0</v>
      </c>
      <c r="F14" s="157">
        <f>SUMIF('内訳ﾘｽﾄ(4～3月)'!$D$26:$D$1012,$B14,'内訳ﾘｽﾄ(4～3月)'!I$26:I$1012)</f>
        <v>0</v>
      </c>
      <c r="G14" s="157">
        <f>SUMIF('内訳ﾘｽﾄ(4～3月)'!$D$26:$D$1012,$B14,'内訳ﾘｽﾄ(4～3月)'!J$26:J$1012)</f>
        <v>0</v>
      </c>
      <c r="H14" s="157">
        <f>SUMIF('内訳ﾘｽﾄ(4～3月)'!$D$26:$D$1012,$B14,'内訳ﾘｽﾄ(4～3月)'!K$26:K$1012)</f>
        <v>0</v>
      </c>
      <c r="I14" s="157">
        <f>SUMIF('内訳ﾘｽﾄ(4～3月)'!$D$26:$D$1012,$B14,'内訳ﾘｽﾄ(4～3月)'!L$26:L$1012)</f>
        <v>0</v>
      </c>
      <c r="J14" s="157">
        <f>SUMIF('内訳ﾘｽﾄ(4～3月)'!$D$26:$D$1012,$B14,'内訳ﾘｽﾄ(4～3月)'!M$26:M$1012)</f>
        <v>0</v>
      </c>
      <c r="K14" s="157">
        <f>SUMIF('内訳ﾘｽﾄ(4～3月)'!$D$26:$D$1012,$B14,'内訳ﾘｽﾄ(4～3月)'!N$26:N$1012)</f>
        <v>0</v>
      </c>
      <c r="L14" s="157">
        <f>SUMIF('内訳ﾘｽﾄ(4～3月)'!$D$26:$D$1012,$B14,'内訳ﾘｽﾄ(4～3月)'!O$26:O$1012)</f>
        <v>0</v>
      </c>
      <c r="M14" s="157">
        <f>SUMIF('内訳ﾘｽﾄ(4～3月)'!$D$26:$D$1012,$B14,'内訳ﾘｽﾄ(4～3月)'!P$26:P$1012)</f>
        <v>0</v>
      </c>
      <c r="N14" s="157">
        <f>SUMIF('内訳ﾘｽﾄ(4～3月)'!$D$26:$D$1012,$B14,'内訳ﾘｽﾄ(4～3月)'!Q$26:Q$1012)</f>
        <v>0</v>
      </c>
      <c r="O14" s="157">
        <f>SUMIF('内訳ﾘｽﾄ(4～3月)'!$D$26:$D$811,'採算表(VND)'!$B14,'内訳ﾘｽﾄ(4～3月)'!R$26:R$811)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SUMIF('内訳ﾘｽﾄ(4～3月)'!$D$26:$D$1012,$B15,'内訳ﾘｽﾄ(4～3月)'!F$26:F$1012)</f>
        <v>0</v>
      </c>
      <c r="D15" s="157">
        <f>SUMIF('内訳ﾘｽﾄ(4～3月)'!$D$26:$D$1012,$B15,'内訳ﾘｽﾄ(4～3月)'!G$26:G$1012)</f>
        <v>0</v>
      </c>
      <c r="E15" s="157">
        <f>SUMIF('内訳ﾘｽﾄ(4～3月)'!$D$26:$D$1012,$B15,'内訳ﾘｽﾄ(4～3月)'!H$26:H$1012)</f>
        <v>0</v>
      </c>
      <c r="F15" s="157">
        <f>SUMIF('内訳ﾘｽﾄ(4～3月)'!$D$26:$D$1012,$B15,'内訳ﾘｽﾄ(4～3月)'!I$26:I$1012)</f>
        <v>0</v>
      </c>
      <c r="G15" s="157">
        <f>SUMIF('内訳ﾘｽﾄ(4～3月)'!$D$26:$D$1012,$B15,'内訳ﾘｽﾄ(4～3月)'!J$26:J$1012)</f>
        <v>0</v>
      </c>
      <c r="H15" s="157">
        <f>SUMIF('内訳ﾘｽﾄ(4～3月)'!$D$26:$D$1012,$B15,'内訳ﾘｽﾄ(4～3月)'!K$26:K$1012)</f>
        <v>0</v>
      </c>
      <c r="I15" s="157">
        <f>SUMIF('内訳ﾘｽﾄ(4～3月)'!$D$26:$D$1012,$B15,'内訳ﾘｽﾄ(4～3月)'!L$26:L$1012)</f>
        <v>0</v>
      </c>
      <c r="J15" s="157">
        <f>SUMIF('内訳ﾘｽﾄ(4～3月)'!$D$26:$D$1012,$B15,'内訳ﾘｽﾄ(4～3月)'!M$26:M$1012)</f>
        <v>0</v>
      </c>
      <c r="K15" s="157">
        <f>SUMIF('内訳ﾘｽﾄ(4～3月)'!$D$26:$D$1012,$B15,'内訳ﾘｽﾄ(4～3月)'!N$26:N$1012)</f>
        <v>0</v>
      </c>
      <c r="L15" s="157">
        <f>SUMIF('内訳ﾘｽﾄ(4～3月)'!$D$26:$D$1012,$B15,'内訳ﾘｽﾄ(4～3月)'!O$26:O$1012)</f>
        <v>0</v>
      </c>
      <c r="M15" s="157">
        <f>SUMIF('内訳ﾘｽﾄ(4～3月)'!$D$26:$D$1012,$B15,'内訳ﾘｽﾄ(4～3月)'!P$26:P$1012)</f>
        <v>0</v>
      </c>
      <c r="N15" s="157">
        <f>SUMIF('内訳ﾘｽﾄ(4～3月)'!$D$26:$D$1012,$B15,'内訳ﾘｽﾄ(4～3月)'!Q$26:Q$1012)</f>
        <v>0</v>
      </c>
      <c r="O15" s="157">
        <f>SUMIF('内訳ﾘｽﾄ(4～3月)'!$D$26:$D$811,'採算表(VND)'!$B15,'内訳ﾘｽﾄ(4～3月)'!R$26:R$811)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SUMIF('内訳ﾘｽﾄ(4～3月)'!$D$26:$D$1012,$B16,'内訳ﾘｽﾄ(4～3月)'!F$26:F$1012)</f>
        <v>0</v>
      </c>
      <c r="D16" s="157">
        <f>SUMIF('内訳ﾘｽﾄ(4～3月)'!$D$26:$D$1012,$B16,'内訳ﾘｽﾄ(4～3月)'!G$26:G$1012)</f>
        <v>0</v>
      </c>
      <c r="E16" s="157">
        <f>SUMIF('内訳ﾘｽﾄ(4～3月)'!$D$26:$D$1012,$B16,'内訳ﾘｽﾄ(4～3月)'!H$26:H$1012)</f>
        <v>0</v>
      </c>
      <c r="F16" s="157">
        <f>SUMIF('内訳ﾘｽﾄ(4～3月)'!$D$26:$D$1012,$B16,'内訳ﾘｽﾄ(4～3月)'!I$26:I$1012)</f>
        <v>0</v>
      </c>
      <c r="G16" s="157">
        <f>SUMIF('内訳ﾘｽﾄ(4～3月)'!$D$26:$D$1012,$B16,'内訳ﾘｽﾄ(4～3月)'!J$26:J$1012)</f>
        <v>0</v>
      </c>
      <c r="H16" s="157">
        <f>SUMIF('内訳ﾘｽﾄ(4～3月)'!$D$26:$D$1012,$B16,'内訳ﾘｽﾄ(4～3月)'!K$26:K$1012)</f>
        <v>0</v>
      </c>
      <c r="I16" s="157">
        <f>SUMIF('内訳ﾘｽﾄ(4～3月)'!$D$26:$D$1012,$B16,'内訳ﾘｽﾄ(4～3月)'!L$26:L$1012)</f>
        <v>0</v>
      </c>
      <c r="J16" s="157">
        <f>SUMIF('内訳ﾘｽﾄ(4～3月)'!$D$26:$D$1012,$B16,'内訳ﾘｽﾄ(4～3月)'!M$26:M$1012)</f>
        <v>0</v>
      </c>
      <c r="K16" s="157">
        <f>SUMIF('内訳ﾘｽﾄ(4～3月)'!$D$26:$D$1012,$B16,'内訳ﾘｽﾄ(4～3月)'!N$26:N$1012)</f>
        <v>0</v>
      </c>
      <c r="L16" s="157">
        <f>SUMIF('内訳ﾘｽﾄ(4～3月)'!$D$26:$D$1012,$B16,'内訳ﾘｽﾄ(4～3月)'!O$26:O$1012)</f>
        <v>0</v>
      </c>
      <c r="M16" s="157">
        <f>SUMIF('内訳ﾘｽﾄ(4～3月)'!$D$26:$D$1012,$B16,'内訳ﾘｽﾄ(4～3月)'!P$26:P$1012)</f>
        <v>0</v>
      </c>
      <c r="N16" s="157">
        <f>SUMIF('内訳ﾘｽﾄ(4～3月)'!$D$26:$D$1012,$B16,'内訳ﾘｽﾄ(4～3月)'!Q$26:Q$1012)</f>
        <v>0</v>
      </c>
      <c r="O16" s="157">
        <f>SUMIF('内訳ﾘｽﾄ(4～3月)'!$D$26:$D$811,'採算表(VND)'!$B16,'内訳ﾘｽﾄ(4～3月)'!R$26:R$811)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SUMIF('内訳ﾘｽﾄ(4～3月)'!$D$26:$D$1012,$B17,'内訳ﾘｽﾄ(4～3月)'!F$26:F$1012)</f>
        <v>0</v>
      </c>
      <c r="D17" s="158">
        <f>SUMIF('内訳ﾘｽﾄ(4～3月)'!$D$26:$D$1012,$B17,'内訳ﾘｽﾄ(4～3月)'!G$26:G$1012)</f>
        <v>0</v>
      </c>
      <c r="E17" s="158">
        <f>SUMIF('内訳ﾘｽﾄ(4～3月)'!$D$26:$D$1012,$B17,'内訳ﾘｽﾄ(4～3月)'!H$26:H$1012)</f>
        <v>0</v>
      </c>
      <c r="F17" s="158">
        <f>SUMIF('内訳ﾘｽﾄ(4～3月)'!$D$26:$D$1012,$B17,'内訳ﾘｽﾄ(4～3月)'!I$26:I$1012)</f>
        <v>0</v>
      </c>
      <c r="G17" s="158">
        <f>SUMIF('内訳ﾘｽﾄ(4～3月)'!$D$26:$D$1012,$B17,'内訳ﾘｽﾄ(4～3月)'!J$26:J$1012)</f>
        <v>0</v>
      </c>
      <c r="H17" s="158">
        <f>SUMIF('内訳ﾘｽﾄ(4～3月)'!$D$26:$D$1012,$B17,'内訳ﾘｽﾄ(4～3月)'!K$26:K$1012)</f>
        <v>0</v>
      </c>
      <c r="I17" s="158">
        <f>SUMIF('内訳ﾘｽﾄ(4～3月)'!$D$26:$D$1012,$B17,'内訳ﾘｽﾄ(4～3月)'!L$26:L$1012)</f>
        <v>0</v>
      </c>
      <c r="J17" s="158">
        <f>SUMIF('内訳ﾘｽﾄ(4～3月)'!$D$26:$D$1012,$B17,'内訳ﾘｽﾄ(4～3月)'!M$26:M$1012)</f>
        <v>0</v>
      </c>
      <c r="K17" s="158">
        <f>SUMIF('内訳ﾘｽﾄ(4～3月)'!$D$26:$D$1012,$B17,'内訳ﾘｽﾄ(4～3月)'!N$26:N$1012)</f>
        <v>0</v>
      </c>
      <c r="L17" s="158">
        <f>SUMIF('内訳ﾘｽﾄ(4～3月)'!$D$26:$D$1012,$B17,'内訳ﾘｽﾄ(4～3月)'!O$26:O$1012)</f>
        <v>0</v>
      </c>
      <c r="M17" s="158">
        <f>SUMIF('内訳ﾘｽﾄ(4～3月)'!$D$26:$D$1012,$B17,'内訳ﾘｽﾄ(4～3月)'!P$26:P$1012)</f>
        <v>0</v>
      </c>
      <c r="N17" s="158">
        <f>SUMIF('内訳ﾘｽﾄ(4～3月)'!$D$26:$D$1012,$B17,'内訳ﾘｽﾄ(4～3月)'!Q$26:Q$1012)</f>
        <v>0</v>
      </c>
      <c r="O17" s="158">
        <f>SUMIF('内訳ﾘｽﾄ(4～3月)'!$D$26:$D$811,'採算表(VND)'!$B17,'内訳ﾘｽﾄ(4～3月)'!R$26:R$811)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SUMIF('内訳ﾘｽﾄ(4～3月)'!$D$26:$D$1012,$B18,'内訳ﾘｽﾄ(4～3月)'!F$26:F$1012)</f>
        <v>0</v>
      </c>
      <c r="D18" s="158">
        <f>SUMIF('内訳ﾘｽﾄ(4～3月)'!$D$26:$D$1012,$B18,'内訳ﾘｽﾄ(4～3月)'!G$26:G$1012)</f>
        <v>0</v>
      </c>
      <c r="E18" s="158">
        <f>SUMIF('内訳ﾘｽﾄ(4～3月)'!$D$26:$D$1012,$B18,'内訳ﾘｽﾄ(4～3月)'!H$26:H$1012)</f>
        <v>0</v>
      </c>
      <c r="F18" s="158">
        <f>SUMIF('内訳ﾘｽﾄ(4～3月)'!$D$26:$D$1012,$B18,'内訳ﾘｽﾄ(4～3月)'!I$26:I$1012)</f>
        <v>0</v>
      </c>
      <c r="G18" s="158">
        <f>SUMIF('内訳ﾘｽﾄ(4～3月)'!$D$26:$D$1012,$B18,'内訳ﾘｽﾄ(4～3月)'!J$26:J$1012)</f>
        <v>0</v>
      </c>
      <c r="H18" s="158">
        <f>SUMIF('内訳ﾘｽﾄ(4～3月)'!$D$26:$D$1012,$B18,'内訳ﾘｽﾄ(4～3月)'!K$26:K$1012)</f>
        <v>0</v>
      </c>
      <c r="I18" s="158">
        <f>SUMIF('内訳ﾘｽﾄ(4～3月)'!$D$26:$D$1012,$B18,'内訳ﾘｽﾄ(4～3月)'!L$26:L$1012)</f>
        <v>0</v>
      </c>
      <c r="J18" s="158">
        <f>SUMIF('内訳ﾘｽﾄ(4～3月)'!$D$26:$D$1012,$B18,'内訳ﾘｽﾄ(4～3月)'!M$26:M$1012)</f>
        <v>0</v>
      </c>
      <c r="K18" s="158">
        <f>SUMIF('内訳ﾘｽﾄ(4～3月)'!$D$26:$D$1012,$B18,'内訳ﾘｽﾄ(4～3月)'!N$26:N$1012)</f>
        <v>0</v>
      </c>
      <c r="L18" s="158">
        <f>SUMIF('内訳ﾘｽﾄ(4～3月)'!$D$26:$D$1012,$B18,'内訳ﾘｽﾄ(4～3月)'!O$26:O$1012)</f>
        <v>0</v>
      </c>
      <c r="M18" s="158">
        <f>SUMIF('内訳ﾘｽﾄ(4～3月)'!$D$26:$D$1012,$B18,'内訳ﾘｽﾄ(4～3月)'!P$26:P$1012)</f>
        <v>0</v>
      </c>
      <c r="N18" s="158">
        <f>SUMIF('内訳ﾘｽﾄ(4～3月)'!$D$26:$D$1012,$B18,'内訳ﾘｽﾄ(4～3月)'!Q$26:Q$1012)</f>
        <v>0</v>
      </c>
      <c r="O18" s="158">
        <f>SUMIF('内訳ﾘｽﾄ(4～3月)'!$D$26:$D$811,'採算表(VND)'!$B18,'内訳ﾘｽﾄ(4～3月)'!R$26:R$811)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SUMIF('内訳ﾘｽﾄ(4～3月)'!$D$26:$D$1012,$B19,'内訳ﾘｽﾄ(4～3月)'!F$26:F$1012)</f>
        <v>0</v>
      </c>
      <c r="D19" s="158">
        <f>SUMIF('内訳ﾘｽﾄ(4～3月)'!$D$26:$D$1012,$B19,'内訳ﾘｽﾄ(4～3月)'!G$26:G$1012)</f>
        <v>0</v>
      </c>
      <c r="E19" s="158">
        <f>SUMIF('内訳ﾘｽﾄ(4～3月)'!$D$26:$D$1012,$B19,'内訳ﾘｽﾄ(4～3月)'!H$26:H$1012)</f>
        <v>0</v>
      </c>
      <c r="F19" s="158">
        <f>SUMIF('内訳ﾘｽﾄ(4～3月)'!$D$26:$D$1012,$B19,'内訳ﾘｽﾄ(4～3月)'!I$26:I$1012)</f>
        <v>0</v>
      </c>
      <c r="G19" s="158">
        <f>SUMIF('内訳ﾘｽﾄ(4～3月)'!$D$26:$D$1012,$B19,'内訳ﾘｽﾄ(4～3月)'!J$26:J$1012)</f>
        <v>0</v>
      </c>
      <c r="H19" s="158">
        <f>SUMIF('内訳ﾘｽﾄ(4～3月)'!$D$26:$D$1012,$B19,'内訳ﾘｽﾄ(4～3月)'!K$26:K$1012)</f>
        <v>0</v>
      </c>
      <c r="I19" s="158">
        <f>SUMIF('内訳ﾘｽﾄ(4～3月)'!$D$26:$D$1012,$B19,'内訳ﾘｽﾄ(4～3月)'!L$26:L$1012)</f>
        <v>0</v>
      </c>
      <c r="J19" s="158">
        <f>SUMIF('内訳ﾘｽﾄ(4～3月)'!$D$26:$D$1012,$B19,'内訳ﾘｽﾄ(4～3月)'!M$26:M$1012)</f>
        <v>0</v>
      </c>
      <c r="K19" s="158">
        <f>SUMIF('内訳ﾘｽﾄ(4～3月)'!$D$26:$D$1012,$B19,'内訳ﾘｽﾄ(4～3月)'!N$26:N$1012)</f>
        <v>0</v>
      </c>
      <c r="L19" s="158">
        <f>SUMIF('内訳ﾘｽﾄ(4～3月)'!$D$26:$D$1012,$B19,'内訳ﾘｽﾄ(4～3月)'!O$26:O$1012)</f>
        <v>0</v>
      </c>
      <c r="M19" s="158">
        <f>SUMIF('内訳ﾘｽﾄ(4～3月)'!$D$26:$D$1012,$B19,'内訳ﾘｽﾄ(4～3月)'!P$26:P$1012)</f>
        <v>0</v>
      </c>
      <c r="N19" s="158">
        <f>SUMIF('内訳ﾘｽﾄ(4～3月)'!$D$26:$D$1012,$B19,'内訳ﾘｽﾄ(4～3月)'!Q$26:Q$1012)</f>
        <v>0</v>
      </c>
      <c r="O19" s="158">
        <f>SUMIF('内訳ﾘｽﾄ(4～3月)'!$D$26:$D$811,'採算表(VND)'!$B19,'内訳ﾘｽﾄ(4～3月)'!R$26:R$811)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SUMIF('内訳ﾘｽﾄ(4～3月)'!$D$26:$D$1012,$B20,'内訳ﾘｽﾄ(4～3月)'!F$26:F$1012)</f>
        <v>81020761</v>
      </c>
      <c r="D20" s="158">
        <f>SUMIF('内訳ﾘｽﾄ(4～3月)'!$D$26:$D$1012,$B20,'内訳ﾘｽﾄ(4～3月)'!G$26:G$1012)</f>
        <v>80949161</v>
      </c>
      <c r="E20" s="158">
        <f>SUMIF('内訳ﾘｽﾄ(4～3月)'!$D$26:$D$1012,$B20,'内訳ﾘｽﾄ(4～3月)'!H$26:H$1012)</f>
        <v>80966934</v>
      </c>
      <c r="F20" s="158">
        <f>SUMIF('内訳ﾘｽﾄ(4～3月)'!$D$26:$D$1012,$B20,'内訳ﾘｽﾄ(4～3月)'!I$26:I$1012)</f>
        <v>78615058</v>
      </c>
      <c r="G20" s="158">
        <f>SUMIF('内訳ﾘｽﾄ(4～3月)'!$D$26:$D$1012,$B20,'内訳ﾘｽﾄ(4～3月)'!J$26:J$1012)</f>
        <v>78581035</v>
      </c>
      <c r="H20" s="158">
        <f>SUMIF('内訳ﾘｽﾄ(4～3月)'!$D$26:$D$1012,$B20,'内訳ﾘｽﾄ(4～3月)'!K$26:K$1012)</f>
        <v>76605694</v>
      </c>
      <c r="I20" s="158">
        <f>SUMIF('内訳ﾘｽﾄ(4～3月)'!$D$26:$D$1012,$B20,'内訳ﾘｽﾄ(4～3月)'!L$26:L$1012)</f>
        <v>76128616</v>
      </c>
      <c r="J20" s="158">
        <f>SUMIF('内訳ﾘｽﾄ(4～3月)'!$D$26:$D$1012,$B20,'内訳ﾘｽﾄ(4～3月)'!M$26:M$1012)</f>
        <v>43420963</v>
      </c>
      <c r="K20" s="158">
        <f>SUMIF('内訳ﾘｽﾄ(4～3月)'!$D$26:$D$1012,$B20,'内訳ﾘｽﾄ(4～3月)'!N$26:N$1012)</f>
        <v>42210367</v>
      </c>
      <c r="L20" s="158">
        <f>SUMIF('内訳ﾘｽﾄ(4～3月)'!$D$26:$D$1012,$B20,'内訳ﾘｽﾄ(4～3月)'!O$26:O$1012)</f>
        <v>42131658</v>
      </c>
      <c r="M20" s="158">
        <f>SUMIF('内訳ﾘｽﾄ(4～3月)'!$D$26:$D$1012,$B20,'内訳ﾘｽﾄ(4～3月)'!P$26:P$1012)</f>
        <v>43641714</v>
      </c>
      <c r="N20" s="158">
        <f>SUMIF('内訳ﾘｽﾄ(4～3月)'!$D$26:$D$1012,$B20,'内訳ﾘｽﾄ(4～3月)'!Q$26:Q$1012)</f>
        <v>43842041</v>
      </c>
      <c r="O20" s="158">
        <f>SUMIF('内訳ﾘｽﾄ(4～3月)'!$D$26:$D$811,'採算表(VND)'!$B20,'内訳ﾘｽﾄ(4～3月)'!R$26:R$811)</f>
        <v>768114002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SUMIF('内訳ﾘｽﾄ(4～3月)'!$D$26:$D$1012,$B21,'内訳ﾘｽﾄ(4～3月)'!F$26:F$1012)</f>
        <v>0</v>
      </c>
      <c r="D21" s="158">
        <f>SUMIF('内訳ﾘｽﾄ(4～3月)'!$D$26:$D$1012,$B21,'内訳ﾘｽﾄ(4～3月)'!G$26:G$1012)</f>
        <v>0</v>
      </c>
      <c r="E21" s="158">
        <f>SUMIF('内訳ﾘｽﾄ(4～3月)'!$D$26:$D$1012,$B21,'内訳ﾘｽﾄ(4～3月)'!H$26:H$1012)</f>
        <v>0</v>
      </c>
      <c r="F21" s="158">
        <f>SUMIF('内訳ﾘｽﾄ(4～3月)'!$D$26:$D$1012,$B21,'内訳ﾘｽﾄ(4～3月)'!I$26:I$1012)</f>
        <v>0</v>
      </c>
      <c r="G21" s="158">
        <f>SUMIF('内訳ﾘｽﾄ(4～3月)'!$D$26:$D$1012,$B21,'内訳ﾘｽﾄ(4～3月)'!J$26:J$1012)</f>
        <v>0</v>
      </c>
      <c r="H21" s="158">
        <f>SUMIF('内訳ﾘｽﾄ(4～3月)'!$D$26:$D$1012,$B21,'内訳ﾘｽﾄ(4～3月)'!K$26:K$1012)</f>
        <v>0</v>
      </c>
      <c r="I21" s="158">
        <f>SUMIF('内訳ﾘｽﾄ(4～3月)'!$D$26:$D$1012,$B21,'内訳ﾘｽﾄ(4～3月)'!L$26:L$1012)</f>
        <v>0</v>
      </c>
      <c r="J21" s="158">
        <f>SUMIF('内訳ﾘｽﾄ(4～3月)'!$D$26:$D$1012,$B21,'内訳ﾘｽﾄ(4～3月)'!M$26:M$1012)</f>
        <v>0</v>
      </c>
      <c r="K21" s="158">
        <f>SUMIF('内訳ﾘｽﾄ(4～3月)'!$D$26:$D$1012,$B21,'内訳ﾘｽﾄ(4～3月)'!N$26:N$1012)</f>
        <v>0</v>
      </c>
      <c r="L21" s="158">
        <f>SUMIF('内訳ﾘｽﾄ(4～3月)'!$D$26:$D$1012,$B21,'内訳ﾘｽﾄ(4～3月)'!O$26:O$1012)</f>
        <v>0</v>
      </c>
      <c r="M21" s="158">
        <f>SUMIF('内訳ﾘｽﾄ(4～3月)'!$D$26:$D$1012,$B21,'内訳ﾘｽﾄ(4～3月)'!P$26:P$1012)</f>
        <v>0</v>
      </c>
      <c r="N21" s="158">
        <f>SUMIF('内訳ﾘｽﾄ(4～3月)'!$D$26:$D$1012,$B21,'内訳ﾘｽﾄ(4～3月)'!Q$26:Q$1012)</f>
        <v>0</v>
      </c>
      <c r="O21" s="158">
        <f>SUMIF('内訳ﾘｽﾄ(4～3月)'!$D$26:$D$811,'採算表(VND)'!$B21,'内訳ﾘｽﾄ(4～3月)'!R$26:R$811)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SUMIF('内訳ﾘｽﾄ(4～3月)'!$D$26:$D$1012,$B22,'内訳ﾘｽﾄ(4～3月)'!F$26:F$1012)</f>
        <v>0</v>
      </c>
      <c r="D22" s="158">
        <f>SUMIF('内訳ﾘｽﾄ(4～3月)'!$D$26:$D$1012,$B22,'内訳ﾘｽﾄ(4～3月)'!G$26:G$1012)</f>
        <v>0</v>
      </c>
      <c r="E22" s="158">
        <f>SUMIF('内訳ﾘｽﾄ(4～3月)'!$D$26:$D$1012,$B22,'内訳ﾘｽﾄ(4～3月)'!H$26:H$1012)</f>
        <v>0</v>
      </c>
      <c r="F22" s="158">
        <f>SUMIF('内訳ﾘｽﾄ(4～3月)'!$D$26:$D$1012,$B22,'内訳ﾘｽﾄ(4～3月)'!I$26:I$1012)</f>
        <v>0</v>
      </c>
      <c r="G22" s="158">
        <f>SUMIF('内訳ﾘｽﾄ(4～3月)'!$D$26:$D$1012,$B22,'内訳ﾘｽﾄ(4～3月)'!J$26:J$1012)</f>
        <v>0</v>
      </c>
      <c r="H22" s="158">
        <f>SUMIF('内訳ﾘｽﾄ(4～3月)'!$D$26:$D$1012,$B22,'内訳ﾘｽﾄ(4～3月)'!K$26:K$1012)</f>
        <v>0</v>
      </c>
      <c r="I22" s="158">
        <f>SUMIF('内訳ﾘｽﾄ(4～3月)'!$D$26:$D$1012,$B22,'内訳ﾘｽﾄ(4～3月)'!L$26:L$1012)</f>
        <v>0</v>
      </c>
      <c r="J22" s="158">
        <f>SUMIF('内訳ﾘｽﾄ(4～3月)'!$D$26:$D$1012,$B22,'内訳ﾘｽﾄ(4～3月)'!M$26:M$1012)</f>
        <v>0</v>
      </c>
      <c r="K22" s="158">
        <f>SUMIF('内訳ﾘｽﾄ(4～3月)'!$D$26:$D$1012,$B22,'内訳ﾘｽﾄ(4～3月)'!N$26:N$1012)</f>
        <v>0</v>
      </c>
      <c r="L22" s="158">
        <f>SUMIF('内訳ﾘｽﾄ(4～3月)'!$D$26:$D$1012,$B22,'内訳ﾘｽﾄ(4～3月)'!O$26:O$1012)</f>
        <v>0</v>
      </c>
      <c r="M22" s="158">
        <f>SUMIF('内訳ﾘｽﾄ(4～3月)'!$D$26:$D$1012,$B22,'内訳ﾘｽﾄ(4～3月)'!P$26:P$1012)</f>
        <v>0</v>
      </c>
      <c r="N22" s="158">
        <f>SUMIF('内訳ﾘｽﾄ(4～3月)'!$D$26:$D$1012,$B22,'内訳ﾘｽﾄ(4～3月)'!Q$26:Q$1012)</f>
        <v>0</v>
      </c>
      <c r="O22" s="158">
        <f>SUMIF('内訳ﾘｽﾄ(4～3月)'!$D$26:$D$811,'採算表(VND)'!$B22,'内訳ﾘｽﾄ(4～3月)'!R$26:R$811)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SUMIF('内訳ﾘｽﾄ(4～3月)'!$D$26:$D$1012,$B23,'内訳ﾘｽﾄ(4～3月)'!F$26:F$1012)</f>
        <v>0</v>
      </c>
      <c r="D23" s="158">
        <f>SUMIF('内訳ﾘｽﾄ(4～3月)'!$D$26:$D$1012,$B23,'内訳ﾘｽﾄ(4～3月)'!G$26:G$1012)</f>
        <v>0</v>
      </c>
      <c r="E23" s="158">
        <f>SUMIF('内訳ﾘｽﾄ(4～3月)'!$D$26:$D$1012,$B23,'内訳ﾘｽﾄ(4～3月)'!H$26:H$1012)</f>
        <v>0</v>
      </c>
      <c r="F23" s="158">
        <f>SUMIF('内訳ﾘｽﾄ(4～3月)'!$D$26:$D$1012,$B23,'内訳ﾘｽﾄ(4～3月)'!I$26:I$1012)</f>
        <v>0</v>
      </c>
      <c r="G23" s="158">
        <f>SUMIF('内訳ﾘｽﾄ(4～3月)'!$D$26:$D$1012,$B23,'内訳ﾘｽﾄ(4～3月)'!J$26:J$1012)</f>
        <v>0</v>
      </c>
      <c r="H23" s="158">
        <f>SUMIF('内訳ﾘｽﾄ(4～3月)'!$D$26:$D$1012,$B23,'内訳ﾘｽﾄ(4～3月)'!K$26:K$1012)</f>
        <v>0</v>
      </c>
      <c r="I23" s="158">
        <f>SUMIF('内訳ﾘｽﾄ(4～3月)'!$D$26:$D$1012,$B23,'内訳ﾘｽﾄ(4～3月)'!L$26:L$1012)</f>
        <v>0</v>
      </c>
      <c r="J23" s="158">
        <f>SUMIF('内訳ﾘｽﾄ(4～3月)'!$D$26:$D$1012,$B23,'内訳ﾘｽﾄ(4～3月)'!M$26:M$1012)</f>
        <v>0</v>
      </c>
      <c r="K23" s="158">
        <f>SUMIF('内訳ﾘｽﾄ(4～3月)'!$D$26:$D$1012,$B23,'内訳ﾘｽﾄ(4～3月)'!N$26:N$1012)</f>
        <v>0</v>
      </c>
      <c r="L23" s="158">
        <f>SUMIF('内訳ﾘｽﾄ(4～3月)'!$D$26:$D$1012,$B23,'内訳ﾘｽﾄ(4～3月)'!O$26:O$1012)</f>
        <v>0</v>
      </c>
      <c r="M23" s="158">
        <f>SUMIF('内訳ﾘｽﾄ(4～3月)'!$D$26:$D$1012,$B23,'内訳ﾘｽﾄ(4～3月)'!P$26:P$1012)</f>
        <v>0</v>
      </c>
      <c r="N23" s="158">
        <f>SUMIF('内訳ﾘｽﾄ(4～3月)'!$D$26:$D$1012,$B23,'内訳ﾘｽﾄ(4～3月)'!Q$26:Q$1012)</f>
        <v>0</v>
      </c>
      <c r="O23" s="158">
        <f>SUMIF('内訳ﾘｽﾄ(4～3月)'!$D$26:$D$811,'採算表(VND)'!$B23,'内訳ﾘｽﾄ(4～3月)'!R$26:R$811)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SUMIF('内訳ﾘｽﾄ(4～3月)'!$D$26:$D$1012,$B24,'内訳ﾘｽﾄ(4～3月)'!F$26:F$1012)</f>
        <v>0</v>
      </c>
      <c r="D24" s="158">
        <f>SUMIF('内訳ﾘｽﾄ(4～3月)'!$D$26:$D$1012,$B24,'内訳ﾘｽﾄ(4～3月)'!G$26:G$1012)</f>
        <v>0</v>
      </c>
      <c r="E24" s="158">
        <f>SUMIF('内訳ﾘｽﾄ(4～3月)'!$D$26:$D$1012,$B24,'内訳ﾘｽﾄ(4～3月)'!H$26:H$1012)</f>
        <v>0</v>
      </c>
      <c r="F24" s="158">
        <f>SUMIF('内訳ﾘｽﾄ(4～3月)'!$D$26:$D$1012,$B24,'内訳ﾘｽﾄ(4～3月)'!I$26:I$1012)</f>
        <v>0</v>
      </c>
      <c r="G24" s="158">
        <f>SUMIF('内訳ﾘｽﾄ(4～3月)'!$D$26:$D$1012,$B24,'内訳ﾘｽﾄ(4～3月)'!J$26:J$1012)</f>
        <v>0</v>
      </c>
      <c r="H24" s="158">
        <f>SUMIF('内訳ﾘｽﾄ(4～3月)'!$D$26:$D$1012,$B24,'内訳ﾘｽﾄ(4～3月)'!K$26:K$1012)</f>
        <v>0</v>
      </c>
      <c r="I24" s="158">
        <f>SUMIF('内訳ﾘｽﾄ(4～3月)'!$D$26:$D$1012,$B24,'内訳ﾘｽﾄ(4～3月)'!L$26:L$1012)</f>
        <v>0</v>
      </c>
      <c r="J24" s="158">
        <f>SUMIF('内訳ﾘｽﾄ(4～3月)'!$D$26:$D$1012,$B24,'内訳ﾘｽﾄ(4～3月)'!M$26:M$1012)</f>
        <v>0</v>
      </c>
      <c r="K24" s="158">
        <f>SUMIF('内訳ﾘｽﾄ(4～3月)'!$D$26:$D$1012,$B24,'内訳ﾘｽﾄ(4～3月)'!N$26:N$1012)</f>
        <v>0</v>
      </c>
      <c r="L24" s="158">
        <f>SUMIF('内訳ﾘｽﾄ(4～3月)'!$D$26:$D$1012,$B24,'内訳ﾘｽﾄ(4～3月)'!O$26:O$1012)</f>
        <v>0</v>
      </c>
      <c r="M24" s="158">
        <f>SUMIF('内訳ﾘｽﾄ(4～3月)'!$D$26:$D$1012,$B24,'内訳ﾘｽﾄ(4～3月)'!P$26:P$1012)</f>
        <v>0</v>
      </c>
      <c r="N24" s="158">
        <f>SUMIF('内訳ﾘｽﾄ(4～3月)'!$D$26:$D$1012,$B24,'内訳ﾘｽﾄ(4～3月)'!Q$26:Q$1012)</f>
        <v>0</v>
      </c>
      <c r="O24" s="158">
        <f>SUMIF('内訳ﾘｽﾄ(4～3月)'!$D$26:$D$811,'採算表(VND)'!$B24,'内訳ﾘｽﾄ(4～3月)'!R$26:R$811)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SUMIF('内訳ﾘｽﾄ(4～3月)'!$D$26:$D$1012,$B25,'内訳ﾘｽﾄ(4～3月)'!F$26:F$1012)</f>
        <v>86819888</v>
      </c>
      <c r="D25" s="158">
        <f>SUMIF('内訳ﾘｽﾄ(4～3月)'!$D$26:$D$1012,$B25,'内訳ﾘｽﾄ(4～3月)'!G$26:G$1012)</f>
        <v>78985970</v>
      </c>
      <c r="E25" s="158">
        <f>SUMIF('内訳ﾘｽﾄ(4～3月)'!$D$26:$D$1012,$B25,'内訳ﾘｽﾄ(4～3月)'!H$26:H$1012)</f>
        <v>91272090</v>
      </c>
      <c r="F25" s="158">
        <f>SUMIF('内訳ﾘｽﾄ(4～3月)'!$D$26:$D$1012,$B25,'内訳ﾘｽﾄ(4～3月)'!I$26:I$1012)</f>
        <v>96709086</v>
      </c>
      <c r="G25" s="158">
        <f>SUMIF('内訳ﾘｽﾄ(4～3月)'!$D$26:$D$1012,$B25,'内訳ﾘｽﾄ(4～3月)'!J$26:J$1012)</f>
        <v>92998757</v>
      </c>
      <c r="H25" s="158">
        <f>SUMIF('内訳ﾘｽﾄ(4～3月)'!$D$26:$D$1012,$B25,'内訳ﾘｽﾄ(4～3月)'!K$26:K$1012)</f>
        <v>83503418</v>
      </c>
      <c r="I25" s="158">
        <f>SUMIF('内訳ﾘｽﾄ(4～3月)'!$D$26:$D$1012,$B25,'内訳ﾘｽﾄ(4～3月)'!L$26:L$1012)</f>
        <v>96839004</v>
      </c>
      <c r="J25" s="158">
        <f>SUMIF('内訳ﾘｽﾄ(4～3月)'!$D$26:$D$1012,$B25,'内訳ﾘｽﾄ(4～3月)'!M$26:M$1012)</f>
        <v>93537912</v>
      </c>
      <c r="K25" s="158">
        <f>SUMIF('内訳ﾘｽﾄ(4～3月)'!$D$26:$D$1012,$B25,'内訳ﾘｽﾄ(4～3月)'!N$26:N$1012)</f>
        <v>91539567</v>
      </c>
      <c r="L25" s="158">
        <f>SUMIF('内訳ﾘｽﾄ(4～3月)'!$D$26:$D$1012,$B25,'内訳ﾘｽﾄ(4～3月)'!O$26:O$1012)</f>
        <v>91472893</v>
      </c>
      <c r="M25" s="158">
        <f>SUMIF('内訳ﾘｽﾄ(4～3月)'!$D$26:$D$1012,$B25,'内訳ﾘｽﾄ(4～3月)'!P$26:P$1012)</f>
        <v>87309933</v>
      </c>
      <c r="N25" s="158">
        <f>SUMIF('内訳ﾘｽﾄ(4～3月)'!$D$26:$D$1012,$B25,'内訳ﾘｽﾄ(4～3月)'!Q$26:Q$1012)</f>
        <v>83897239</v>
      </c>
      <c r="O25" s="158">
        <f>SUMIF('内訳ﾘｽﾄ(4～3月)'!$D$26:$D$811,'採算表(VND)'!$B25,'内訳ﾘｽﾄ(4～3月)'!R$26:R$811)</f>
        <v>1074885757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SUMIF('内訳ﾘｽﾄ(4～3月)'!$D$26:$D$1012,$B26,'内訳ﾘｽﾄ(4～3月)'!F$26:F$1012)</f>
        <v>14181200</v>
      </c>
      <c r="D26" s="158">
        <f>SUMIF('内訳ﾘｽﾄ(4～3月)'!$D$26:$D$1012,$B26,'内訳ﾘｽﾄ(4～3月)'!G$26:G$1012)</f>
        <v>14181200</v>
      </c>
      <c r="E26" s="158">
        <f>SUMIF('内訳ﾘｽﾄ(4～3月)'!$D$26:$D$1012,$B26,'内訳ﾘｽﾄ(4～3月)'!H$26:H$1012)</f>
        <v>14181200</v>
      </c>
      <c r="F26" s="158">
        <f>SUMIF('内訳ﾘｽﾄ(4～3月)'!$D$26:$D$1012,$B26,'内訳ﾘｽﾄ(4～3月)'!I$26:I$1012)</f>
        <v>2031200</v>
      </c>
      <c r="G26" s="158">
        <f>SUMIF('内訳ﾘｽﾄ(4～3月)'!$D$26:$D$1012,$B26,'内訳ﾘｽﾄ(4～3月)'!J$26:J$1012)</f>
        <v>42296200</v>
      </c>
      <c r="H26" s="158">
        <f>SUMIF('内訳ﾘｽﾄ(4～3月)'!$D$26:$D$1012,$B26,'内訳ﾘｽﾄ(4～3月)'!K$26:K$1012)</f>
        <v>2031200</v>
      </c>
      <c r="I26" s="158">
        <f>SUMIF('内訳ﾘｽﾄ(4～3月)'!$D$26:$D$1012,$B26,'内訳ﾘｽﾄ(4～3月)'!L$26:L$1012)</f>
        <v>2031200</v>
      </c>
      <c r="J26" s="158">
        <f>SUMIF('内訳ﾘｽﾄ(4～3月)'!$D$26:$D$1012,$B26,'内訳ﾘｽﾄ(4～3月)'!M$26:M$1012)</f>
        <v>2031200</v>
      </c>
      <c r="K26" s="158">
        <f>SUMIF('内訳ﾘｽﾄ(4～3月)'!$D$26:$D$1012,$B26,'内訳ﾘｽﾄ(4～3月)'!N$26:N$1012)</f>
        <v>2031200</v>
      </c>
      <c r="L26" s="158">
        <f>SUMIF('内訳ﾘｽﾄ(4～3月)'!$D$26:$D$1012,$B26,'内訳ﾘｽﾄ(4～3月)'!O$26:O$1012)</f>
        <v>2031200</v>
      </c>
      <c r="M26" s="158">
        <f>SUMIF('内訳ﾘｽﾄ(4～3月)'!$D$26:$D$1012,$B26,'内訳ﾘｽﾄ(4～3月)'!P$26:P$1012)</f>
        <v>9648200</v>
      </c>
      <c r="N26" s="158">
        <f>SUMIF('内訳ﾘｽﾄ(4～3月)'!$D$26:$D$1012,$B26,'内訳ﾘｽﾄ(4～3月)'!Q$26:Q$1012)</f>
        <v>2031200</v>
      </c>
      <c r="O26" s="158">
        <f>SUMIF('内訳ﾘｽﾄ(4～3月)'!$D$26:$D$811,'採算表(VND)'!$B26,'内訳ﾘｽﾄ(4～3月)'!R$26:R$811)</f>
        <v>108706400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SUMIF('内訳ﾘｽﾄ(4～3月)'!$D$26:$D$1012,$B27,'内訳ﾘｽﾄ(4～3月)'!F$26:F$1012)</f>
        <v>0</v>
      </c>
      <c r="D27" s="158">
        <f>SUMIF('内訳ﾘｽﾄ(4～3月)'!$D$26:$D$1012,$B27,'内訳ﾘｽﾄ(4～3月)'!G$26:G$1012)</f>
        <v>0</v>
      </c>
      <c r="E27" s="158">
        <f>SUMIF('内訳ﾘｽﾄ(4～3月)'!$D$26:$D$1012,$B27,'内訳ﾘｽﾄ(4～3月)'!H$26:H$1012)</f>
        <v>0</v>
      </c>
      <c r="F27" s="158">
        <f>SUMIF('内訳ﾘｽﾄ(4～3月)'!$D$26:$D$1012,$B27,'内訳ﾘｽﾄ(4～3月)'!I$26:I$1012)</f>
        <v>0</v>
      </c>
      <c r="G27" s="158">
        <f>SUMIF('内訳ﾘｽﾄ(4～3月)'!$D$26:$D$1012,$B27,'内訳ﾘｽﾄ(4～3月)'!J$26:J$1012)</f>
        <v>0</v>
      </c>
      <c r="H27" s="158">
        <f>SUMIF('内訳ﾘｽﾄ(4～3月)'!$D$26:$D$1012,$B27,'内訳ﾘｽﾄ(4～3月)'!K$26:K$1012)</f>
        <v>0</v>
      </c>
      <c r="I27" s="158">
        <f>SUMIF('内訳ﾘｽﾄ(4～3月)'!$D$26:$D$1012,$B27,'内訳ﾘｽﾄ(4～3月)'!L$26:L$1012)</f>
        <v>0</v>
      </c>
      <c r="J27" s="158">
        <f>SUMIF('内訳ﾘｽﾄ(4～3月)'!$D$26:$D$1012,$B27,'内訳ﾘｽﾄ(4～3月)'!M$26:M$1012)</f>
        <v>0</v>
      </c>
      <c r="K27" s="158">
        <f>SUMIF('内訳ﾘｽﾄ(4～3月)'!$D$26:$D$1012,$B27,'内訳ﾘｽﾄ(4～3月)'!N$26:N$1012)</f>
        <v>0</v>
      </c>
      <c r="L27" s="158">
        <f>SUMIF('内訳ﾘｽﾄ(4～3月)'!$D$26:$D$1012,$B27,'内訳ﾘｽﾄ(4～3月)'!O$26:O$1012)</f>
        <v>0</v>
      </c>
      <c r="M27" s="158">
        <f>SUMIF('内訳ﾘｽﾄ(4～3月)'!$D$26:$D$1012,$B27,'内訳ﾘｽﾄ(4～3月)'!P$26:P$1012)</f>
        <v>0</v>
      </c>
      <c r="N27" s="158">
        <f>SUMIF('内訳ﾘｽﾄ(4～3月)'!$D$26:$D$1012,$B27,'内訳ﾘｽﾄ(4～3月)'!Q$26:Q$1012)</f>
        <v>0</v>
      </c>
      <c r="O27" s="158">
        <f>SUMIF('内訳ﾘｽﾄ(4～3月)'!$D$26:$D$811,'採算表(VND)'!$B27,'内訳ﾘｽﾄ(4～3月)'!R$26:R$811)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SUMIF('内訳ﾘｽﾄ(4～3月)'!$D$26:$D$1012,$B28,'内訳ﾘｽﾄ(4～3月)'!F$26:F$1012)</f>
        <v>0</v>
      </c>
      <c r="D28" s="158">
        <f>SUMIF('内訳ﾘｽﾄ(4～3月)'!$D$26:$D$1012,$B28,'内訳ﾘｽﾄ(4～3月)'!G$26:G$1012)</f>
        <v>0</v>
      </c>
      <c r="E28" s="158">
        <f>SUMIF('内訳ﾘｽﾄ(4～3月)'!$D$26:$D$1012,$B28,'内訳ﾘｽﾄ(4～3月)'!H$26:H$1012)</f>
        <v>0</v>
      </c>
      <c r="F28" s="158">
        <f>SUMIF('内訳ﾘｽﾄ(4～3月)'!$D$26:$D$1012,$B28,'内訳ﾘｽﾄ(4～3月)'!I$26:I$1012)</f>
        <v>0</v>
      </c>
      <c r="G28" s="158">
        <f>SUMIF('内訳ﾘｽﾄ(4～3月)'!$D$26:$D$1012,$B28,'内訳ﾘｽﾄ(4～3月)'!J$26:J$1012)</f>
        <v>0</v>
      </c>
      <c r="H28" s="158">
        <f>SUMIF('内訳ﾘｽﾄ(4～3月)'!$D$26:$D$1012,$B28,'内訳ﾘｽﾄ(4～3月)'!K$26:K$1012)</f>
        <v>0</v>
      </c>
      <c r="I28" s="158">
        <f>SUMIF('内訳ﾘｽﾄ(4～3月)'!$D$26:$D$1012,$B28,'内訳ﾘｽﾄ(4～3月)'!L$26:L$1012)</f>
        <v>0</v>
      </c>
      <c r="J28" s="158">
        <f>SUMIF('内訳ﾘｽﾄ(4～3月)'!$D$26:$D$1012,$B28,'内訳ﾘｽﾄ(4～3月)'!M$26:M$1012)</f>
        <v>0</v>
      </c>
      <c r="K28" s="158">
        <f>SUMIF('内訳ﾘｽﾄ(4～3月)'!$D$26:$D$1012,$B28,'内訳ﾘｽﾄ(4～3月)'!N$26:N$1012)</f>
        <v>0</v>
      </c>
      <c r="L28" s="158">
        <f>SUMIF('内訳ﾘｽﾄ(4～3月)'!$D$26:$D$1012,$B28,'内訳ﾘｽﾄ(4～3月)'!O$26:O$1012)</f>
        <v>0</v>
      </c>
      <c r="M28" s="158">
        <f>SUMIF('内訳ﾘｽﾄ(4～3月)'!$D$26:$D$1012,$B28,'内訳ﾘｽﾄ(4～3月)'!P$26:P$1012)</f>
        <v>0</v>
      </c>
      <c r="N28" s="158">
        <f>SUMIF('内訳ﾘｽﾄ(4～3月)'!$D$26:$D$1012,$B28,'内訳ﾘｽﾄ(4～3月)'!Q$26:Q$1012)</f>
        <v>0</v>
      </c>
      <c r="O28" s="158">
        <f>SUMIF('内訳ﾘｽﾄ(4～3月)'!$D$26:$D$811,'採算表(VND)'!$B28,'内訳ﾘｽﾄ(4～3月)'!R$26:R$811)</f>
        <v>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SUMIF('内訳ﾘｽﾄ(4～3月)'!$D$26:$D$1012,$B29,'内訳ﾘｽﾄ(4～3月)'!F$26:F$1012)</f>
        <v>0</v>
      </c>
      <c r="D29" s="158">
        <f>SUMIF('内訳ﾘｽﾄ(4～3月)'!$D$26:$D$1012,$B29,'内訳ﾘｽﾄ(4～3月)'!G$26:G$1012)</f>
        <v>0</v>
      </c>
      <c r="E29" s="158">
        <f>SUMIF('内訳ﾘｽﾄ(4～3月)'!$D$26:$D$1012,$B29,'内訳ﾘｽﾄ(4～3月)'!H$26:H$1012)</f>
        <v>0</v>
      </c>
      <c r="F29" s="158">
        <f>SUMIF('内訳ﾘｽﾄ(4～3月)'!$D$26:$D$1012,$B29,'内訳ﾘｽﾄ(4～3月)'!I$26:I$1012)</f>
        <v>0</v>
      </c>
      <c r="G29" s="158">
        <f>SUMIF('内訳ﾘｽﾄ(4～3月)'!$D$26:$D$1012,$B29,'内訳ﾘｽﾄ(4～3月)'!J$26:J$1012)</f>
        <v>0</v>
      </c>
      <c r="H29" s="158">
        <f>SUMIF('内訳ﾘｽﾄ(4～3月)'!$D$26:$D$1012,$B29,'内訳ﾘｽﾄ(4～3月)'!K$26:K$1012)</f>
        <v>0</v>
      </c>
      <c r="I29" s="158">
        <f>SUMIF('内訳ﾘｽﾄ(4～3月)'!$D$26:$D$1012,$B29,'内訳ﾘｽﾄ(4～3月)'!L$26:L$1012)</f>
        <v>0</v>
      </c>
      <c r="J29" s="158">
        <f>SUMIF('内訳ﾘｽﾄ(4～3月)'!$D$26:$D$1012,$B29,'内訳ﾘｽﾄ(4～3月)'!M$26:M$1012)</f>
        <v>0</v>
      </c>
      <c r="K29" s="158">
        <f>SUMIF('内訳ﾘｽﾄ(4～3月)'!$D$26:$D$1012,$B29,'内訳ﾘｽﾄ(4～3月)'!N$26:N$1012)</f>
        <v>0</v>
      </c>
      <c r="L29" s="158">
        <f>SUMIF('内訳ﾘｽﾄ(4～3月)'!$D$26:$D$1012,$B29,'内訳ﾘｽﾄ(4～3月)'!O$26:O$1012)</f>
        <v>0</v>
      </c>
      <c r="M29" s="158">
        <f>SUMIF('内訳ﾘｽﾄ(4～3月)'!$D$26:$D$1012,$B29,'内訳ﾘｽﾄ(4～3月)'!P$26:P$1012)</f>
        <v>0</v>
      </c>
      <c r="N29" s="158">
        <f>SUMIF('内訳ﾘｽﾄ(4～3月)'!$D$26:$D$1012,$B29,'内訳ﾘｽﾄ(4～3月)'!Q$26:Q$1012)</f>
        <v>0</v>
      </c>
      <c r="O29" s="158">
        <f>SUMIF('内訳ﾘｽﾄ(4～3月)'!$D$26:$D$811,'採算表(VND)'!$B29,'内訳ﾘｽﾄ(4～3月)'!R$26:R$811)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SUMIF('内訳ﾘｽﾄ(4～3月)'!$D$26:$D$1012,$B30,'内訳ﾘｽﾄ(4～3月)'!F$26:F$1012)</f>
        <v>11429838</v>
      </c>
      <c r="D30" s="158">
        <f>SUMIF('内訳ﾘｽﾄ(4～3月)'!$D$26:$D$1012,$B30,'内訳ﾘｽﾄ(4～3月)'!G$26:G$1012)</f>
        <v>11732706</v>
      </c>
      <c r="E30" s="158">
        <f>SUMIF('内訳ﾘｽﾄ(4～3月)'!$D$26:$D$1012,$B30,'内訳ﾘｽﾄ(4～3月)'!H$26:H$1012)</f>
        <v>14346830</v>
      </c>
      <c r="F30" s="158">
        <f>SUMIF('内訳ﾘｽﾄ(4～3月)'!$D$26:$D$1012,$B30,'内訳ﾘｽﾄ(4～3月)'!I$26:I$1012)</f>
        <v>15961687</v>
      </c>
      <c r="G30" s="158">
        <f>SUMIF('内訳ﾘｽﾄ(4～3月)'!$D$26:$D$1012,$B30,'内訳ﾘｽﾄ(4～3月)'!J$26:J$1012)</f>
        <v>16032149</v>
      </c>
      <c r="H30" s="158">
        <f>SUMIF('内訳ﾘｽﾄ(4～3月)'!$D$26:$D$1012,$B30,'内訳ﾘｽﾄ(4～3月)'!K$26:K$1012)</f>
        <v>14644389</v>
      </c>
      <c r="I30" s="158">
        <f>SUMIF('内訳ﾘｽﾄ(4～3月)'!$D$26:$D$1012,$B30,'内訳ﾘｽﾄ(4～3月)'!L$26:L$1012)</f>
        <v>14518629</v>
      </c>
      <c r="J30" s="158">
        <f>SUMIF('内訳ﾘｽﾄ(4～3月)'!$D$26:$D$1012,$B30,'内訳ﾘｽﾄ(4～3月)'!M$26:M$1012)</f>
        <v>13611873</v>
      </c>
      <c r="K30" s="158">
        <f>SUMIF('内訳ﾘｽﾄ(4～3月)'!$D$26:$D$1012,$B30,'内訳ﾘｽﾄ(4～3月)'!N$26:N$1012)</f>
        <v>13337327</v>
      </c>
      <c r="L30" s="158">
        <f>SUMIF('内訳ﾘｽﾄ(4～3月)'!$D$26:$D$1012,$B30,'内訳ﾘｽﾄ(4～3月)'!O$26:O$1012)</f>
        <v>11539354</v>
      </c>
      <c r="M30" s="158">
        <f>SUMIF('内訳ﾘｽﾄ(4～3月)'!$D$26:$D$1012,$B30,'内訳ﾘｽﾄ(4～3月)'!P$26:P$1012)</f>
        <v>10775013</v>
      </c>
      <c r="N30" s="158">
        <f>SUMIF('内訳ﾘｽﾄ(4～3月)'!$D$26:$D$1012,$B30,'内訳ﾘｽﾄ(4～3月)'!Q$26:Q$1012)</f>
        <v>9647112</v>
      </c>
      <c r="O30" s="158">
        <f>SUMIF('内訳ﾘｽﾄ(4～3月)'!$D$26:$D$811,'採算表(VND)'!$B30,'内訳ﾘｽﾄ(4～3月)'!R$26:R$811)</f>
        <v>157576907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SUMIF('内訳ﾘｽﾄ(4～3月)'!$D$26:$D$1012,$B31,'内訳ﾘｽﾄ(4～3月)'!F$26:F$1012)</f>
        <v>89300000</v>
      </c>
      <c r="D31" s="158">
        <f>SUMIF('内訳ﾘｽﾄ(4～3月)'!$D$26:$D$1012,$B31,'内訳ﾘｽﾄ(4～3月)'!G$26:G$1012)</f>
        <v>20200000</v>
      </c>
      <c r="E31" s="158">
        <f>SUMIF('内訳ﾘｽﾄ(4～3月)'!$D$26:$D$1012,$B31,'内訳ﾘｽﾄ(4～3月)'!H$26:H$1012)</f>
        <v>10200000</v>
      </c>
      <c r="F31" s="158">
        <f>SUMIF('内訳ﾘｽﾄ(4～3月)'!$D$26:$D$1012,$B31,'内訳ﾘｽﾄ(4～3月)'!I$26:I$1012)</f>
        <v>10000000</v>
      </c>
      <c r="G31" s="158">
        <f>SUMIF('内訳ﾘｽﾄ(4～3月)'!$D$26:$D$1012,$B31,'内訳ﾘｽﾄ(4～3月)'!J$26:J$1012)</f>
        <v>18350000</v>
      </c>
      <c r="H31" s="158">
        <f>SUMIF('内訳ﾘｽﾄ(4～3月)'!$D$26:$D$1012,$B31,'内訳ﾘｽﾄ(4～3月)'!K$26:K$1012)</f>
        <v>2460000</v>
      </c>
      <c r="I31" s="158">
        <f>SUMIF('内訳ﾘｽﾄ(4～3月)'!$D$26:$D$1012,$B31,'内訳ﾘｽﾄ(4～3月)'!L$26:L$1012)</f>
        <v>0</v>
      </c>
      <c r="J31" s="158">
        <f>SUMIF('内訳ﾘｽﾄ(4～3月)'!$D$26:$D$1012,$B31,'内訳ﾘｽﾄ(4～3月)'!M$26:M$1012)</f>
        <v>600000</v>
      </c>
      <c r="K31" s="158">
        <f>SUMIF('内訳ﾘｽﾄ(4～3月)'!$D$26:$D$1012,$B31,'内訳ﾘｽﾄ(4～3月)'!N$26:N$1012)</f>
        <v>500000</v>
      </c>
      <c r="L31" s="158">
        <f>SUMIF('内訳ﾘｽﾄ(4～3月)'!$D$26:$D$1012,$B31,'内訳ﾘｽﾄ(4～3月)'!O$26:O$1012)</f>
        <v>5500000</v>
      </c>
      <c r="M31" s="158">
        <f>SUMIF('内訳ﾘｽﾄ(4～3月)'!$D$26:$D$1012,$B31,'内訳ﾘｽﾄ(4～3月)'!P$26:P$1012)</f>
        <v>11500000</v>
      </c>
      <c r="N31" s="158">
        <f>SUMIF('内訳ﾘｽﾄ(4～3月)'!$D$26:$D$1012,$B31,'内訳ﾘｽﾄ(4～3月)'!Q$26:Q$1012)</f>
        <v>2600000</v>
      </c>
      <c r="O31" s="158">
        <f>SUMIF('内訳ﾘｽﾄ(4～3月)'!$D$26:$D$811,'採算表(VND)'!$B31,'内訳ﾘｽﾄ(4～3月)'!R$26:R$811)</f>
        <v>171210000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SUMIF('内訳ﾘｽﾄ(4～3月)'!$D$26:$D$1012,$B32,'内訳ﾘｽﾄ(4～3月)'!F$26:F$1012)</f>
        <v>5078000</v>
      </c>
      <c r="D32" s="158">
        <f>SUMIF('内訳ﾘｽﾄ(4～3月)'!$D$26:$D$1012,$B32,'内訳ﾘｽﾄ(4～3月)'!G$26:G$1012)</f>
        <v>5078000</v>
      </c>
      <c r="E32" s="158">
        <f>SUMIF('内訳ﾘｽﾄ(4～3月)'!$D$26:$D$1012,$B32,'内訳ﾘｽﾄ(4～3月)'!H$26:H$1012)</f>
        <v>5078000</v>
      </c>
      <c r="F32" s="158">
        <f>SUMIF('内訳ﾘｽﾄ(4～3月)'!$D$26:$D$1012,$B32,'内訳ﾘｽﾄ(4～3月)'!I$26:I$1012)</f>
        <v>5078000</v>
      </c>
      <c r="G32" s="158">
        <f>SUMIF('内訳ﾘｽﾄ(4～3月)'!$D$26:$D$1012,$B32,'内訳ﾘｽﾄ(4～3月)'!J$26:J$1012)</f>
        <v>5078000</v>
      </c>
      <c r="H32" s="158">
        <f>SUMIF('内訳ﾘｽﾄ(4～3月)'!$D$26:$D$1012,$B32,'内訳ﾘｽﾄ(4～3月)'!K$26:K$1012)</f>
        <v>5078000</v>
      </c>
      <c r="I32" s="158">
        <f>SUMIF('内訳ﾘｽﾄ(4～3月)'!$D$26:$D$1012,$B32,'内訳ﾘｽﾄ(4～3月)'!L$26:L$1012)</f>
        <v>5078000</v>
      </c>
      <c r="J32" s="158">
        <f>SUMIF('内訳ﾘｽﾄ(4～3月)'!$D$26:$D$1012,$B32,'内訳ﾘｽﾄ(4～3月)'!M$26:M$1012)</f>
        <v>5078000</v>
      </c>
      <c r="K32" s="158">
        <f>SUMIF('内訳ﾘｽﾄ(4～3月)'!$D$26:$D$1012,$B32,'内訳ﾘｽﾄ(4～3月)'!N$26:N$1012)</f>
        <v>5078000</v>
      </c>
      <c r="L32" s="158">
        <f>SUMIF('内訳ﾘｽﾄ(4～3月)'!$D$26:$D$1012,$B32,'内訳ﾘｽﾄ(4～3月)'!O$26:O$1012)</f>
        <v>5078000</v>
      </c>
      <c r="M32" s="158">
        <f>SUMIF('内訳ﾘｽﾄ(4～3月)'!$D$26:$D$1012,$B32,'内訳ﾘｽﾄ(4～3月)'!P$26:P$1012)</f>
        <v>5078000</v>
      </c>
      <c r="N32" s="158">
        <f>SUMIF('内訳ﾘｽﾄ(4～3月)'!$D$26:$D$1012,$B32,'内訳ﾘｽﾄ(4～3月)'!Q$26:Q$1012)</f>
        <v>5078000</v>
      </c>
      <c r="O32" s="158">
        <f>SUMIF('内訳ﾘｽﾄ(4～3月)'!$D$26:$D$811,'採算表(VND)'!$B32,'内訳ﾘｽﾄ(4～3月)'!R$26:R$811)</f>
        <v>60936000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SUMIF('内訳ﾘｽﾄ(4～3月)'!$D$26:$D$1012,$B33,'内訳ﾘｽﾄ(4～3月)'!F$26:F$1012)</f>
        <v>0</v>
      </c>
      <c r="D33" s="158">
        <f>SUMIF('内訳ﾘｽﾄ(4～3月)'!$D$26:$D$1012,$B33,'内訳ﾘｽﾄ(4～3月)'!G$26:G$1012)</f>
        <v>0</v>
      </c>
      <c r="E33" s="158">
        <f>SUMIF('内訳ﾘｽﾄ(4～3月)'!$D$26:$D$1012,$B33,'内訳ﾘｽﾄ(4～3月)'!H$26:H$1012)</f>
        <v>0</v>
      </c>
      <c r="F33" s="158">
        <f>SUMIF('内訳ﾘｽﾄ(4～3月)'!$D$26:$D$1012,$B33,'内訳ﾘｽﾄ(4～3月)'!I$26:I$1012)</f>
        <v>0</v>
      </c>
      <c r="G33" s="158">
        <f>SUMIF('内訳ﾘｽﾄ(4～3月)'!$D$26:$D$1012,$B33,'内訳ﾘｽﾄ(4～3月)'!J$26:J$1012)</f>
        <v>0</v>
      </c>
      <c r="H33" s="158">
        <f>SUMIF('内訳ﾘｽﾄ(4～3月)'!$D$26:$D$1012,$B33,'内訳ﾘｽﾄ(4～3月)'!K$26:K$1012)</f>
        <v>0</v>
      </c>
      <c r="I33" s="158">
        <f>SUMIF('内訳ﾘｽﾄ(4～3月)'!$D$26:$D$1012,$B33,'内訳ﾘｽﾄ(4～3月)'!L$26:L$1012)</f>
        <v>0</v>
      </c>
      <c r="J33" s="158">
        <f>SUMIF('内訳ﾘｽﾄ(4～3月)'!$D$26:$D$1012,$B33,'内訳ﾘｽﾄ(4～3月)'!M$26:M$1012)</f>
        <v>0</v>
      </c>
      <c r="K33" s="158">
        <f>SUMIF('内訳ﾘｽﾄ(4～3月)'!$D$26:$D$1012,$B33,'内訳ﾘｽﾄ(4～3月)'!N$26:N$1012)</f>
        <v>0</v>
      </c>
      <c r="L33" s="158">
        <f>SUMIF('内訳ﾘｽﾄ(4～3月)'!$D$26:$D$1012,$B33,'内訳ﾘｽﾄ(4～3月)'!O$26:O$1012)</f>
        <v>0</v>
      </c>
      <c r="M33" s="158">
        <f>SUMIF('内訳ﾘｽﾄ(4～3月)'!$D$26:$D$1012,$B33,'内訳ﾘｽﾄ(4～3月)'!P$26:P$1012)</f>
        <v>0</v>
      </c>
      <c r="N33" s="158">
        <f>SUMIF('内訳ﾘｽﾄ(4～3月)'!$D$26:$D$1012,$B33,'内訳ﾘｽﾄ(4～3月)'!Q$26:Q$1012)</f>
        <v>0</v>
      </c>
      <c r="O33" s="158">
        <f>SUMIF('内訳ﾘｽﾄ(4～3月)'!$D$26:$D$811,'採算表(VND)'!$B33,'内訳ﾘｽﾄ(4～3月)'!R$26:R$811)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SUMIF('内訳ﾘｽﾄ(4～3月)'!$D$26:$D$1012,$B34,'内訳ﾘｽﾄ(4～3月)'!F$26:F$1012)</f>
        <v>0</v>
      </c>
      <c r="D34" s="158">
        <f>SUMIF('内訳ﾘｽﾄ(4～3月)'!$D$26:$D$1012,$B34,'内訳ﾘｽﾄ(4～3月)'!G$26:G$1012)</f>
        <v>0</v>
      </c>
      <c r="E34" s="158">
        <f>SUMIF('内訳ﾘｽﾄ(4～3月)'!$D$26:$D$1012,$B34,'内訳ﾘｽﾄ(4～3月)'!H$26:H$1012)</f>
        <v>0</v>
      </c>
      <c r="F34" s="158">
        <f>SUMIF('内訳ﾘｽﾄ(4～3月)'!$D$26:$D$1012,$B34,'内訳ﾘｽﾄ(4～3月)'!I$26:I$1012)</f>
        <v>0</v>
      </c>
      <c r="G34" s="158">
        <f>SUMIF('内訳ﾘｽﾄ(4～3月)'!$D$26:$D$1012,$B34,'内訳ﾘｽﾄ(4～3月)'!J$26:J$1012)</f>
        <v>0</v>
      </c>
      <c r="H34" s="158">
        <f>SUMIF('内訳ﾘｽﾄ(4～3月)'!$D$26:$D$1012,$B34,'内訳ﾘｽﾄ(4～3月)'!K$26:K$1012)</f>
        <v>0</v>
      </c>
      <c r="I34" s="158">
        <f>SUMIF('内訳ﾘｽﾄ(4～3月)'!$D$26:$D$1012,$B34,'内訳ﾘｽﾄ(4～3月)'!L$26:L$1012)</f>
        <v>0</v>
      </c>
      <c r="J34" s="158">
        <f>SUMIF('内訳ﾘｽﾄ(4～3月)'!$D$26:$D$1012,$B34,'内訳ﾘｽﾄ(4～3月)'!M$26:M$1012)</f>
        <v>0</v>
      </c>
      <c r="K34" s="158">
        <f>SUMIF('内訳ﾘｽﾄ(4～3月)'!$D$26:$D$1012,$B34,'内訳ﾘｽﾄ(4～3月)'!N$26:N$1012)</f>
        <v>0</v>
      </c>
      <c r="L34" s="158">
        <f>SUMIF('内訳ﾘｽﾄ(4～3月)'!$D$26:$D$1012,$B34,'内訳ﾘｽﾄ(4～3月)'!O$26:O$1012)</f>
        <v>0</v>
      </c>
      <c r="M34" s="158">
        <f>SUMIF('内訳ﾘｽﾄ(4～3月)'!$D$26:$D$1012,$B34,'内訳ﾘｽﾄ(4～3月)'!P$26:P$1012)</f>
        <v>0</v>
      </c>
      <c r="N34" s="158">
        <f>SUMIF('内訳ﾘｽﾄ(4～3月)'!$D$26:$D$1012,$B34,'内訳ﾘｽﾄ(4～3月)'!Q$26:Q$1012)</f>
        <v>0</v>
      </c>
      <c r="O34" s="158">
        <f>SUMIF('内訳ﾘｽﾄ(4～3月)'!$D$26:$D$811,'採算表(VND)'!$B34,'内訳ﾘｽﾄ(4～3月)'!R$26:R$811)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SUMIF('内訳ﾘｽﾄ(4～3月)'!$D$26:$D$1012,$B35,'内訳ﾘｽﾄ(4～3月)'!F$26:F$1012)</f>
        <v>0</v>
      </c>
      <c r="D35" s="158">
        <f>SUMIF('内訳ﾘｽﾄ(4～3月)'!$D$26:$D$1012,$B35,'内訳ﾘｽﾄ(4～3月)'!G$26:G$1012)</f>
        <v>0</v>
      </c>
      <c r="E35" s="158">
        <f>SUMIF('内訳ﾘｽﾄ(4～3月)'!$D$26:$D$1012,$B35,'内訳ﾘｽﾄ(4～3月)'!H$26:H$1012)</f>
        <v>0</v>
      </c>
      <c r="F35" s="158">
        <f>SUMIF('内訳ﾘｽﾄ(4～3月)'!$D$26:$D$1012,$B35,'内訳ﾘｽﾄ(4～3月)'!I$26:I$1012)</f>
        <v>0</v>
      </c>
      <c r="G35" s="158">
        <f>SUMIF('内訳ﾘｽﾄ(4～3月)'!$D$26:$D$1012,$B35,'内訳ﾘｽﾄ(4～3月)'!J$26:J$1012)</f>
        <v>0</v>
      </c>
      <c r="H35" s="158">
        <f>SUMIF('内訳ﾘｽﾄ(4～3月)'!$D$26:$D$1012,$B35,'内訳ﾘｽﾄ(4～3月)'!K$26:K$1012)</f>
        <v>0</v>
      </c>
      <c r="I35" s="158">
        <f>SUMIF('内訳ﾘｽﾄ(4～3月)'!$D$26:$D$1012,$B35,'内訳ﾘｽﾄ(4～3月)'!L$26:L$1012)</f>
        <v>0</v>
      </c>
      <c r="J35" s="158">
        <f>SUMIF('内訳ﾘｽﾄ(4～3月)'!$D$26:$D$1012,$B35,'内訳ﾘｽﾄ(4～3月)'!M$26:M$1012)</f>
        <v>0</v>
      </c>
      <c r="K35" s="158">
        <f>SUMIF('内訳ﾘｽﾄ(4～3月)'!$D$26:$D$1012,$B35,'内訳ﾘｽﾄ(4～3月)'!N$26:N$1012)</f>
        <v>0</v>
      </c>
      <c r="L35" s="158">
        <f>SUMIF('内訳ﾘｽﾄ(4～3月)'!$D$26:$D$1012,$B35,'内訳ﾘｽﾄ(4～3月)'!O$26:O$1012)</f>
        <v>0</v>
      </c>
      <c r="M35" s="158">
        <f>SUMIF('内訳ﾘｽﾄ(4～3月)'!$D$26:$D$1012,$B35,'内訳ﾘｽﾄ(4～3月)'!P$26:P$1012)</f>
        <v>0</v>
      </c>
      <c r="N35" s="158">
        <f>SUMIF('内訳ﾘｽﾄ(4～3月)'!$D$26:$D$1012,$B35,'内訳ﾘｽﾄ(4～3月)'!Q$26:Q$1012)</f>
        <v>0</v>
      </c>
      <c r="O35" s="158">
        <f>SUMIF('内訳ﾘｽﾄ(4～3月)'!$D$26:$D$811,'採算表(VND)'!$B35,'内訳ﾘｽﾄ(4～3月)'!R$26:R$811)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SUMIF('内訳ﾘｽﾄ(4～3月)'!$D$26:$D$1012,$B36,'内訳ﾘｽﾄ(4～3月)'!F$26:F$1012)</f>
        <v>0</v>
      </c>
      <c r="D36" s="158">
        <f>SUMIF('内訳ﾘｽﾄ(4～3月)'!$D$26:$D$1012,$B36,'内訳ﾘｽﾄ(4～3月)'!G$26:G$1012)</f>
        <v>0</v>
      </c>
      <c r="E36" s="158">
        <f>SUMIF('内訳ﾘｽﾄ(4～3月)'!$D$26:$D$1012,$B36,'内訳ﾘｽﾄ(4～3月)'!H$26:H$1012)</f>
        <v>0</v>
      </c>
      <c r="F36" s="158">
        <f>SUMIF('内訳ﾘｽﾄ(4～3月)'!$D$26:$D$1012,$B36,'内訳ﾘｽﾄ(4～3月)'!I$26:I$1012)</f>
        <v>0</v>
      </c>
      <c r="G36" s="158">
        <f>SUMIF('内訳ﾘｽﾄ(4～3月)'!$D$26:$D$1012,$B36,'内訳ﾘｽﾄ(4～3月)'!J$26:J$1012)</f>
        <v>0</v>
      </c>
      <c r="H36" s="158">
        <f>SUMIF('内訳ﾘｽﾄ(4～3月)'!$D$26:$D$1012,$B36,'内訳ﾘｽﾄ(4～3月)'!K$26:K$1012)</f>
        <v>0</v>
      </c>
      <c r="I36" s="158">
        <f>SUMIF('内訳ﾘｽﾄ(4～3月)'!$D$26:$D$1012,$B36,'内訳ﾘｽﾄ(4～3月)'!L$26:L$1012)</f>
        <v>0</v>
      </c>
      <c r="J36" s="158">
        <f>SUMIF('内訳ﾘｽﾄ(4～3月)'!$D$26:$D$1012,$B36,'内訳ﾘｽﾄ(4～3月)'!M$26:M$1012)</f>
        <v>0</v>
      </c>
      <c r="K36" s="158">
        <f>SUMIF('内訳ﾘｽﾄ(4～3月)'!$D$26:$D$1012,$B36,'内訳ﾘｽﾄ(4～3月)'!N$26:N$1012)</f>
        <v>0</v>
      </c>
      <c r="L36" s="158">
        <f>SUMIF('内訳ﾘｽﾄ(4～3月)'!$D$26:$D$1012,$B36,'内訳ﾘｽﾄ(4～3月)'!O$26:O$1012)</f>
        <v>0</v>
      </c>
      <c r="M36" s="158">
        <f>SUMIF('内訳ﾘｽﾄ(4～3月)'!$D$26:$D$1012,$B36,'内訳ﾘｽﾄ(4～3月)'!P$26:P$1012)</f>
        <v>0</v>
      </c>
      <c r="N36" s="158">
        <f>SUMIF('内訳ﾘｽﾄ(4～3月)'!$D$26:$D$1012,$B36,'内訳ﾘｽﾄ(4～3月)'!Q$26:Q$1012)</f>
        <v>0</v>
      </c>
      <c r="O36" s="158">
        <f>SUMIF('内訳ﾘｽﾄ(4～3月)'!$D$26:$D$811,'採算表(VND)'!$B36,'内訳ﾘｽﾄ(4～3月)'!R$26:R$811)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SUMIF('内訳ﾘｽﾄ(4～3月)'!$D$26:$D$1012,$B37,'内訳ﾘｽﾄ(4～3月)'!F$26:F$1012)</f>
        <v>0</v>
      </c>
      <c r="D37" s="158">
        <f>SUMIF('内訳ﾘｽﾄ(4～3月)'!$D$26:$D$1012,$B37,'内訳ﾘｽﾄ(4～3月)'!G$26:G$1012)</f>
        <v>0</v>
      </c>
      <c r="E37" s="158">
        <f>SUMIF('内訳ﾘｽﾄ(4～3月)'!$D$26:$D$1012,$B37,'内訳ﾘｽﾄ(4～3月)'!H$26:H$1012)</f>
        <v>0</v>
      </c>
      <c r="F37" s="158">
        <f>SUMIF('内訳ﾘｽﾄ(4～3月)'!$D$26:$D$1012,$B37,'内訳ﾘｽﾄ(4～3月)'!I$26:I$1012)</f>
        <v>0</v>
      </c>
      <c r="G37" s="158">
        <f>SUMIF('内訳ﾘｽﾄ(4～3月)'!$D$26:$D$1012,$B37,'内訳ﾘｽﾄ(4～3月)'!J$26:J$1012)</f>
        <v>0</v>
      </c>
      <c r="H37" s="158">
        <f>SUMIF('内訳ﾘｽﾄ(4～3月)'!$D$26:$D$1012,$B37,'内訳ﾘｽﾄ(4～3月)'!K$26:K$1012)</f>
        <v>0</v>
      </c>
      <c r="I37" s="158">
        <f>SUMIF('内訳ﾘｽﾄ(4～3月)'!$D$26:$D$1012,$B37,'内訳ﾘｽﾄ(4～3月)'!L$26:L$1012)</f>
        <v>0</v>
      </c>
      <c r="J37" s="158">
        <f>SUMIF('内訳ﾘｽﾄ(4～3月)'!$D$26:$D$1012,$B37,'内訳ﾘｽﾄ(4～3月)'!M$26:M$1012)</f>
        <v>0</v>
      </c>
      <c r="K37" s="158">
        <f>SUMIF('内訳ﾘｽﾄ(4～3月)'!$D$26:$D$1012,$B37,'内訳ﾘｽﾄ(4～3月)'!N$26:N$1012)</f>
        <v>0</v>
      </c>
      <c r="L37" s="158">
        <f>SUMIF('内訳ﾘｽﾄ(4～3月)'!$D$26:$D$1012,$B37,'内訳ﾘｽﾄ(4～3月)'!O$26:O$1012)</f>
        <v>0</v>
      </c>
      <c r="M37" s="158">
        <f>SUMIF('内訳ﾘｽﾄ(4～3月)'!$D$26:$D$1012,$B37,'内訳ﾘｽﾄ(4～3月)'!P$26:P$1012)</f>
        <v>0</v>
      </c>
      <c r="N37" s="158">
        <f>SUMIF('内訳ﾘｽﾄ(4～3月)'!$D$26:$D$1012,$B37,'内訳ﾘｽﾄ(4～3月)'!Q$26:Q$1012)</f>
        <v>0</v>
      </c>
      <c r="O37" s="158">
        <f>SUMIF('内訳ﾘｽﾄ(4～3月)'!$D$26:$D$811,'採算表(VND)'!$B37,'内訳ﾘｽﾄ(4～3月)'!R$26:R$811)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SUMIF('内訳ﾘｽﾄ(4～3月)'!$D$26:$D$1012,$B38,'内訳ﾘｽﾄ(4～3月)'!F$26:F$1012)</f>
        <v>0</v>
      </c>
      <c r="D38" s="158">
        <f>SUMIF('内訳ﾘｽﾄ(4～3月)'!$D$26:$D$1012,$B38,'内訳ﾘｽﾄ(4～3月)'!G$26:G$1012)</f>
        <v>0</v>
      </c>
      <c r="E38" s="158">
        <f>SUMIF('内訳ﾘｽﾄ(4～3月)'!$D$26:$D$1012,$B38,'内訳ﾘｽﾄ(4～3月)'!H$26:H$1012)</f>
        <v>0</v>
      </c>
      <c r="F38" s="158">
        <f>SUMIF('内訳ﾘｽﾄ(4～3月)'!$D$26:$D$1012,$B38,'内訳ﾘｽﾄ(4～3月)'!I$26:I$1012)</f>
        <v>0</v>
      </c>
      <c r="G38" s="158">
        <f>SUMIF('内訳ﾘｽﾄ(4～3月)'!$D$26:$D$1012,$B38,'内訳ﾘｽﾄ(4～3月)'!J$26:J$1012)</f>
        <v>0</v>
      </c>
      <c r="H38" s="158">
        <f>SUMIF('内訳ﾘｽﾄ(4～3月)'!$D$26:$D$1012,$B38,'内訳ﾘｽﾄ(4～3月)'!K$26:K$1012)</f>
        <v>0</v>
      </c>
      <c r="I38" s="158">
        <f>SUMIF('内訳ﾘｽﾄ(4～3月)'!$D$26:$D$1012,$B38,'内訳ﾘｽﾄ(4～3月)'!L$26:L$1012)</f>
        <v>0</v>
      </c>
      <c r="J38" s="158">
        <f>SUMIF('内訳ﾘｽﾄ(4～3月)'!$D$26:$D$1012,$B38,'内訳ﾘｽﾄ(4～3月)'!M$26:M$1012)</f>
        <v>0</v>
      </c>
      <c r="K38" s="158">
        <f>SUMIF('内訳ﾘｽﾄ(4～3月)'!$D$26:$D$1012,$B38,'内訳ﾘｽﾄ(4～3月)'!N$26:N$1012)</f>
        <v>0</v>
      </c>
      <c r="L38" s="158">
        <f>SUMIF('内訳ﾘｽﾄ(4～3月)'!$D$26:$D$1012,$B38,'内訳ﾘｽﾄ(4～3月)'!O$26:O$1012)</f>
        <v>0</v>
      </c>
      <c r="M38" s="158">
        <f>SUMIF('内訳ﾘｽﾄ(4～3月)'!$D$26:$D$1012,$B38,'内訳ﾘｽﾄ(4～3月)'!P$26:P$1012)</f>
        <v>0</v>
      </c>
      <c r="N38" s="158">
        <f>SUMIF('内訳ﾘｽﾄ(4～3月)'!$D$26:$D$1012,$B38,'内訳ﾘｽﾄ(4～3月)'!Q$26:Q$1012)</f>
        <v>0</v>
      </c>
      <c r="O38" s="158">
        <f>SUMIF('内訳ﾘｽﾄ(4～3月)'!$D$26:$D$811,'採算表(VND)'!$B38,'内訳ﾘｽﾄ(4～3月)'!R$26:R$811)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SUMIF('内訳ﾘｽﾄ(4～3月)'!$D$26:$D$1012,$B39,'内訳ﾘｽﾄ(4～3月)'!F$26:F$1012)</f>
        <v>2531115</v>
      </c>
      <c r="D39" s="158">
        <f>SUMIF('内訳ﾘｽﾄ(4～3月)'!$D$26:$D$1012,$B39,'内訳ﾘｽﾄ(4～3月)'!G$26:G$1012)</f>
        <v>2540790</v>
      </c>
      <c r="E39" s="158">
        <f>SUMIF('内訳ﾘｽﾄ(4～3月)'!$D$26:$D$1012,$B39,'内訳ﾘｽﾄ(4～3月)'!H$26:H$1012)</f>
        <v>2619045</v>
      </c>
      <c r="F39" s="158">
        <f>SUMIF('内訳ﾘｽﾄ(4～3月)'!$D$26:$D$1012,$B39,'内訳ﾘｽﾄ(4～3月)'!I$26:I$1012)</f>
        <v>2398770</v>
      </c>
      <c r="G39" s="158">
        <f>SUMIF('内訳ﾘｽﾄ(4～3月)'!$D$26:$D$1012,$B39,'内訳ﾘｽﾄ(4～3月)'!J$26:J$1012)</f>
        <v>2335095</v>
      </c>
      <c r="H39" s="158">
        <f>SUMIF('内訳ﾘｽﾄ(4～3月)'!$D$26:$D$1012,$B39,'内訳ﾘｽﾄ(4～3月)'!K$26:K$1012)</f>
        <v>2330730</v>
      </c>
      <c r="I39" s="158">
        <f>SUMIF('内訳ﾘｽﾄ(4～3月)'!$D$26:$D$1012,$B39,'内訳ﾘｽﾄ(4～3月)'!L$26:L$1012)</f>
        <v>2229304</v>
      </c>
      <c r="J39" s="158">
        <f>SUMIF('内訳ﾘｽﾄ(4～3月)'!$D$26:$D$1012,$B39,'内訳ﾘｽﾄ(4～3月)'!M$26:M$1012)</f>
        <v>2201668</v>
      </c>
      <c r="K39" s="158">
        <f>SUMIF('内訳ﾘｽﾄ(4～3月)'!$D$26:$D$1012,$B39,'内訳ﾘｽﾄ(4～3月)'!N$26:N$1012)</f>
        <v>2207919</v>
      </c>
      <c r="L39" s="158">
        <f>SUMIF('内訳ﾘｽﾄ(4～3月)'!$D$26:$D$1012,$B39,'内訳ﾘｽﾄ(4～3月)'!O$26:O$1012)</f>
        <v>2113496</v>
      </c>
      <c r="M39" s="158">
        <f>SUMIF('内訳ﾘｽﾄ(4～3月)'!$D$26:$D$1012,$B39,'内訳ﾘｽﾄ(4～3月)'!P$26:P$1012)</f>
        <v>2000414</v>
      </c>
      <c r="N39" s="158">
        <f>SUMIF('内訳ﾘｽﾄ(4～3月)'!$D$26:$D$1012,$B39,'内訳ﾘｽﾄ(4～3月)'!Q$26:Q$1012)</f>
        <v>2093380</v>
      </c>
      <c r="O39" s="158">
        <f>SUMIF('内訳ﾘｽﾄ(4～3月)'!$D$26:$D$811,'採算表(VND)'!$B39,'内訳ﾘｽﾄ(4～3月)'!R$26:R$811)</f>
        <v>27601726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SUMIF('内訳ﾘｽﾄ(4～3月)'!$D$26:$D$1012,$B40,'内訳ﾘｽﾄ(4～3月)'!F$26:F$1012)</f>
        <v>0</v>
      </c>
      <c r="D40" s="158">
        <f>SUMIF('内訳ﾘｽﾄ(4～3月)'!$D$26:$D$1012,$B40,'内訳ﾘｽﾄ(4～3月)'!G$26:G$1012)</f>
        <v>0</v>
      </c>
      <c r="E40" s="158">
        <f>SUMIF('内訳ﾘｽﾄ(4～3月)'!$D$26:$D$1012,$B40,'内訳ﾘｽﾄ(4～3月)'!H$26:H$1012)</f>
        <v>0</v>
      </c>
      <c r="F40" s="158">
        <f>SUMIF('内訳ﾘｽﾄ(4～3月)'!$D$26:$D$1012,$B40,'内訳ﾘｽﾄ(4～3月)'!I$26:I$1012)</f>
        <v>0</v>
      </c>
      <c r="G40" s="158">
        <f>SUMIF('内訳ﾘｽﾄ(4～3月)'!$D$26:$D$1012,$B40,'内訳ﾘｽﾄ(4～3月)'!J$26:J$1012)</f>
        <v>0</v>
      </c>
      <c r="H40" s="158">
        <f>SUMIF('内訳ﾘｽﾄ(4～3月)'!$D$26:$D$1012,$B40,'内訳ﾘｽﾄ(4～3月)'!K$26:K$1012)</f>
        <v>0</v>
      </c>
      <c r="I40" s="158">
        <f>SUMIF('内訳ﾘｽﾄ(4～3月)'!$D$26:$D$1012,$B40,'内訳ﾘｽﾄ(4～3月)'!L$26:L$1012)</f>
        <v>0</v>
      </c>
      <c r="J40" s="158">
        <f>SUMIF('内訳ﾘｽﾄ(4～3月)'!$D$26:$D$1012,$B40,'内訳ﾘｽﾄ(4～3月)'!M$26:M$1012)</f>
        <v>0</v>
      </c>
      <c r="K40" s="158">
        <f>SUMIF('内訳ﾘｽﾄ(4～3月)'!$D$26:$D$1012,$B40,'内訳ﾘｽﾄ(4～3月)'!N$26:N$1012)</f>
        <v>0</v>
      </c>
      <c r="L40" s="158">
        <f>SUMIF('内訳ﾘｽﾄ(4～3月)'!$D$26:$D$1012,$B40,'内訳ﾘｽﾄ(4～3月)'!O$26:O$1012)</f>
        <v>0</v>
      </c>
      <c r="M40" s="158">
        <f>SUMIF('内訳ﾘｽﾄ(4～3月)'!$D$26:$D$1012,$B40,'内訳ﾘｽﾄ(4～3月)'!P$26:P$1012)</f>
        <v>0</v>
      </c>
      <c r="N40" s="158">
        <f>SUMIF('内訳ﾘｽﾄ(4～3月)'!$D$26:$D$1012,$B40,'内訳ﾘｽﾄ(4～3月)'!Q$26:Q$1012)</f>
        <v>0</v>
      </c>
      <c r="O40" s="158">
        <f>SUMIF('内訳ﾘｽﾄ(4～3月)'!$D$26:$D$811,'採算表(VND)'!$B40,'内訳ﾘｽﾄ(4～3月)'!R$26:R$811)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SUMIF('内訳ﾘｽﾄ(4～3月)'!$D$26:$D$1012,$B41,'内訳ﾘｽﾄ(4～3月)'!F$26:F$1012)</f>
        <v>80000</v>
      </c>
      <c r="D41" s="158">
        <f>SUMIF('内訳ﾘｽﾄ(4～3月)'!$D$26:$D$1012,$B41,'内訳ﾘｽﾄ(4～3月)'!G$26:G$1012)</f>
        <v>80000</v>
      </c>
      <c r="E41" s="158">
        <f>SUMIF('内訳ﾘｽﾄ(4～3月)'!$D$26:$D$1012,$B41,'内訳ﾘｽﾄ(4～3月)'!H$26:H$1012)</f>
        <v>80000</v>
      </c>
      <c r="F41" s="158">
        <f>SUMIF('内訳ﾘｽﾄ(4～3月)'!$D$26:$D$1012,$B41,'内訳ﾘｽﾄ(4～3月)'!I$26:I$1012)</f>
        <v>80000</v>
      </c>
      <c r="G41" s="158">
        <f>SUMIF('内訳ﾘｽﾄ(4～3月)'!$D$26:$D$1012,$B41,'内訳ﾘｽﾄ(4～3月)'!J$26:J$1012)</f>
        <v>80000</v>
      </c>
      <c r="H41" s="158">
        <f>SUMIF('内訳ﾘｽﾄ(4～3月)'!$D$26:$D$1012,$B41,'内訳ﾘｽﾄ(4～3月)'!K$26:K$1012)</f>
        <v>80000</v>
      </c>
      <c r="I41" s="158">
        <f>SUMIF('内訳ﾘｽﾄ(4～3月)'!$D$26:$D$1012,$B41,'内訳ﾘｽﾄ(4～3月)'!L$26:L$1012)</f>
        <v>80000</v>
      </c>
      <c r="J41" s="158">
        <f>SUMIF('内訳ﾘｽﾄ(4～3月)'!$D$26:$D$1012,$B41,'内訳ﾘｽﾄ(4～3月)'!M$26:M$1012)</f>
        <v>80000</v>
      </c>
      <c r="K41" s="158">
        <f>SUMIF('内訳ﾘｽﾄ(4～3月)'!$D$26:$D$1012,$B41,'内訳ﾘｽﾄ(4～3月)'!N$26:N$1012)</f>
        <v>80000</v>
      </c>
      <c r="L41" s="158">
        <f>SUMIF('内訳ﾘｽﾄ(4～3月)'!$D$26:$D$1012,$B41,'内訳ﾘｽﾄ(4～3月)'!O$26:O$1012)</f>
        <v>80000</v>
      </c>
      <c r="M41" s="158">
        <f>SUMIF('内訳ﾘｽﾄ(4～3月)'!$D$26:$D$1012,$B41,'内訳ﾘｽﾄ(4～3月)'!P$26:P$1012)</f>
        <v>80000</v>
      </c>
      <c r="N41" s="158">
        <f>SUMIF('内訳ﾘｽﾄ(4～3月)'!$D$26:$D$1012,$B41,'内訳ﾘｽﾄ(4～3月)'!Q$26:Q$1012)</f>
        <v>80000</v>
      </c>
      <c r="O41" s="158">
        <f>SUMIF('内訳ﾘｽﾄ(4～3月)'!$D$26:$D$811,'採算表(VND)'!$B41,'内訳ﾘｽﾄ(4～3月)'!R$26:R$811)</f>
        <v>80000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SUMIF('内訳ﾘｽﾄ(4～3月)'!$D$26:$D$1012,$B42,'内訳ﾘｽﾄ(4～3月)'!F$26:F$1012)</f>
        <v>59748927</v>
      </c>
      <c r="D42" s="158">
        <f>SUMIF('内訳ﾘｽﾄ(4～3月)'!$D$26:$D$1012,$B42,'内訳ﾘｽﾄ(4～3月)'!G$26:G$1012)</f>
        <v>59748927</v>
      </c>
      <c r="E42" s="158">
        <f>SUMIF('内訳ﾘｽﾄ(4～3月)'!$D$26:$D$1012,$B42,'内訳ﾘｽﾄ(4～3月)'!H$26:H$1012)</f>
        <v>59748927</v>
      </c>
      <c r="F42" s="158">
        <f>SUMIF('内訳ﾘｽﾄ(4～3月)'!$D$26:$D$1012,$B42,'内訳ﾘｽﾄ(4～3月)'!I$26:I$1012)</f>
        <v>59748927</v>
      </c>
      <c r="G42" s="158">
        <f>SUMIF('内訳ﾘｽﾄ(4～3月)'!$D$26:$D$1012,$B42,'内訳ﾘｽﾄ(4～3月)'!J$26:J$1012)</f>
        <v>59947227</v>
      </c>
      <c r="H42" s="158">
        <f>SUMIF('内訳ﾘｽﾄ(4～3月)'!$D$26:$D$1012,$B42,'内訳ﾘｽﾄ(4～3月)'!K$26:K$1012)</f>
        <v>60039896</v>
      </c>
      <c r="I42" s="158">
        <f>SUMIF('内訳ﾘｽﾄ(4～3月)'!$D$26:$D$1012,$B42,'内訳ﾘｽﾄ(4～3月)'!L$26:L$1012)</f>
        <v>60039896</v>
      </c>
      <c r="J42" s="158">
        <f>SUMIF('内訳ﾘｽﾄ(4～3月)'!$D$26:$D$1012,$B42,'内訳ﾘｽﾄ(4～3月)'!M$26:M$1012)</f>
        <v>60077496</v>
      </c>
      <c r="K42" s="158">
        <f>SUMIF('内訳ﾘｽﾄ(4～3月)'!$D$26:$D$1012,$B42,'内訳ﾘｽﾄ(4～3月)'!N$26:N$1012)</f>
        <v>60039896</v>
      </c>
      <c r="L42" s="158">
        <f>SUMIF('内訳ﾘｽﾄ(4～3月)'!$D$26:$D$1012,$B42,'内訳ﾘｽﾄ(4～3月)'!O$26:O$1012)</f>
        <v>60039896</v>
      </c>
      <c r="M42" s="158">
        <f>SUMIF('内訳ﾘｽﾄ(4～3月)'!$D$26:$D$1012,$B42,'内訳ﾘｽﾄ(4～3月)'!P$26:P$1012)</f>
        <v>60039896</v>
      </c>
      <c r="N42" s="158">
        <f>SUMIF('内訳ﾘｽﾄ(4～3月)'!$D$26:$D$1012,$B42,'内訳ﾘｽﾄ(4～3月)'!Q$26:Q$1012)</f>
        <v>60039896</v>
      </c>
      <c r="O42" s="158">
        <f>SUMIF('内訳ﾘｽﾄ(4～3月)'!$D$26:$D$811,'採算表(VND)'!$B42,'内訳ﾘｽﾄ(4～3月)'!R$26:R$811)</f>
        <v>719259807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SUMIF('内訳ﾘｽﾄ(4～3月)'!$D$26:$D$1012,$B43,'内訳ﾘｽﾄ(4～3月)'!F$26:F$1012)</f>
        <v>0</v>
      </c>
      <c r="D43" s="158">
        <f>SUMIF('内訳ﾘｽﾄ(4～3月)'!$D$26:$D$1012,$B43,'内訳ﾘｽﾄ(4～3月)'!G$26:G$1012)</f>
        <v>0</v>
      </c>
      <c r="E43" s="158">
        <f>SUMIF('内訳ﾘｽﾄ(4～3月)'!$D$26:$D$1012,$B43,'内訳ﾘｽﾄ(4～3月)'!H$26:H$1012)</f>
        <v>0</v>
      </c>
      <c r="F43" s="158">
        <f>SUMIF('内訳ﾘｽﾄ(4～3月)'!$D$26:$D$1012,$B43,'内訳ﾘｽﾄ(4～3月)'!I$26:I$1012)</f>
        <v>0</v>
      </c>
      <c r="G43" s="158">
        <f>SUMIF('内訳ﾘｽﾄ(4～3月)'!$D$26:$D$1012,$B43,'内訳ﾘｽﾄ(4～3月)'!J$26:J$1012)</f>
        <v>0</v>
      </c>
      <c r="H43" s="158">
        <f>SUMIF('内訳ﾘｽﾄ(4～3月)'!$D$26:$D$1012,$B43,'内訳ﾘｽﾄ(4～3月)'!K$26:K$1012)</f>
        <v>0</v>
      </c>
      <c r="I43" s="158">
        <f>SUMIF('内訳ﾘｽﾄ(4～3月)'!$D$26:$D$1012,$B43,'内訳ﾘｽﾄ(4～3月)'!L$26:L$1012)</f>
        <v>0</v>
      </c>
      <c r="J43" s="158">
        <f>SUMIF('内訳ﾘｽﾄ(4～3月)'!$D$26:$D$1012,$B43,'内訳ﾘｽﾄ(4～3月)'!M$26:M$1012)</f>
        <v>0</v>
      </c>
      <c r="K43" s="158">
        <f>SUMIF('内訳ﾘｽﾄ(4～3月)'!$D$26:$D$1012,$B43,'内訳ﾘｽﾄ(4～3月)'!N$26:N$1012)</f>
        <v>0</v>
      </c>
      <c r="L43" s="158">
        <f>SUMIF('内訳ﾘｽﾄ(4～3月)'!$D$26:$D$1012,$B43,'内訳ﾘｽﾄ(4～3月)'!O$26:O$1012)</f>
        <v>0</v>
      </c>
      <c r="M43" s="158">
        <f>SUMIF('内訳ﾘｽﾄ(4～3月)'!$D$26:$D$1012,$B43,'内訳ﾘｽﾄ(4～3月)'!P$26:P$1012)</f>
        <v>0</v>
      </c>
      <c r="N43" s="158">
        <f>SUMIF('内訳ﾘｽﾄ(4～3月)'!$D$26:$D$1012,$B43,'内訳ﾘｽﾄ(4～3月)'!Q$26:Q$1012)</f>
        <v>0</v>
      </c>
      <c r="O43" s="158">
        <f>SUMIF('内訳ﾘｽﾄ(4～3月)'!$D$26:$D$811,'採算表(VND)'!$B43,'内訳ﾘｽﾄ(4～3月)'!R$26:R$811)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SUMIF('内訳ﾘｽﾄ(4～3月)'!$D$26:$D$1012,$B44,'内訳ﾘｽﾄ(4～3月)'!F$26:F$1012)</f>
        <v>40535928</v>
      </c>
      <c r="D44" s="158">
        <f>SUMIF('内訳ﾘｽﾄ(4～3月)'!$D$26:$D$1012,$B44,'内訳ﾘｽﾄ(4～3月)'!G$26:G$1012)</f>
        <v>95390979</v>
      </c>
      <c r="E44" s="158">
        <f>SUMIF('内訳ﾘｽﾄ(4～3月)'!$D$26:$D$1012,$B44,'内訳ﾘｽﾄ(4～3月)'!H$26:H$1012)</f>
        <v>21050089</v>
      </c>
      <c r="F44" s="158">
        <f>SUMIF('内訳ﾘｽﾄ(4～3月)'!$D$26:$D$1012,$B44,'内訳ﾘｽﾄ(4～3月)'!I$26:I$1012)</f>
        <v>16424991</v>
      </c>
      <c r="G44" s="158">
        <f>SUMIF('内訳ﾘｽﾄ(4～3月)'!$D$26:$D$1012,$B44,'内訳ﾘｽﾄ(4～3月)'!J$26:J$1012)</f>
        <v>15022688</v>
      </c>
      <c r="H44" s="158">
        <f>SUMIF('内訳ﾘｽﾄ(4～3月)'!$D$26:$D$1012,$B44,'内訳ﾘｽﾄ(4～3月)'!K$26:K$1012)</f>
        <v>18724941</v>
      </c>
      <c r="I44" s="158">
        <f>SUMIF('内訳ﾘｽﾄ(4～3月)'!$D$26:$D$1012,$B44,'内訳ﾘｽﾄ(4～3月)'!L$26:L$1012)</f>
        <v>13912895</v>
      </c>
      <c r="J44" s="158">
        <f>SUMIF('内訳ﾘｽﾄ(4～3月)'!$D$26:$D$1012,$B44,'内訳ﾘｽﾄ(4～3月)'!M$26:M$1012)</f>
        <v>16647069</v>
      </c>
      <c r="K44" s="158">
        <f>SUMIF('内訳ﾘｽﾄ(4～3月)'!$D$26:$D$1012,$B44,'内訳ﾘｽﾄ(4～3月)'!N$26:N$1012)</f>
        <v>19994894</v>
      </c>
      <c r="L44" s="158">
        <f>SUMIF('内訳ﾘｽﾄ(4～3月)'!$D$26:$D$1012,$B44,'内訳ﾘｽﾄ(4～3月)'!O$26:O$1012)</f>
        <v>11102225</v>
      </c>
      <c r="M44" s="158">
        <f>SUMIF('内訳ﾘｽﾄ(4～3月)'!$D$26:$D$1012,$B44,'内訳ﾘｽﾄ(4～3月)'!P$26:P$1012)</f>
        <v>29077863</v>
      </c>
      <c r="N44" s="158">
        <f>SUMIF('内訳ﾘｽﾄ(4～3月)'!$D$26:$D$1012,$B44,'内訳ﾘｽﾄ(4～3月)'!Q$26:Q$1012)</f>
        <v>10360346</v>
      </c>
      <c r="O44" s="158">
        <f>SUMIF('内訳ﾘｽﾄ(4～3月)'!$D$26:$D$811,'採算表(VND)'!$B44,'内訳ﾘｽﾄ(4～3月)'!R$26:R$811)</f>
        <v>308244908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SUMIF('内訳ﾘｽﾄ(4～3月)'!$D$26:$D$1012,$B45,'内訳ﾘｽﾄ(4～3月)'!F$26:F$1012)</f>
        <v>0</v>
      </c>
      <c r="D45" s="158">
        <f>SUMIF('内訳ﾘｽﾄ(4～3月)'!$D$26:$D$1012,$B45,'内訳ﾘｽﾄ(4～3月)'!G$26:G$1012)</f>
        <v>0</v>
      </c>
      <c r="E45" s="158">
        <f>SUMIF('内訳ﾘｽﾄ(4～3月)'!$D$26:$D$1012,$B45,'内訳ﾘｽﾄ(4～3月)'!H$26:H$1012)</f>
        <v>0</v>
      </c>
      <c r="F45" s="158">
        <f>SUMIF('内訳ﾘｽﾄ(4～3月)'!$D$26:$D$1012,$B45,'内訳ﾘｽﾄ(4～3月)'!I$26:I$1012)</f>
        <v>0</v>
      </c>
      <c r="G45" s="158">
        <f>SUMIF('内訳ﾘｽﾄ(4～3月)'!$D$26:$D$1012,$B45,'内訳ﾘｽﾄ(4～3月)'!J$26:J$1012)</f>
        <v>0</v>
      </c>
      <c r="H45" s="158">
        <f>SUMIF('内訳ﾘｽﾄ(4～3月)'!$D$26:$D$1012,$B45,'内訳ﾘｽﾄ(4～3月)'!K$26:K$1012)</f>
        <v>0</v>
      </c>
      <c r="I45" s="158">
        <f>SUMIF('内訳ﾘｽﾄ(4～3月)'!$D$26:$D$1012,$B45,'内訳ﾘｽﾄ(4～3月)'!L$26:L$1012)</f>
        <v>0</v>
      </c>
      <c r="J45" s="158">
        <f>SUMIF('内訳ﾘｽﾄ(4～3月)'!$D$26:$D$1012,$B45,'内訳ﾘｽﾄ(4～3月)'!M$26:M$1012)</f>
        <v>0</v>
      </c>
      <c r="K45" s="158">
        <f>SUMIF('内訳ﾘｽﾄ(4～3月)'!$D$26:$D$1012,$B45,'内訳ﾘｽﾄ(4～3月)'!N$26:N$1012)</f>
        <v>0</v>
      </c>
      <c r="L45" s="158">
        <f>SUMIF('内訳ﾘｽﾄ(4～3月)'!$D$26:$D$1012,$B45,'内訳ﾘｽﾄ(4～3月)'!O$26:O$1012)</f>
        <v>0</v>
      </c>
      <c r="M45" s="158">
        <f>SUMIF('内訳ﾘｽﾄ(4～3月)'!$D$26:$D$1012,$B45,'内訳ﾘｽﾄ(4～3月)'!P$26:P$1012)</f>
        <v>0</v>
      </c>
      <c r="N45" s="158">
        <f>SUMIF('内訳ﾘｽﾄ(4～3月)'!$D$26:$D$1012,$B45,'内訳ﾘｽﾄ(4～3月)'!Q$26:Q$1012)</f>
        <v>0</v>
      </c>
      <c r="O45" s="158">
        <f>SUMIF('内訳ﾘｽﾄ(4～3月)'!$D$26:$D$811,'採算表(VND)'!$B45,'内訳ﾘｽﾄ(4～3月)'!R$26:R$811)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SUMIF('内訳ﾘｽﾄ(4～3月)'!$D$26:$D$1012,$B46,'内訳ﾘｽﾄ(4～3月)'!F$26:F$1012)</f>
        <v>0</v>
      </c>
      <c r="D46" s="158">
        <f>SUMIF('内訳ﾘｽﾄ(4～3月)'!$D$26:$D$1012,$B46,'内訳ﾘｽﾄ(4～3月)'!G$26:G$1012)</f>
        <v>0</v>
      </c>
      <c r="E46" s="158">
        <f>SUMIF('内訳ﾘｽﾄ(4～3月)'!$D$26:$D$1012,$B46,'内訳ﾘｽﾄ(4～3月)'!H$26:H$1012)</f>
        <v>0</v>
      </c>
      <c r="F46" s="158">
        <f>SUMIF('内訳ﾘｽﾄ(4～3月)'!$D$26:$D$1012,$B46,'内訳ﾘｽﾄ(4～3月)'!I$26:I$1012)</f>
        <v>0</v>
      </c>
      <c r="G46" s="158">
        <f>SUMIF('内訳ﾘｽﾄ(4～3月)'!$D$26:$D$1012,$B46,'内訳ﾘｽﾄ(4～3月)'!J$26:J$1012)</f>
        <v>0</v>
      </c>
      <c r="H46" s="158">
        <f>SUMIF('内訳ﾘｽﾄ(4～3月)'!$D$26:$D$1012,$B46,'内訳ﾘｽﾄ(4～3月)'!K$26:K$1012)</f>
        <v>0</v>
      </c>
      <c r="I46" s="158">
        <f>SUMIF('内訳ﾘｽﾄ(4～3月)'!$D$26:$D$1012,$B46,'内訳ﾘｽﾄ(4～3月)'!L$26:L$1012)</f>
        <v>0</v>
      </c>
      <c r="J46" s="158">
        <f>SUMIF('内訳ﾘｽﾄ(4～3月)'!$D$26:$D$1012,$B46,'内訳ﾘｽﾄ(4～3月)'!M$26:M$1012)</f>
        <v>0</v>
      </c>
      <c r="K46" s="158">
        <f>SUMIF('内訳ﾘｽﾄ(4～3月)'!$D$26:$D$1012,$B46,'内訳ﾘｽﾄ(4～3月)'!N$26:N$1012)</f>
        <v>0</v>
      </c>
      <c r="L46" s="158">
        <f>SUMIF('内訳ﾘｽﾄ(4～3月)'!$D$26:$D$1012,$B46,'内訳ﾘｽﾄ(4～3月)'!O$26:O$1012)</f>
        <v>0</v>
      </c>
      <c r="M46" s="158">
        <f>SUMIF('内訳ﾘｽﾄ(4～3月)'!$D$26:$D$1012,$B46,'内訳ﾘｽﾄ(4～3月)'!P$26:P$1012)</f>
        <v>0</v>
      </c>
      <c r="N46" s="158">
        <f>SUMIF('内訳ﾘｽﾄ(4～3月)'!$D$26:$D$1012,$B46,'内訳ﾘｽﾄ(4～3月)'!Q$26:Q$1012)</f>
        <v>0</v>
      </c>
      <c r="O46" s="158">
        <f>SUMIF('内訳ﾘｽﾄ(4～3月)'!$D$26:$D$811,'採算表(VND)'!$B46,'内訳ﾘｽﾄ(4～3月)'!R$26:R$811)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SUMIF('内訳ﾘｽﾄ(4～3月)'!$D$26:$D$1012,$B47,'内訳ﾘｽﾄ(4～3月)'!F$26:F$1012)</f>
        <v>0</v>
      </c>
      <c r="D47" s="158">
        <f>SUMIF('内訳ﾘｽﾄ(4～3月)'!$D$26:$D$1012,$B47,'内訳ﾘｽﾄ(4～3月)'!G$26:G$1012)</f>
        <v>0</v>
      </c>
      <c r="E47" s="158">
        <f>SUMIF('内訳ﾘｽﾄ(4～3月)'!$D$26:$D$1012,$B47,'内訳ﾘｽﾄ(4～3月)'!H$26:H$1012)</f>
        <v>0</v>
      </c>
      <c r="F47" s="158">
        <f>SUMIF('内訳ﾘｽﾄ(4～3月)'!$D$26:$D$1012,$B47,'内訳ﾘｽﾄ(4～3月)'!I$26:I$1012)</f>
        <v>0</v>
      </c>
      <c r="G47" s="158">
        <f>SUMIF('内訳ﾘｽﾄ(4～3月)'!$D$26:$D$1012,$B47,'内訳ﾘｽﾄ(4～3月)'!J$26:J$1012)</f>
        <v>0</v>
      </c>
      <c r="H47" s="158">
        <f>SUMIF('内訳ﾘｽﾄ(4～3月)'!$D$26:$D$1012,$B47,'内訳ﾘｽﾄ(4～3月)'!K$26:K$1012)</f>
        <v>0</v>
      </c>
      <c r="I47" s="158">
        <f>SUMIF('内訳ﾘｽﾄ(4～3月)'!$D$26:$D$1012,$B47,'内訳ﾘｽﾄ(4～3月)'!L$26:L$1012)</f>
        <v>0</v>
      </c>
      <c r="J47" s="158">
        <f>SUMIF('内訳ﾘｽﾄ(4～3月)'!$D$26:$D$1012,$B47,'内訳ﾘｽﾄ(4～3月)'!M$26:M$1012)</f>
        <v>0</v>
      </c>
      <c r="K47" s="158">
        <f>SUMIF('内訳ﾘｽﾄ(4～3月)'!$D$26:$D$1012,$B47,'内訳ﾘｽﾄ(4～3月)'!N$26:N$1012)</f>
        <v>0</v>
      </c>
      <c r="L47" s="158">
        <f>SUMIF('内訳ﾘｽﾄ(4～3月)'!$D$26:$D$1012,$B47,'内訳ﾘｽﾄ(4～3月)'!O$26:O$1012)</f>
        <v>0</v>
      </c>
      <c r="M47" s="158">
        <f>SUMIF('内訳ﾘｽﾄ(4～3月)'!$D$26:$D$1012,$B47,'内訳ﾘｽﾄ(4～3月)'!P$26:P$1012)</f>
        <v>0</v>
      </c>
      <c r="N47" s="158">
        <f>SUMIF('内訳ﾘｽﾄ(4～3月)'!$D$26:$D$1012,$B47,'内訳ﾘｽﾄ(4～3月)'!Q$26:Q$1012)</f>
        <v>0</v>
      </c>
      <c r="O47" s="158">
        <f>SUMIF('内訳ﾘｽﾄ(4～3月)'!$D$26:$D$811,'採算表(VND)'!$B47,'内訳ﾘｽﾄ(4～3月)'!R$26:R$811)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SUMIF('内訳ﾘｽﾄ(4～3月)'!$D$26:$D$1012,$B48,'内訳ﾘｽﾄ(4～3月)'!F$26:F$1012)</f>
        <v>0</v>
      </c>
      <c r="D48" s="158">
        <f>SUMIF('内訳ﾘｽﾄ(4～3月)'!$D$26:$D$1012,$B48,'内訳ﾘｽﾄ(4～3月)'!G$26:G$1012)</f>
        <v>0</v>
      </c>
      <c r="E48" s="158">
        <f>SUMIF('内訳ﾘｽﾄ(4～3月)'!$D$26:$D$1012,$B48,'内訳ﾘｽﾄ(4～3月)'!H$26:H$1012)</f>
        <v>0</v>
      </c>
      <c r="F48" s="158">
        <f>SUMIF('内訳ﾘｽﾄ(4～3月)'!$D$26:$D$1012,$B48,'内訳ﾘｽﾄ(4～3月)'!I$26:I$1012)</f>
        <v>0</v>
      </c>
      <c r="G48" s="158">
        <f>SUMIF('内訳ﾘｽﾄ(4～3月)'!$D$26:$D$1012,$B48,'内訳ﾘｽﾄ(4～3月)'!J$26:J$1012)</f>
        <v>0</v>
      </c>
      <c r="H48" s="158">
        <f>SUMIF('内訳ﾘｽﾄ(4～3月)'!$D$26:$D$1012,$B48,'内訳ﾘｽﾄ(4～3月)'!K$26:K$1012)</f>
        <v>0</v>
      </c>
      <c r="I48" s="158">
        <f>SUMIF('内訳ﾘｽﾄ(4～3月)'!$D$26:$D$1012,$B48,'内訳ﾘｽﾄ(4～3月)'!L$26:L$1012)</f>
        <v>0</v>
      </c>
      <c r="J48" s="158">
        <f>SUMIF('内訳ﾘｽﾄ(4～3月)'!$D$26:$D$1012,$B48,'内訳ﾘｽﾄ(4～3月)'!M$26:M$1012)</f>
        <v>0</v>
      </c>
      <c r="K48" s="158">
        <f>SUMIF('内訳ﾘｽﾄ(4～3月)'!$D$26:$D$1012,$B48,'内訳ﾘｽﾄ(4～3月)'!N$26:N$1012)</f>
        <v>0</v>
      </c>
      <c r="L48" s="158">
        <f>SUMIF('内訳ﾘｽﾄ(4～3月)'!$D$26:$D$1012,$B48,'内訳ﾘｽﾄ(4～3月)'!O$26:O$1012)</f>
        <v>0</v>
      </c>
      <c r="M48" s="158">
        <f>SUMIF('内訳ﾘｽﾄ(4～3月)'!$D$26:$D$1012,$B48,'内訳ﾘｽﾄ(4～3月)'!P$26:P$1012)</f>
        <v>0</v>
      </c>
      <c r="N48" s="158">
        <f>SUMIF('内訳ﾘｽﾄ(4～3月)'!$D$26:$D$1012,$B48,'内訳ﾘｽﾄ(4～3月)'!Q$26:Q$1012)</f>
        <v>0</v>
      </c>
      <c r="O48" s="158">
        <f>SUMIF('内訳ﾘｽﾄ(4～3月)'!$D$26:$D$811,'採算表(VND)'!$B48,'内訳ﾘｽﾄ(4～3月)'!R$26:R$811)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SUMIF('内訳ﾘｽﾄ(4～3月)'!$D$26:$D$1012,$B49,'内訳ﾘｽﾄ(4～3月)'!F$26:F$1012)</f>
        <v>0</v>
      </c>
      <c r="D49" s="158">
        <f>SUMIF('内訳ﾘｽﾄ(4～3月)'!$D$26:$D$1012,$B49,'内訳ﾘｽﾄ(4～3月)'!G$26:G$1012)</f>
        <v>0</v>
      </c>
      <c r="E49" s="158">
        <f>SUMIF('内訳ﾘｽﾄ(4～3月)'!$D$26:$D$1012,$B49,'内訳ﾘｽﾄ(4～3月)'!H$26:H$1012)</f>
        <v>0</v>
      </c>
      <c r="F49" s="158">
        <f>SUMIF('内訳ﾘｽﾄ(4～3月)'!$D$26:$D$1012,$B49,'内訳ﾘｽﾄ(4～3月)'!I$26:I$1012)</f>
        <v>0</v>
      </c>
      <c r="G49" s="158">
        <f>SUMIF('内訳ﾘｽﾄ(4～3月)'!$D$26:$D$1012,$B49,'内訳ﾘｽﾄ(4～3月)'!J$26:J$1012)</f>
        <v>0</v>
      </c>
      <c r="H49" s="158">
        <f>SUMIF('内訳ﾘｽﾄ(4～3月)'!$D$26:$D$1012,$B49,'内訳ﾘｽﾄ(4～3月)'!K$26:K$1012)</f>
        <v>0</v>
      </c>
      <c r="I49" s="158">
        <f>SUMIF('内訳ﾘｽﾄ(4～3月)'!$D$26:$D$1012,$B49,'内訳ﾘｽﾄ(4～3月)'!L$26:L$1012)</f>
        <v>0</v>
      </c>
      <c r="J49" s="158">
        <f>SUMIF('内訳ﾘｽﾄ(4～3月)'!$D$26:$D$1012,$B49,'内訳ﾘｽﾄ(4～3月)'!M$26:M$1012)</f>
        <v>0</v>
      </c>
      <c r="K49" s="158">
        <f>SUMIF('内訳ﾘｽﾄ(4～3月)'!$D$26:$D$1012,$B49,'内訳ﾘｽﾄ(4～3月)'!N$26:N$1012)</f>
        <v>0</v>
      </c>
      <c r="L49" s="158">
        <f>SUMIF('内訳ﾘｽﾄ(4～3月)'!$D$26:$D$1012,$B49,'内訳ﾘｽﾄ(4～3月)'!O$26:O$1012)</f>
        <v>0</v>
      </c>
      <c r="M49" s="158">
        <f>SUMIF('内訳ﾘｽﾄ(4～3月)'!$D$26:$D$1012,$B49,'内訳ﾘｽﾄ(4～3月)'!P$26:P$1012)</f>
        <v>0</v>
      </c>
      <c r="N49" s="158">
        <f>SUMIF('内訳ﾘｽﾄ(4～3月)'!$D$26:$D$1012,$B49,'内訳ﾘｽﾄ(4～3月)'!Q$26:Q$1012)</f>
        <v>0</v>
      </c>
      <c r="O49" s="158">
        <f>SUMIF('内訳ﾘｽﾄ(4～3月)'!$D$26:$D$811,'採算表(VND)'!$B49,'内訳ﾘｽﾄ(4～3月)'!R$26:R$811)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SUMIF('内訳ﾘｽﾄ(4～3月)'!$D$26:$D$1012,$B50,'内訳ﾘｽﾄ(4～3月)'!F$26:F$1012)</f>
        <v>0</v>
      </c>
      <c r="D50" s="158">
        <f>SUMIF('内訳ﾘｽﾄ(4～3月)'!$D$26:$D$1012,$B50,'内訳ﾘｽﾄ(4～3月)'!G$26:G$1012)</f>
        <v>0</v>
      </c>
      <c r="E50" s="158">
        <f>SUMIF('内訳ﾘｽﾄ(4～3月)'!$D$26:$D$1012,$B50,'内訳ﾘｽﾄ(4～3月)'!H$26:H$1012)</f>
        <v>0</v>
      </c>
      <c r="F50" s="158">
        <f>SUMIF('内訳ﾘｽﾄ(4～3月)'!$D$26:$D$1012,$B50,'内訳ﾘｽﾄ(4～3月)'!I$26:I$1012)</f>
        <v>0</v>
      </c>
      <c r="G50" s="158">
        <f>SUMIF('内訳ﾘｽﾄ(4～3月)'!$D$26:$D$1012,$B50,'内訳ﾘｽﾄ(4～3月)'!J$26:J$1012)</f>
        <v>0</v>
      </c>
      <c r="H50" s="158">
        <f>SUMIF('内訳ﾘｽﾄ(4～3月)'!$D$26:$D$1012,$B50,'内訳ﾘｽﾄ(4～3月)'!K$26:K$1012)</f>
        <v>0</v>
      </c>
      <c r="I50" s="158">
        <f>SUMIF('内訳ﾘｽﾄ(4～3月)'!$D$26:$D$1012,$B50,'内訳ﾘｽﾄ(4～3月)'!L$26:L$1012)</f>
        <v>0</v>
      </c>
      <c r="J50" s="158">
        <f>SUMIF('内訳ﾘｽﾄ(4～3月)'!$D$26:$D$1012,$B50,'内訳ﾘｽﾄ(4～3月)'!M$26:M$1012)</f>
        <v>0</v>
      </c>
      <c r="K50" s="158">
        <f>SUMIF('内訳ﾘｽﾄ(4～3月)'!$D$26:$D$1012,$B50,'内訳ﾘｽﾄ(4～3月)'!N$26:N$1012)</f>
        <v>0</v>
      </c>
      <c r="L50" s="158">
        <f>SUMIF('内訳ﾘｽﾄ(4～3月)'!$D$26:$D$1012,$B50,'内訳ﾘｽﾄ(4～3月)'!O$26:O$1012)</f>
        <v>0</v>
      </c>
      <c r="M50" s="158">
        <f>SUMIF('内訳ﾘｽﾄ(4～3月)'!$D$26:$D$1012,$B50,'内訳ﾘｽﾄ(4～3月)'!P$26:P$1012)</f>
        <v>0</v>
      </c>
      <c r="N50" s="158">
        <f>SUMIF('内訳ﾘｽﾄ(4～3月)'!$D$26:$D$1012,$B50,'内訳ﾘｽﾄ(4～3月)'!Q$26:Q$1012)</f>
        <v>0</v>
      </c>
      <c r="O50" s="158">
        <f>SUMIF('内訳ﾘｽﾄ(4～3月)'!$D$26:$D$811,'採算表(VND)'!$B50,'内訳ﾘｽﾄ(4～3月)'!R$26:R$811)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SUMIF('内訳ﾘｽﾄ(4～3月)'!$D$26:$D$1012,$B51,'内訳ﾘｽﾄ(4～3月)'!F$26:F$1012)</f>
        <v>0</v>
      </c>
      <c r="D51" s="159">
        <f>SUMIF('内訳ﾘｽﾄ(4～3月)'!$D$26:$D$1012,$B51,'内訳ﾘｽﾄ(4～3月)'!G$26:G$1012)</f>
        <v>0</v>
      </c>
      <c r="E51" s="159">
        <f>SUMIF('内訳ﾘｽﾄ(4～3月)'!$D$26:$D$1012,$B51,'内訳ﾘｽﾄ(4～3月)'!H$26:H$1012)</f>
        <v>0</v>
      </c>
      <c r="F51" s="159">
        <f>SUMIF('内訳ﾘｽﾄ(4～3月)'!$D$26:$D$1012,$B51,'内訳ﾘｽﾄ(4～3月)'!I$26:I$1012)</f>
        <v>0</v>
      </c>
      <c r="G51" s="159">
        <f>SUMIF('内訳ﾘｽﾄ(4～3月)'!$D$26:$D$1012,$B51,'内訳ﾘｽﾄ(4～3月)'!J$26:J$1012)</f>
        <v>0</v>
      </c>
      <c r="H51" s="159">
        <f>SUMIF('内訳ﾘｽﾄ(4～3月)'!$D$26:$D$1012,$B51,'内訳ﾘｽﾄ(4～3月)'!K$26:K$1012)</f>
        <v>0</v>
      </c>
      <c r="I51" s="159">
        <f>SUMIF('内訳ﾘｽﾄ(4～3月)'!$D$26:$D$1012,$B51,'内訳ﾘｽﾄ(4～3月)'!L$26:L$1012)</f>
        <v>0</v>
      </c>
      <c r="J51" s="159">
        <f>SUMIF('内訳ﾘｽﾄ(4～3月)'!$D$26:$D$1012,$B51,'内訳ﾘｽﾄ(4～3月)'!M$26:M$1012)</f>
        <v>0</v>
      </c>
      <c r="K51" s="159">
        <f>SUMIF('内訳ﾘｽﾄ(4～3月)'!$D$26:$D$1012,$B51,'内訳ﾘｽﾄ(4～3月)'!N$26:N$1012)</f>
        <v>0</v>
      </c>
      <c r="L51" s="159">
        <f>SUMIF('内訳ﾘｽﾄ(4～3月)'!$D$26:$D$1012,$B51,'内訳ﾘｽﾄ(4～3月)'!O$26:O$1012)</f>
        <v>0</v>
      </c>
      <c r="M51" s="159">
        <f>SUMIF('内訳ﾘｽﾄ(4～3月)'!$D$26:$D$1012,$B51,'内訳ﾘｽﾄ(4～3月)'!P$26:P$1012)</f>
        <v>0</v>
      </c>
      <c r="N51" s="159">
        <f>SUMIF('内訳ﾘｽﾄ(4～3月)'!$D$26:$D$1012,$B51,'内訳ﾘｽﾄ(4～3月)'!Q$26:Q$1012)</f>
        <v>0</v>
      </c>
      <c r="O51" s="159">
        <f>SUMIF('内訳ﾘｽﾄ(4～3月)'!$D$26:$D$811,'採算表(VND)'!$B51,'内訳ﾘｽﾄ(4～3月)'!R$26:R$811)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SUMIF('内訳ﾘｽﾄ(4～3月)'!$D$26:$D$1012,$B52,'内訳ﾘｽﾄ(4～3月)'!F$26:F$1012)</f>
        <v>0</v>
      </c>
      <c r="D52" s="160">
        <f>SUMIF('内訳ﾘｽﾄ(4～3月)'!$D$26:$D$1012,$B52,'内訳ﾘｽﾄ(4～3月)'!G$26:G$1012)</f>
        <v>0</v>
      </c>
      <c r="E52" s="160">
        <f>SUMIF('内訳ﾘｽﾄ(4～3月)'!$D$26:$D$1012,$B52,'内訳ﾘｽﾄ(4～3月)'!H$26:H$1012)</f>
        <v>0</v>
      </c>
      <c r="F52" s="160">
        <f>SUMIF('内訳ﾘｽﾄ(4～3月)'!$D$26:$D$1012,$B52,'内訳ﾘｽﾄ(4～3月)'!I$26:I$1012)</f>
        <v>0</v>
      </c>
      <c r="G52" s="160">
        <f>SUMIF('内訳ﾘｽﾄ(4～3月)'!$D$26:$D$1012,$B52,'内訳ﾘｽﾄ(4～3月)'!J$26:J$1012)</f>
        <v>0</v>
      </c>
      <c r="H52" s="160">
        <f>SUMIF('内訳ﾘｽﾄ(4～3月)'!$D$26:$D$1012,$B52,'内訳ﾘｽﾄ(4～3月)'!K$26:K$1012)</f>
        <v>0</v>
      </c>
      <c r="I52" s="160">
        <f>SUMIF('内訳ﾘｽﾄ(4～3月)'!$D$26:$D$1012,$B52,'内訳ﾘｽﾄ(4～3月)'!L$26:L$1012)</f>
        <v>0</v>
      </c>
      <c r="J52" s="160">
        <f>SUMIF('内訳ﾘｽﾄ(4～3月)'!$D$26:$D$1012,$B52,'内訳ﾘｽﾄ(4～3月)'!M$26:M$1012)</f>
        <v>0</v>
      </c>
      <c r="K52" s="160">
        <f>SUMIF('内訳ﾘｽﾄ(4～3月)'!$D$26:$D$1012,$B52,'内訳ﾘｽﾄ(4～3月)'!N$26:N$1012)</f>
        <v>0</v>
      </c>
      <c r="L52" s="160">
        <f>SUMIF('内訳ﾘｽﾄ(4～3月)'!$D$26:$D$1012,$B52,'内訳ﾘｽﾄ(4～3月)'!O$26:O$1012)</f>
        <v>0</v>
      </c>
      <c r="M52" s="160">
        <f>SUMIF('内訳ﾘｽﾄ(4～3月)'!$D$26:$D$1012,$B52,'内訳ﾘｽﾄ(4～3月)'!P$26:P$1012)</f>
        <v>0</v>
      </c>
      <c r="N52" s="160">
        <f>SUMIF('内訳ﾘｽﾄ(4～3月)'!$D$26:$D$1012,$B52,'内訳ﾘｽﾄ(4～3月)'!Q$26:Q$1012)</f>
        <v>0</v>
      </c>
      <c r="O52" s="160">
        <f>SUMIF('内訳ﾘｽﾄ(4～3月)'!$D$26:$D$811,'採算表(VND)'!$B52,'内訳ﾘｽﾄ(4～3月)'!R$26:R$811)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SUMIF('内訳ﾘｽﾄ(4～3月)'!$D$26:$D$1012,$B53,'内訳ﾘｽﾄ(4～3月)'!F$26:F$1012)</f>
        <v>0</v>
      </c>
      <c r="D53" s="160">
        <f>SUMIF('内訳ﾘｽﾄ(4～3月)'!$D$26:$D$1012,$B53,'内訳ﾘｽﾄ(4～3月)'!G$26:G$1012)</f>
        <v>0</v>
      </c>
      <c r="E53" s="160">
        <f>SUMIF('内訳ﾘｽﾄ(4～3月)'!$D$26:$D$1012,$B53,'内訳ﾘｽﾄ(4～3月)'!H$26:H$1012)</f>
        <v>0</v>
      </c>
      <c r="F53" s="160">
        <f>SUMIF('内訳ﾘｽﾄ(4～3月)'!$D$26:$D$1012,$B53,'内訳ﾘｽﾄ(4～3月)'!I$26:I$1012)</f>
        <v>0</v>
      </c>
      <c r="G53" s="160">
        <f>SUMIF('内訳ﾘｽﾄ(4～3月)'!$D$26:$D$1012,$B53,'内訳ﾘｽﾄ(4～3月)'!J$26:J$1012)</f>
        <v>0</v>
      </c>
      <c r="H53" s="160">
        <f>SUMIF('内訳ﾘｽﾄ(4～3月)'!$D$26:$D$1012,$B53,'内訳ﾘｽﾄ(4～3月)'!K$26:K$1012)</f>
        <v>0</v>
      </c>
      <c r="I53" s="160">
        <f>SUMIF('内訳ﾘｽﾄ(4～3月)'!$D$26:$D$1012,$B53,'内訳ﾘｽﾄ(4～3月)'!L$26:L$1012)</f>
        <v>0</v>
      </c>
      <c r="J53" s="160">
        <f>SUMIF('内訳ﾘｽﾄ(4～3月)'!$D$26:$D$1012,$B53,'内訳ﾘｽﾄ(4～3月)'!M$26:M$1012)</f>
        <v>0</v>
      </c>
      <c r="K53" s="160">
        <f>SUMIF('内訳ﾘｽﾄ(4～3月)'!$D$26:$D$1012,$B53,'内訳ﾘｽﾄ(4～3月)'!N$26:N$1012)</f>
        <v>0</v>
      </c>
      <c r="L53" s="160">
        <f>SUMIF('内訳ﾘｽﾄ(4～3月)'!$D$26:$D$1012,$B53,'内訳ﾘｽﾄ(4～3月)'!O$26:O$1012)</f>
        <v>0</v>
      </c>
      <c r="M53" s="160">
        <f>SUMIF('内訳ﾘｽﾄ(4～3月)'!$D$26:$D$1012,$B53,'内訳ﾘｽﾄ(4～3月)'!P$26:P$1012)</f>
        <v>0</v>
      </c>
      <c r="N53" s="160">
        <f>SUMIF('内訳ﾘｽﾄ(4～3月)'!$D$26:$D$1012,$B53,'内訳ﾘｽﾄ(4～3月)'!Q$26:Q$1012)</f>
        <v>0</v>
      </c>
      <c r="O53" s="160">
        <f>SUMIF('内訳ﾘｽﾄ(4～3月)'!$D$26:$D$811,'採算表(VND)'!$B53,'内訳ﾘｽﾄ(4～3月)'!R$26:R$811)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SUMIF('内訳ﾘｽﾄ(4～3月)'!$D$26:$D$1012,$B54,'内訳ﾘｽﾄ(4～3月)'!F$26:F$1012)</f>
        <v>0</v>
      </c>
      <c r="D54" s="160">
        <f>SUMIF('内訳ﾘｽﾄ(4～3月)'!$D$26:$D$1012,$B54,'内訳ﾘｽﾄ(4～3月)'!G$26:G$1012)</f>
        <v>0</v>
      </c>
      <c r="E54" s="160">
        <f>SUMIF('内訳ﾘｽﾄ(4～3月)'!$D$26:$D$1012,$B54,'内訳ﾘｽﾄ(4～3月)'!H$26:H$1012)</f>
        <v>0</v>
      </c>
      <c r="F54" s="160">
        <f>SUMIF('内訳ﾘｽﾄ(4～3月)'!$D$26:$D$1012,$B54,'内訳ﾘｽﾄ(4～3月)'!I$26:I$1012)</f>
        <v>0</v>
      </c>
      <c r="G54" s="160">
        <f>SUMIF('内訳ﾘｽﾄ(4～3月)'!$D$26:$D$1012,$B54,'内訳ﾘｽﾄ(4～3月)'!J$26:J$1012)</f>
        <v>0</v>
      </c>
      <c r="H54" s="160">
        <f>SUMIF('内訳ﾘｽﾄ(4～3月)'!$D$26:$D$1012,$B54,'内訳ﾘｽﾄ(4～3月)'!K$26:K$1012)</f>
        <v>0</v>
      </c>
      <c r="I54" s="160">
        <f>SUMIF('内訳ﾘｽﾄ(4～3月)'!$D$26:$D$1012,$B54,'内訳ﾘｽﾄ(4～3月)'!L$26:L$1012)</f>
        <v>0</v>
      </c>
      <c r="J54" s="160">
        <f>SUMIF('内訳ﾘｽﾄ(4～3月)'!$D$26:$D$1012,$B54,'内訳ﾘｽﾄ(4～3月)'!M$26:M$1012)</f>
        <v>0</v>
      </c>
      <c r="K54" s="160">
        <f>SUMIF('内訳ﾘｽﾄ(4～3月)'!$D$26:$D$1012,$B54,'内訳ﾘｽﾄ(4～3月)'!N$26:N$1012)</f>
        <v>0</v>
      </c>
      <c r="L54" s="160">
        <f>SUMIF('内訳ﾘｽﾄ(4～3月)'!$D$26:$D$1012,$B54,'内訳ﾘｽﾄ(4～3月)'!O$26:O$1012)</f>
        <v>0</v>
      </c>
      <c r="M54" s="160">
        <f>SUMIF('内訳ﾘｽﾄ(4～3月)'!$D$26:$D$1012,$B54,'内訳ﾘｽﾄ(4～3月)'!P$26:P$1012)</f>
        <v>0</v>
      </c>
      <c r="N54" s="160">
        <f>SUMIF('内訳ﾘｽﾄ(4～3月)'!$D$26:$D$1012,$B54,'内訳ﾘｽﾄ(4～3月)'!Q$26:Q$1012)</f>
        <v>0</v>
      </c>
      <c r="O54" s="160">
        <f>SUMIF('内訳ﾘｽﾄ(4～3月)'!$D$26:$D$811,'採算表(VND)'!$B54,'内訳ﾘｽﾄ(4～3月)'!R$26:R$811)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SUMIF('内訳ﾘｽﾄ(4～3月)'!$D$26:$D$1012,$B55,'内訳ﾘｽﾄ(4～3月)'!F$26:F$1012)</f>
        <v>0</v>
      </c>
      <c r="D55" s="160">
        <f>SUMIF('内訳ﾘｽﾄ(4～3月)'!$D$26:$D$1012,$B55,'内訳ﾘｽﾄ(4～3月)'!G$26:G$1012)</f>
        <v>0</v>
      </c>
      <c r="E55" s="160">
        <f>SUMIF('内訳ﾘｽﾄ(4～3月)'!$D$26:$D$1012,$B55,'内訳ﾘｽﾄ(4～3月)'!H$26:H$1012)</f>
        <v>0</v>
      </c>
      <c r="F55" s="160">
        <f>SUMIF('内訳ﾘｽﾄ(4～3月)'!$D$26:$D$1012,$B55,'内訳ﾘｽﾄ(4～3月)'!I$26:I$1012)</f>
        <v>0</v>
      </c>
      <c r="G55" s="160">
        <f>SUMIF('内訳ﾘｽﾄ(4～3月)'!$D$26:$D$1012,$B55,'内訳ﾘｽﾄ(4～3月)'!J$26:J$1012)</f>
        <v>0</v>
      </c>
      <c r="H55" s="160">
        <f>SUMIF('内訳ﾘｽﾄ(4～3月)'!$D$26:$D$1012,$B55,'内訳ﾘｽﾄ(4～3月)'!K$26:K$1012)</f>
        <v>0</v>
      </c>
      <c r="I55" s="160">
        <f>SUMIF('内訳ﾘｽﾄ(4～3月)'!$D$26:$D$1012,$B55,'内訳ﾘｽﾄ(4～3月)'!L$26:L$1012)</f>
        <v>0</v>
      </c>
      <c r="J55" s="160">
        <f>SUMIF('内訳ﾘｽﾄ(4～3月)'!$D$26:$D$1012,$B55,'内訳ﾘｽﾄ(4～3月)'!M$26:M$1012)</f>
        <v>0</v>
      </c>
      <c r="K55" s="160">
        <f>SUMIF('内訳ﾘｽﾄ(4～3月)'!$D$26:$D$1012,$B55,'内訳ﾘｽﾄ(4～3月)'!N$26:N$1012)</f>
        <v>0</v>
      </c>
      <c r="L55" s="160">
        <f>SUMIF('内訳ﾘｽﾄ(4～3月)'!$D$26:$D$1012,$B55,'内訳ﾘｽﾄ(4～3月)'!O$26:O$1012)</f>
        <v>0</v>
      </c>
      <c r="M55" s="160">
        <f>SUMIF('内訳ﾘｽﾄ(4～3月)'!$D$26:$D$1012,$B55,'内訳ﾘｽﾄ(4～3月)'!P$26:P$1012)</f>
        <v>0</v>
      </c>
      <c r="N55" s="160">
        <f>SUMIF('内訳ﾘｽﾄ(4～3月)'!$D$26:$D$1012,$B55,'内訳ﾘｽﾄ(4～3月)'!Q$26:Q$1012)</f>
        <v>0</v>
      </c>
      <c r="O55" s="160">
        <f>SUMIF('内訳ﾘｽﾄ(4～3月)'!$D$26:$D$811,'採算表(VND)'!$B55,'内訳ﾘｽﾄ(4～3月)'!R$26:R$811)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SUMIF('内訳ﾘｽﾄ(4～3月)'!$D$26:$D$1012,$B56,'内訳ﾘｽﾄ(4～3月)'!F$26:F$1012)</f>
        <v>0</v>
      </c>
      <c r="D56" s="160">
        <f>SUMIF('内訳ﾘｽﾄ(4～3月)'!$D$26:$D$1012,$B56,'内訳ﾘｽﾄ(4～3月)'!G$26:G$1012)</f>
        <v>0</v>
      </c>
      <c r="E56" s="160">
        <f>SUMIF('内訳ﾘｽﾄ(4～3月)'!$D$26:$D$1012,$B56,'内訳ﾘｽﾄ(4～3月)'!H$26:H$1012)</f>
        <v>0</v>
      </c>
      <c r="F56" s="160">
        <f>SUMIF('内訳ﾘｽﾄ(4～3月)'!$D$26:$D$1012,$B56,'内訳ﾘｽﾄ(4～3月)'!I$26:I$1012)</f>
        <v>0</v>
      </c>
      <c r="G56" s="160">
        <f>SUMIF('内訳ﾘｽﾄ(4～3月)'!$D$26:$D$1012,$B56,'内訳ﾘｽﾄ(4～3月)'!J$26:J$1012)</f>
        <v>0</v>
      </c>
      <c r="H56" s="160">
        <f>SUMIF('内訳ﾘｽﾄ(4～3月)'!$D$26:$D$1012,$B56,'内訳ﾘｽﾄ(4～3月)'!K$26:K$1012)</f>
        <v>0</v>
      </c>
      <c r="I56" s="160">
        <f>SUMIF('内訳ﾘｽﾄ(4～3月)'!$D$26:$D$1012,$B56,'内訳ﾘｽﾄ(4～3月)'!L$26:L$1012)</f>
        <v>0</v>
      </c>
      <c r="J56" s="160">
        <f>SUMIF('内訳ﾘｽﾄ(4～3月)'!$D$26:$D$1012,$B56,'内訳ﾘｽﾄ(4～3月)'!M$26:M$1012)</f>
        <v>0</v>
      </c>
      <c r="K56" s="160">
        <f>SUMIF('内訳ﾘｽﾄ(4～3月)'!$D$26:$D$1012,$B56,'内訳ﾘｽﾄ(4～3月)'!N$26:N$1012)</f>
        <v>0</v>
      </c>
      <c r="L56" s="160">
        <f>SUMIF('内訳ﾘｽﾄ(4～3月)'!$D$26:$D$1012,$B56,'内訳ﾘｽﾄ(4～3月)'!O$26:O$1012)</f>
        <v>0</v>
      </c>
      <c r="M56" s="160">
        <f>SUMIF('内訳ﾘｽﾄ(4～3月)'!$D$26:$D$1012,$B56,'内訳ﾘｽﾄ(4～3月)'!P$26:P$1012)</f>
        <v>0</v>
      </c>
      <c r="N56" s="160">
        <f>SUMIF('内訳ﾘｽﾄ(4～3月)'!$D$26:$D$1012,$B56,'内訳ﾘｽﾄ(4～3月)'!Q$26:Q$1012)</f>
        <v>0</v>
      </c>
      <c r="O56" s="160">
        <f>SUMIF('内訳ﾘｽﾄ(4～3月)'!$D$26:$D$811,'採算表(VND)'!$B56,'内訳ﾘｽﾄ(4～3月)'!R$26:R$811)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SUMIF('内訳ﾘｽﾄ(4～3月)'!$D$26:$D$1012,$B57,'内訳ﾘｽﾄ(4～3月)'!F$26:F$1012)</f>
        <v>33154263</v>
      </c>
      <c r="D57" s="160">
        <f>SUMIF('内訳ﾘｽﾄ(4～3月)'!$D$26:$D$1012,$B57,'内訳ﾘｽﾄ(4～3月)'!G$26:G$1012)</f>
        <v>30188711</v>
      </c>
      <c r="E57" s="160">
        <f>SUMIF('内訳ﾘｽﾄ(4～3月)'!$D$26:$D$1012,$B57,'内訳ﾘｽﾄ(4～3月)'!H$26:H$1012)</f>
        <v>30200644</v>
      </c>
      <c r="F57" s="160">
        <f>SUMIF('内訳ﾘｽﾄ(4～3月)'!$D$26:$D$1012,$B57,'内訳ﾘｽﾄ(4～3月)'!I$26:I$1012)</f>
        <v>29955123</v>
      </c>
      <c r="G57" s="160">
        <f>SUMIF('内訳ﾘｽﾄ(4～3月)'!$D$26:$D$1012,$B57,'内訳ﾘｽﾄ(4～3月)'!J$26:J$1012)</f>
        <v>29963755</v>
      </c>
      <c r="H57" s="160">
        <f>SUMIF('内訳ﾘｽﾄ(4～3月)'!$D$26:$D$1012,$B57,'内訳ﾘｽﾄ(4～3月)'!K$26:K$1012)</f>
        <v>29661106</v>
      </c>
      <c r="I57" s="160">
        <f>SUMIF('内訳ﾘｽﾄ(4～3月)'!$D$26:$D$1012,$B57,'内訳ﾘｽﾄ(4～3月)'!L$26:L$1012)</f>
        <v>29352617</v>
      </c>
      <c r="J57" s="160">
        <f>SUMIF('内訳ﾘｽﾄ(4～3月)'!$D$26:$D$1012,$B57,'内訳ﾘｽﾄ(4～3月)'!M$26:M$1012)</f>
        <v>29347031</v>
      </c>
      <c r="K57" s="160">
        <f>SUMIF('内訳ﾘｽﾄ(4～3月)'!$D$26:$D$1012,$B57,'内訳ﾘｽﾄ(4～3月)'!N$26:N$1012)</f>
        <v>28638905</v>
      </c>
      <c r="L57" s="160">
        <f>SUMIF('内訳ﾘｽﾄ(4～3月)'!$D$26:$D$1012,$B57,'内訳ﾘｽﾄ(4～3月)'!O$26:O$1012)</f>
        <v>28585839</v>
      </c>
      <c r="M57" s="160">
        <f>SUMIF('内訳ﾘｽﾄ(4～3月)'!$D$26:$D$1012,$B57,'内訳ﾘｽﾄ(4～3月)'!P$26:P$1012)</f>
        <v>28413695</v>
      </c>
      <c r="N57" s="160">
        <f>SUMIF('内訳ﾘｽﾄ(4～3月)'!$D$26:$D$1012,$B57,'内訳ﾘｽﾄ(4～3月)'!Q$26:Q$1012)</f>
        <v>28740465</v>
      </c>
      <c r="O57" s="160">
        <f>SUMIF('内訳ﾘｽﾄ(4～3月)'!$D$26:$D$811,'採算表(VND)'!$B57,'内訳ﾘｽﾄ(4～3月)'!R$26:R$811)</f>
        <v>356202154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SUMIF('内訳ﾘｽﾄ(4～3月)'!$D$26:$D$1012,$B58,'内訳ﾘｽﾄ(4～3月)'!F$26:F$1012)</f>
        <v>0</v>
      </c>
      <c r="D58" s="160">
        <f>SUMIF('内訳ﾘｽﾄ(4～3月)'!$D$26:$D$1012,$B58,'内訳ﾘｽﾄ(4～3月)'!G$26:G$1012)</f>
        <v>0</v>
      </c>
      <c r="E58" s="160">
        <f>SUMIF('内訳ﾘｽﾄ(4～3月)'!$D$26:$D$1012,$B58,'内訳ﾘｽﾄ(4～3月)'!H$26:H$1012)</f>
        <v>0</v>
      </c>
      <c r="F58" s="160">
        <f>SUMIF('内訳ﾘｽﾄ(4～3月)'!$D$26:$D$1012,$B58,'内訳ﾘｽﾄ(4～3月)'!I$26:I$1012)</f>
        <v>0</v>
      </c>
      <c r="G58" s="160">
        <f>SUMIF('内訳ﾘｽﾄ(4～3月)'!$D$26:$D$1012,$B58,'内訳ﾘｽﾄ(4～3月)'!J$26:J$1012)</f>
        <v>0</v>
      </c>
      <c r="H58" s="160">
        <f>SUMIF('内訳ﾘｽﾄ(4～3月)'!$D$26:$D$1012,$B58,'内訳ﾘｽﾄ(4～3月)'!K$26:K$1012)</f>
        <v>0</v>
      </c>
      <c r="I58" s="160">
        <f>SUMIF('内訳ﾘｽﾄ(4～3月)'!$D$26:$D$1012,$B58,'内訳ﾘｽﾄ(4～3月)'!L$26:L$1012)</f>
        <v>0</v>
      </c>
      <c r="J58" s="160">
        <f>SUMIF('内訳ﾘｽﾄ(4～3月)'!$D$26:$D$1012,$B58,'内訳ﾘｽﾄ(4～3月)'!M$26:M$1012)</f>
        <v>0</v>
      </c>
      <c r="K58" s="160">
        <f>SUMIF('内訳ﾘｽﾄ(4～3月)'!$D$26:$D$1012,$B58,'内訳ﾘｽﾄ(4～3月)'!N$26:N$1012)</f>
        <v>0</v>
      </c>
      <c r="L58" s="160">
        <f>SUMIF('内訳ﾘｽﾄ(4～3月)'!$D$26:$D$1012,$B58,'内訳ﾘｽﾄ(4～3月)'!O$26:O$1012)</f>
        <v>0</v>
      </c>
      <c r="M58" s="160">
        <f>SUMIF('内訳ﾘｽﾄ(4～3月)'!$D$26:$D$1012,$B58,'内訳ﾘｽﾄ(4～3月)'!P$26:P$1012)</f>
        <v>0</v>
      </c>
      <c r="N58" s="160">
        <f>SUMIF('内訳ﾘｽﾄ(4～3月)'!$D$26:$D$1012,$B58,'内訳ﾘｽﾄ(4～3月)'!Q$26:Q$1012)</f>
        <v>0</v>
      </c>
      <c r="O58" s="160">
        <f>SUMIF('内訳ﾘｽﾄ(4～3月)'!$D$26:$D$811,'採算表(VND)'!$B58,'内訳ﾘｽﾄ(4～3月)'!R$26:R$811)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SUMIF('内訳ﾘｽﾄ(4～3月)'!$D$26:$D$1012,$B59,'内訳ﾘｽﾄ(4～3月)'!F$26:F$1012)</f>
        <v>0</v>
      </c>
      <c r="D59" s="160">
        <f>SUMIF('内訳ﾘｽﾄ(4～3月)'!$D$26:$D$1012,$B59,'内訳ﾘｽﾄ(4～3月)'!G$26:G$1012)</f>
        <v>0</v>
      </c>
      <c r="E59" s="160">
        <f>SUMIF('内訳ﾘｽﾄ(4～3月)'!$D$26:$D$1012,$B59,'内訳ﾘｽﾄ(4～3月)'!H$26:H$1012)</f>
        <v>0</v>
      </c>
      <c r="F59" s="160">
        <f>SUMIF('内訳ﾘｽﾄ(4～3月)'!$D$26:$D$1012,$B59,'内訳ﾘｽﾄ(4～3月)'!I$26:I$1012)</f>
        <v>0</v>
      </c>
      <c r="G59" s="160">
        <f>SUMIF('内訳ﾘｽﾄ(4～3月)'!$D$26:$D$1012,$B59,'内訳ﾘｽﾄ(4～3月)'!J$26:J$1012)</f>
        <v>0</v>
      </c>
      <c r="H59" s="160">
        <f>SUMIF('内訳ﾘｽﾄ(4～3月)'!$D$26:$D$1012,$B59,'内訳ﾘｽﾄ(4～3月)'!K$26:K$1012)</f>
        <v>0</v>
      </c>
      <c r="I59" s="160">
        <f>SUMIF('内訳ﾘｽﾄ(4～3月)'!$D$26:$D$1012,$B59,'内訳ﾘｽﾄ(4～3月)'!L$26:L$1012)</f>
        <v>0</v>
      </c>
      <c r="J59" s="160">
        <f>SUMIF('内訳ﾘｽﾄ(4～3月)'!$D$26:$D$1012,$B59,'内訳ﾘｽﾄ(4～3月)'!M$26:M$1012)</f>
        <v>0</v>
      </c>
      <c r="K59" s="160">
        <f>SUMIF('内訳ﾘｽﾄ(4～3月)'!$D$26:$D$1012,$B59,'内訳ﾘｽﾄ(4～3月)'!N$26:N$1012)</f>
        <v>0</v>
      </c>
      <c r="L59" s="160">
        <f>SUMIF('内訳ﾘｽﾄ(4～3月)'!$D$26:$D$1012,$B59,'内訳ﾘｽﾄ(4～3月)'!O$26:O$1012)</f>
        <v>0</v>
      </c>
      <c r="M59" s="160">
        <f>SUMIF('内訳ﾘｽﾄ(4～3月)'!$D$26:$D$1012,$B59,'内訳ﾘｽﾄ(4～3月)'!P$26:P$1012)</f>
        <v>0</v>
      </c>
      <c r="N59" s="160">
        <f>SUMIF('内訳ﾘｽﾄ(4～3月)'!$D$26:$D$1012,$B59,'内訳ﾘｽﾄ(4～3月)'!Q$26:Q$1012)</f>
        <v>0</v>
      </c>
      <c r="O59" s="160">
        <f>SUMIF('内訳ﾘｽﾄ(4～3月)'!$D$26:$D$811,'採算表(VND)'!$B59,'内訳ﾘｽﾄ(4～3月)'!R$26:R$811)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SUMIF('内訳ﾘｽﾄ(4～3月)'!$D$26:$D$1012,$B60,'内訳ﾘｽﾄ(4～3月)'!F$26:F$1012)</f>
        <v>0</v>
      </c>
      <c r="D60" s="160">
        <f>SUMIF('内訳ﾘｽﾄ(4～3月)'!$D$26:$D$1012,$B60,'内訳ﾘｽﾄ(4～3月)'!G$26:G$1012)</f>
        <v>0</v>
      </c>
      <c r="E60" s="160">
        <f>SUMIF('内訳ﾘｽﾄ(4～3月)'!$D$26:$D$1012,$B60,'内訳ﾘｽﾄ(4～3月)'!H$26:H$1012)</f>
        <v>0</v>
      </c>
      <c r="F60" s="160">
        <f>SUMIF('内訳ﾘｽﾄ(4～3月)'!$D$26:$D$1012,$B60,'内訳ﾘｽﾄ(4～3月)'!I$26:I$1012)</f>
        <v>0</v>
      </c>
      <c r="G60" s="160">
        <f>SUMIF('内訳ﾘｽﾄ(4～3月)'!$D$26:$D$1012,$B60,'内訳ﾘｽﾄ(4～3月)'!J$26:J$1012)</f>
        <v>0</v>
      </c>
      <c r="H60" s="160">
        <f>SUMIF('内訳ﾘｽﾄ(4～3月)'!$D$26:$D$1012,$B60,'内訳ﾘｽﾄ(4～3月)'!K$26:K$1012)</f>
        <v>0</v>
      </c>
      <c r="I60" s="160">
        <f>SUMIF('内訳ﾘｽﾄ(4～3月)'!$D$26:$D$1012,$B60,'内訳ﾘｽﾄ(4～3月)'!L$26:L$1012)</f>
        <v>0</v>
      </c>
      <c r="J60" s="160">
        <f>SUMIF('内訳ﾘｽﾄ(4～3月)'!$D$26:$D$1012,$B60,'内訳ﾘｽﾄ(4～3月)'!M$26:M$1012)</f>
        <v>0</v>
      </c>
      <c r="K60" s="160">
        <f>SUMIF('内訳ﾘｽﾄ(4～3月)'!$D$26:$D$1012,$B60,'内訳ﾘｽﾄ(4～3月)'!N$26:N$1012)</f>
        <v>0</v>
      </c>
      <c r="L60" s="160">
        <f>SUMIF('内訳ﾘｽﾄ(4～3月)'!$D$26:$D$1012,$B60,'内訳ﾘｽﾄ(4～3月)'!O$26:O$1012)</f>
        <v>0</v>
      </c>
      <c r="M60" s="160">
        <f>SUMIF('内訳ﾘｽﾄ(4～3月)'!$D$26:$D$1012,$B60,'内訳ﾘｽﾄ(4～3月)'!P$26:P$1012)</f>
        <v>0</v>
      </c>
      <c r="N60" s="160">
        <f>SUMIF('内訳ﾘｽﾄ(4～3月)'!$D$26:$D$1012,$B60,'内訳ﾘｽﾄ(4～3月)'!Q$26:Q$1012)</f>
        <v>0</v>
      </c>
      <c r="O60" s="160">
        <f>SUMIF('内訳ﾘｽﾄ(4～3月)'!$D$26:$D$811,'採算表(VND)'!$B60,'内訳ﾘｽﾄ(4～3月)'!R$26:R$811)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IF('内訳ﾘｽﾄ(4～3月)'!$D$5="製造",SUMIF('内訳ﾘｽﾄ(4～3月)'!$D$26:$D$1012,$B61,'内訳ﾘｽﾄ(4～3月)'!F$26:F$1012),IF('内訳ﾘｽﾄ(4～3月)'!$D$5="部内間接",-SUM(C$14:C$60,C$65),0))</f>
        <v>0</v>
      </c>
      <c r="D61" s="160">
        <f>IF('内訳ﾘｽﾄ(4～3月)'!$D$5="製造",SUMIF('内訳ﾘｽﾄ(4～3月)'!$D$26:$D$1012,$B61,'内訳ﾘｽﾄ(4～3月)'!G$26:G$1012),IF('内訳ﾘｽﾄ(4～3月)'!$D$5="部内間接",-SUM(D$14:D$60,D$65),0))</f>
        <v>0</v>
      </c>
      <c r="E61" s="160">
        <f>IF('内訳ﾘｽﾄ(4～3月)'!$D$5="製造",SUMIF('内訳ﾘｽﾄ(4～3月)'!$D$26:$D$1012,$B61,'内訳ﾘｽﾄ(4～3月)'!H$26:H$1012),IF('内訳ﾘｽﾄ(4～3月)'!$D$5="部内間接",-SUM(E$14:E$60,E$65),0))</f>
        <v>0</v>
      </c>
      <c r="F61" s="160">
        <f>IF('内訳ﾘｽﾄ(4～3月)'!$D$5="製造",SUMIF('内訳ﾘｽﾄ(4～3月)'!$D$26:$D$1012,$B61,'内訳ﾘｽﾄ(4～3月)'!I$26:I$1012),IF('内訳ﾘｽﾄ(4～3月)'!$D$5="部内間接",-SUM(F$14:F$60,F$65),0))</f>
        <v>0</v>
      </c>
      <c r="G61" s="160">
        <f>IF('内訳ﾘｽﾄ(4～3月)'!$D$5="製造",SUMIF('内訳ﾘｽﾄ(4～3月)'!$D$26:$D$1012,$B61,'内訳ﾘｽﾄ(4～3月)'!J$26:J$1012),IF('内訳ﾘｽﾄ(4～3月)'!$D$5="部内間接",-SUM(G$14:G$60,G$65),0))</f>
        <v>0</v>
      </c>
      <c r="H61" s="160">
        <f>IF('内訳ﾘｽﾄ(4～3月)'!$D$5="製造",SUMIF('内訳ﾘｽﾄ(4～3月)'!$D$26:$D$1012,$B61,'内訳ﾘｽﾄ(4～3月)'!K$26:K$1012),IF('内訳ﾘｽﾄ(4～3月)'!$D$5="部内間接",-SUM(H$14:H$60,H$65),0))</f>
        <v>0</v>
      </c>
      <c r="I61" s="160">
        <f>IF('内訳ﾘｽﾄ(4～3月)'!$D$5="製造",SUMIF('内訳ﾘｽﾄ(4～3月)'!$D$26:$D$1012,$B61,'内訳ﾘｽﾄ(4～3月)'!L$26:L$1012),IF('内訳ﾘｽﾄ(4～3月)'!$D$5="部内間接",-SUM(I$14:I$60,I$65),0))</f>
        <v>0</v>
      </c>
      <c r="J61" s="160">
        <f>IF('内訳ﾘｽﾄ(4～3月)'!$D$5="製造",SUMIF('内訳ﾘｽﾄ(4～3月)'!$D$26:$D$1012,$B61,'内訳ﾘｽﾄ(4～3月)'!M$26:M$1012),IF('内訳ﾘｽﾄ(4～3月)'!$D$5="部内間接",-SUM(J$14:J$60,J$65),0))</f>
        <v>0</v>
      </c>
      <c r="K61" s="160">
        <f>IF('内訳ﾘｽﾄ(4～3月)'!$D$5="製造",SUMIF('内訳ﾘｽﾄ(4～3月)'!$D$26:$D$1012,$B61,'内訳ﾘｽﾄ(4～3月)'!N$26:N$1012),IF('内訳ﾘｽﾄ(4～3月)'!$D$5="部内間接",-SUM(K$14:K$60,K$65),0))</f>
        <v>0</v>
      </c>
      <c r="L61" s="160">
        <f>IF('内訳ﾘｽﾄ(4～3月)'!$D$5="製造",SUMIF('内訳ﾘｽﾄ(4～3月)'!$D$26:$D$1012,$B61,'内訳ﾘｽﾄ(4～3月)'!O$26:O$1012),IF('内訳ﾘｽﾄ(4～3月)'!$D$5="部内間接",-SUM(L$14:L$60,L$65),0))</f>
        <v>0</v>
      </c>
      <c r="M61" s="160">
        <f>IF('内訳ﾘｽﾄ(4～3月)'!$D$5="製造",SUMIF('内訳ﾘｽﾄ(4～3月)'!$D$26:$D$1012,$B61,'内訳ﾘｽﾄ(4～3月)'!P$26:P$1012),IF('内訳ﾘｽﾄ(4～3月)'!$D$5="部内間接",-SUM(M$14:M$60,M$65),0))</f>
        <v>0</v>
      </c>
      <c r="N61" s="160">
        <f>IF('内訳ﾘｽﾄ(4～3月)'!$D$5="製造",SUMIF('内訳ﾘｽﾄ(4～3月)'!$D$26:$D$1012,$B61,'内訳ﾘｽﾄ(4～3月)'!Q$26:Q$1012),IF('内訳ﾘｽﾄ(4～3月)'!$D$5="部内間接",-SUM(N$14:N$60,N$65),0))</f>
        <v>0</v>
      </c>
      <c r="O61" s="160">
        <f>IF('内訳ﾘｽﾄ(4～3月)'!$D$5="部内間接",-SUM(O$65,O$14:O$60),IF('内訳ﾘｽﾄ(4～3月)'!$D$5="製造",SUMIF('内訳ﾘｽﾄ(4～3月)'!$D$26:$D$811,'採算表(VND)'!$B61,'内訳ﾘｽﾄ(4～3月)'!R$26:R$811),0))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IF('内訳ﾘｽﾄ(4～3月)'!$D$5="製造",SUMIF('内訳ﾘｽﾄ(4～3月)'!$D$26:$D$1012,$B62,'内訳ﾘｽﾄ(4～3月)'!F$26:F$1012),IF('内訳ﾘｽﾄ(4～3月)'!$D$5="部外間接1",-SUM(C$14:C$60,C$65),0))</f>
        <v>0</v>
      </c>
      <c r="D62" s="160">
        <f>IF('内訳ﾘｽﾄ(4～3月)'!$D$5="製造",SUMIF('内訳ﾘｽﾄ(4～3月)'!$D$26:$D$1012,$B62,'内訳ﾘｽﾄ(4～3月)'!G$26:G$1012),IF('内訳ﾘｽﾄ(4～3月)'!$D$5="部外間接1",-SUM(D$14:D$60,D$65),0))</f>
        <v>0</v>
      </c>
      <c r="E62" s="160">
        <f>IF('内訳ﾘｽﾄ(4～3月)'!$D$5="製造",SUMIF('内訳ﾘｽﾄ(4～3月)'!$D$26:$D$1012,$B62,'内訳ﾘｽﾄ(4～3月)'!H$26:H$1012),IF('内訳ﾘｽﾄ(4～3月)'!$D$5="部外間接1",-SUM(E$14:E$60,E$65),0))</f>
        <v>0</v>
      </c>
      <c r="F62" s="160">
        <f>IF('内訳ﾘｽﾄ(4～3月)'!$D$5="製造",SUMIF('内訳ﾘｽﾄ(4～3月)'!$D$26:$D$1012,$B62,'内訳ﾘｽﾄ(4～3月)'!I$26:I$1012),IF('内訳ﾘｽﾄ(4～3月)'!$D$5="部外間接1",-SUM(F$14:F$60,F$65),0))</f>
        <v>0</v>
      </c>
      <c r="G62" s="160">
        <f>IF('内訳ﾘｽﾄ(4～3月)'!$D$5="製造",SUMIF('内訳ﾘｽﾄ(4～3月)'!$D$26:$D$1012,$B62,'内訳ﾘｽﾄ(4～3月)'!J$26:J$1012),IF('内訳ﾘｽﾄ(4～3月)'!$D$5="部外間接1",-SUM(G$14:G$60,G$65),0))</f>
        <v>0</v>
      </c>
      <c r="H62" s="160">
        <f>IF('内訳ﾘｽﾄ(4～3月)'!$D$5="製造",SUMIF('内訳ﾘｽﾄ(4～3月)'!$D$26:$D$1012,$B62,'内訳ﾘｽﾄ(4～3月)'!K$26:K$1012),IF('内訳ﾘｽﾄ(4～3月)'!$D$5="部外間接1",-SUM(H$14:H$60,H$65),0))</f>
        <v>0</v>
      </c>
      <c r="I62" s="160">
        <f>IF('内訳ﾘｽﾄ(4～3月)'!$D$5="製造",SUMIF('内訳ﾘｽﾄ(4～3月)'!$D$26:$D$1012,$B62,'内訳ﾘｽﾄ(4～3月)'!L$26:L$1012),IF('内訳ﾘｽﾄ(4～3月)'!$D$5="部外間接1",-SUM(I$14:I$60,I$65),0))</f>
        <v>0</v>
      </c>
      <c r="J62" s="160">
        <f>IF('内訳ﾘｽﾄ(4～3月)'!$D$5="製造",SUMIF('内訳ﾘｽﾄ(4～3月)'!$D$26:$D$1012,$B62,'内訳ﾘｽﾄ(4～3月)'!M$26:M$1012),IF('内訳ﾘｽﾄ(4～3月)'!$D$5="部外間接1",-SUM(J$14:J$60,J$65),0))</f>
        <v>0</v>
      </c>
      <c r="K62" s="160">
        <f>IF('内訳ﾘｽﾄ(4～3月)'!$D$5="製造",SUMIF('内訳ﾘｽﾄ(4～3月)'!$D$26:$D$1012,$B62,'内訳ﾘｽﾄ(4～3月)'!N$26:N$1012),IF('内訳ﾘｽﾄ(4～3月)'!$D$5="部外間接1",-SUM(K$14:K$60,K$65),0))</f>
        <v>0</v>
      </c>
      <c r="L62" s="160">
        <f>IF('内訳ﾘｽﾄ(4～3月)'!$D$5="製造",SUMIF('内訳ﾘｽﾄ(4～3月)'!$D$26:$D$1012,$B62,'内訳ﾘｽﾄ(4～3月)'!O$26:O$1012),IF('内訳ﾘｽﾄ(4～3月)'!$D$5="部外間接1",-SUM(L$14:L$60,L$65),0))</f>
        <v>0</v>
      </c>
      <c r="M62" s="160">
        <f>IF('内訳ﾘｽﾄ(4～3月)'!$D$5="製造",SUMIF('内訳ﾘｽﾄ(4～3月)'!$D$26:$D$1012,$B62,'内訳ﾘｽﾄ(4～3月)'!P$26:P$1012),IF('内訳ﾘｽﾄ(4～3月)'!$D$5="部外間接1",-SUM(M$14:M$60,M$65),0))</f>
        <v>0</v>
      </c>
      <c r="N62" s="160">
        <f>IF('内訳ﾘｽﾄ(4～3月)'!$D$5="製造",SUMIF('内訳ﾘｽﾄ(4～3月)'!$D$26:$D$1012,$B62,'内訳ﾘｽﾄ(4～3月)'!Q$26:Q$1012),IF('内訳ﾘｽﾄ(4～3月)'!$D$5="部外間接1",-SUM(N$14:N$60,N$65),0))</f>
        <v>0</v>
      </c>
      <c r="O62" s="160">
        <f>IF('内訳ﾘｽﾄ(4～3月)'!$D$5="部外間接1",-SUM(O$65,O$14:O$60),IF('内訳ﾘｽﾄ(4～3月)'!$D$5="製造",SUMIF('内訳ﾘｽﾄ(4～3月)'!$D$26:$D$811,'採算表(VND)'!$B62,'内訳ﾘｽﾄ(4～3月)'!R$26:R$811),0))</f>
        <v>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IF('内訳ﾘｽﾄ(4～3月)'!$D$5="製造",SUMIF('内訳ﾘｽﾄ(4～3月)'!$D$26:$D$1012,$B63,'内訳ﾘｽﾄ(4～3月)'!F$26:F$1012),IF('内訳ﾘｽﾄ(4～3月)'!$D$5="部外間接2",-SUM(C$14:C$60,C$65),0))</f>
        <v>-423879920</v>
      </c>
      <c r="D63" s="160">
        <f>IF('内訳ﾘｽﾄ(4～3月)'!$D$5="製造",SUMIF('内訳ﾘｽﾄ(4～3月)'!$D$26:$D$1012,$B63,'内訳ﾘｽﾄ(4～3月)'!G$26:G$1012),IF('内訳ﾘｽﾄ(4～3月)'!$D$5="部外間接2",-SUM(D$14:D$60,D$65),0))</f>
        <v>-399076444</v>
      </c>
      <c r="E63" s="160">
        <f>IF('内訳ﾘｽﾄ(4～3月)'!$D$5="製造",SUMIF('内訳ﾘｽﾄ(4～3月)'!$D$26:$D$1012,$B63,'内訳ﾘｽﾄ(4～3月)'!H$26:H$1012),IF('内訳ﾘｽﾄ(4～3月)'!$D$5="部外間接2",-SUM(E$14:E$60,E$65),0))</f>
        <v>-329743759</v>
      </c>
      <c r="F63" s="160">
        <f>IF('内訳ﾘｽﾄ(4～3月)'!$D$5="製造",SUMIF('内訳ﾘｽﾄ(4～3月)'!$D$26:$D$1012,$B63,'内訳ﾘｽﾄ(4～3月)'!I$26:I$1012),IF('内訳ﾘｽﾄ(4～3月)'!$D$5="部外間接2",-SUM(F$14:F$60,F$65),0))</f>
        <v>-317002842</v>
      </c>
      <c r="G63" s="160">
        <f>IF('内訳ﾘｽﾄ(4～3月)'!$D$5="製造",SUMIF('内訳ﾘｽﾄ(4～3月)'!$D$26:$D$1012,$B63,'内訳ﾘｽﾄ(4～3月)'!J$26:J$1012),IF('内訳ﾘｽﾄ(4～3月)'!$D$5="部外間接2",-SUM(G$14:G$60,G$65),0))</f>
        <v>-360684906</v>
      </c>
      <c r="H63" s="160">
        <f>IF('内訳ﾘｽﾄ(4～3月)'!$D$5="製造",SUMIF('内訳ﾘｽﾄ(4～3月)'!$D$26:$D$1012,$B63,'内訳ﾘｽﾄ(4～3月)'!K$26:K$1012),IF('内訳ﾘｽﾄ(4～3月)'!$D$5="部外間接2",-SUM(H$14:H$60,H$65),0))</f>
        <v>-295159374</v>
      </c>
      <c r="I63" s="160">
        <f>IF('内訳ﾘｽﾄ(4～3月)'!$D$5="製造",SUMIF('内訳ﾘｽﾄ(4～3月)'!$D$26:$D$1012,$B63,'内訳ﾘｽﾄ(4～3月)'!L$26:L$1012),IF('内訳ﾘｽﾄ(4～3月)'!$D$5="部外間接2",-SUM(I$14:I$60,I$65),0))</f>
        <v>-300210161</v>
      </c>
      <c r="J63" s="160">
        <f>IF('内訳ﾘｽﾄ(4～3月)'!$D$5="製造",SUMIF('内訳ﾘｽﾄ(4～3月)'!$D$26:$D$1012,$B63,'内訳ﾘｽﾄ(4～3月)'!M$26:M$1012),IF('内訳ﾘｽﾄ(4～3月)'!$D$5="部外間接2",-SUM(J$14:J$60,J$65),0))</f>
        <v>-266633212</v>
      </c>
      <c r="K63" s="160">
        <f>IF('内訳ﾘｽﾄ(4～3月)'!$D$5="製造",SUMIF('内訳ﾘｽﾄ(4～3月)'!$D$26:$D$1012,$B63,'内訳ﾘｽﾄ(4～3月)'!N$26:N$1012),IF('内訳ﾘｽﾄ(4～3月)'!$D$5="部外間接2",-SUM(K$14:K$60,K$65),0))</f>
        <v>-265658075</v>
      </c>
      <c r="L63" s="160">
        <f>IF('内訳ﾘｽﾄ(4～3月)'!$D$5="製造",SUMIF('内訳ﾘｽﾄ(4～3月)'!$D$26:$D$1012,$B63,'内訳ﾘｽﾄ(4～3月)'!O$26:O$1012),IF('内訳ﾘｽﾄ(4～3月)'!$D$5="部外間接2",-SUM(L$14:L$60,L$65),0))</f>
        <v>-259674561</v>
      </c>
      <c r="M63" s="160">
        <f>IF('内訳ﾘｽﾄ(4～3月)'!$D$5="製造",SUMIF('内訳ﾘｽﾄ(4～3月)'!$D$26:$D$1012,$B63,'内訳ﾘｽﾄ(4～3月)'!P$26:P$1012),IF('内訳ﾘｽﾄ(4～3月)'!$D$5="部外間接2",-SUM(M$14:M$60,M$65),0))</f>
        <v>-287564728</v>
      </c>
      <c r="N63" s="160">
        <f>IF('内訳ﾘｽﾄ(4～3月)'!$D$5="製造",SUMIF('内訳ﾘｽﾄ(4～3月)'!$D$26:$D$1012,$B63,'内訳ﾘｽﾄ(4～3月)'!Q$26:Q$1012),IF('内訳ﾘｽﾄ(4～3月)'!$D$5="部外間接2",-SUM(N$14:N$60,N$65),0))</f>
        <v>-248409679</v>
      </c>
      <c r="O63" s="160">
        <f>IF('内訳ﾘｽﾄ(4～3月)'!$D$5="部外間接2",-SUM(O$65,O$14:O$60),IF('内訳ﾘｽﾄ(4～3月)'!$D$5="製造",SUMIF('内訳ﾘｽﾄ(4～3月)'!$D$26:$D$811,'採算表(VND)'!$B63,'内訳ﾘｽﾄ(4～3月)'!R$26:R$811),0))</f>
        <v>-3752817661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IF('内訳ﾘｽﾄ(4～3月)'!$D$5="製造",SUMIF('内訳ﾘｽﾄ(4～3月)'!$D$26:$D$1012,$B64,'内訳ﾘｽﾄ(4～3月)'!F$26:F$1012),IF('内訳ﾘｽﾄ(4～3月)'!$D$5="工場間接",-SUM(C$14:C$60,C$65),0))</f>
        <v>0</v>
      </c>
      <c r="D64" s="160">
        <f>IF('内訳ﾘｽﾄ(4～3月)'!$D$5="製造",SUMIF('内訳ﾘｽﾄ(4～3月)'!$D$26:$D$1012,$B64,'内訳ﾘｽﾄ(4～3月)'!G$26:G$1012),IF('内訳ﾘｽﾄ(4～3月)'!$D$5="工場間接",-SUM(D$14:D$60,D$65),0))</f>
        <v>0</v>
      </c>
      <c r="E64" s="160">
        <f>IF('内訳ﾘｽﾄ(4～3月)'!$D$5="製造",SUMIF('内訳ﾘｽﾄ(4～3月)'!$D$26:$D$1012,$B64,'内訳ﾘｽﾄ(4～3月)'!H$26:H$1012),IF('内訳ﾘｽﾄ(4～3月)'!$D$5="工場間接",-SUM(E$14:E$60,E$65),0))</f>
        <v>0</v>
      </c>
      <c r="F64" s="160">
        <f>IF('内訳ﾘｽﾄ(4～3月)'!$D$5="製造",SUMIF('内訳ﾘｽﾄ(4～3月)'!$D$26:$D$1012,$B64,'内訳ﾘｽﾄ(4～3月)'!I$26:I$1012),IF('内訳ﾘｽﾄ(4～3月)'!$D$5="工場間接",-SUM(F$14:F$60,F$65),0))</f>
        <v>0</v>
      </c>
      <c r="G64" s="160">
        <f>IF('内訳ﾘｽﾄ(4～3月)'!$D$5="製造",SUMIF('内訳ﾘｽﾄ(4～3月)'!$D$26:$D$1012,$B64,'内訳ﾘｽﾄ(4～3月)'!J$26:J$1012),IF('内訳ﾘｽﾄ(4～3月)'!$D$5="工場間接",-SUM(G$14:G$60,G$65),0))</f>
        <v>0</v>
      </c>
      <c r="H64" s="160">
        <f>IF('内訳ﾘｽﾄ(4～3月)'!$D$5="製造",SUMIF('内訳ﾘｽﾄ(4～3月)'!$D$26:$D$1012,$B64,'内訳ﾘｽﾄ(4～3月)'!K$26:K$1012),IF('内訳ﾘｽﾄ(4～3月)'!$D$5="工場間接",-SUM(H$14:H$60,H$65),0))</f>
        <v>0</v>
      </c>
      <c r="I64" s="160">
        <f>IF('内訳ﾘｽﾄ(4～3月)'!$D$5="製造",SUMIF('内訳ﾘｽﾄ(4～3月)'!$D$26:$D$1012,$B64,'内訳ﾘｽﾄ(4～3月)'!L$26:L$1012),IF('内訳ﾘｽﾄ(4～3月)'!$D$5="工場間接",-SUM(I$14:I$60,I$65),0))</f>
        <v>0</v>
      </c>
      <c r="J64" s="160">
        <f>IF('内訳ﾘｽﾄ(4～3月)'!$D$5="製造",SUMIF('内訳ﾘｽﾄ(4～3月)'!$D$26:$D$1012,$B64,'内訳ﾘｽﾄ(4～3月)'!M$26:M$1012),IF('内訳ﾘｽﾄ(4～3月)'!$D$5="工場間接",-SUM(J$14:J$60,J$65),0))</f>
        <v>0</v>
      </c>
      <c r="K64" s="160">
        <f>IF('内訳ﾘｽﾄ(4～3月)'!$D$5="製造",SUMIF('内訳ﾘｽﾄ(4～3月)'!$D$26:$D$1012,$B64,'内訳ﾘｽﾄ(4～3月)'!N$26:N$1012),IF('内訳ﾘｽﾄ(4～3月)'!$D$5="工場間接",-SUM(K$14:K$60,K$65),0))</f>
        <v>0</v>
      </c>
      <c r="L64" s="160">
        <f>IF('内訳ﾘｽﾄ(4～3月)'!$D$5="製造",SUMIF('内訳ﾘｽﾄ(4～3月)'!$D$26:$D$1012,$B64,'内訳ﾘｽﾄ(4～3月)'!O$26:O$1012),IF('内訳ﾘｽﾄ(4～3月)'!$D$5="工場間接",-SUM(L$14:L$60,L$65),0))</f>
        <v>0</v>
      </c>
      <c r="M64" s="160">
        <f>IF('内訳ﾘｽﾄ(4～3月)'!$D$5="製造",SUMIF('内訳ﾘｽﾄ(4～3月)'!$D$26:$D$1012,$B64,'内訳ﾘｽﾄ(4～3月)'!P$26:P$1012),IF('内訳ﾘｽﾄ(4～3月)'!$D$5="工場間接",-SUM(M$14:M$60,M$65),0))</f>
        <v>0</v>
      </c>
      <c r="N64" s="160">
        <f>IF('内訳ﾘｽﾄ(4～3月)'!$D$5="製造",SUMIF('内訳ﾘｽﾄ(4～3月)'!$D$26:$D$1012,$B64,'内訳ﾘｽﾄ(4～3月)'!Q$26:Q$1012),IF('内訳ﾘｽﾄ(4～3月)'!$D$5="工場間接",-SUM(N$14:N$60,N$65),0))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IF('内訳ﾘｽﾄ(4～3月)'!$D$5="工場間接",-SUM(O$65,O$14:O$60),IF('内訳ﾘｽﾄ(4～3月)'!$D$5="製造",SUMIF('内訳ﾘｽﾄ(4～3月)'!$D$26:$D$811,'採算表(VND)'!$B64,'内訳ﾘｽﾄ(4～3月)'!R$26:R$811),0))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SUMIF('内訳ﾘｽﾄ(4～3月)'!$D$26:$D$1012,$B65,'内訳ﾘｽﾄ(4～3月)'!F$26:F$1012)</f>
        <v>0</v>
      </c>
      <c r="D65" s="158">
        <f>SUMIF('内訳ﾘｽﾄ(4～3月)'!$D$26:$D$1012,$B65,'内訳ﾘｽﾄ(4～3月)'!G$26:G$1012)</f>
        <v>0</v>
      </c>
      <c r="E65" s="158">
        <f>SUMIF('内訳ﾘｽﾄ(4～3月)'!$D$26:$D$1012,$B65,'内訳ﾘｽﾄ(4～3月)'!H$26:H$1012)</f>
        <v>0</v>
      </c>
      <c r="F65" s="158">
        <f>SUMIF('内訳ﾘｽﾄ(4～3月)'!$D$26:$D$1012,$B65,'内訳ﾘｽﾄ(4～3月)'!I$26:I$1012)</f>
        <v>0</v>
      </c>
      <c r="G65" s="158">
        <f>SUMIF('内訳ﾘｽﾄ(4～3月)'!$D$26:$D$1012,$B65,'内訳ﾘｽﾄ(4～3月)'!J$26:J$1012)</f>
        <v>0</v>
      </c>
      <c r="H65" s="158">
        <f>SUMIF('内訳ﾘｽﾄ(4～3月)'!$D$26:$D$1012,$B65,'内訳ﾘｽﾄ(4～3月)'!K$26:K$1012)</f>
        <v>0</v>
      </c>
      <c r="I65" s="158">
        <f>SUMIF('内訳ﾘｽﾄ(4～3月)'!$D$26:$D$1012,$B65,'内訳ﾘｽﾄ(4～3月)'!L$26:L$1012)</f>
        <v>0</v>
      </c>
      <c r="J65" s="158">
        <f>SUMIF('内訳ﾘｽﾄ(4～3月)'!$D$26:$D$1012,$B65,'内訳ﾘｽﾄ(4～3月)'!M$26:M$1012)</f>
        <v>0</v>
      </c>
      <c r="K65" s="158">
        <f>SUMIF('内訳ﾘｽﾄ(4～3月)'!$D$26:$D$1012,$B65,'内訳ﾘｽﾄ(4～3月)'!N$26:N$1012)</f>
        <v>0</v>
      </c>
      <c r="L65" s="158">
        <f>SUMIF('内訳ﾘｽﾄ(4～3月)'!$D$26:$D$1012,$B65,'内訳ﾘｽﾄ(4～3月)'!O$26:O$1012)</f>
        <v>0</v>
      </c>
      <c r="M65" s="158">
        <f>SUMIF('内訳ﾘｽﾄ(4～3月)'!$D$26:$D$1012,$B65,'内訳ﾘｽﾄ(4～3月)'!P$26:P$1012)</f>
        <v>0</v>
      </c>
      <c r="N65" s="158">
        <f>SUMIF('内訳ﾘｽﾄ(4～3月)'!$D$26:$D$1012,$B65,'内訳ﾘｽﾄ(4～3月)'!Q$26:Q$1012)</f>
        <v>0</v>
      </c>
      <c r="O65" s="158">
        <f>SUMIF('内訳ﾘｽﾄ(4～3月)'!$D$26:$D$811,'採算表(VND)'!$B65,'内訳ﾘｽﾄ(4～3月)'!R$26:R$811)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7081.5</v>
      </c>
      <c r="D68" s="162">
        <f>SUMIF('内訳ﾘｽﾄ(4～3月)'!$D$8:$D$15,'採算表(VND)'!$B68,'内訳ﾘｽﾄ(4～3月)'!G$8:G$15)</f>
        <v>6681.5</v>
      </c>
      <c r="E68" s="162">
        <f>SUMIF('内訳ﾘｽﾄ(4～3月)'!$D$8:$D$15,'採算表(VND)'!$B68,'内訳ﾘｽﾄ(4～3月)'!H$8:H$15)</f>
        <v>7421.5</v>
      </c>
      <c r="F68" s="162">
        <f>SUMIF('内訳ﾘｽﾄ(4～3月)'!$D$8:$D$15,'採算表(VND)'!$B68,'内訳ﾘｽﾄ(4～3月)'!I$8:I$15)</f>
        <v>8251.5</v>
      </c>
      <c r="G68" s="162">
        <f>SUMIF('内訳ﾘｽﾄ(4～3月)'!$D$8:$D$15,'採算表(VND)'!$B68,'内訳ﾘｽﾄ(4～3月)'!J$8:J$15)</f>
        <v>7520.5</v>
      </c>
      <c r="H68" s="162">
        <f>SUMIF('内訳ﾘｽﾄ(4～3月)'!$D$8:$D$15,'採算表(VND)'!$B68,'内訳ﾘｽﾄ(4～3月)'!K$8:K$15)</f>
        <v>7130</v>
      </c>
      <c r="I68" s="162">
        <f>SUMIF('内訳ﾘｽﾄ(4～3月)'!$D$8:$D$15,'採算表(VND)'!$B68,'内訳ﾘｽﾄ(4～3月)'!L$8:L$15)</f>
        <v>8708</v>
      </c>
      <c r="J68" s="162">
        <f>SUMIF('内訳ﾘｽﾄ(4～3月)'!$D$8:$D$15,'採算表(VND)'!$B68,'内訳ﾘｽﾄ(4～3月)'!M$8:M$15)</f>
        <v>7554.5</v>
      </c>
      <c r="K68" s="162">
        <f>SUMIF('内訳ﾘｽﾄ(4～3月)'!$D$8:$D$15,'採算表(VND)'!$B68,'内訳ﾘｽﾄ(4～3月)'!N$8:N$15)</f>
        <v>8313.5</v>
      </c>
      <c r="L68" s="162">
        <f>SUMIF('内訳ﾘｽﾄ(4～3月)'!$D$8:$D$15,'採算表(VND)'!$B68,'内訳ﾘｽﾄ(4～3月)'!O$8:O$15)</f>
        <v>7565.5</v>
      </c>
      <c r="M68" s="162">
        <f>SUMIF('内訳ﾘｽﾄ(4～3月)'!$D$8:$D$15,'採算表(VND)'!$B68,'内訳ﾘｽﾄ(4～3月)'!P$8:P$15)</f>
        <v>5567</v>
      </c>
      <c r="N68" s="162">
        <f>SUMIF('内訳ﾘｽﾄ(4～3月)'!$D$8:$D$15,'採算表(VND)'!$B68,'内訳ﾘｽﾄ(4～3月)'!Q$8:Q$15)</f>
        <v>7544.5</v>
      </c>
      <c r="O68" s="162">
        <f>SUMIF('内訳ﾘｽﾄ(4～3月)'!$D$8:$D$15,'採算表(VND)'!$B68,'内訳ﾘｽﾄ(4～3月)'!$R$8:$R$15)</f>
        <v>89339.5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0</v>
      </c>
      <c r="D70" s="164">
        <f>IF('内訳ﾘｽﾄ(4～3月)'!$D$5="製造",SUMIF('内訳ﾘｽﾄ(4～3月)'!$D$8:$D$15,$B70,'内訳ﾘｽﾄ(4～3月)'!G$8:G$15),IF('内訳ﾘｽﾄ(4～3月)'!$D$5="部外間接1",-D$68,0))</f>
        <v>0</v>
      </c>
      <c r="E70" s="164">
        <f>IF('内訳ﾘｽﾄ(4～3月)'!$D$5="製造",SUMIF('内訳ﾘｽﾄ(4～3月)'!$D$8:$D$15,$B70,'内訳ﾘｽﾄ(4～3月)'!H$8:H$15),IF('内訳ﾘｽﾄ(4～3月)'!$D$5="部外間接1",-E$68,0))</f>
        <v>0</v>
      </c>
      <c r="F70" s="164">
        <f>IF('内訳ﾘｽﾄ(4～3月)'!$D$5="製造",SUMIF('内訳ﾘｽﾄ(4～3月)'!$D$8:$D$15,$B70,'内訳ﾘｽﾄ(4～3月)'!I$8:I$15),IF('内訳ﾘｽﾄ(4～3月)'!$D$5="部外間接1",-F$68,0))</f>
        <v>0</v>
      </c>
      <c r="G70" s="164">
        <f>IF('内訳ﾘｽﾄ(4～3月)'!$D$5="製造",SUMIF('内訳ﾘｽﾄ(4～3月)'!$D$8:$D$15,$B70,'内訳ﾘｽﾄ(4～3月)'!J$8:J$15),IF('内訳ﾘｽﾄ(4～3月)'!$D$5="部外間接1",-G$68,0))</f>
        <v>0</v>
      </c>
      <c r="H70" s="164">
        <f>IF('内訳ﾘｽﾄ(4～3月)'!$D$5="製造",SUMIF('内訳ﾘｽﾄ(4～3月)'!$D$8:$D$15,$B70,'内訳ﾘｽﾄ(4～3月)'!K$8:K$15),IF('内訳ﾘｽﾄ(4～3月)'!$D$5="部外間接1",-H$68,0))</f>
        <v>0</v>
      </c>
      <c r="I70" s="164">
        <f>IF('内訳ﾘｽﾄ(4～3月)'!$D$5="製造",SUMIF('内訳ﾘｽﾄ(4～3月)'!$D$8:$D$15,$B70,'内訳ﾘｽﾄ(4～3月)'!L$8:L$15),IF('内訳ﾘｽﾄ(4～3月)'!$D$5="部外間接1",-I$68,0))</f>
        <v>0</v>
      </c>
      <c r="J70" s="164">
        <f>IF('内訳ﾘｽﾄ(4～3月)'!$D$5="製造",SUMIF('内訳ﾘｽﾄ(4～3月)'!$D$8:$D$15,$B70,'内訳ﾘｽﾄ(4～3月)'!M$8:M$15),IF('内訳ﾘｽﾄ(4～3月)'!$D$5="部外間接1",-J$68,0))</f>
        <v>0</v>
      </c>
      <c r="K70" s="164">
        <f>IF('内訳ﾘｽﾄ(4～3月)'!$D$5="製造",SUMIF('内訳ﾘｽﾄ(4～3月)'!$D$8:$D$15,$B70,'内訳ﾘｽﾄ(4～3月)'!N$8:N$15),IF('内訳ﾘｽﾄ(4～3月)'!$D$5="部外間接1",-K$68,0))</f>
        <v>0</v>
      </c>
      <c r="L70" s="164">
        <f>IF('内訳ﾘｽﾄ(4～3月)'!$D$5="製造",SUMIF('内訳ﾘｽﾄ(4～3月)'!$D$8:$D$15,$B70,'内訳ﾘｽﾄ(4～3月)'!O$8:O$15),IF('内訳ﾘｽﾄ(4～3月)'!$D$5="部外間接1",-L$68,0))</f>
        <v>0</v>
      </c>
      <c r="M70" s="164">
        <f>IF('内訳ﾘｽﾄ(4～3月)'!$D$5="製造",SUMIF('内訳ﾘｽﾄ(4～3月)'!$D$8:$D$15,$B70,'内訳ﾘｽﾄ(4～3月)'!P$8:P$15),IF('内訳ﾘｽﾄ(4～3月)'!$D$5="部外間接1",-M$68,0))</f>
        <v>0</v>
      </c>
      <c r="N70" s="164">
        <f>IF('内訳ﾘｽﾄ(4～3月)'!$D$5="製造",SUMIF('内訳ﾘｽﾄ(4～3月)'!$D$8:$D$15,$B70,'内訳ﾘｽﾄ(4～3月)'!Q$8:Q$15),IF('内訳ﾘｽﾄ(4～3月)'!$D$5="部外間接1",-N$68,0))</f>
        <v>0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-7081.5</v>
      </c>
      <c r="D71" s="164">
        <f>IF('内訳ﾘｽﾄ(4～3月)'!$D$5="製造",SUMIF('内訳ﾘｽﾄ(4～3月)'!$D$8:$D$15,$B71,'内訳ﾘｽﾄ(4～3月)'!G$8:G$15),IF('内訳ﾘｽﾄ(4～3月)'!$D$5="部外間接2",-D$68,0))</f>
        <v>-6681.5</v>
      </c>
      <c r="E71" s="164">
        <f>IF('内訳ﾘｽﾄ(4～3月)'!$D$5="製造",SUMIF('内訳ﾘｽﾄ(4～3月)'!$D$8:$D$15,$B71,'内訳ﾘｽﾄ(4～3月)'!H$8:H$15),IF('内訳ﾘｽﾄ(4～3月)'!$D$5="部外間接2",-E$68,0))</f>
        <v>-7421.5</v>
      </c>
      <c r="F71" s="164">
        <f>IF('内訳ﾘｽﾄ(4～3月)'!$D$5="製造",SUMIF('内訳ﾘｽﾄ(4～3月)'!$D$8:$D$15,$B71,'内訳ﾘｽﾄ(4～3月)'!I$8:I$15),IF('内訳ﾘｽﾄ(4～3月)'!$D$5="部外間接2",-F$68,0))</f>
        <v>-8251.5</v>
      </c>
      <c r="G71" s="164">
        <f>IF('内訳ﾘｽﾄ(4～3月)'!$D$5="製造",SUMIF('内訳ﾘｽﾄ(4～3月)'!$D$8:$D$15,$B71,'内訳ﾘｽﾄ(4～3月)'!J$8:J$15),IF('内訳ﾘｽﾄ(4～3月)'!$D$5="部外間接2",-G$68,0))</f>
        <v>-7520.5</v>
      </c>
      <c r="H71" s="164">
        <f>IF('内訳ﾘｽﾄ(4～3月)'!$D$5="製造",SUMIF('内訳ﾘｽﾄ(4～3月)'!$D$8:$D$15,$B71,'内訳ﾘｽﾄ(4～3月)'!K$8:K$15),IF('内訳ﾘｽﾄ(4～3月)'!$D$5="部外間接2",-H$68,0))</f>
        <v>-7130</v>
      </c>
      <c r="I71" s="164">
        <f>IF('内訳ﾘｽﾄ(4～3月)'!$D$5="製造",SUMIF('内訳ﾘｽﾄ(4～3月)'!$D$8:$D$15,$B71,'内訳ﾘｽﾄ(4～3月)'!L$8:L$15),IF('内訳ﾘｽﾄ(4～3月)'!$D$5="部外間接2",-I$68,0))</f>
        <v>-8708</v>
      </c>
      <c r="J71" s="164">
        <f>IF('内訳ﾘｽﾄ(4～3月)'!$D$5="製造",SUMIF('内訳ﾘｽﾄ(4～3月)'!$D$8:$D$15,$B71,'内訳ﾘｽﾄ(4～3月)'!M$8:M$15),IF('内訳ﾘｽﾄ(4～3月)'!$D$5="部外間接2",-J$68,0))</f>
        <v>-7554.5</v>
      </c>
      <c r="K71" s="164">
        <f>IF('内訳ﾘｽﾄ(4～3月)'!$D$5="製造",SUMIF('内訳ﾘｽﾄ(4～3月)'!$D$8:$D$15,$B71,'内訳ﾘｽﾄ(4～3月)'!N$8:N$15),IF('内訳ﾘｽﾄ(4～3月)'!$D$5="部外間接2",-K$68,0))</f>
        <v>-8313.5</v>
      </c>
      <c r="L71" s="164">
        <f>IF('内訳ﾘｽﾄ(4～3月)'!$D$5="製造",SUMIF('内訳ﾘｽﾄ(4～3月)'!$D$8:$D$15,$B71,'内訳ﾘｽﾄ(4～3月)'!O$8:O$15),IF('内訳ﾘｽﾄ(4～3月)'!$D$5="部外間接2",-L$68,0))</f>
        <v>-7565.5</v>
      </c>
      <c r="M71" s="164">
        <f>IF('内訳ﾘｽﾄ(4～3月)'!$D$5="製造",SUMIF('内訳ﾘｽﾄ(4～3月)'!$D$8:$D$15,$B71,'内訳ﾘｽﾄ(4～3月)'!P$8:P$15),IF('内訳ﾘｽﾄ(4～3月)'!$D$5="部外間接2",-M$68,0))</f>
        <v>-5567</v>
      </c>
      <c r="N71" s="164">
        <f>IF('内訳ﾘｽﾄ(4～3月)'!$D$5="製造",SUMIF('内訳ﾘｽﾄ(4～3月)'!$D$8:$D$15,$B71,'内訳ﾘｽﾄ(4～3月)'!Q$8:Q$15),IF('内訳ﾘｽﾄ(4～3月)'!$D$5="部外間接2",-N$68,0))</f>
        <v>-7544.5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-89339.5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580</v>
      </c>
      <c r="D74" s="162">
        <f>SUMIF('内訳ﾘｽﾄ(4～3月)'!$D$16:$D$23,'採算表(VND)'!$B74,'内訳ﾘｽﾄ(4～3月)'!G$16:G$23)</f>
        <v>578</v>
      </c>
      <c r="E74" s="162">
        <f>SUMIF('内訳ﾘｽﾄ(4～3月)'!$D$16:$D$23,'採算表(VND)'!$B74,'内訳ﾘｽﾄ(4～3月)'!H$16:H$23)</f>
        <v>582</v>
      </c>
      <c r="F74" s="162">
        <f>SUMIF('内訳ﾘｽﾄ(4～3月)'!$D$16:$D$23,'採算表(VND)'!$B74,'内訳ﾘｽﾄ(4～3月)'!I$16:I$23)</f>
        <v>586</v>
      </c>
      <c r="G74" s="162">
        <f>SUMIF('内訳ﾘｽﾄ(4～3月)'!$D$16:$D$23,'採算表(VND)'!$B74,'内訳ﾘｽﾄ(4～3月)'!J$16:J$23)</f>
        <v>610</v>
      </c>
      <c r="H74" s="162">
        <f>SUMIF('内訳ﾘｽﾄ(4～3月)'!$D$16:$D$23,'採算表(VND)'!$B74,'内訳ﾘｽﾄ(4～3月)'!K$16:K$23)</f>
        <v>528</v>
      </c>
      <c r="I74" s="162">
        <f>SUMIF('内訳ﾘｽﾄ(4～3月)'!$D$16:$D$23,'採算表(VND)'!$B74,'内訳ﾘｽﾄ(4～3月)'!L$16:L$23)</f>
        <v>536</v>
      </c>
      <c r="J74" s="162">
        <f>SUMIF('内訳ﾘｽﾄ(4～3月)'!$D$16:$D$23,'採算表(VND)'!$B74,'内訳ﾘｽﾄ(4～3月)'!M$16:M$23)</f>
        <v>530</v>
      </c>
      <c r="K74" s="162">
        <f>SUMIF('内訳ﾘｽﾄ(4～3月)'!$D$16:$D$23,'採算表(VND)'!$B74,'内訳ﾘｽﾄ(4～3月)'!N$16:N$23)</f>
        <v>534</v>
      </c>
      <c r="L74" s="162">
        <f>SUMIF('内訳ﾘｽﾄ(4～3月)'!$D$16:$D$23,'採算表(VND)'!$B74,'内訳ﾘｽﾄ(4～3月)'!O$16:O$23)</f>
        <v>530</v>
      </c>
      <c r="M74" s="162">
        <f>SUMIF('内訳ﾘｽﾄ(4～3月)'!$D$16:$D$23,'採算表(VND)'!$B74,'内訳ﾘｽﾄ(4～3月)'!P$16:P$23)</f>
        <v>520</v>
      </c>
      <c r="N74" s="162">
        <f>SUMIF('内訳ﾘｽﾄ(4～3月)'!$D$16:$D$23,'採算表(VND)'!$B74,'内訳ﾘｽﾄ(4～3月)'!Q$16:Q$23)</f>
        <v>590</v>
      </c>
      <c r="O74" s="162">
        <f>SUMIF('内訳ﾘｽﾄ(4～3月)'!$D$16:$D$23,'採算表(VND)'!$B74,'内訳ﾘｽﾄ(4～3月)'!$R$16:$R$23)</f>
        <v>6704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0</v>
      </c>
      <c r="D76" s="164">
        <f>IF('内訳ﾘｽﾄ(4～3月)'!$D$5="製造",SUMIF('内訳ﾘｽﾄ(4～3月)'!$D$16:$D$23,$B76,'内訳ﾘｽﾄ(4～3月)'!G$16:G$23),IF('内訳ﾘｽﾄ(4～3月)'!$D$5="部外間接1",-D$74,0))</f>
        <v>0</v>
      </c>
      <c r="E76" s="164">
        <f>IF('内訳ﾘｽﾄ(4～3月)'!$D$5="製造",SUMIF('内訳ﾘｽﾄ(4～3月)'!$D$16:$D$23,$B76,'内訳ﾘｽﾄ(4～3月)'!H$16:H$23),IF('内訳ﾘｽﾄ(4～3月)'!$D$5="部外間接1",-E$74,0))</f>
        <v>0</v>
      </c>
      <c r="F76" s="164">
        <f>IF('内訳ﾘｽﾄ(4～3月)'!$D$5="製造",SUMIF('内訳ﾘｽﾄ(4～3月)'!$D$16:$D$23,$B76,'内訳ﾘｽﾄ(4～3月)'!I$16:I$23),IF('内訳ﾘｽﾄ(4～3月)'!$D$5="部外間接1",-F$74,0))</f>
        <v>0</v>
      </c>
      <c r="G76" s="164">
        <f>IF('内訳ﾘｽﾄ(4～3月)'!$D$5="製造",SUMIF('内訳ﾘｽﾄ(4～3月)'!$D$16:$D$23,$B76,'内訳ﾘｽﾄ(4～3月)'!J$16:J$23),IF('内訳ﾘｽﾄ(4～3月)'!$D$5="部外間接1",-G$74,0))</f>
        <v>0</v>
      </c>
      <c r="H76" s="164">
        <f>IF('内訳ﾘｽﾄ(4～3月)'!$D$5="製造",SUMIF('内訳ﾘｽﾄ(4～3月)'!$D$16:$D$23,$B76,'内訳ﾘｽﾄ(4～3月)'!K$16:K$23),IF('内訳ﾘｽﾄ(4～3月)'!$D$5="部外間接1",-H$74,0))</f>
        <v>0</v>
      </c>
      <c r="I76" s="164">
        <f>IF('内訳ﾘｽﾄ(4～3月)'!$D$5="製造",SUMIF('内訳ﾘｽﾄ(4～3月)'!$D$16:$D$23,$B76,'内訳ﾘｽﾄ(4～3月)'!L$16:L$23),IF('内訳ﾘｽﾄ(4～3月)'!$D$5="部外間接1",-I$74,0))</f>
        <v>0</v>
      </c>
      <c r="J76" s="164">
        <f>IF('内訳ﾘｽﾄ(4～3月)'!$D$5="製造",SUMIF('内訳ﾘｽﾄ(4～3月)'!$D$16:$D$23,$B76,'内訳ﾘｽﾄ(4～3月)'!M$16:M$23),IF('内訳ﾘｽﾄ(4～3月)'!$D$5="部外間接1",-J$74,0))</f>
        <v>0</v>
      </c>
      <c r="K76" s="164">
        <f>IF('内訳ﾘｽﾄ(4～3月)'!$D$5="製造",SUMIF('内訳ﾘｽﾄ(4～3月)'!$D$16:$D$23,$B76,'内訳ﾘｽﾄ(4～3月)'!N$16:N$23),IF('内訳ﾘｽﾄ(4～3月)'!$D$5="部外間接1",-K$74,0))</f>
        <v>0</v>
      </c>
      <c r="L76" s="164">
        <f>IF('内訳ﾘｽﾄ(4～3月)'!$D$5="製造",SUMIF('内訳ﾘｽﾄ(4～3月)'!$D$16:$D$23,$B76,'内訳ﾘｽﾄ(4～3月)'!O$16:O$23),IF('内訳ﾘｽﾄ(4～3月)'!$D$5="部外間接1",-L$74,0))</f>
        <v>0</v>
      </c>
      <c r="M76" s="164">
        <f>IF('内訳ﾘｽﾄ(4～3月)'!$D$5="製造",SUMIF('内訳ﾘｽﾄ(4～3月)'!$D$16:$D$23,$B76,'内訳ﾘｽﾄ(4～3月)'!P$16:P$23),IF('内訳ﾘｽﾄ(4～3月)'!$D$5="部外間接1",-M$74,0))</f>
        <v>0</v>
      </c>
      <c r="N76" s="164">
        <f>IF('内訳ﾘｽﾄ(4～3月)'!$D$5="製造",SUMIF('内訳ﾘｽﾄ(4～3月)'!$D$16:$D$23,$B76,'内訳ﾘｽﾄ(4～3月)'!Q$16:Q$23),IF('内訳ﾘｽﾄ(4～3月)'!$D$5="部外間接1",-N$74,0))</f>
        <v>0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-580</v>
      </c>
      <c r="D77" s="164">
        <f>IF('内訳ﾘｽﾄ(4～3月)'!$D$5="製造",SUMIF('内訳ﾘｽﾄ(4～3月)'!$D$16:$D$23,$B77,'内訳ﾘｽﾄ(4～3月)'!G$16:G$23),IF('内訳ﾘｽﾄ(4～3月)'!$D$5="部外間接2",-D$74,0))</f>
        <v>-578</v>
      </c>
      <c r="E77" s="164">
        <f>IF('内訳ﾘｽﾄ(4～3月)'!$D$5="製造",SUMIF('内訳ﾘｽﾄ(4～3月)'!$D$16:$D$23,$B77,'内訳ﾘｽﾄ(4～3月)'!H$16:H$23),IF('内訳ﾘｽﾄ(4～3月)'!$D$5="部外間接2",-E$74,0))</f>
        <v>-582</v>
      </c>
      <c r="F77" s="164">
        <f>IF('内訳ﾘｽﾄ(4～3月)'!$D$5="製造",SUMIF('内訳ﾘｽﾄ(4～3月)'!$D$16:$D$23,$B77,'内訳ﾘｽﾄ(4～3月)'!I$16:I$23),IF('内訳ﾘｽﾄ(4～3月)'!$D$5="部外間接2",-F$74,0))</f>
        <v>-586</v>
      </c>
      <c r="G77" s="164">
        <f>IF('内訳ﾘｽﾄ(4～3月)'!$D$5="製造",SUMIF('内訳ﾘｽﾄ(4～3月)'!$D$16:$D$23,$B77,'内訳ﾘｽﾄ(4～3月)'!J$16:J$23),IF('内訳ﾘｽﾄ(4～3月)'!$D$5="部外間接2",-G$74,0))</f>
        <v>-610</v>
      </c>
      <c r="H77" s="164">
        <f>IF('内訳ﾘｽﾄ(4～3月)'!$D$5="製造",SUMIF('内訳ﾘｽﾄ(4～3月)'!$D$16:$D$23,$B77,'内訳ﾘｽﾄ(4～3月)'!K$16:K$23),IF('内訳ﾘｽﾄ(4～3月)'!$D$5="部外間接2",-H$74,0))</f>
        <v>-528</v>
      </c>
      <c r="I77" s="164">
        <f>IF('内訳ﾘｽﾄ(4～3月)'!$D$5="製造",SUMIF('内訳ﾘｽﾄ(4～3月)'!$D$16:$D$23,$B77,'内訳ﾘｽﾄ(4～3月)'!L$16:L$23),IF('内訳ﾘｽﾄ(4～3月)'!$D$5="部外間接2",-I$74,0))</f>
        <v>-536</v>
      </c>
      <c r="J77" s="164">
        <f>IF('内訳ﾘｽﾄ(4～3月)'!$D$5="製造",SUMIF('内訳ﾘｽﾄ(4～3月)'!$D$16:$D$23,$B77,'内訳ﾘｽﾄ(4～3月)'!M$16:M$23),IF('内訳ﾘｽﾄ(4～3月)'!$D$5="部外間接2",-J$74,0))</f>
        <v>-530</v>
      </c>
      <c r="K77" s="164">
        <f>IF('内訳ﾘｽﾄ(4～3月)'!$D$5="製造",SUMIF('内訳ﾘｽﾄ(4～3月)'!$D$16:$D$23,$B77,'内訳ﾘｽﾄ(4～3月)'!N$16:N$23),IF('内訳ﾘｽﾄ(4～3月)'!$D$5="部外間接2",-K$74,0))</f>
        <v>-534</v>
      </c>
      <c r="L77" s="164">
        <f>IF('内訳ﾘｽﾄ(4～3月)'!$D$5="製造",SUMIF('内訳ﾘｽﾄ(4～3月)'!$D$16:$D$23,$B77,'内訳ﾘｽﾄ(4～3月)'!O$16:O$23),IF('内訳ﾘｽﾄ(4～3月)'!$D$5="部外間接2",-L$74,0))</f>
        <v>-530</v>
      </c>
      <c r="M77" s="164">
        <f>IF('内訳ﾘｽﾄ(4～3月)'!$D$5="製造",SUMIF('内訳ﾘｽﾄ(4～3月)'!$D$16:$D$23,$B77,'内訳ﾘｽﾄ(4～3月)'!P$16:P$23),IF('内訳ﾘｽﾄ(4～3月)'!$D$5="部外間接2",-M$74,0))</f>
        <v>-520</v>
      </c>
      <c r="N77" s="164">
        <f>IF('内訳ﾘｽﾄ(4～3月)'!$D$5="製造",SUMIF('内訳ﾘｽﾄ(4～3月)'!$D$16:$D$23,$B77,'内訳ﾘｽﾄ(4～3月)'!Q$16:Q$23),IF('内訳ﾘｽﾄ(4～3月)'!$D$5="部外間接2",-N$74,0))</f>
        <v>-590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-6704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si="8"/>
        <v>0</v>
      </c>
      <c r="M80" s="167">
        <f t="shared" si="8"/>
        <v>0</v>
      </c>
      <c r="N80" s="167">
        <f t="shared" si="8"/>
        <v>0</v>
      </c>
      <c r="O80" s="167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"/>
    <row r="83" spans="1:61" customFormat="1" ht="13"/>
    <row r="84" spans="1:61" customFormat="1" ht="13"/>
    <row r="85" spans="1:61" customFormat="1" ht="13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0</v>
      </c>
      <c r="D87" s="150">
        <f>SUMIF('内訳ﾘｽﾄ(4～3月)'!$D$24:$D$25,'採算表(VND)'!$B87,'内訳ﾘｽﾄ(4～3月)'!G$24:G$25)</f>
        <v>0</v>
      </c>
      <c r="E87" s="150">
        <f>SUMIF('内訳ﾘｽﾄ(4～3月)'!$D$24:$D$25,'採算表(VND)'!$B87,'内訳ﾘｽﾄ(4～3月)'!H$24:H$25)</f>
        <v>0</v>
      </c>
      <c r="F87" s="150">
        <f>SUMIF('内訳ﾘｽﾄ(4～3月)'!$D$24:$D$25,'採算表(VND)'!$B87,'内訳ﾘｽﾄ(4～3月)'!I$24:I$25)</f>
        <v>0</v>
      </c>
      <c r="G87" s="150">
        <f>SUMIF('内訳ﾘｽﾄ(4～3月)'!$D$24:$D$25,'採算表(VND)'!$B87,'内訳ﾘｽﾄ(4～3月)'!J$24:J$25)</f>
        <v>0</v>
      </c>
      <c r="H87" s="150">
        <f>SUMIF('内訳ﾘｽﾄ(4～3月)'!$D$24:$D$25,'採算表(VND)'!$B87,'内訳ﾘｽﾄ(4～3月)'!K$24:K$25)</f>
        <v>0</v>
      </c>
      <c r="I87" s="150">
        <f>SUMIF('内訳ﾘｽﾄ(4～3月)'!$D$24:$D$25,'採算表(VND)'!$B87,'内訳ﾘｽﾄ(4～3月)'!L$24:L$25)</f>
        <v>0</v>
      </c>
      <c r="J87" s="150">
        <f>SUMIF('内訳ﾘｽﾄ(4～3月)'!$D$24:$D$25,'採算表(VND)'!$B87,'内訳ﾘｽﾄ(4～3月)'!M$24:M$25)</f>
        <v>0</v>
      </c>
      <c r="K87" s="150">
        <f>SUMIF('内訳ﾘｽﾄ(4～3月)'!$D$24:$D$25,'採算表(VND)'!$B87,'内訳ﾘｽﾄ(4～3月)'!N$24:N$25)</f>
        <v>0</v>
      </c>
      <c r="L87" s="150">
        <f>SUMIF('内訳ﾘｽﾄ(4～3月)'!$D$24:$D$25,'採算表(VND)'!$B87,'内訳ﾘｽﾄ(4～3月)'!O$24:O$25)</f>
        <v>0</v>
      </c>
      <c r="M87" s="150">
        <f>SUMIF('内訳ﾘｽﾄ(4～3月)'!$D$24:$D$25,'採算表(VND)'!$B87,'内訳ﾘｽﾄ(4～3月)'!P$24:P$25)</f>
        <v>0</v>
      </c>
      <c r="N87" s="150">
        <f>SUMIF('内訳ﾘｽﾄ(4～3月)'!$D$24:$D$25,'採算表(VND)'!$B87,'内訳ﾘｽﾄ(4～3月)'!Q$24:Q$25)</f>
        <v>0</v>
      </c>
      <c r="O87" s="150">
        <f>SUMIF('内訳ﾘｽﾄ(4～3月)'!$D$24:$D$25,'採算表(VND)'!$B87,'内訳ﾘｽﾄ(4～3月)'!R$24:R$25)</f>
        <v>0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45</v>
      </c>
      <c r="D88" s="150">
        <f>SUMIF('内訳ﾘｽﾄ(4～3月)'!$D$24:$D$25,'採算表(VND)'!$B88,'内訳ﾘｽﾄ(4～3月)'!G$24:G$25)</f>
        <v>45</v>
      </c>
      <c r="E88" s="150">
        <f>SUMIF('内訳ﾘｽﾄ(4～3月)'!$D$24:$D$25,'採算表(VND)'!$B88,'内訳ﾘｽﾄ(4～3月)'!H$24:H$25)</f>
        <v>45</v>
      </c>
      <c r="F88" s="150">
        <f>SUMIF('内訳ﾘｽﾄ(4～3月)'!$D$24:$D$25,'採算表(VND)'!$B88,'内訳ﾘｽﾄ(4～3月)'!I$24:I$25)</f>
        <v>45</v>
      </c>
      <c r="G88" s="150">
        <f>SUMIF('内訳ﾘｽﾄ(4～3月)'!$D$24:$D$25,'採算表(VND)'!$B88,'内訳ﾘｽﾄ(4～3月)'!J$24:J$25)</f>
        <v>47</v>
      </c>
      <c r="H88" s="150">
        <f>SUMIF('内訳ﾘｽﾄ(4～3月)'!$D$24:$D$25,'採算表(VND)'!$B88,'内訳ﾘｽﾄ(4～3月)'!K$24:K$25)</f>
        <v>47</v>
      </c>
      <c r="I88" s="150">
        <f>SUMIF('内訳ﾘｽﾄ(4～3月)'!$D$24:$D$25,'採算表(VND)'!$B88,'内訳ﾘｽﾄ(4～3月)'!L$24:L$25)</f>
        <v>47</v>
      </c>
      <c r="J88" s="150">
        <f>SUMIF('内訳ﾘｽﾄ(4～3月)'!$D$24:$D$25,'採算表(VND)'!$B88,'内訳ﾘｽﾄ(4～3月)'!M$24:M$25)</f>
        <v>47</v>
      </c>
      <c r="K88" s="150">
        <f>SUMIF('内訳ﾘｽﾄ(4～3月)'!$D$24:$D$25,'採算表(VND)'!$B88,'内訳ﾘｽﾄ(4～3月)'!N$24:N$25)</f>
        <v>47</v>
      </c>
      <c r="L88" s="150">
        <f>SUMIF('内訳ﾘｽﾄ(4～3月)'!$D$24:$D$25,'採算表(VND)'!$B88,'内訳ﾘｽﾄ(4～3月)'!O$24:O$25)</f>
        <v>47</v>
      </c>
      <c r="M88" s="150">
        <f>SUMIF('内訳ﾘｽﾄ(4～3月)'!$D$24:$D$25,'採算表(VND)'!$B88,'内訳ﾘｽﾄ(4～3月)'!P$24:P$25)</f>
        <v>47</v>
      </c>
      <c r="N88" s="150">
        <f>SUMIF('内訳ﾘｽﾄ(4～3月)'!$D$24:$D$25,'採算表(VND)'!$B88,'内訳ﾘｽﾄ(4～3月)'!Q$24:Q$25)</f>
        <v>47</v>
      </c>
      <c r="O88" s="150">
        <f>SUMIF('内訳ﾘｽﾄ(4～3月)'!$D$24:$D$25,'採算表(VND)'!$B88,'内訳ﾘｽﾄ(4～3月)'!R$24:R$25)</f>
        <v>47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45</v>
      </c>
      <c r="D89" s="151">
        <f t="shared" si="10"/>
        <v>45</v>
      </c>
      <c r="E89" s="151">
        <f t="shared" si="10"/>
        <v>45</v>
      </c>
      <c r="F89" s="151">
        <f t="shared" si="10"/>
        <v>45</v>
      </c>
      <c r="G89" s="151">
        <f t="shared" si="10"/>
        <v>47</v>
      </c>
      <c r="H89" s="151">
        <f t="shared" si="10"/>
        <v>47</v>
      </c>
      <c r="I89" s="151">
        <f t="shared" si="10"/>
        <v>47</v>
      </c>
      <c r="J89" s="151">
        <f t="shared" si="10"/>
        <v>47</v>
      </c>
      <c r="K89" s="151">
        <f t="shared" si="10"/>
        <v>47</v>
      </c>
      <c r="L89" s="151">
        <f t="shared" si="10"/>
        <v>47</v>
      </c>
      <c r="M89" s="151">
        <f t="shared" si="10"/>
        <v>47</v>
      </c>
      <c r="N89" s="151">
        <f t="shared" si="10"/>
        <v>47</v>
      </c>
      <c r="O89" s="151">
        <f>O87+O88</f>
        <v>47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0</v>
      </c>
      <c r="D92" s="161">
        <f>SUMIF('内訳ﾘｽﾄ(4～3月)'!$B$8:$B$15,$B92,'内訳ﾘｽﾄ(4～3月)'!G$8:G$15)</f>
        <v>0</v>
      </c>
      <c r="E92" s="161">
        <f>SUMIF('内訳ﾘｽﾄ(4～3月)'!$B$8:$B$15,$B92,'内訳ﾘｽﾄ(4～3月)'!H$8:H$15)</f>
        <v>0</v>
      </c>
      <c r="F92" s="161">
        <f>SUMIF('内訳ﾘｽﾄ(4～3月)'!$B$8:$B$15,$B92,'内訳ﾘｽﾄ(4～3月)'!I$8:I$15)</f>
        <v>0</v>
      </c>
      <c r="G92" s="161">
        <f>SUMIF('内訳ﾘｽﾄ(4～3月)'!$B$8:$B$15,$B92,'内訳ﾘｽﾄ(4～3月)'!J$8:J$15)</f>
        <v>0</v>
      </c>
      <c r="H92" s="161">
        <f>SUMIF('内訳ﾘｽﾄ(4～3月)'!$B$8:$B$15,$B92,'内訳ﾘｽﾄ(4～3月)'!K$8:K$15)</f>
        <v>0</v>
      </c>
      <c r="I92" s="161">
        <f>SUMIF('内訳ﾘｽﾄ(4～3月)'!$B$8:$B$15,$B92,'内訳ﾘｽﾄ(4～3月)'!L$8:L$15)</f>
        <v>0</v>
      </c>
      <c r="J92" s="161">
        <f>SUMIF('内訳ﾘｽﾄ(4～3月)'!$B$8:$B$15,$B92,'内訳ﾘｽﾄ(4～3月)'!M$8:M$15)</f>
        <v>0</v>
      </c>
      <c r="K92" s="161">
        <f>SUMIF('内訳ﾘｽﾄ(4～3月)'!$B$8:$B$15,$B92,'内訳ﾘｽﾄ(4～3月)'!N$8:N$15)</f>
        <v>0</v>
      </c>
      <c r="L92" s="161">
        <f>SUMIF('内訳ﾘｽﾄ(4～3月)'!$B$8:$B$15,$B92,'内訳ﾘｽﾄ(4～3月)'!O$8:O$15)</f>
        <v>0</v>
      </c>
      <c r="M92" s="161">
        <f>SUMIF('内訳ﾘｽﾄ(4～3月)'!$B$8:$B$15,$B92,'内訳ﾘｽﾄ(4～3月)'!P$8:P$15)</f>
        <v>0</v>
      </c>
      <c r="N92" s="161">
        <f>SUMIF('内訳ﾘｽﾄ(4～3月)'!$B$8:$B$15,$B92,'内訳ﾘｽﾄ(4～3月)'!Q$8:Q$15)</f>
        <v>0</v>
      </c>
      <c r="O92" s="161">
        <f>SUMIF('内訳ﾘｽﾄ(4～3月)'!$B$8:$B$15,$B92,'内訳ﾘｽﾄ(4～3月)'!R$8:R$15)</f>
        <v>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7081.5</v>
      </c>
      <c r="D93" s="161">
        <f>SUMIF('内訳ﾘｽﾄ(4～3月)'!$B$8:$B$15,$B93,'内訳ﾘｽﾄ(4～3月)'!G$8:G$15)</f>
        <v>6681.5</v>
      </c>
      <c r="E93" s="161">
        <f>SUMIF('内訳ﾘｽﾄ(4～3月)'!$B$8:$B$15,$B93,'内訳ﾘｽﾄ(4～3月)'!H$8:H$15)</f>
        <v>7421.5</v>
      </c>
      <c r="F93" s="161">
        <f>SUMIF('内訳ﾘｽﾄ(4～3月)'!$B$8:$B$15,$B93,'内訳ﾘｽﾄ(4～3月)'!I$8:I$15)</f>
        <v>8251.5</v>
      </c>
      <c r="G93" s="161">
        <f>SUMIF('内訳ﾘｽﾄ(4～3月)'!$B$8:$B$15,$B93,'内訳ﾘｽﾄ(4～3月)'!J$8:J$15)</f>
        <v>7520.5</v>
      </c>
      <c r="H93" s="161">
        <f>SUMIF('内訳ﾘｽﾄ(4～3月)'!$B$8:$B$15,$B93,'内訳ﾘｽﾄ(4～3月)'!K$8:K$15)</f>
        <v>7130</v>
      </c>
      <c r="I93" s="161">
        <f>SUMIF('内訳ﾘｽﾄ(4～3月)'!$B$8:$B$15,$B93,'内訳ﾘｽﾄ(4～3月)'!L$8:L$15)</f>
        <v>8708</v>
      </c>
      <c r="J93" s="161">
        <f>SUMIF('内訳ﾘｽﾄ(4～3月)'!$B$8:$B$15,$B93,'内訳ﾘｽﾄ(4～3月)'!M$8:M$15)</f>
        <v>7554.5</v>
      </c>
      <c r="K93" s="161">
        <f>SUMIF('内訳ﾘｽﾄ(4～3月)'!$B$8:$B$15,$B93,'内訳ﾘｽﾄ(4～3月)'!N$8:N$15)</f>
        <v>8313.5</v>
      </c>
      <c r="L93" s="161">
        <f>SUMIF('内訳ﾘｽﾄ(4～3月)'!$B$8:$B$15,$B93,'内訳ﾘｽﾄ(4～3月)'!O$8:O$15)</f>
        <v>7565.5</v>
      </c>
      <c r="M93" s="161">
        <f>SUMIF('内訳ﾘｽﾄ(4～3月)'!$B$8:$B$15,$B93,'内訳ﾘｽﾄ(4～3月)'!P$8:P$15)</f>
        <v>5567</v>
      </c>
      <c r="N93" s="161">
        <f>SUMIF('内訳ﾘｽﾄ(4～3月)'!$B$8:$B$15,$B93,'内訳ﾘｽﾄ(4～3月)'!Q$8:Q$15)</f>
        <v>7544.5</v>
      </c>
      <c r="O93" s="161">
        <f>SUMIF('内訳ﾘｽﾄ(4～3月)'!$B$8:$B$15,$B93,'内訳ﾘｽﾄ(4～3月)'!R$8:R$15)</f>
        <v>89339.5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7081.5</v>
      </c>
      <c r="D94" s="169">
        <f t="shared" si="11"/>
        <v>6681.5</v>
      </c>
      <c r="E94" s="169">
        <f t="shared" si="11"/>
        <v>7421.5</v>
      </c>
      <c r="F94" s="169">
        <f t="shared" si="11"/>
        <v>8251.5</v>
      </c>
      <c r="G94" s="169">
        <f t="shared" si="11"/>
        <v>7520.5</v>
      </c>
      <c r="H94" s="169">
        <f t="shared" si="11"/>
        <v>7130</v>
      </c>
      <c r="I94" s="169">
        <f t="shared" si="11"/>
        <v>8708</v>
      </c>
      <c r="J94" s="169">
        <f t="shared" si="11"/>
        <v>7554.5</v>
      </c>
      <c r="K94" s="169">
        <f t="shared" si="11"/>
        <v>8313.5</v>
      </c>
      <c r="L94" s="169">
        <f t="shared" si="11"/>
        <v>7565.5</v>
      </c>
      <c r="M94" s="169">
        <f t="shared" si="11"/>
        <v>5567</v>
      </c>
      <c r="N94" s="169">
        <f t="shared" si="11"/>
        <v>7544.5</v>
      </c>
      <c r="O94" s="169">
        <f>O92+O93</f>
        <v>89339.5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0</v>
      </c>
      <c r="D97" s="161">
        <f>SUMIF('内訳ﾘｽﾄ(4～3月)'!$B$16:$B$23,$B97,'内訳ﾘｽﾄ(4～3月)'!G$16:G$23)</f>
        <v>0</v>
      </c>
      <c r="E97" s="161">
        <f>SUMIF('内訳ﾘｽﾄ(4～3月)'!$B$16:$B$23,$B97,'内訳ﾘｽﾄ(4～3月)'!H$16:H$23)</f>
        <v>0</v>
      </c>
      <c r="F97" s="161">
        <f>SUMIF('内訳ﾘｽﾄ(4～3月)'!$B$16:$B$23,$B97,'内訳ﾘｽﾄ(4～3月)'!I$16:I$23)</f>
        <v>0</v>
      </c>
      <c r="G97" s="161">
        <f>SUMIF('内訳ﾘｽﾄ(4～3月)'!$B$16:$B$23,$B97,'内訳ﾘｽﾄ(4～3月)'!J$16:J$23)</f>
        <v>0</v>
      </c>
      <c r="H97" s="161">
        <f>SUMIF('内訳ﾘｽﾄ(4～3月)'!$B$16:$B$23,$B97,'内訳ﾘｽﾄ(4～3月)'!K$16:K$23)</f>
        <v>0</v>
      </c>
      <c r="I97" s="161">
        <f>SUMIF('内訳ﾘｽﾄ(4～3月)'!$B$16:$B$23,$B97,'内訳ﾘｽﾄ(4～3月)'!L$16:L$23)</f>
        <v>0</v>
      </c>
      <c r="J97" s="161">
        <f>SUMIF('内訳ﾘｽﾄ(4～3月)'!$B$16:$B$23,$B97,'内訳ﾘｽﾄ(4～3月)'!M$16:M$23)</f>
        <v>0</v>
      </c>
      <c r="K97" s="161">
        <f>SUMIF('内訳ﾘｽﾄ(4～3月)'!$B$16:$B$23,$B97,'内訳ﾘｽﾄ(4～3月)'!N$16:N$23)</f>
        <v>0</v>
      </c>
      <c r="L97" s="161">
        <f>SUMIF('内訳ﾘｽﾄ(4～3月)'!$B$16:$B$23,$B97,'内訳ﾘｽﾄ(4～3月)'!O$16:O$23)</f>
        <v>0</v>
      </c>
      <c r="M97" s="161">
        <f>SUMIF('内訳ﾘｽﾄ(4～3月)'!$B$16:$B$23,$B97,'内訳ﾘｽﾄ(4～3月)'!P$16:P$23)</f>
        <v>0</v>
      </c>
      <c r="N97" s="161">
        <f>SUMIF('内訳ﾘｽﾄ(4～3月)'!$B$16:$B$23,$B97,'内訳ﾘｽﾄ(4～3月)'!Q$16:Q$23)</f>
        <v>0</v>
      </c>
      <c r="O97" s="161">
        <f>SUMIF('内訳ﾘｽﾄ(4～3月)'!$B$16:$B$23,$B97,'内訳ﾘｽﾄ(4～3月)'!R$16:R$23)</f>
        <v>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580</v>
      </c>
      <c r="D98" s="161">
        <f>SUMIF('内訳ﾘｽﾄ(4～3月)'!$B$16:$B$23,$B98,'内訳ﾘｽﾄ(4～3月)'!G$16:G$23)</f>
        <v>578</v>
      </c>
      <c r="E98" s="161">
        <f>SUMIF('内訳ﾘｽﾄ(4～3月)'!$B$16:$B$23,$B98,'内訳ﾘｽﾄ(4～3月)'!H$16:H$23)</f>
        <v>582</v>
      </c>
      <c r="F98" s="161">
        <f>SUMIF('内訳ﾘｽﾄ(4～3月)'!$B$16:$B$23,$B98,'内訳ﾘｽﾄ(4～3月)'!I$16:I$23)</f>
        <v>586</v>
      </c>
      <c r="G98" s="161">
        <f>SUMIF('内訳ﾘｽﾄ(4～3月)'!$B$16:$B$23,$B98,'内訳ﾘｽﾄ(4～3月)'!J$16:J$23)</f>
        <v>610</v>
      </c>
      <c r="H98" s="161">
        <f>SUMIF('内訳ﾘｽﾄ(4～3月)'!$B$16:$B$23,$B98,'内訳ﾘｽﾄ(4～3月)'!K$16:K$23)</f>
        <v>528</v>
      </c>
      <c r="I98" s="161">
        <f>SUMIF('内訳ﾘｽﾄ(4～3月)'!$B$16:$B$23,$B98,'内訳ﾘｽﾄ(4～3月)'!L$16:L$23)</f>
        <v>536</v>
      </c>
      <c r="J98" s="161">
        <f>SUMIF('内訳ﾘｽﾄ(4～3月)'!$B$16:$B$23,$B98,'内訳ﾘｽﾄ(4～3月)'!M$16:M$23)</f>
        <v>530</v>
      </c>
      <c r="K98" s="161">
        <f>SUMIF('内訳ﾘｽﾄ(4～3月)'!$B$16:$B$23,$B98,'内訳ﾘｽﾄ(4～3月)'!N$16:N$23)</f>
        <v>534</v>
      </c>
      <c r="L98" s="161">
        <f>SUMIF('内訳ﾘｽﾄ(4～3月)'!$B$16:$B$23,$B98,'内訳ﾘｽﾄ(4～3月)'!O$16:O$23)</f>
        <v>530</v>
      </c>
      <c r="M98" s="161">
        <f>SUMIF('内訳ﾘｽﾄ(4～3月)'!$B$16:$B$23,$B98,'内訳ﾘｽﾄ(4～3月)'!P$16:P$23)</f>
        <v>520</v>
      </c>
      <c r="N98" s="161">
        <f>SUMIF('内訳ﾘｽﾄ(4～3月)'!$B$16:$B$23,$B98,'内訳ﾘｽﾄ(4～3月)'!Q$16:Q$23)</f>
        <v>590</v>
      </c>
      <c r="O98" s="161">
        <f>SUMIF('内訳ﾘｽﾄ(4～3月)'!$B$16:$B$23,$B98,'内訳ﾘｽﾄ(4～3月)'!R$16:R$23)</f>
        <v>6704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580</v>
      </c>
      <c r="D99" s="169">
        <f t="shared" si="12"/>
        <v>578</v>
      </c>
      <c r="E99" s="169">
        <f t="shared" si="12"/>
        <v>582</v>
      </c>
      <c r="F99" s="169">
        <f t="shared" si="12"/>
        <v>586</v>
      </c>
      <c r="G99" s="169">
        <f t="shared" si="12"/>
        <v>610</v>
      </c>
      <c r="H99" s="169">
        <f t="shared" si="12"/>
        <v>528</v>
      </c>
      <c r="I99" s="169">
        <f t="shared" si="12"/>
        <v>536</v>
      </c>
      <c r="J99" s="169">
        <f t="shared" si="12"/>
        <v>530</v>
      </c>
      <c r="K99" s="169">
        <f t="shared" si="12"/>
        <v>534</v>
      </c>
      <c r="L99" s="169">
        <f t="shared" si="12"/>
        <v>530</v>
      </c>
      <c r="M99" s="169">
        <f t="shared" si="12"/>
        <v>520</v>
      </c>
      <c r="N99" s="169">
        <f t="shared" si="12"/>
        <v>590</v>
      </c>
      <c r="O99" s="169">
        <f>O97+O98</f>
        <v>6704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39E1F410-B533-478E-9E1B-5E51A805C889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F003-67C4-40B0-9973-F077B27E2F38}">
  <sheetPr codeName="Sheet3">
    <tabColor indexed="13"/>
  </sheetPr>
  <dimension ref="A1:BN1012"/>
  <sheetViews>
    <sheetView tabSelected="1" zoomScale="85" zoomScaleNormal="85" workbookViewId="0">
      <pane xSplit="4" ySplit="7" topLeftCell="N132" activePane="bottomRight" state="frozen"/>
      <selection pane="topRight" activeCell="E1" sqref="E1"/>
      <selection pane="bottomLeft" activeCell="A8" sqref="A8"/>
      <selection pane="bottomRight" activeCell="S145" sqref="S145"/>
    </sheetView>
  </sheetViews>
  <sheetFormatPr defaultColWidth="9" defaultRowHeight="11"/>
  <cols>
    <col min="1" max="1" width="2" style="1" customWidth="1"/>
    <col min="2" max="2" width="12.36328125" style="181" customWidth="1"/>
    <col min="3" max="3" width="31" style="4" customWidth="1"/>
    <col min="4" max="4" width="19.08984375" style="4" customWidth="1"/>
    <col min="5" max="5" width="7.6328125" style="3" customWidth="1"/>
    <col min="6" max="6" width="13" style="124" bestFit="1" customWidth="1"/>
    <col min="7" max="17" width="11.6328125" style="125" customWidth="1"/>
    <col min="18" max="18" width="14.6328125" style="126" customWidth="1"/>
    <col min="19" max="19" width="53.7265625" style="4" customWidth="1"/>
    <col min="20" max="20" width="18.90625" style="72" customWidth="1"/>
    <col min="21" max="21" width="9" style="4" customWidth="1"/>
    <col min="22" max="22" width="16.453125" style="4" bestFit="1" customWidth="1"/>
    <col min="23" max="34" width="8.08984375" style="4" customWidth="1"/>
    <col min="35" max="16384" width="9" style="4"/>
  </cols>
  <sheetData>
    <row r="1" spans="1:55" ht="25">
      <c r="A1" s="254" t="s">
        <v>673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6.5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5" thickBot="1">
      <c r="A3" s="111"/>
      <c r="B3" s="172"/>
      <c r="D3" s="113"/>
      <c r="E3" s="258" t="s">
        <v>579</v>
      </c>
      <c r="F3" s="275" t="str">
        <f t="array" ref="F3">IF(SUM((F8:F25)-ROUNDDOWN((F8:F25)*4,0)/4)&lt;&gt;0,"時間➝0.25の倍数では無い",IF(SUM(ROUND((F26:F1012),0)-ROUND((F26:F1012),4))&lt;&gt;0,"経費➝小数点",IF(F5&lt;&gt;IF($D$5="製造",'採算表(VND)'!C13,-VLOOKUP($D$5&amp;"経費",'採算表(VND)'!$B:$N,'採算表(VND)'!C3,0)),"経費➝NG","OK")))</f>
        <v>OK</v>
      </c>
      <c r="G3" s="275" t="str">
        <f t="array" ref="G3">IF(SUM((G8:G25)-ROUNDDOWN((G8:G25)*4,0)/4)&lt;&gt;0,"時間➝0.25の倍数では無い",IF(SUM(ROUND((G26:G1012),0)-ROUND((G26:G1012),4))&lt;&gt;0,"経費➝小数点",IF(G5&lt;&gt;IF($D$5="製造",'採算表(VND)'!D13,-VLOOKUP($D$5&amp;"経費",'採算表(VND)'!$B:$N,'採算表(VND)'!D3,0)),"経費➝NG","OK")))</f>
        <v>OK</v>
      </c>
      <c r="H3" s="275" t="str">
        <f t="array" ref="H3">IF(SUM((H8:H25)-ROUNDDOWN((H8:H25)*4,0)/4)&lt;&gt;0,"時間➝0.25の倍数では無い",IF(SUM(ROUND((H26:H1012),0)-ROUND((H26:H1012),4))&lt;&gt;0,"経費➝小数点",IF(H5&lt;&gt;IF($D$5="製造",'採算表(VND)'!E13,-VLOOKUP($D$5&amp;"経費",'採算表(VND)'!$B:$N,'採算表(VND)'!E3,0)),"経費➝NG","OK")))</f>
        <v>OK</v>
      </c>
      <c r="I3" s="275" t="str">
        <f t="array" ref="I3">IF(SUM((I8:I25)-ROUNDDOWN((I8:I25)*4,0)/4)&lt;&gt;0,"時間➝0.25の倍数では無い",IF(SUM(ROUND((I26:I1012),0)-ROUND((I26:I1012),4))&lt;&gt;0,"経費➝小数点",IF(I5&lt;&gt;IF($D$5="製造",'採算表(VND)'!F13,-VLOOKUP($D$5&amp;"経費",'採算表(VND)'!$B:$N,'採算表(VND)'!F3,0)),"経費➝NG","OK")))</f>
        <v>OK</v>
      </c>
      <c r="J3" s="275" t="str">
        <f t="array" ref="J3">IF(SUM((J8:J25)-ROUNDDOWN((J8:J25)*4,0)/4)&lt;&gt;0,"時間➝0.25の倍数では無い",IF(SUM(ROUND((J26:J1012),0)-ROUND((J26:J1012),4))&lt;&gt;0,"経費➝小数点",IF(J5&lt;&gt;IF($D$5="製造",'採算表(VND)'!G13,-VLOOKUP($D$5&amp;"経費",'採算表(VND)'!$B:$N,'採算表(VND)'!G3,0)),"経費➝NG","OK")))</f>
        <v>OK</v>
      </c>
      <c r="K3" s="275" t="str">
        <f t="array" ref="K3">IF(SUM((K8:K25)-ROUNDDOWN((K8:K25)*4,0)/4)&lt;&gt;0,"時間➝0.25の倍数では無い",IF(SUM(ROUND((K26:K1012),0)-ROUND((K26:K1012),4))&lt;&gt;0,"経費➝小数点",IF(K5&lt;&gt;IF($D$5="製造",'採算表(VND)'!H13,-VLOOKUP($D$5&amp;"経費",'採算表(VND)'!$B:$N,'採算表(VND)'!H3,0)),"経費➝NG","OK")))</f>
        <v>OK</v>
      </c>
      <c r="L3" s="275" t="str">
        <f t="array" ref="L3">IF(SUM((L8:L25)-ROUNDDOWN((L8:L25)*4,0)/4)&lt;&gt;0,"時間➝0.25の倍数では無い",IF(SUM(ROUND((L26:L1012),0)-ROUND((L26:L1012),4))&lt;&gt;0,"経費➝小数点",IF(L5&lt;&gt;IF($D$5="製造",'採算表(VND)'!I13,-VLOOKUP($D$5&amp;"経費",'採算表(VND)'!$B:$N,'採算表(VND)'!I3,0)),"経費➝NG","OK")))</f>
        <v>OK</v>
      </c>
      <c r="M3" s="275" t="str">
        <f t="array" ref="M3">IF(SUM((M8:M25)-ROUNDDOWN((M8:M25)*4,0)/4)&lt;&gt;0,"時間➝0.25の倍数では無い",IF(SUM(ROUND((M26:M1012),0)-ROUND((M26:M1012),4))&lt;&gt;0,"経費➝小数点",IF(M5&lt;&gt;IF($D$5="製造",'採算表(VND)'!J13,-VLOOKUP($D$5&amp;"経費",'採算表(VND)'!$B:$N,'採算表(VND)'!J3,0)),"経費➝NG","OK")))</f>
        <v>OK</v>
      </c>
      <c r="N3" s="275" t="str">
        <f t="array" ref="N3">IF(SUM((N8:N25)-ROUNDDOWN((N8:N25)*4,0)/4)&lt;&gt;0,"時間➝0.25の倍数では無い",IF(SUM(ROUND((N26:N1012),0)-ROUND((N26:N1012),4))&lt;&gt;0,"経費➝小数点",IF(N5&lt;&gt;IF($D$5="製造",'採算表(VND)'!K13,-VLOOKUP($D$5&amp;"経費",'採算表(VND)'!$B:$N,'採算表(VND)'!K3,0)),"経費➝NG","OK")))</f>
        <v>OK</v>
      </c>
      <c r="O3" s="275" t="str">
        <f t="array" ref="O3">IF(SUM((O8:O25)-ROUNDDOWN((O8:O25)*4,0)/4)&lt;&gt;0,"時間➝0.25の倍数では無い",IF(SUM(ROUND((O26:O1012),0)-ROUND((O26:O1012),4))&lt;&gt;0,"経費➝小数点",IF(O5&lt;&gt;IF($D$5="製造",'採算表(VND)'!L13,-VLOOKUP($D$5&amp;"経費",'採算表(VND)'!$B:$N,'採算表(VND)'!L3,0)),"経費➝NG","OK")))</f>
        <v>OK</v>
      </c>
      <c r="P3" s="275" t="str">
        <f t="array" ref="P3">IF(SUM((P8:P25)-ROUNDDOWN((P8:P25)*4,0)/4)&lt;&gt;0,"時間➝0.25の倍数では無い",IF(SUM(ROUND((P26:P1012),0)-ROUND((P26:P1012),4))&lt;&gt;0,"経費➝小数点",IF(P5&lt;&gt;IF($D$5="製造",'採算表(VND)'!M13,-VLOOKUP($D$5&amp;"経費",'採算表(VND)'!$B:$N,'採算表(VND)'!M3,0)),"経費➝NG","OK")))</f>
        <v>OK</v>
      </c>
      <c r="Q3" s="275" t="str">
        <f t="array" ref="Q3">IF(SUM((Q8:Q25)-ROUNDDOWN((Q8:Q25)*4,0)/4)&lt;&gt;0,"時間➝0.25の倍数では無い",IF(SUM(ROUND((Q26:Q1012),0)-ROUND((Q26:Q1012)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590</v>
      </c>
      <c r="T4" s="102"/>
    </row>
    <row r="5" spans="1:55" ht="13.5" thickBot="1">
      <c r="B5" s="174">
        <v>1412000019</v>
      </c>
      <c r="C5" s="7" t="str">
        <f>VLOOKUP($B$5,原価センタ!$A:$E,2,0)</f>
        <v>製品保証課</v>
      </c>
      <c r="D5" s="62" t="str">
        <f>VLOOKUP($B$5,原価センタ!$A:$E,4,0)</f>
        <v>部外間接2</v>
      </c>
      <c r="E5" s="62" t="str">
        <f>VLOOKUP($B$5,原価センタ!$A:$E,5,0)</f>
        <v>製造</v>
      </c>
      <c r="F5" s="252">
        <f t="shared" ref="F5:R5" si="0">SUM(F29:F1012)</f>
        <v>423879920</v>
      </c>
      <c r="G5" s="252">
        <f t="shared" si="0"/>
        <v>399076444</v>
      </c>
      <c r="H5" s="252">
        <f t="shared" si="0"/>
        <v>329743759</v>
      </c>
      <c r="I5" s="252">
        <f t="shared" si="0"/>
        <v>317002842</v>
      </c>
      <c r="J5" s="252">
        <f t="shared" si="0"/>
        <v>360684906</v>
      </c>
      <c r="K5" s="252">
        <f t="shared" si="0"/>
        <v>295159374</v>
      </c>
      <c r="L5" s="252">
        <f t="shared" si="0"/>
        <v>300210161</v>
      </c>
      <c r="M5" s="252">
        <f t="shared" si="0"/>
        <v>266633212</v>
      </c>
      <c r="N5" s="252">
        <f t="shared" si="0"/>
        <v>265658075</v>
      </c>
      <c r="O5" s="252">
        <f t="shared" si="0"/>
        <v>259674561</v>
      </c>
      <c r="P5" s="252">
        <f t="shared" si="0"/>
        <v>287564728</v>
      </c>
      <c r="Q5" s="252">
        <f t="shared" si="0"/>
        <v>248409679</v>
      </c>
      <c r="R5" s="253">
        <f t="shared" si="0"/>
        <v>3752817661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22.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">
      <c r="A8" s="182"/>
      <c r="B8" s="259" t="s">
        <v>324</v>
      </c>
      <c r="C8" s="183" t="s">
        <v>334</v>
      </c>
      <c r="D8" s="184" t="s">
        <v>81</v>
      </c>
      <c r="E8" s="185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7">
        <f>SUM(F8:Q8)</f>
        <v>0</v>
      </c>
      <c r="S8" s="188"/>
      <c r="T8" s="189"/>
      <c r="U8" s="190"/>
      <c r="V8" s="190"/>
      <c r="W8" s="190"/>
      <c r="BA8"/>
      <c r="BB8"/>
    </row>
    <row r="9" spans="1:55" s="191" customFormat="1" ht="13">
      <c r="A9" s="182"/>
      <c r="B9" s="260" t="s">
        <v>325</v>
      </c>
      <c r="C9" s="183" t="s">
        <v>335</v>
      </c>
      <c r="D9" s="192" t="s">
        <v>81</v>
      </c>
      <c r="E9" s="193"/>
      <c r="F9" s="194">
        <v>7081.5</v>
      </c>
      <c r="G9" s="194">
        <v>6681.5</v>
      </c>
      <c r="H9" s="194">
        <v>7421.5</v>
      </c>
      <c r="I9" s="194">
        <v>8251.5</v>
      </c>
      <c r="J9" s="194">
        <v>7520.5</v>
      </c>
      <c r="K9" s="194">
        <v>7130</v>
      </c>
      <c r="L9" s="194">
        <v>8708</v>
      </c>
      <c r="M9" s="194">
        <v>7554.5</v>
      </c>
      <c r="N9" s="194">
        <v>8313.5</v>
      </c>
      <c r="O9" s="194">
        <v>7565.5</v>
      </c>
      <c r="P9" s="194">
        <v>5567</v>
      </c>
      <c r="Q9" s="194">
        <v>7544.5</v>
      </c>
      <c r="R9" s="195">
        <f t="shared" ref="R9:R23" si="1">SUM(F9:Q9)</f>
        <v>89339.5</v>
      </c>
      <c r="S9" s="196" t="s">
        <v>785</v>
      </c>
      <c r="T9" s="197"/>
      <c r="U9" s="190"/>
      <c r="V9" s="190"/>
      <c r="W9" s="190"/>
      <c r="BA9"/>
      <c r="BB9"/>
    </row>
    <row r="10" spans="1:55" s="191" customFormat="1" ht="13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si="1"/>
        <v>0</v>
      </c>
      <c r="S10" s="201"/>
      <c r="T10" s="202"/>
      <c r="U10" s="190"/>
      <c r="V10" s="190"/>
      <c r="W10" s="190"/>
      <c r="BA10"/>
      <c r="BB10"/>
    </row>
    <row r="11" spans="1:55" s="208" customFormat="1" ht="13">
      <c r="A11" s="203"/>
      <c r="B11" s="262" t="s">
        <v>325</v>
      </c>
      <c r="C11" s="183" t="s">
        <v>337</v>
      </c>
      <c r="D11" s="198" t="s">
        <v>86</v>
      </c>
      <c r="E11" s="20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205">
        <f t="shared" si="1"/>
        <v>0</v>
      </c>
      <c r="S11" s="206"/>
      <c r="T11" s="207"/>
      <c r="U11" s="190"/>
      <c r="V11" s="190"/>
      <c r="W11" s="190"/>
      <c r="BA11"/>
      <c r="BB11"/>
    </row>
    <row r="12" spans="1:55" s="208" customFormat="1" ht="13">
      <c r="A12" s="203"/>
      <c r="B12" s="261"/>
      <c r="C12" s="209" t="s">
        <v>451</v>
      </c>
      <c r="D12" s="210" t="s">
        <v>452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3">
        <f t="shared" si="1"/>
        <v>0</v>
      </c>
      <c r="S12" s="214"/>
      <c r="T12" s="207"/>
      <c r="U12" s="190"/>
      <c r="V12" s="190"/>
      <c r="W12" s="190"/>
      <c r="BA12"/>
      <c r="BB12"/>
    </row>
    <row r="13" spans="1:55" s="208" customFormat="1" ht="13">
      <c r="A13" s="203"/>
      <c r="B13" s="261"/>
      <c r="C13" s="209" t="s">
        <v>453</v>
      </c>
      <c r="D13" s="210" t="s">
        <v>454</v>
      </c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3">
        <f t="shared" si="1"/>
        <v>0</v>
      </c>
      <c r="S13" s="214"/>
      <c r="T13" s="207"/>
      <c r="U13" s="190"/>
      <c r="V13" s="190"/>
      <c r="W13" s="190"/>
      <c r="BA13"/>
      <c r="BB13"/>
    </row>
    <row r="14" spans="1:55" s="208" customFormat="1" ht="13">
      <c r="A14" s="203"/>
      <c r="B14" s="262"/>
      <c r="C14" s="209" t="s">
        <v>455</v>
      </c>
      <c r="D14" s="210" t="s">
        <v>456</v>
      </c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3">
        <f t="shared" si="1"/>
        <v>0</v>
      </c>
      <c r="S14" s="214"/>
      <c r="T14" s="207"/>
      <c r="U14" s="190"/>
      <c r="V14" s="190"/>
      <c r="W14" s="190"/>
      <c r="BA14"/>
      <c r="BB14"/>
    </row>
    <row r="15" spans="1:55" s="208" customFormat="1" ht="13">
      <c r="A15" s="203"/>
      <c r="B15" s="262"/>
      <c r="C15" s="209" t="s">
        <v>457</v>
      </c>
      <c r="D15" s="210" t="s">
        <v>450</v>
      </c>
      <c r="E15" s="211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3">
        <f t="shared" si="1"/>
        <v>0</v>
      </c>
      <c r="S15" s="214"/>
      <c r="T15" s="207"/>
      <c r="U15" s="190"/>
      <c r="V15" s="190"/>
      <c r="W15" s="190"/>
      <c r="BA15"/>
      <c r="BB15"/>
    </row>
    <row r="16" spans="1:55" s="208" customFormat="1" ht="13">
      <c r="A16" s="203"/>
      <c r="B16" s="263" t="s">
        <v>326</v>
      </c>
      <c r="C16" s="183" t="s">
        <v>338</v>
      </c>
      <c r="D16" s="215" t="s">
        <v>86</v>
      </c>
      <c r="E16" s="20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205">
        <f t="shared" si="1"/>
        <v>0</v>
      </c>
      <c r="S16" s="206"/>
      <c r="T16" s="207"/>
      <c r="U16" s="190"/>
      <c r="V16" s="190"/>
      <c r="W16" s="190"/>
      <c r="BA16"/>
      <c r="BB16"/>
    </row>
    <row r="17" spans="1:54" s="191" customFormat="1" ht="13">
      <c r="A17" s="182"/>
      <c r="B17" s="263" t="s">
        <v>327</v>
      </c>
      <c r="C17" s="183" t="s">
        <v>339</v>
      </c>
      <c r="D17" s="215" t="s">
        <v>86</v>
      </c>
      <c r="E17" s="204"/>
      <c r="F17" s="194">
        <v>580</v>
      </c>
      <c r="G17" s="194">
        <v>578</v>
      </c>
      <c r="H17" s="194">
        <v>582</v>
      </c>
      <c r="I17" s="194">
        <v>586</v>
      </c>
      <c r="J17" s="194">
        <v>610</v>
      </c>
      <c r="K17" s="194">
        <v>528</v>
      </c>
      <c r="L17" s="194">
        <v>536</v>
      </c>
      <c r="M17" s="194">
        <v>530</v>
      </c>
      <c r="N17" s="194">
        <v>534</v>
      </c>
      <c r="O17" s="194">
        <v>530</v>
      </c>
      <c r="P17" s="194">
        <v>520</v>
      </c>
      <c r="Q17" s="194">
        <v>590</v>
      </c>
      <c r="R17" s="205">
        <f t="shared" si="1"/>
        <v>6704</v>
      </c>
      <c r="S17" s="206"/>
      <c r="T17" s="207"/>
      <c r="U17" s="190"/>
      <c r="V17" s="190"/>
      <c r="W17" s="190"/>
      <c r="BA17"/>
      <c r="BB17"/>
    </row>
    <row r="18" spans="1:54" s="191" customFormat="1" ht="13">
      <c r="A18" s="182"/>
      <c r="B18" s="261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1"/>
        <v>0</v>
      </c>
      <c r="S18" s="201"/>
      <c r="T18" s="202"/>
      <c r="U18" s="190"/>
      <c r="V18" s="190"/>
      <c r="W18" s="190"/>
      <c r="BA18"/>
      <c r="BB18"/>
    </row>
    <row r="19" spans="1:54" s="208" customFormat="1" ht="13">
      <c r="A19" s="203"/>
      <c r="B19" s="262" t="s">
        <v>327</v>
      </c>
      <c r="C19" s="183" t="s">
        <v>341</v>
      </c>
      <c r="D19" s="198" t="s">
        <v>86</v>
      </c>
      <c r="E19" s="204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>
        <f t="shared" si="1"/>
        <v>0</v>
      </c>
      <c r="S19" s="206"/>
      <c r="T19" s="207"/>
      <c r="U19" s="190"/>
      <c r="V19" s="190"/>
      <c r="W19" s="190"/>
      <c r="BA19"/>
      <c r="BB19"/>
    </row>
    <row r="20" spans="1:54" s="208" customFormat="1" ht="13">
      <c r="A20" s="203"/>
      <c r="B20" s="262"/>
      <c r="C20" s="209" t="s">
        <v>458</v>
      </c>
      <c r="D20" s="210" t="s">
        <v>452</v>
      </c>
      <c r="E20" s="211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3">
        <f t="shared" si="1"/>
        <v>0</v>
      </c>
      <c r="S20" s="214"/>
      <c r="T20" s="207"/>
      <c r="U20" s="190"/>
      <c r="V20" s="190"/>
      <c r="W20" s="190"/>
      <c r="BA20"/>
      <c r="BB20"/>
    </row>
    <row r="21" spans="1:54" s="208" customFormat="1" ht="13">
      <c r="A21" s="203"/>
      <c r="B21" s="262"/>
      <c r="C21" s="209" t="s">
        <v>342</v>
      </c>
      <c r="D21" s="210" t="s">
        <v>454</v>
      </c>
      <c r="E21" s="211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3">
        <f t="shared" si="1"/>
        <v>0</v>
      </c>
      <c r="S21" s="214"/>
      <c r="T21" s="207"/>
      <c r="U21" s="190"/>
      <c r="V21" s="190"/>
      <c r="W21" s="190"/>
      <c r="BA21"/>
      <c r="BB21"/>
    </row>
    <row r="22" spans="1:54" s="208" customFormat="1" ht="13">
      <c r="A22" s="203"/>
      <c r="B22" s="262"/>
      <c r="C22" s="209" t="s">
        <v>459</v>
      </c>
      <c r="D22" s="210" t="s">
        <v>456</v>
      </c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3">
        <f t="shared" si="1"/>
        <v>0</v>
      </c>
      <c r="S22" s="214"/>
      <c r="T22" s="207"/>
      <c r="U22" s="190"/>
      <c r="V22" s="190"/>
      <c r="W22" s="190"/>
      <c r="BA22"/>
      <c r="BB22"/>
    </row>
    <row r="23" spans="1:54" s="208" customFormat="1" ht="13">
      <c r="A23" s="203"/>
      <c r="B23" s="262"/>
      <c r="C23" s="209" t="s">
        <v>460</v>
      </c>
      <c r="D23" s="210" t="s">
        <v>450</v>
      </c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3">
        <f t="shared" si="1"/>
        <v>0</v>
      </c>
      <c r="S23" s="214"/>
      <c r="T23" s="207"/>
      <c r="U23" s="190"/>
      <c r="V23" s="190"/>
      <c r="W23" s="190"/>
      <c r="BA23"/>
      <c r="BB23"/>
    </row>
    <row r="24" spans="1:54" s="208" customFormat="1" ht="13">
      <c r="A24" s="203"/>
      <c r="B24" s="264" t="s">
        <v>343</v>
      </c>
      <c r="C24" s="265" t="s">
        <v>343</v>
      </c>
      <c r="D24" s="266" t="s">
        <v>343</v>
      </c>
      <c r="E24" s="245"/>
      <c r="F24" s="267"/>
      <c r="G24" s="267"/>
      <c r="H24" s="267"/>
      <c r="I24" s="267"/>
      <c r="J24" s="267"/>
      <c r="K24" s="267"/>
      <c r="L24" s="267"/>
      <c r="M24" s="267"/>
      <c r="N24" s="267"/>
      <c r="O24" s="267"/>
      <c r="P24" s="267"/>
      <c r="Q24" s="267"/>
      <c r="R24" s="200">
        <f>Q24</f>
        <v>0</v>
      </c>
      <c r="S24" s="201"/>
      <c r="T24" s="202"/>
      <c r="U24" s="268"/>
      <c r="V24" s="190"/>
      <c r="W24" s="190"/>
      <c r="BA24"/>
      <c r="BB24"/>
    </row>
    <row r="25" spans="1:54" s="191" customFormat="1" ht="1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>
        <v>45</v>
      </c>
      <c r="G25" s="271">
        <v>45</v>
      </c>
      <c r="H25" s="271">
        <v>45</v>
      </c>
      <c r="I25" s="271">
        <v>45</v>
      </c>
      <c r="J25" s="271">
        <v>47</v>
      </c>
      <c r="K25" s="271">
        <v>47</v>
      </c>
      <c r="L25" s="271">
        <v>47</v>
      </c>
      <c r="M25" s="271">
        <v>47</v>
      </c>
      <c r="N25" s="271">
        <v>47</v>
      </c>
      <c r="O25" s="271">
        <v>47</v>
      </c>
      <c r="P25" s="271">
        <v>47</v>
      </c>
      <c r="Q25" s="271">
        <v>47</v>
      </c>
      <c r="R25" s="272">
        <f>Q25</f>
        <v>47</v>
      </c>
      <c r="S25" s="273" t="s">
        <v>780</v>
      </c>
      <c r="T25" s="238"/>
      <c r="U25" s="268"/>
      <c r="V25" s="274">
        <v>4</v>
      </c>
      <c r="W25" s="274">
        <v>5</v>
      </c>
      <c r="X25" s="274">
        <v>6</v>
      </c>
      <c r="Y25" s="274">
        <v>7</v>
      </c>
      <c r="Z25" s="274">
        <v>8</v>
      </c>
      <c r="AA25" s="274">
        <v>9</v>
      </c>
      <c r="AB25" s="274">
        <v>10</v>
      </c>
      <c r="AC25" s="274">
        <v>11</v>
      </c>
      <c r="AD25" s="274">
        <v>12</v>
      </c>
      <c r="AE25" s="274">
        <v>1</v>
      </c>
      <c r="AF25" s="274">
        <v>2</v>
      </c>
      <c r="AG25" s="274">
        <v>3</v>
      </c>
      <c r="BA25"/>
      <c r="BB25"/>
    </row>
    <row r="26" spans="1:54" s="191" customFormat="1" ht="13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>
        <f t="shared" ref="F26:Q28" si="2">ROUNDDOWN(V26*$B$2,0)</f>
        <v>0</v>
      </c>
      <c r="G26" s="220">
        <f t="shared" si="2"/>
        <v>0</v>
      </c>
      <c r="H26" s="220">
        <f t="shared" si="2"/>
        <v>0</v>
      </c>
      <c r="I26" s="220">
        <f t="shared" si="2"/>
        <v>0</v>
      </c>
      <c r="J26" s="220">
        <f t="shared" si="2"/>
        <v>0</v>
      </c>
      <c r="K26" s="220">
        <f t="shared" si="2"/>
        <v>0</v>
      </c>
      <c r="L26" s="220">
        <f t="shared" si="2"/>
        <v>0</v>
      </c>
      <c r="M26" s="220">
        <f t="shared" si="2"/>
        <v>0</v>
      </c>
      <c r="N26" s="220">
        <f t="shared" si="2"/>
        <v>0</v>
      </c>
      <c r="O26" s="220">
        <f t="shared" si="2"/>
        <v>0</v>
      </c>
      <c r="P26" s="220">
        <f t="shared" si="2"/>
        <v>0</v>
      </c>
      <c r="Q26" s="220">
        <f t="shared" si="2"/>
        <v>0</v>
      </c>
      <c r="R26" s="221">
        <f t="shared" ref="R26:R126" si="3">SUM(F26:Q26)</f>
        <v>0</v>
      </c>
      <c r="S26" s="222"/>
      <c r="T26" s="223"/>
      <c r="U26" s="190"/>
      <c r="V26" s="224"/>
      <c r="W26" s="224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BA26"/>
      <c r="BB26"/>
    </row>
    <row r="27" spans="1:54" s="191" customFormat="1" ht="13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>
        <f t="shared" si="2"/>
        <v>0</v>
      </c>
      <c r="G27" s="230">
        <f t="shared" si="2"/>
        <v>0</v>
      </c>
      <c r="H27" s="230">
        <f t="shared" si="2"/>
        <v>0</v>
      </c>
      <c r="I27" s="230">
        <f t="shared" si="2"/>
        <v>0</v>
      </c>
      <c r="J27" s="230">
        <f t="shared" si="2"/>
        <v>0</v>
      </c>
      <c r="K27" s="230">
        <f t="shared" si="2"/>
        <v>0</v>
      </c>
      <c r="L27" s="230">
        <f t="shared" si="2"/>
        <v>0</v>
      </c>
      <c r="M27" s="230">
        <f t="shared" si="2"/>
        <v>0</v>
      </c>
      <c r="N27" s="230">
        <f t="shared" si="2"/>
        <v>0</v>
      </c>
      <c r="O27" s="230">
        <f t="shared" si="2"/>
        <v>0</v>
      </c>
      <c r="P27" s="230">
        <f t="shared" si="2"/>
        <v>0</v>
      </c>
      <c r="Q27" s="230">
        <f t="shared" si="2"/>
        <v>0</v>
      </c>
      <c r="R27" s="221">
        <f t="shared" si="3"/>
        <v>0</v>
      </c>
      <c r="S27" s="231"/>
      <c r="T27" s="202"/>
      <c r="U27" s="190"/>
      <c r="V27" s="224"/>
      <c r="W27" s="224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BA27"/>
      <c r="BB27"/>
    </row>
    <row r="28" spans="1:54" s="191" customFormat="1" ht="13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>
        <f t="shared" si="2"/>
        <v>0</v>
      </c>
      <c r="G28" s="230">
        <f t="shared" si="2"/>
        <v>0</v>
      </c>
      <c r="H28" s="230">
        <f t="shared" si="2"/>
        <v>0</v>
      </c>
      <c r="I28" s="230">
        <f t="shared" si="2"/>
        <v>0</v>
      </c>
      <c r="J28" s="230">
        <f t="shared" si="2"/>
        <v>0</v>
      </c>
      <c r="K28" s="230">
        <f t="shared" si="2"/>
        <v>0</v>
      </c>
      <c r="L28" s="230">
        <f t="shared" si="2"/>
        <v>0</v>
      </c>
      <c r="M28" s="230">
        <f t="shared" si="2"/>
        <v>0</v>
      </c>
      <c r="N28" s="230">
        <f t="shared" si="2"/>
        <v>0</v>
      </c>
      <c r="O28" s="230">
        <f t="shared" si="2"/>
        <v>0</v>
      </c>
      <c r="P28" s="230">
        <f t="shared" si="2"/>
        <v>0</v>
      </c>
      <c r="Q28" s="230">
        <f t="shared" si="2"/>
        <v>0</v>
      </c>
      <c r="R28" s="221">
        <f t="shared" si="3"/>
        <v>0</v>
      </c>
      <c r="S28" s="231"/>
      <c r="T28" s="202"/>
      <c r="U28" s="190"/>
      <c r="V28" s="224"/>
      <c r="W28" s="224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BA28"/>
      <c r="BB28"/>
    </row>
    <row r="29" spans="1:54" s="191" customFormat="1" ht="13.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>
        <f t="shared" ref="F29:Q29" si="4">ROUNDUP(V29*$B$2,0)</f>
        <v>0</v>
      </c>
      <c r="G29" s="235">
        <f t="shared" si="4"/>
        <v>0</v>
      </c>
      <c r="H29" s="235">
        <f t="shared" si="4"/>
        <v>0</v>
      </c>
      <c r="I29" s="235">
        <f t="shared" si="4"/>
        <v>0</v>
      </c>
      <c r="J29" s="235">
        <f t="shared" si="4"/>
        <v>0</v>
      </c>
      <c r="K29" s="235">
        <f t="shared" si="4"/>
        <v>0</v>
      </c>
      <c r="L29" s="235">
        <f t="shared" si="4"/>
        <v>0</v>
      </c>
      <c r="M29" s="235">
        <f t="shared" si="4"/>
        <v>0</v>
      </c>
      <c r="N29" s="235">
        <f t="shared" si="4"/>
        <v>0</v>
      </c>
      <c r="O29" s="235">
        <f t="shared" si="4"/>
        <v>0</v>
      </c>
      <c r="P29" s="235">
        <f t="shared" si="4"/>
        <v>0</v>
      </c>
      <c r="Q29" s="235">
        <f t="shared" si="4"/>
        <v>0</v>
      </c>
      <c r="R29" s="236">
        <f t="shared" si="3"/>
        <v>0</v>
      </c>
      <c r="S29" s="237"/>
      <c r="T29" s="238"/>
      <c r="U29" s="190"/>
      <c r="V29" s="224"/>
      <c r="W29" s="224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BA29"/>
      <c r="BB29"/>
    </row>
    <row r="30" spans="1:54" s="208" customFormat="1" ht="13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3"/>
        <v>0</v>
      </c>
      <c r="S30" s="201"/>
      <c r="T30" s="202"/>
      <c r="U30" s="190"/>
      <c r="V30" s="190"/>
      <c r="W30" s="190"/>
      <c r="BA30"/>
      <c r="BB30"/>
    </row>
    <row r="31" spans="1:54" s="208" customFormat="1" ht="13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00">
        <f t="shared" si="3"/>
        <v>0</v>
      </c>
      <c r="S31" s="201"/>
      <c r="T31" s="202"/>
      <c r="U31" s="190"/>
      <c r="V31" s="190"/>
      <c r="W31" s="190"/>
      <c r="BA31"/>
      <c r="BB31"/>
    </row>
    <row r="32" spans="1:54" s="208" customFormat="1" ht="13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00">
        <f t="shared" si="3"/>
        <v>0</v>
      </c>
      <c r="S32" s="201"/>
      <c r="T32" s="202"/>
      <c r="U32" s="190"/>
      <c r="V32" s="190"/>
      <c r="W32" s="190"/>
      <c r="BA32"/>
      <c r="BB32"/>
    </row>
    <row r="33" spans="1:54" s="208" customFormat="1" ht="13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00">
        <f t="shared" si="3"/>
        <v>0</v>
      </c>
      <c r="S33" s="201"/>
      <c r="T33" s="202"/>
      <c r="U33" s="190"/>
      <c r="V33" s="190"/>
      <c r="W33" s="190"/>
      <c r="BA33"/>
      <c r="BB33"/>
    </row>
    <row r="34" spans="1:54" s="208" customFormat="1" ht="13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00">
        <f t="shared" si="3"/>
        <v>0</v>
      </c>
      <c r="S34" s="201"/>
      <c r="T34" s="202"/>
      <c r="U34" s="190"/>
      <c r="V34" s="190"/>
      <c r="W34" s="190"/>
      <c r="BA34"/>
      <c r="BB34"/>
    </row>
    <row r="35" spans="1:54" s="208" customFormat="1" ht="13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3"/>
        <v>0</v>
      </c>
      <c r="S35" s="201"/>
      <c r="T35" s="202"/>
      <c r="U35" s="190"/>
      <c r="V35" s="190"/>
      <c r="W35" s="190"/>
      <c r="BA35"/>
      <c r="BB35"/>
    </row>
    <row r="36" spans="1:54" s="191" customFormat="1" ht="13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00">
        <f t="shared" si="3"/>
        <v>0</v>
      </c>
      <c r="S36" s="201"/>
      <c r="T36" s="202"/>
      <c r="U36" s="246"/>
      <c r="V36" s="246"/>
      <c r="W36" s="246"/>
      <c r="BA36"/>
      <c r="BB36"/>
    </row>
    <row r="37" spans="1:54" s="191" customFormat="1" ht="13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3"/>
        <v>0</v>
      </c>
      <c r="S37" s="201"/>
      <c r="T37" s="202"/>
      <c r="U37" s="246"/>
      <c r="V37" s="246"/>
      <c r="W37" s="246"/>
      <c r="BA37"/>
      <c r="BB37"/>
    </row>
    <row r="38" spans="1:54" s="191" customFormat="1" ht="13">
      <c r="A38" s="226"/>
      <c r="B38" s="180"/>
      <c r="C38" s="183" t="str">
        <f>IFERROR(IF(VLOOKUP($B38,勘定科目!$A:$H,HLOOKUP($E$5,勘定科目!$F$1:$H$2,2,0),0)="","",VLOOKUP($B38,勘定科目!$A:$E,2,0)),"")</f>
        <v/>
      </c>
      <c r="D38" s="239" t="str">
        <f>IF(C38="","",VLOOKUP($B38,勘定科目!$A:$E,4,0))</f>
        <v/>
      </c>
      <c r="E38" s="245"/>
      <c r="F38" s="194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00">
        <f t="shared" si="3"/>
        <v>0</v>
      </c>
      <c r="S38" s="201"/>
      <c r="T38" s="202"/>
      <c r="U38" s="246"/>
      <c r="V38" s="246"/>
      <c r="W38" s="246"/>
      <c r="BA38"/>
      <c r="BB38"/>
    </row>
    <row r="39" spans="1:54" s="191" customFormat="1" ht="13">
      <c r="A39" s="226"/>
      <c r="B39" s="180">
        <v>5005246281</v>
      </c>
      <c r="C39" s="183" t="str">
        <f>IFERROR(IF(VLOOKUP($B39,勘定科目!$A:$H,HLOOKUP($E$5,勘定科目!$F$1:$H$2,2,0),0)="","",VLOOKUP($B39,勘定科目!$A:$E,2,0)),"")</f>
        <v>図書印刷費（製）</v>
      </c>
      <c r="D39" s="239" t="str">
        <f>IF(C39="","",VLOOKUP($B39,勘定科目!$A:$E,4,0))</f>
        <v>図書及び事務費</v>
      </c>
      <c r="E39" s="245"/>
      <c r="F39" s="194"/>
      <c r="G39" s="247"/>
      <c r="H39" s="247"/>
      <c r="I39" s="247"/>
      <c r="J39" s="247">
        <f>58000*2</f>
        <v>116000</v>
      </c>
      <c r="K39" s="247"/>
      <c r="L39" s="247"/>
      <c r="M39" s="247"/>
      <c r="N39" s="247"/>
      <c r="O39" s="247"/>
      <c r="P39" s="247"/>
      <c r="Q39" s="247"/>
      <c r="R39" s="200">
        <f t="shared" si="3"/>
        <v>116000</v>
      </c>
      <c r="S39" s="201" t="s">
        <v>718</v>
      </c>
      <c r="T39" s="202"/>
      <c r="U39" s="246"/>
      <c r="V39" s="246"/>
      <c r="W39" s="246"/>
      <c r="BA39"/>
      <c r="BB39"/>
    </row>
    <row r="40" spans="1:54" s="191" customFormat="1" ht="13">
      <c r="A40" s="226"/>
      <c r="B40" s="180">
        <v>5005246288</v>
      </c>
      <c r="C40" s="183" t="str">
        <f>IFERROR(IF(VLOOKUP($B40,勘定科目!$A:$H,HLOOKUP($E$5,勘定科目!$F$1:$H$2,2,0),0)="","",VLOOKUP($B40,勘定科目!$A:$E,2,0)),"")</f>
        <v>事務用品費（製）</v>
      </c>
      <c r="D40" s="239" t="str">
        <f>IF(C40="","",VLOOKUP($B40,勘定科目!$A:$E,4,0))</f>
        <v>図書及び事務費</v>
      </c>
      <c r="E40" s="245"/>
      <c r="F40" s="194"/>
      <c r="G40" s="247"/>
      <c r="H40" s="247"/>
      <c r="I40" s="247"/>
      <c r="J40" s="247">
        <f>3600*2</f>
        <v>7200</v>
      </c>
      <c r="K40" s="247"/>
      <c r="L40" s="247"/>
      <c r="M40" s="247"/>
      <c r="N40" s="247"/>
      <c r="O40" s="247"/>
      <c r="P40" s="247"/>
      <c r="Q40" s="247"/>
      <c r="R40" s="200">
        <f t="shared" si="3"/>
        <v>7200</v>
      </c>
      <c r="S40" s="201" t="s">
        <v>719</v>
      </c>
      <c r="T40" s="202"/>
      <c r="U40" s="246"/>
      <c r="V40" s="246"/>
      <c r="W40" s="246"/>
      <c r="BA40"/>
      <c r="BB40"/>
    </row>
    <row r="41" spans="1:54" s="191" customFormat="1" ht="13">
      <c r="A41" s="226"/>
      <c r="B41" s="180">
        <v>5005246288</v>
      </c>
      <c r="C41" s="183" t="str">
        <f>IFERROR(IF(VLOOKUP($B41,勘定科目!$A:$H,HLOOKUP($E$5,勘定科目!$F$1:$H$2,2,0),0)="","",VLOOKUP($B41,勘定科目!$A:$E,2,0)),"")</f>
        <v>事務用品費（製）</v>
      </c>
      <c r="D41" s="239" t="str">
        <f>IF(C41="","",VLOOKUP($B41,勘定科目!$A:$E,4,0))</f>
        <v>図書及び事務費</v>
      </c>
      <c r="E41" s="245"/>
      <c r="F41" s="194"/>
      <c r="G41" s="247"/>
      <c r="H41" s="247"/>
      <c r="I41" s="247"/>
      <c r="J41" s="247">
        <f>3000*2</f>
        <v>6000</v>
      </c>
      <c r="K41" s="247"/>
      <c r="L41" s="247"/>
      <c r="M41" s="247"/>
      <c r="N41" s="247"/>
      <c r="O41" s="247"/>
      <c r="P41" s="247"/>
      <c r="Q41" s="247"/>
      <c r="R41" s="200">
        <f t="shared" si="3"/>
        <v>6000</v>
      </c>
      <c r="S41" s="201" t="s">
        <v>720</v>
      </c>
      <c r="T41" s="202"/>
      <c r="U41" s="246"/>
      <c r="V41" s="246"/>
      <c r="W41" s="246"/>
      <c r="BA41"/>
      <c r="BB41"/>
    </row>
    <row r="42" spans="1:54" s="191" customFormat="1" ht="13">
      <c r="A42" s="226"/>
      <c r="B42" s="180">
        <v>5005246288</v>
      </c>
      <c r="C42" s="183" t="str">
        <f>IFERROR(IF(VLOOKUP($B42,勘定科目!$A:$H,HLOOKUP($E$5,勘定科目!$F$1:$H$2,2,0),0)="","",VLOOKUP($B42,勘定科目!$A:$E,2,0)),"")</f>
        <v>事務用品費（製）</v>
      </c>
      <c r="D42" s="239" t="str">
        <f>IF(C42="","",VLOOKUP($B42,勘定科目!$A:$E,4,0))</f>
        <v>図書及び事務費</v>
      </c>
      <c r="E42" s="245"/>
      <c r="F42" s="194"/>
      <c r="G42" s="247"/>
      <c r="H42" s="247"/>
      <c r="I42" s="247"/>
      <c r="J42" s="247">
        <f>9100+4000</f>
        <v>13100</v>
      </c>
      <c r="K42" s="247"/>
      <c r="L42" s="247"/>
      <c r="M42" s="247"/>
      <c r="N42" s="247"/>
      <c r="O42" s="247"/>
      <c r="P42" s="247"/>
      <c r="Q42" s="247"/>
      <c r="R42" s="200">
        <f t="shared" si="3"/>
        <v>13100</v>
      </c>
      <c r="S42" s="201" t="s">
        <v>721</v>
      </c>
      <c r="T42" s="202"/>
      <c r="U42" s="246"/>
      <c r="V42" s="246"/>
      <c r="W42" s="246"/>
      <c r="BA42"/>
      <c r="BB42"/>
    </row>
    <row r="43" spans="1:54" s="191" customFormat="1" ht="13">
      <c r="A43" s="226"/>
      <c r="B43" s="180">
        <v>5005246281</v>
      </c>
      <c r="C43" s="183" t="str">
        <f>IFERROR(IF(VLOOKUP($B43,勘定科目!$A:$H,HLOOKUP($E$5,勘定科目!$F$1:$H$2,2,0),0)="","",VLOOKUP($B43,勘定科目!$A:$E,2,0)),"")</f>
        <v>図書印刷費（製）</v>
      </c>
      <c r="D43" s="239" t="str">
        <f>IF(C43="","",VLOOKUP($B43,勘定科目!$A:$E,4,0))</f>
        <v>図書及び事務費</v>
      </c>
      <c r="E43" s="245"/>
      <c r="F43" s="194"/>
      <c r="G43" s="247"/>
      <c r="H43" s="247"/>
      <c r="I43" s="247"/>
      <c r="J43" s="247">
        <f>(18000+9200)*2</f>
        <v>54400</v>
      </c>
      <c r="K43" s="247"/>
      <c r="L43" s="247"/>
      <c r="M43" s="247"/>
      <c r="N43" s="247"/>
      <c r="O43" s="247"/>
      <c r="P43" s="247"/>
      <c r="Q43" s="247"/>
      <c r="R43" s="200">
        <f t="shared" si="3"/>
        <v>54400</v>
      </c>
      <c r="S43" s="201" t="s">
        <v>722</v>
      </c>
      <c r="T43" s="202"/>
      <c r="U43" s="246"/>
      <c r="V43" s="246"/>
      <c r="W43" s="246"/>
      <c r="BA43"/>
      <c r="BB43"/>
    </row>
    <row r="44" spans="1:54" s="191" customFormat="1" ht="13">
      <c r="A44" s="226"/>
      <c r="B44" s="180">
        <v>5004086291</v>
      </c>
      <c r="C44" s="183" t="str">
        <f>IFERROR(IF(VLOOKUP($B44,勘定科目!$A:$H,HLOOKUP($E$5,勘定科目!$F$1:$H$2,2,0),0)="","",VLOOKUP($B44,勘定科目!$A:$E,2,0)),"")</f>
        <v>福利厚生費（製）</v>
      </c>
      <c r="D44" s="239" t="str">
        <f>IF(C44="","",VLOOKUP($B44,勘定科目!$A:$E,4,0))</f>
        <v>福利厚生費</v>
      </c>
      <c r="E44" s="245"/>
      <c r="F44" s="194"/>
      <c r="G44" s="247"/>
      <c r="H44" s="247"/>
      <c r="I44" s="247"/>
      <c r="J44" s="247"/>
      <c r="K44" s="247">
        <f>175000*2</f>
        <v>350000</v>
      </c>
      <c r="L44" s="247"/>
      <c r="M44" s="247"/>
      <c r="N44" s="247"/>
      <c r="O44" s="247"/>
      <c r="P44" s="247"/>
      <c r="Q44" s="247"/>
      <c r="R44" s="200">
        <f t="shared" si="3"/>
        <v>350000</v>
      </c>
      <c r="S44" s="201" t="s">
        <v>783</v>
      </c>
      <c r="T44" s="202"/>
      <c r="U44" s="246"/>
      <c r="V44" s="246"/>
      <c r="W44" s="246"/>
      <c r="BA44"/>
      <c r="BB44"/>
    </row>
    <row r="45" spans="1:54" s="191" customFormat="1" ht="13">
      <c r="A45" s="226"/>
      <c r="B45" s="180">
        <v>5004086291</v>
      </c>
      <c r="C45" s="183" t="str">
        <f>IFERROR(IF(VLOOKUP($B45,勘定科目!$A:$H,HLOOKUP($E$5,勘定科目!$F$1:$H$2,2,0),0)="","",VLOOKUP($B45,勘定科目!$A:$E,2,0)),"")</f>
        <v>福利厚生費（製）</v>
      </c>
      <c r="D45" s="239" t="str">
        <f>IF(C45="","",VLOOKUP($B45,勘定科目!$A:$E,4,0))</f>
        <v>福利厚生費</v>
      </c>
      <c r="E45" s="245"/>
      <c r="F45" s="194"/>
      <c r="G45" s="247"/>
      <c r="H45" s="247"/>
      <c r="I45" s="247"/>
      <c r="J45" s="247"/>
      <c r="K45" s="247"/>
      <c r="L45" s="247"/>
      <c r="M45" s="247"/>
      <c r="N45" s="247">
        <f>189000*27+204000*18</f>
        <v>8775000</v>
      </c>
      <c r="O45" s="247"/>
      <c r="P45" s="247"/>
      <c r="Q45" s="247"/>
      <c r="R45" s="200">
        <f t="shared" si="3"/>
        <v>8775000</v>
      </c>
      <c r="S45" s="201" t="s">
        <v>837</v>
      </c>
      <c r="T45" s="202"/>
      <c r="U45" s="246"/>
      <c r="V45" s="246"/>
      <c r="W45" s="246"/>
      <c r="BA45"/>
      <c r="BB45"/>
    </row>
    <row r="46" spans="1:54" s="191" customFormat="1" ht="13">
      <c r="A46" s="226"/>
      <c r="B46" s="180">
        <v>5004086291</v>
      </c>
      <c r="C46" s="183" t="str">
        <f>IFERROR(IF(VLOOKUP($B46,勘定科目!$A:$H,HLOOKUP($E$5,勘定科目!$F$1:$H$2,2,0),0)="","",VLOOKUP($B46,勘定科目!$A:$E,2,0)),"")</f>
        <v>福利厚生費（製）</v>
      </c>
      <c r="D46" s="239" t="str">
        <f>IF(C46="","",VLOOKUP($B46,勘定科目!$A:$E,4,0))</f>
        <v>福利厚生費</v>
      </c>
      <c r="E46" s="245"/>
      <c r="F46" s="194"/>
      <c r="G46" s="247"/>
      <c r="H46" s="247"/>
      <c r="I46" s="247">
        <f>100000*(I25-1)</f>
        <v>4400000</v>
      </c>
      <c r="J46" s="247"/>
      <c r="K46" s="247"/>
      <c r="L46" s="247"/>
      <c r="M46" s="247"/>
      <c r="N46" s="247"/>
      <c r="O46" s="247"/>
      <c r="P46" s="247"/>
      <c r="Q46" s="247"/>
      <c r="R46" s="200">
        <f t="shared" si="3"/>
        <v>4400000</v>
      </c>
      <c r="S46" s="201" t="s">
        <v>847</v>
      </c>
      <c r="T46" s="202"/>
      <c r="U46" s="246"/>
      <c r="V46" s="246"/>
      <c r="W46" s="246"/>
      <c r="BA46"/>
      <c r="BB46"/>
    </row>
    <row r="47" spans="1:54" s="191" customFormat="1" ht="13">
      <c r="A47" s="226"/>
      <c r="B47" s="180">
        <v>5004086291</v>
      </c>
      <c r="C47" s="183" t="str">
        <f>IFERROR(IF(VLOOKUP($B47,勘定科目!$A:$H,HLOOKUP($E$5,勘定科目!$F$1:$H$2,2,0),0)="","",VLOOKUP($B47,勘定科目!$A:$E,2,0)),"")</f>
        <v>福利厚生費（製）</v>
      </c>
      <c r="D47" s="239" t="str">
        <f>IF(C47="","",VLOOKUP($B47,勘定科目!$A:$E,4,0))</f>
        <v>福利厚生費</v>
      </c>
      <c r="E47" s="245"/>
      <c r="F47" s="194"/>
      <c r="G47" s="247">
        <f>1890000*(G25-1)</f>
        <v>83160000</v>
      </c>
      <c r="H47" s="247">
        <v>1323000</v>
      </c>
      <c r="I47" s="247"/>
      <c r="J47" s="247"/>
      <c r="K47" s="247"/>
      <c r="L47" s="247"/>
      <c r="M47" s="247"/>
      <c r="N47" s="247"/>
      <c r="O47" s="247"/>
      <c r="P47" s="247"/>
      <c r="Q47" s="247"/>
      <c r="R47" s="200">
        <f t="shared" si="3"/>
        <v>84483000</v>
      </c>
      <c r="S47" s="201" t="s">
        <v>851</v>
      </c>
      <c r="T47" s="202"/>
      <c r="U47" s="246"/>
      <c r="V47" s="246"/>
      <c r="W47" s="246"/>
      <c r="BA47"/>
      <c r="BB47"/>
    </row>
    <row r="48" spans="1:54" s="191" customFormat="1" ht="13">
      <c r="A48" s="226"/>
      <c r="B48" s="180">
        <v>5005246281</v>
      </c>
      <c r="C48" s="183" t="str">
        <f>IFERROR(IF(VLOOKUP($B48,勘定科目!$A:$H,HLOOKUP($E$5,勘定科目!$F$1:$H$2,2,0),0)="","",VLOOKUP($B48,勘定科目!$A:$E,2,0)),"")</f>
        <v>図書印刷費（製）</v>
      </c>
      <c r="D48" s="239" t="str">
        <f>IF(C48="","",VLOOKUP($B48,勘定科目!$A:$E,4,0))</f>
        <v>図書及び事務費</v>
      </c>
      <c r="E48" s="245"/>
      <c r="F48" s="194"/>
      <c r="G48" s="247"/>
      <c r="H48" s="247"/>
      <c r="I48" s="247"/>
      <c r="J48" s="247">
        <f>800*2</f>
        <v>1600</v>
      </c>
      <c r="K48" s="247"/>
      <c r="L48" s="247"/>
      <c r="M48" s="247">
        <f>800*M25</f>
        <v>37600</v>
      </c>
      <c r="N48" s="247"/>
      <c r="O48" s="247"/>
      <c r="P48" s="247"/>
      <c r="Q48" s="247"/>
      <c r="R48" s="200">
        <f t="shared" si="3"/>
        <v>39200</v>
      </c>
      <c r="S48" s="201" t="s">
        <v>784</v>
      </c>
      <c r="T48" s="202"/>
      <c r="U48" s="246"/>
      <c r="V48" s="246"/>
      <c r="W48" s="246"/>
      <c r="BA48"/>
      <c r="BB48"/>
    </row>
    <row r="49" spans="1:66" s="191" customFormat="1" ht="13">
      <c r="A49" s="226"/>
      <c r="B49" s="180">
        <v>5004086291</v>
      </c>
      <c r="C49" s="183" t="str">
        <f>IFERROR(IF(VLOOKUP($B49,勘定科目!$A:$H,HLOOKUP($E$5,勘定科目!$F$1:$H$2,2,0),0)="","",VLOOKUP($B49,勘定科目!$A:$E,2,0)),"")</f>
        <v>福利厚生費（製）</v>
      </c>
      <c r="D49" s="239" t="str">
        <f>IF(C49="","",VLOOKUP($B49,勘定科目!$A:$E,4,0))</f>
        <v>福利厚生費</v>
      </c>
      <c r="E49" s="245"/>
      <c r="F49" s="194"/>
      <c r="G49" s="247"/>
      <c r="H49" s="247"/>
      <c r="I49" s="247"/>
      <c r="J49" s="247">
        <f>84000+82000</f>
        <v>166000</v>
      </c>
      <c r="K49" s="247"/>
      <c r="L49" s="247"/>
      <c r="M49" s="247"/>
      <c r="N49" s="247"/>
      <c r="O49" s="247"/>
      <c r="P49" s="247"/>
      <c r="Q49" s="247"/>
      <c r="R49" s="200">
        <f t="shared" si="3"/>
        <v>166000</v>
      </c>
      <c r="S49" s="201" t="s">
        <v>723</v>
      </c>
      <c r="T49" s="202"/>
      <c r="U49" s="246"/>
      <c r="V49" s="246"/>
      <c r="W49" s="246"/>
      <c r="BA49"/>
      <c r="BB49"/>
    </row>
    <row r="50" spans="1:66" s="191" customFormat="1" ht="13">
      <c r="A50" s="226"/>
      <c r="B50" s="180">
        <v>5004086291</v>
      </c>
      <c r="C50" s="183" t="str">
        <f>IFERROR(IF(VLOOKUP($B50,勘定科目!$A:$H,HLOOKUP($E$5,勘定科目!$F$1:$H$2,2,0),0)="","",VLOOKUP($B50,勘定科目!$A:$E,2,0)),"")</f>
        <v>福利厚生費（製）</v>
      </c>
      <c r="D50" s="239" t="str">
        <f>IF(C50="","",VLOOKUP($B50,勘定科目!$A:$E,4,0))</f>
        <v>福利厚生費</v>
      </c>
      <c r="E50" s="245"/>
      <c r="F50" s="194"/>
      <c r="G50" s="247"/>
      <c r="H50" s="247"/>
      <c r="I50" s="247"/>
      <c r="J50" s="247">
        <f>33500*2+39000*2</f>
        <v>145000</v>
      </c>
      <c r="K50" s="247"/>
      <c r="L50" s="247"/>
      <c r="M50" s="247"/>
      <c r="N50" s="247"/>
      <c r="O50" s="247"/>
      <c r="P50" s="247"/>
      <c r="Q50" s="247"/>
      <c r="R50" s="200">
        <f t="shared" si="3"/>
        <v>145000</v>
      </c>
      <c r="S50" s="201" t="s">
        <v>782</v>
      </c>
      <c r="T50" s="202"/>
      <c r="U50" s="246"/>
      <c r="V50" s="246"/>
      <c r="W50" s="246"/>
      <c r="BA50"/>
      <c r="BB50"/>
    </row>
    <row r="51" spans="1:66" s="191" customFormat="1" ht="13">
      <c r="A51" s="226"/>
      <c r="B51" s="180">
        <v>5004086291</v>
      </c>
      <c r="C51" s="183" t="str">
        <f>IFERROR(IF(VLOOKUP($B51,勘定科目!$A:$H,HLOOKUP($E$5,勘定科目!$F$1:$H$2,2,0),0)="","",VLOOKUP($B51,勘定科目!$A:$E,2,0)),"")</f>
        <v>福利厚生費（製）</v>
      </c>
      <c r="D51" s="239" t="str">
        <f>IF(C51="","",VLOOKUP($B51,勘定科目!$A:$E,4,0))</f>
        <v>福利厚生費</v>
      </c>
      <c r="E51" s="245"/>
      <c r="F51" s="194"/>
      <c r="G51" s="247"/>
      <c r="H51" s="247"/>
      <c r="I51" s="247"/>
      <c r="J51" s="247">
        <f>116000*2*2</f>
        <v>464000</v>
      </c>
      <c r="K51" s="247"/>
      <c r="L51" s="247"/>
      <c r="M51" s="247"/>
      <c r="N51" s="247"/>
      <c r="O51" s="247"/>
      <c r="P51" s="247"/>
      <c r="Q51" s="247"/>
      <c r="R51" s="200">
        <f t="shared" si="3"/>
        <v>464000</v>
      </c>
      <c r="S51" s="201" t="s">
        <v>781</v>
      </c>
      <c r="T51" s="202"/>
      <c r="U51" s="246"/>
      <c r="V51" s="246"/>
      <c r="W51" s="246"/>
      <c r="BA51"/>
      <c r="BB51"/>
    </row>
    <row r="52" spans="1:66" s="191" customFormat="1" ht="13">
      <c r="A52" s="226"/>
      <c r="B52" s="180">
        <v>5004086291</v>
      </c>
      <c r="C52" s="183" t="str">
        <f>IFERROR(IF(VLOOKUP($B52,勘定科目!$A:$H,HLOOKUP($E$5,勘定科目!$F$1:$H$2,2,0),0)="","",VLOOKUP($B52,勘定科目!$A:$E,2,0)),"")</f>
        <v>福利厚生費（製）</v>
      </c>
      <c r="D52" s="239" t="str">
        <f>IF(C52="","",VLOOKUP($B52,勘定科目!$A:$E,4,0))</f>
        <v>福利厚生費</v>
      </c>
      <c r="E52" s="245"/>
      <c r="F52" s="194">
        <f>165000*2*(F25-1)</f>
        <v>14520000</v>
      </c>
      <c r="G52" s="247"/>
      <c r="H52" s="247"/>
      <c r="I52" s="247"/>
      <c r="J52" s="247">
        <f>165000*2*2+165000*2</f>
        <v>990000</v>
      </c>
      <c r="K52" s="247"/>
      <c r="L52" s="247"/>
      <c r="M52" s="247"/>
      <c r="N52" s="247"/>
      <c r="O52" s="247"/>
      <c r="P52" s="247"/>
      <c r="Q52" s="247"/>
      <c r="R52" s="200">
        <f t="shared" si="3"/>
        <v>15510000</v>
      </c>
      <c r="S52" s="201" t="s">
        <v>849</v>
      </c>
      <c r="T52" s="202"/>
      <c r="U52" s="246"/>
      <c r="V52" s="246"/>
      <c r="W52" s="246"/>
      <c r="BA52"/>
      <c r="BB52"/>
    </row>
    <row r="53" spans="1:66" s="191" customFormat="1" ht="13">
      <c r="A53" s="226"/>
      <c r="B53" s="180">
        <v>5004086291</v>
      </c>
      <c r="C53" s="183" t="str">
        <f>IFERROR(IF(VLOOKUP($B53,勘定科目!$A:$H,HLOOKUP($E$5,勘定科目!$F$1:$H$2,2,0),0)="","",VLOOKUP($B53,勘定科目!$A:$E,2,0)),"")</f>
        <v>福利厚生費（製）</v>
      </c>
      <c r="D53" s="239" t="str">
        <f>IF(C53="","",VLOOKUP($B53,勘定科目!$A:$E,4,0))</f>
        <v>福利厚生費</v>
      </c>
      <c r="E53" s="245"/>
      <c r="F53" s="194">
        <f>175000*2*(F25-1)</f>
        <v>15400000</v>
      </c>
      <c r="G53" s="247"/>
      <c r="H53" s="247"/>
      <c r="I53" s="247"/>
      <c r="J53" s="247">
        <f>175000*2</f>
        <v>350000</v>
      </c>
      <c r="K53" s="247"/>
      <c r="L53" s="247">
        <f>175000*2*2</f>
        <v>700000</v>
      </c>
      <c r="M53" s="247"/>
      <c r="N53" s="247"/>
      <c r="O53" s="247"/>
      <c r="P53" s="247"/>
      <c r="Q53" s="247"/>
      <c r="R53" s="200">
        <f t="shared" si="3"/>
        <v>16450000</v>
      </c>
      <c r="S53" s="201" t="s">
        <v>850</v>
      </c>
      <c r="T53" s="202"/>
      <c r="U53" s="246"/>
      <c r="V53" s="246"/>
      <c r="W53" s="246"/>
      <c r="BA53"/>
      <c r="BB53"/>
    </row>
    <row r="54" spans="1:66" s="191" customFormat="1" ht="13">
      <c r="A54" s="226"/>
      <c r="B54" s="180">
        <v>5004086291</v>
      </c>
      <c r="C54" s="183" t="str">
        <f>IFERROR(IF(VLOOKUP($B54,勘定科目!$A:$H,HLOOKUP($E$5,勘定科目!$F$1:$H$2,2,0),0)="","",VLOOKUP($B54,勘定科目!$A:$E,2,0)),"")</f>
        <v>福利厚生費（製）</v>
      </c>
      <c r="D54" s="239" t="str">
        <f>IF(C54="","",VLOOKUP($B54,勘定科目!$A:$E,4,0))</f>
        <v>福利厚生費</v>
      </c>
      <c r="E54" s="245"/>
      <c r="F54" s="194"/>
      <c r="G54" s="247"/>
      <c r="H54" s="247"/>
      <c r="I54" s="247"/>
      <c r="J54" s="247">
        <f>6800*2</f>
        <v>13600</v>
      </c>
      <c r="K54" s="247">
        <f>6800*32</f>
        <v>217600</v>
      </c>
      <c r="L54" s="247"/>
      <c r="M54" s="247"/>
      <c r="N54" s="247"/>
      <c r="O54" s="247"/>
      <c r="P54" s="247">
        <f>6800*32</f>
        <v>217600</v>
      </c>
      <c r="Q54" s="247"/>
      <c r="R54" s="200">
        <f t="shared" si="3"/>
        <v>448800</v>
      </c>
      <c r="S54" s="201" t="s">
        <v>843</v>
      </c>
      <c r="T54" s="202"/>
      <c r="U54" s="246"/>
      <c r="V54" s="246"/>
      <c r="W54" s="246"/>
      <c r="BA54"/>
      <c r="BB54"/>
    </row>
    <row r="55" spans="1:66" s="191" customFormat="1" ht="13">
      <c r="A55" s="226"/>
      <c r="B55" s="180"/>
      <c r="C55" s="183" t="str">
        <f>IFERROR(IF(VLOOKUP($B55,勘定科目!$A:$H,HLOOKUP($E$5,勘定科目!$F$1:$H$2,2,0),0)="","",VLOOKUP($B55,勘定科目!$A:$E,2,0)),"")</f>
        <v/>
      </c>
      <c r="D55" s="239" t="str">
        <f>IF(C55="","",VLOOKUP($B55,勘定科目!$A:$E,4,0))</f>
        <v/>
      </c>
      <c r="E55" s="245"/>
      <c r="F55" s="194"/>
      <c r="G55" s="247"/>
      <c r="H55" s="247"/>
      <c r="I55" s="247"/>
      <c r="J55" s="247"/>
      <c r="K55" s="247"/>
      <c r="L55" s="247"/>
      <c r="M55" s="247"/>
      <c r="N55" s="247"/>
      <c r="O55" s="247"/>
      <c r="P55" s="247"/>
      <c r="Q55" s="247"/>
      <c r="R55" s="200">
        <f t="shared" si="3"/>
        <v>0</v>
      </c>
      <c r="S55" s="201"/>
      <c r="T55" s="202"/>
      <c r="U55" s="246"/>
      <c r="V55" s="246"/>
      <c r="W55" s="246"/>
      <c r="BA55"/>
      <c r="BB55"/>
      <c r="BL55" s="191" t="s">
        <v>724</v>
      </c>
      <c r="BM55" s="191" t="s">
        <v>725</v>
      </c>
      <c r="BN55" s="191" t="s">
        <v>726</v>
      </c>
    </row>
    <row r="56" spans="1:66" s="191" customFormat="1" ht="13">
      <c r="A56" s="226"/>
      <c r="B56" s="180">
        <v>5005076281</v>
      </c>
      <c r="C56" s="183" t="str">
        <f>IFERROR(IF(VLOOKUP($B56,勘定科目!$A:$H,HLOOKUP($E$5,勘定科目!$F$1:$H$2,2,0),0)="","",VLOOKUP($B56,勘定科目!$A:$E,2,0)),"")</f>
        <v>通関申告費用（製）</v>
      </c>
      <c r="D56" s="239" t="str">
        <f>IF(C56="","",VLOOKUP($B56,勘定科目!$A:$E,4,0))</f>
        <v>荷造運賃</v>
      </c>
      <c r="E56" s="245"/>
      <c r="F56" s="194">
        <f t="shared" ref="F56:Q56" si="5">200*$B2</f>
        <v>5078000</v>
      </c>
      <c r="G56" s="247">
        <f t="shared" si="5"/>
        <v>5078000</v>
      </c>
      <c r="H56" s="247">
        <f t="shared" si="5"/>
        <v>5078000</v>
      </c>
      <c r="I56" s="247">
        <f t="shared" si="5"/>
        <v>5078000</v>
      </c>
      <c r="J56" s="247">
        <f t="shared" si="5"/>
        <v>5078000</v>
      </c>
      <c r="K56" s="247">
        <f t="shared" si="5"/>
        <v>5078000</v>
      </c>
      <c r="L56" s="247">
        <f t="shared" si="5"/>
        <v>5078000</v>
      </c>
      <c r="M56" s="247">
        <f t="shared" si="5"/>
        <v>5078000</v>
      </c>
      <c r="N56" s="247">
        <f t="shared" si="5"/>
        <v>5078000</v>
      </c>
      <c r="O56" s="247">
        <f t="shared" si="5"/>
        <v>5078000</v>
      </c>
      <c r="P56" s="247">
        <f t="shared" si="5"/>
        <v>5078000</v>
      </c>
      <c r="Q56" s="247">
        <f t="shared" si="5"/>
        <v>5078000</v>
      </c>
      <c r="R56" s="200">
        <f t="shared" si="3"/>
        <v>60936000</v>
      </c>
      <c r="S56" s="201" t="s">
        <v>826</v>
      </c>
      <c r="T56" s="202"/>
      <c r="U56" s="246"/>
      <c r="V56" s="246"/>
      <c r="W56" s="246"/>
      <c r="BA56"/>
      <c r="BB56"/>
      <c r="BL56" s="191">
        <v>5005076281</v>
      </c>
      <c r="BM56" s="191">
        <v>953333</v>
      </c>
      <c r="BN56" s="191">
        <v>953333</v>
      </c>
    </row>
    <row r="57" spans="1:66" s="191" customFormat="1" ht="13">
      <c r="A57" s="226"/>
      <c r="B57" s="180">
        <v>5005076283</v>
      </c>
      <c r="C57" s="183" t="str">
        <f>IFERROR(IF(VLOOKUP($B57,勘定科目!$A:$H,HLOOKUP($E$5,勘定科目!$F$1:$H$2,2,0),0)="","",VLOOKUP($B57,勘定科目!$A:$E,2,0)),"")</f>
        <v>輸入航空運賃（製）</v>
      </c>
      <c r="D57" s="239" t="str">
        <f>IF(C57="","",VLOOKUP($B57,勘定科目!$A:$E,4,0))</f>
        <v>荷造運賃</v>
      </c>
      <c r="E57" s="245"/>
      <c r="F57" s="194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00">
        <f t="shared" si="3"/>
        <v>0</v>
      </c>
      <c r="S57" s="201" t="s">
        <v>727</v>
      </c>
      <c r="T57" s="202"/>
      <c r="U57" s="246"/>
      <c r="V57" s="246"/>
      <c r="W57" s="246"/>
      <c r="BA57"/>
      <c r="BB57"/>
      <c r="BL57" s="191">
        <v>5005076283</v>
      </c>
    </row>
    <row r="58" spans="1:66" s="191" customFormat="1" ht="13">
      <c r="A58" s="226"/>
      <c r="B58" s="180">
        <v>5005076289</v>
      </c>
      <c r="C58" s="183" t="str">
        <f>IFERROR(IF(VLOOKUP($B58,勘定科目!$A:$H,HLOOKUP($E$5,勘定科目!$F$1:$H$2,2,0),0)="","",VLOOKUP($B58,勘定科目!$A:$E,2,0)),"")</f>
        <v>クーリエ費用（製）</v>
      </c>
      <c r="D58" s="239" t="str">
        <f>IF(C58="","",VLOOKUP($B58,勘定科目!$A:$E,4,0))</f>
        <v>荷造運賃</v>
      </c>
      <c r="E58" s="245"/>
      <c r="F58" s="194"/>
      <c r="G58" s="247"/>
      <c r="H58" s="247"/>
      <c r="I58" s="247"/>
      <c r="J58" s="247"/>
      <c r="K58" s="247"/>
      <c r="L58" s="247"/>
      <c r="M58" s="247"/>
      <c r="N58" s="247"/>
      <c r="O58" s="247"/>
      <c r="P58" s="247"/>
      <c r="Q58" s="247"/>
      <c r="R58" s="200">
        <f t="shared" si="3"/>
        <v>0</v>
      </c>
      <c r="S58" s="201" t="s">
        <v>728</v>
      </c>
      <c r="T58" s="202"/>
      <c r="U58" s="246"/>
      <c r="V58" s="246"/>
      <c r="W58" s="246"/>
      <c r="BA58"/>
      <c r="BB58"/>
      <c r="BL58" s="191">
        <v>5005076289</v>
      </c>
    </row>
    <row r="59" spans="1:66" s="191" customFormat="1" ht="13">
      <c r="A59" s="226"/>
      <c r="B59" s="180">
        <v>5005076284</v>
      </c>
      <c r="C59" s="183" t="str">
        <f>IFERROR(IF(VLOOKUP($B59,勘定科目!$A:$H,HLOOKUP($E$5,勘定科目!$F$1:$H$2,2,0),0)="","",VLOOKUP($B59,勘定科目!$A:$E,2,0)),"")</f>
        <v>輸入海上運賃（製）</v>
      </c>
      <c r="D59" s="239" t="str">
        <f>IF(C59="","",VLOOKUP($B59,勘定科目!$A:$E,4,0))</f>
        <v>荷造運賃</v>
      </c>
      <c r="E59" s="245"/>
      <c r="F59" s="194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00">
        <f t="shared" si="3"/>
        <v>0</v>
      </c>
      <c r="S59" s="201" t="s">
        <v>729</v>
      </c>
      <c r="T59" s="202"/>
      <c r="U59" s="246"/>
      <c r="V59" s="246"/>
      <c r="W59" s="246"/>
      <c r="BA59"/>
      <c r="BB59"/>
      <c r="BL59" s="191">
        <v>5005076284</v>
      </c>
    </row>
    <row r="60" spans="1:66" s="191" customFormat="1" ht="13">
      <c r="A60" s="226"/>
      <c r="B60" s="180"/>
      <c r="C60" s="183" t="str">
        <f>IFERROR(IF(VLOOKUP($B60,勘定科目!$A:$H,HLOOKUP($E$5,勘定科目!$F$1:$H$2,2,0),0)="","",VLOOKUP($B60,勘定科目!$A:$E,2,0)),"")</f>
        <v/>
      </c>
      <c r="D60" s="239" t="str">
        <f>IF(C60="","",VLOOKUP($B60,勘定科目!$A:$E,4,0))</f>
        <v/>
      </c>
      <c r="E60" s="245"/>
      <c r="F60" s="194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00">
        <f t="shared" si="3"/>
        <v>0</v>
      </c>
      <c r="S60" s="201"/>
      <c r="T60" s="202"/>
      <c r="U60" s="246"/>
      <c r="V60" s="300" t="s">
        <v>730</v>
      </c>
      <c r="W60" s="301" t="s">
        <v>787</v>
      </c>
      <c r="X60" s="301" t="s">
        <v>788</v>
      </c>
      <c r="Y60" s="301" t="s">
        <v>789</v>
      </c>
      <c r="Z60" s="301" t="s">
        <v>790</v>
      </c>
      <c r="AA60" s="301" t="s">
        <v>791</v>
      </c>
      <c r="AB60" s="301" t="s">
        <v>792</v>
      </c>
      <c r="AC60" s="301" t="s">
        <v>793</v>
      </c>
      <c r="AD60" s="301" t="s">
        <v>794</v>
      </c>
      <c r="AE60" s="301" t="s">
        <v>795</v>
      </c>
      <c r="AF60" s="301" t="s">
        <v>796</v>
      </c>
      <c r="AG60" s="301" t="s">
        <v>797</v>
      </c>
      <c r="AH60" s="301" t="s">
        <v>798</v>
      </c>
      <c r="BA60"/>
      <c r="BB60"/>
      <c r="BE60" s="191" t="s">
        <v>730</v>
      </c>
      <c r="BF60" s="191" t="s">
        <v>725</v>
      </c>
      <c r="BG60" s="191" t="s">
        <v>726</v>
      </c>
      <c r="BI60" s="191" t="e">
        <v>#REF!</v>
      </c>
      <c r="BJ60" s="191" t="e">
        <v>#REF!</v>
      </c>
    </row>
    <row r="61" spans="1:66" s="191" customFormat="1" ht="13">
      <c r="A61" s="226"/>
      <c r="B61" s="180">
        <v>5005246282</v>
      </c>
      <c r="C61" s="183" t="str">
        <f>IFERROR(IF(VLOOKUP($B61,勘定科目!$A:$H,HLOOKUP($E$5,勘定科目!$F$1:$H$2,2,0),0)="","",VLOOKUP($B61,勘定科目!$A:$E,2,0)),"")</f>
        <v>ＫＤＣシステム使用料（製）</v>
      </c>
      <c r="D61" s="239" t="str">
        <f>IF(C61="","",VLOOKUP($B61,勘定科目!$A:$E,4,0))</f>
        <v>図書及び事務費</v>
      </c>
      <c r="E61" s="245"/>
      <c r="F61" s="194">
        <f>ROUND(W61,0)</f>
        <v>4364541</v>
      </c>
      <c r="G61" s="247">
        <f t="shared" ref="G61:Q64" si="6">ROUND(X61,0)</f>
        <v>4364541</v>
      </c>
      <c r="H61" s="247">
        <f t="shared" si="6"/>
        <v>4364541</v>
      </c>
      <c r="I61" s="247">
        <f t="shared" si="6"/>
        <v>4364541</v>
      </c>
      <c r="J61" s="247">
        <f t="shared" si="6"/>
        <v>4364541</v>
      </c>
      <c r="K61" s="247">
        <f t="shared" ref="K61:Q61" si="7">ROUND(AB61+11.46*$B2,0)</f>
        <v>4655510</v>
      </c>
      <c r="L61" s="247">
        <f t="shared" si="7"/>
        <v>4655510</v>
      </c>
      <c r="M61" s="247">
        <f t="shared" si="7"/>
        <v>4655510</v>
      </c>
      <c r="N61" s="247">
        <f t="shared" si="7"/>
        <v>4655510</v>
      </c>
      <c r="O61" s="247">
        <f t="shared" si="7"/>
        <v>4655510</v>
      </c>
      <c r="P61" s="247">
        <f t="shared" si="7"/>
        <v>4655510</v>
      </c>
      <c r="Q61" s="247">
        <f t="shared" si="7"/>
        <v>4655510</v>
      </c>
      <c r="R61" s="200">
        <f t="shared" si="3"/>
        <v>54411275</v>
      </c>
      <c r="S61" s="201" t="s">
        <v>799</v>
      </c>
      <c r="T61" s="202"/>
      <c r="U61" s="246"/>
      <c r="V61" s="300" t="s">
        <v>692</v>
      </c>
      <c r="W61" s="306">
        <v>4364541</v>
      </c>
      <c r="X61" s="306">
        <v>4364541</v>
      </c>
      <c r="Y61" s="306">
        <v>4364541</v>
      </c>
      <c r="Z61" s="306">
        <v>4364541</v>
      </c>
      <c r="AA61" s="306">
        <v>4364541</v>
      </c>
      <c r="AB61" s="306">
        <v>4364541</v>
      </c>
      <c r="AC61" s="306">
        <v>4364541</v>
      </c>
      <c r="AD61" s="306">
        <v>4364541</v>
      </c>
      <c r="AE61" s="306">
        <v>4364541</v>
      </c>
      <c r="AF61" s="306">
        <v>4364541</v>
      </c>
      <c r="AG61" s="306">
        <v>4364541</v>
      </c>
      <c r="AH61" s="306">
        <v>4364541</v>
      </c>
      <c r="BA61"/>
      <c r="BB61"/>
      <c r="BE61" s="191" t="s">
        <v>692</v>
      </c>
      <c r="BF61" s="191">
        <v>2681714</v>
      </c>
      <c r="BG61" s="191">
        <v>2681714</v>
      </c>
      <c r="BI61" s="191">
        <v>2681714</v>
      </c>
      <c r="BJ61" s="191">
        <v>2681714</v>
      </c>
    </row>
    <row r="62" spans="1:66" s="191" customFormat="1" ht="13">
      <c r="A62" s="226"/>
      <c r="B62" s="180">
        <v>5005246282</v>
      </c>
      <c r="C62" s="183" t="str">
        <f>IFERROR(IF(VLOOKUP($B62,勘定科目!$A:$H,HLOOKUP($E$5,勘定科目!$F$1:$H$2,2,0),0)="","",VLOOKUP($B62,勘定科目!$A:$E,2,0)),"")</f>
        <v>ＫＤＣシステム使用料（製）</v>
      </c>
      <c r="D62" s="239" t="str">
        <f>IF(C62="","",VLOOKUP($B62,勘定科目!$A:$E,4,0))</f>
        <v>図書及び事務費</v>
      </c>
      <c r="E62" s="245"/>
      <c r="F62" s="194">
        <f>ROUND(W62,0)</f>
        <v>4101501</v>
      </c>
      <c r="G62" s="247">
        <f t="shared" si="6"/>
        <v>4101501</v>
      </c>
      <c r="H62" s="247">
        <f t="shared" si="6"/>
        <v>4101501</v>
      </c>
      <c r="I62" s="247">
        <f t="shared" si="6"/>
        <v>4101501</v>
      </c>
      <c r="J62" s="247">
        <f t="shared" si="6"/>
        <v>4101501</v>
      </c>
      <c r="K62" s="247">
        <f t="shared" si="6"/>
        <v>4101501</v>
      </c>
      <c r="L62" s="247">
        <f t="shared" si="6"/>
        <v>4101501</v>
      </c>
      <c r="M62" s="247">
        <f t="shared" si="6"/>
        <v>4101501</v>
      </c>
      <c r="N62" s="247">
        <f t="shared" si="6"/>
        <v>4101501</v>
      </c>
      <c r="O62" s="247">
        <f t="shared" si="6"/>
        <v>4101501</v>
      </c>
      <c r="P62" s="247">
        <f t="shared" si="6"/>
        <v>4101501</v>
      </c>
      <c r="Q62" s="247">
        <f t="shared" si="6"/>
        <v>4101501</v>
      </c>
      <c r="R62" s="200">
        <f t="shared" si="3"/>
        <v>49218012</v>
      </c>
      <c r="S62" s="201" t="s">
        <v>731</v>
      </c>
      <c r="T62" s="202"/>
      <c r="U62" s="246"/>
      <c r="V62" s="300" t="s">
        <v>693</v>
      </c>
      <c r="W62" s="306">
        <v>4101501</v>
      </c>
      <c r="X62" s="306">
        <v>4101501</v>
      </c>
      <c r="Y62" s="306">
        <v>4101501</v>
      </c>
      <c r="Z62" s="306">
        <v>4101501</v>
      </c>
      <c r="AA62" s="306">
        <v>4101501</v>
      </c>
      <c r="AB62" s="306">
        <v>4101501</v>
      </c>
      <c r="AC62" s="306">
        <v>4101501</v>
      </c>
      <c r="AD62" s="306">
        <v>4101501</v>
      </c>
      <c r="AE62" s="306">
        <v>4101501</v>
      </c>
      <c r="AF62" s="306">
        <v>4101501</v>
      </c>
      <c r="AG62" s="306">
        <v>4101501</v>
      </c>
      <c r="AH62" s="306">
        <v>4101501</v>
      </c>
      <c r="BA62"/>
      <c r="BB62"/>
      <c r="BE62" s="191" t="s">
        <v>693</v>
      </c>
      <c r="BF62" s="191">
        <v>9458400</v>
      </c>
      <c r="BG62" s="191">
        <v>9458400</v>
      </c>
      <c r="BI62" s="191">
        <v>9458400</v>
      </c>
      <c r="BJ62" s="191">
        <v>9458400</v>
      </c>
    </row>
    <row r="63" spans="1:66" s="191" customFormat="1" ht="13">
      <c r="A63" s="226"/>
      <c r="B63" s="180">
        <v>5005246282</v>
      </c>
      <c r="C63" s="183" t="str">
        <f>IFERROR(IF(VLOOKUP($B63,勘定科目!$A:$H,HLOOKUP($E$5,勘定科目!$F$1:$H$2,2,0),0)="","",VLOOKUP($B63,勘定科目!$A:$E,2,0)),"")</f>
        <v>ＫＤＣシステム使用料（製）</v>
      </c>
      <c r="D63" s="239" t="str">
        <f>IF(C63="","",VLOOKUP($B63,勘定科目!$A:$E,4,0))</f>
        <v>図書及び事務費</v>
      </c>
      <c r="E63" s="245"/>
      <c r="F63" s="194">
        <f>ROUND(W63,0)</f>
        <v>2325470</v>
      </c>
      <c r="G63" s="247">
        <f t="shared" si="6"/>
        <v>2325470</v>
      </c>
      <c r="H63" s="247">
        <f t="shared" si="6"/>
        <v>2325470</v>
      </c>
      <c r="I63" s="247">
        <f t="shared" si="6"/>
        <v>2325470</v>
      </c>
      <c r="J63" s="247">
        <f t="shared" si="6"/>
        <v>2325470</v>
      </c>
      <c r="K63" s="247">
        <f t="shared" si="6"/>
        <v>2325470</v>
      </c>
      <c r="L63" s="247">
        <f t="shared" si="6"/>
        <v>2325470</v>
      </c>
      <c r="M63" s="247">
        <f t="shared" si="6"/>
        <v>2325470</v>
      </c>
      <c r="N63" s="247">
        <f t="shared" si="6"/>
        <v>2325470</v>
      </c>
      <c r="O63" s="247">
        <f t="shared" si="6"/>
        <v>2325470</v>
      </c>
      <c r="P63" s="247">
        <f t="shared" si="6"/>
        <v>2325470</v>
      </c>
      <c r="Q63" s="247">
        <f t="shared" si="6"/>
        <v>2325470</v>
      </c>
      <c r="R63" s="200">
        <f t="shared" si="3"/>
        <v>27905640</v>
      </c>
      <c r="S63" s="201" t="s">
        <v>732</v>
      </c>
      <c r="T63" s="202"/>
      <c r="U63" s="246"/>
      <c r="V63" s="300" t="s">
        <v>694</v>
      </c>
      <c r="W63" s="306">
        <v>2325470</v>
      </c>
      <c r="X63" s="306">
        <v>2325470</v>
      </c>
      <c r="Y63" s="306">
        <v>2325470</v>
      </c>
      <c r="Z63" s="306">
        <v>2325470</v>
      </c>
      <c r="AA63" s="306">
        <v>2325470</v>
      </c>
      <c r="AB63" s="306">
        <v>2325470</v>
      </c>
      <c r="AC63" s="306">
        <v>2325470</v>
      </c>
      <c r="AD63" s="306">
        <v>2325470</v>
      </c>
      <c r="AE63" s="306">
        <v>2325470</v>
      </c>
      <c r="AF63" s="306">
        <v>2325470</v>
      </c>
      <c r="AG63" s="306">
        <v>2325470</v>
      </c>
      <c r="AH63" s="306">
        <v>2325470</v>
      </c>
      <c r="BA63"/>
      <c r="BB63"/>
      <c r="BE63" s="191" t="s">
        <v>694</v>
      </c>
      <c r="BF63" s="191">
        <v>2355344</v>
      </c>
      <c r="BG63" s="191">
        <v>2355344</v>
      </c>
      <c r="BI63" s="191">
        <v>2355344</v>
      </c>
      <c r="BJ63" s="191">
        <v>2355344</v>
      </c>
    </row>
    <row r="64" spans="1:66" s="191" customFormat="1" ht="13">
      <c r="A64" s="226"/>
      <c r="B64" s="180">
        <v>5005246282</v>
      </c>
      <c r="C64" s="183" t="str">
        <f>IFERROR(IF(VLOOKUP($B64,勘定科目!$A:$H,HLOOKUP($E$5,勘定科目!$F$1:$H$2,2,0),0)="","",VLOOKUP($B64,勘定科目!$A:$E,2,0)),"")</f>
        <v>ＫＤＣシステム使用料（製）</v>
      </c>
      <c r="D64" s="239" t="str">
        <f>IF(C64="","",VLOOKUP($B64,勘定科目!$A:$E,4,0))</f>
        <v>図書及び事務費</v>
      </c>
      <c r="E64" s="245"/>
      <c r="F64" s="194">
        <f>ROUND(W64,0)</f>
        <v>47726091</v>
      </c>
      <c r="G64" s="247">
        <f t="shared" si="6"/>
        <v>47726091</v>
      </c>
      <c r="H64" s="247">
        <f t="shared" si="6"/>
        <v>47726091</v>
      </c>
      <c r="I64" s="247">
        <f t="shared" si="6"/>
        <v>47726091</v>
      </c>
      <c r="J64" s="247">
        <f t="shared" si="6"/>
        <v>47726091</v>
      </c>
      <c r="K64" s="247">
        <f t="shared" si="6"/>
        <v>47726091</v>
      </c>
      <c r="L64" s="247">
        <f t="shared" si="6"/>
        <v>47726091</v>
      </c>
      <c r="M64" s="247">
        <f t="shared" si="6"/>
        <v>47726091</v>
      </c>
      <c r="N64" s="247">
        <f t="shared" si="6"/>
        <v>47726091</v>
      </c>
      <c r="O64" s="247">
        <f t="shared" si="6"/>
        <v>47726091</v>
      </c>
      <c r="P64" s="247">
        <f t="shared" si="6"/>
        <v>47726091</v>
      </c>
      <c r="Q64" s="247">
        <f t="shared" si="6"/>
        <v>47726091</v>
      </c>
      <c r="R64" s="200">
        <f t="shared" si="3"/>
        <v>572713092</v>
      </c>
      <c r="S64" s="201" t="s">
        <v>733</v>
      </c>
      <c r="T64" s="202"/>
      <c r="U64" s="246"/>
      <c r="V64" s="300" t="s">
        <v>734</v>
      </c>
      <c r="W64" s="306">
        <v>47726091</v>
      </c>
      <c r="X64" s="306">
        <v>47726091</v>
      </c>
      <c r="Y64" s="306">
        <v>47726091</v>
      </c>
      <c r="Z64" s="306">
        <v>47726091</v>
      </c>
      <c r="AA64" s="306">
        <v>47726091</v>
      </c>
      <c r="AB64" s="306">
        <v>47726091</v>
      </c>
      <c r="AC64" s="306">
        <v>47726091</v>
      </c>
      <c r="AD64" s="306">
        <v>47726091</v>
      </c>
      <c r="AE64" s="306">
        <v>47726091</v>
      </c>
      <c r="AF64" s="306">
        <v>47726091</v>
      </c>
      <c r="AG64" s="306">
        <v>47726091</v>
      </c>
      <c r="AH64" s="306">
        <v>47726091</v>
      </c>
      <c r="BA64"/>
      <c r="BB64"/>
      <c r="BE64" s="191" t="s">
        <v>734</v>
      </c>
      <c r="BF64" s="191">
        <v>52320435</v>
      </c>
      <c r="BG64" s="191">
        <v>52320435</v>
      </c>
      <c r="BI64" s="191">
        <v>52320435</v>
      </c>
      <c r="BJ64" s="191">
        <v>52320435</v>
      </c>
    </row>
    <row r="65" spans="1:66" s="191" customFormat="1" ht="13">
      <c r="A65" s="226"/>
      <c r="B65" s="180">
        <v>5005246282</v>
      </c>
      <c r="C65" s="183" t="str">
        <f>IFERROR(IF(VLOOKUP($B65,勘定科目!$A:$H,HLOOKUP($E$5,勘定科目!$F$1:$H$2,2,0),0)="","",VLOOKUP($B65,勘定科目!$A:$E,2,0)),"")</f>
        <v>ＫＤＣシステム使用料（製）</v>
      </c>
      <c r="D65" s="239" t="str">
        <f>IF(C65="","",VLOOKUP($B65,勘定科目!$A:$E,4,0))</f>
        <v>図書及び事務費</v>
      </c>
      <c r="E65" s="245"/>
      <c r="F65" s="194">
        <f>ROUND(1336*161.47,0)</f>
        <v>215724</v>
      </c>
      <c r="G65" s="247">
        <f t="shared" ref="G65:Q65" si="8">ROUND(1336*161.47,0)</f>
        <v>215724</v>
      </c>
      <c r="H65" s="247">
        <f t="shared" si="8"/>
        <v>215724</v>
      </c>
      <c r="I65" s="247">
        <f t="shared" si="8"/>
        <v>215724</v>
      </c>
      <c r="J65" s="247">
        <f t="shared" si="8"/>
        <v>215724</v>
      </c>
      <c r="K65" s="247">
        <f t="shared" si="8"/>
        <v>215724</v>
      </c>
      <c r="L65" s="247">
        <f t="shared" si="8"/>
        <v>215724</v>
      </c>
      <c r="M65" s="247">
        <f t="shared" si="8"/>
        <v>215724</v>
      </c>
      <c r="N65" s="247">
        <f t="shared" si="8"/>
        <v>215724</v>
      </c>
      <c r="O65" s="247">
        <f t="shared" si="8"/>
        <v>215724</v>
      </c>
      <c r="P65" s="247">
        <f t="shared" si="8"/>
        <v>215724</v>
      </c>
      <c r="Q65" s="247">
        <f t="shared" si="8"/>
        <v>215724</v>
      </c>
      <c r="R65" s="200">
        <f t="shared" si="3"/>
        <v>2588688</v>
      </c>
      <c r="S65" s="201" t="s">
        <v>786</v>
      </c>
      <c r="T65" s="202"/>
      <c r="U65" s="246"/>
      <c r="V65" s="246"/>
      <c r="W65" s="246"/>
      <c r="BA65"/>
      <c r="BB65"/>
    </row>
    <row r="66" spans="1:66" s="191" customFormat="1" ht="13">
      <c r="A66" s="226"/>
      <c r="B66" s="180"/>
      <c r="C66" s="183" t="str">
        <f>IFERROR(IF(VLOOKUP($B66,勘定科目!$A:$H,HLOOKUP($E$5,勘定科目!$F$1:$H$2,2,0),0)="","",VLOOKUP($B66,勘定科目!$A:$E,2,0)),"")</f>
        <v/>
      </c>
      <c r="D66" s="239" t="str">
        <f>IF(C66="","",VLOOKUP($B66,勘定科目!$A:$E,4,0))</f>
        <v/>
      </c>
      <c r="E66" s="245"/>
      <c r="F66" s="194"/>
      <c r="G66" s="247"/>
      <c r="H66" s="247"/>
      <c r="I66" s="247"/>
      <c r="J66" s="247"/>
      <c r="K66" s="247"/>
      <c r="L66" s="247"/>
      <c r="M66" s="247"/>
      <c r="N66" s="247"/>
      <c r="O66" s="247"/>
      <c r="P66" s="247"/>
      <c r="Q66" s="247"/>
      <c r="R66" s="200">
        <f t="shared" si="3"/>
        <v>0</v>
      </c>
      <c r="S66" s="201"/>
      <c r="T66" s="202"/>
      <c r="U66" s="246"/>
      <c r="V66" s="246"/>
      <c r="W66" s="246"/>
      <c r="BA66"/>
      <c r="BB66"/>
      <c r="BN66" s="191" t="s">
        <v>735</v>
      </c>
    </row>
    <row r="67" spans="1:66" s="191" customFormat="1" ht="13">
      <c r="A67" s="226"/>
      <c r="B67" s="180"/>
      <c r="C67" s="183" t="str">
        <f>IFERROR(IF(VLOOKUP($B67,勘定科目!$A:$H,HLOOKUP($E$5,勘定科目!$F$1:$H$2,2,0),0)="","",VLOOKUP($B67,勘定科目!$A:$E,2,0)),"")</f>
        <v/>
      </c>
      <c r="D67" s="239" t="str">
        <f>IF(C67="","",VLOOKUP($B67,勘定科目!$A:$E,4,0))</f>
        <v/>
      </c>
      <c r="E67" s="245"/>
      <c r="F67" s="194"/>
      <c r="G67" s="247"/>
      <c r="H67" s="247"/>
      <c r="I67" s="247"/>
      <c r="J67" s="247"/>
      <c r="K67" s="247"/>
      <c r="L67" s="247"/>
      <c r="M67" s="247"/>
      <c r="N67" s="247"/>
      <c r="O67" s="247"/>
      <c r="P67" s="247"/>
      <c r="Q67" s="247"/>
      <c r="R67" s="200">
        <f t="shared" ref="R67" si="9">SUM(F67:Q67)</f>
        <v>0</v>
      </c>
      <c r="S67" s="201"/>
      <c r="T67" s="202"/>
      <c r="U67" s="246"/>
      <c r="V67" s="303" t="s">
        <v>735</v>
      </c>
      <c r="W67" s="301" t="s">
        <v>787</v>
      </c>
      <c r="X67" s="301" t="s">
        <v>788</v>
      </c>
      <c r="Y67" s="301" t="s">
        <v>789</v>
      </c>
      <c r="Z67" s="301" t="s">
        <v>790</v>
      </c>
      <c r="AA67" s="301" t="s">
        <v>791</v>
      </c>
      <c r="AB67" s="301" t="s">
        <v>792</v>
      </c>
      <c r="AC67" s="301" t="s">
        <v>793</v>
      </c>
      <c r="AD67" s="301" t="s">
        <v>794</v>
      </c>
      <c r="AE67" s="301" t="s">
        <v>795</v>
      </c>
      <c r="AF67" s="301" t="s">
        <v>796</v>
      </c>
      <c r="AG67" s="301" t="s">
        <v>797</v>
      </c>
      <c r="AH67" s="301" t="s">
        <v>798</v>
      </c>
      <c r="BA67"/>
      <c r="BB67"/>
      <c r="BN67" s="191" t="s">
        <v>735</v>
      </c>
    </row>
    <row r="68" spans="1:66" s="191" customFormat="1" ht="13">
      <c r="A68" s="226"/>
      <c r="B68" s="180">
        <v>5006016241</v>
      </c>
      <c r="C68" s="183" t="str">
        <f>IFERROR(IF(VLOOKUP($B68,勘定科目!$A:$H,HLOOKUP($E$5,勘定科目!$F$1:$H$2,2,0),0)="","",VLOOKUP($B68,勘定科目!$A:$E,2,0)),"")</f>
        <v>減価償却費（製）　建物</v>
      </c>
      <c r="D68" s="239" t="str">
        <f>IF(C68="","",VLOOKUP($B68,勘定科目!$A:$E,4,0))</f>
        <v>減価償却費</v>
      </c>
      <c r="E68" s="245"/>
      <c r="F68" s="194">
        <f t="shared" ref="F68:Q68" si="10">ROUND(W68*$B2,0)</f>
        <v>40700678</v>
      </c>
      <c r="G68" s="247">
        <f t="shared" si="10"/>
        <v>40633648</v>
      </c>
      <c r="H68" s="247">
        <f t="shared" si="10"/>
        <v>40650406</v>
      </c>
      <c r="I68" s="247">
        <f t="shared" si="10"/>
        <v>40311703</v>
      </c>
      <c r="J68" s="247">
        <f t="shared" si="10"/>
        <v>40349280</v>
      </c>
      <c r="K68" s="247">
        <f t="shared" si="10"/>
        <v>39931615</v>
      </c>
      <c r="L68" s="247">
        <f t="shared" si="10"/>
        <v>39538324</v>
      </c>
      <c r="M68" s="247">
        <f t="shared" si="10"/>
        <v>39530453</v>
      </c>
      <c r="N68" s="247">
        <f t="shared" si="10"/>
        <v>39541370</v>
      </c>
      <c r="O68" s="247">
        <f t="shared" si="10"/>
        <v>39467739</v>
      </c>
      <c r="P68" s="247">
        <f t="shared" si="10"/>
        <v>39230597</v>
      </c>
      <c r="Q68" s="247">
        <f t="shared" si="10"/>
        <v>39418229</v>
      </c>
      <c r="R68" s="200">
        <f t="shared" si="3"/>
        <v>479304042</v>
      </c>
      <c r="S68" s="201" t="s">
        <v>736</v>
      </c>
      <c r="T68" s="202"/>
      <c r="U68" s="246"/>
      <c r="V68" s="303" t="s">
        <v>737</v>
      </c>
      <c r="W68" s="304">
        <v>1603.02</v>
      </c>
      <c r="X68" s="304">
        <v>1600.38</v>
      </c>
      <c r="Y68" s="304">
        <v>1601.04</v>
      </c>
      <c r="Z68" s="304">
        <v>1587.7</v>
      </c>
      <c r="AA68" s="304">
        <v>1589.18</v>
      </c>
      <c r="AB68" s="304">
        <v>1572.73</v>
      </c>
      <c r="AC68" s="304">
        <v>1557.24</v>
      </c>
      <c r="AD68" s="304">
        <v>1556.93</v>
      </c>
      <c r="AE68" s="304">
        <v>1557.36</v>
      </c>
      <c r="AF68" s="304">
        <v>1554.46</v>
      </c>
      <c r="AG68" s="304">
        <v>1545.12</v>
      </c>
      <c r="AH68" s="304">
        <v>1552.51</v>
      </c>
      <c r="BA68"/>
      <c r="BB68"/>
      <c r="BN68" s="191" t="s">
        <v>737</v>
      </c>
    </row>
    <row r="69" spans="1:66" s="191" customFormat="1" ht="13">
      <c r="A69" s="226"/>
      <c r="B69" s="180">
        <v>5006016253</v>
      </c>
      <c r="C69" s="183" t="str">
        <f>IFERROR(IF(VLOOKUP($B69,勘定科目!$A:$H,HLOOKUP($E$5,勘定科目!$F$1:$H$2,2,0),0)="","",VLOOKUP($B69,勘定科目!$A:$E,2,0)),"")</f>
        <v>減価償却費（製）　土地使用権</v>
      </c>
      <c r="D69" s="239" t="str">
        <f>IF(C69="","",VLOOKUP($B69,勘定科目!$A:$E,4,0))</f>
        <v>減価償却費</v>
      </c>
      <c r="E69" s="245"/>
      <c r="F69" s="194">
        <f t="shared" ref="F69:Q69" si="11">ROUND(W69*$B2,0)</f>
        <v>2747198</v>
      </c>
      <c r="G69" s="247">
        <f t="shared" si="11"/>
        <v>2742628</v>
      </c>
      <c r="H69" s="247">
        <f t="shared" si="11"/>
        <v>2743643</v>
      </c>
      <c r="I69" s="247">
        <f t="shared" si="11"/>
        <v>2720792</v>
      </c>
      <c r="J69" s="247">
        <f t="shared" si="11"/>
        <v>2723331</v>
      </c>
      <c r="K69" s="247">
        <f t="shared" si="11"/>
        <v>2695149</v>
      </c>
      <c r="L69" s="247">
        <f t="shared" si="11"/>
        <v>2668743</v>
      </c>
      <c r="M69" s="247">
        <f t="shared" si="11"/>
        <v>2668235</v>
      </c>
      <c r="N69" s="247">
        <f t="shared" si="11"/>
        <v>2668997</v>
      </c>
      <c r="O69" s="247">
        <f t="shared" si="11"/>
        <v>2663919</v>
      </c>
      <c r="P69" s="247">
        <f t="shared" si="11"/>
        <v>2647923</v>
      </c>
      <c r="Q69" s="247">
        <f t="shared" si="11"/>
        <v>2660618</v>
      </c>
      <c r="R69" s="200">
        <f t="shared" si="3"/>
        <v>32351176</v>
      </c>
      <c r="S69" s="201" t="s">
        <v>738</v>
      </c>
      <c r="T69" s="202"/>
      <c r="U69" s="246"/>
      <c r="V69" s="303" t="s">
        <v>739</v>
      </c>
      <c r="W69" s="304">
        <v>108.2</v>
      </c>
      <c r="X69" s="304">
        <v>108.02</v>
      </c>
      <c r="Y69" s="304">
        <v>108.06</v>
      </c>
      <c r="Z69" s="304">
        <v>107.16</v>
      </c>
      <c r="AA69" s="304">
        <v>107.26</v>
      </c>
      <c r="AB69" s="304">
        <v>106.15</v>
      </c>
      <c r="AC69" s="304">
        <v>105.11</v>
      </c>
      <c r="AD69" s="304">
        <v>105.09</v>
      </c>
      <c r="AE69" s="304">
        <v>105.12</v>
      </c>
      <c r="AF69" s="304">
        <v>104.92</v>
      </c>
      <c r="AG69" s="304">
        <v>104.29</v>
      </c>
      <c r="AH69" s="304">
        <v>104.79</v>
      </c>
      <c r="BA69"/>
      <c r="BB69"/>
      <c r="BN69" s="191" t="s">
        <v>739</v>
      </c>
    </row>
    <row r="70" spans="1:66" s="191" customFormat="1" ht="13">
      <c r="A70" s="226"/>
      <c r="B70" s="180"/>
      <c r="C70" s="183" t="str">
        <f>IFERROR(IF(VLOOKUP($B70,勘定科目!$A:$H,HLOOKUP($E$5,勘定科目!$F$1:$H$2,2,0),0)="","",VLOOKUP($B70,勘定科目!$A:$E,2,0)),"")</f>
        <v/>
      </c>
      <c r="D70" s="239" t="str">
        <f>IF(C70="","",VLOOKUP($B70,勘定科目!$A:$E,4,0))</f>
        <v/>
      </c>
      <c r="E70" s="245"/>
      <c r="F70" s="194"/>
      <c r="G70" s="247"/>
      <c r="H70" s="247"/>
      <c r="I70" s="247"/>
      <c r="J70" s="247"/>
      <c r="K70" s="247"/>
      <c r="L70" s="247"/>
      <c r="M70" s="247"/>
      <c r="N70" s="247"/>
      <c r="O70" s="247"/>
      <c r="P70" s="247"/>
      <c r="Q70" s="247"/>
      <c r="R70" s="200">
        <f t="shared" si="3"/>
        <v>0</v>
      </c>
      <c r="S70" s="201"/>
      <c r="T70" s="202"/>
      <c r="U70" s="246"/>
      <c r="V70" s="246"/>
      <c r="W70" s="246"/>
      <c r="BA70"/>
      <c r="BB70"/>
      <c r="BE70" s="191" t="s">
        <v>740</v>
      </c>
      <c r="BF70" s="191" t="s">
        <v>725</v>
      </c>
      <c r="BG70" s="191" t="s">
        <v>726</v>
      </c>
      <c r="BI70" s="191" t="e">
        <v>#REF!</v>
      </c>
      <c r="BJ70" s="191" t="e">
        <v>#REF!</v>
      </c>
      <c r="BK70" s="191" t="e">
        <v>#REF!</v>
      </c>
      <c r="BL70" s="191" t="e">
        <v>#REF!</v>
      </c>
    </row>
    <row r="71" spans="1:66" s="191" customFormat="1" ht="13">
      <c r="A71" s="226"/>
      <c r="B71" s="180"/>
      <c r="C71" s="183" t="str">
        <f>IFERROR(IF(VLOOKUP($B71,勘定科目!$A:$H,HLOOKUP($E$5,勘定科目!$F$1:$H$2,2,0),0)="","",VLOOKUP($B71,勘定科目!$A:$E,2,0)),"")</f>
        <v/>
      </c>
      <c r="D71" s="239" t="str">
        <f>IF(C71="","",VLOOKUP($B71,勘定科目!$A:$E,4,0))</f>
        <v/>
      </c>
      <c r="E71" s="245"/>
      <c r="F71" s="194"/>
      <c r="G71" s="247"/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00">
        <f t="shared" ref="R71" si="12">SUM(F71:Q71)</f>
        <v>0</v>
      </c>
      <c r="S71" s="201"/>
      <c r="T71" s="202"/>
      <c r="U71" s="246"/>
      <c r="V71" s="312" t="s">
        <v>740</v>
      </c>
      <c r="W71" s="301" t="s">
        <v>787</v>
      </c>
      <c r="X71" s="301" t="s">
        <v>788</v>
      </c>
      <c r="Y71" s="301" t="s">
        <v>789</v>
      </c>
      <c r="Z71" s="301" t="s">
        <v>790</v>
      </c>
      <c r="AA71" s="301" t="s">
        <v>791</v>
      </c>
      <c r="AB71" s="301" t="s">
        <v>792</v>
      </c>
      <c r="AC71" s="301" t="s">
        <v>793</v>
      </c>
      <c r="AD71" s="301" t="s">
        <v>794</v>
      </c>
      <c r="AE71" s="301" t="s">
        <v>795</v>
      </c>
      <c r="AF71" s="301" t="s">
        <v>796</v>
      </c>
      <c r="AG71" s="301" t="s">
        <v>797</v>
      </c>
      <c r="AH71" s="301" t="s">
        <v>798</v>
      </c>
      <c r="BA71"/>
      <c r="BB71"/>
      <c r="BE71" s="191" t="s">
        <v>740</v>
      </c>
      <c r="BF71" s="191" t="s">
        <v>725</v>
      </c>
      <c r="BG71" s="191" t="s">
        <v>726</v>
      </c>
      <c r="BI71" s="191" t="e">
        <v>#REF!</v>
      </c>
      <c r="BJ71" s="191" t="e">
        <v>#REF!</v>
      </c>
      <c r="BK71" s="191" t="e">
        <v>#REF!</v>
      </c>
      <c r="BL71" s="191" t="e">
        <v>#REF!</v>
      </c>
    </row>
    <row r="72" spans="1:66" s="191" customFormat="1" ht="13">
      <c r="A72" s="226"/>
      <c r="B72" s="180">
        <v>5006016244</v>
      </c>
      <c r="C72" s="183" t="str">
        <f>IFERROR(IF(VLOOKUP($B72,勘定科目!$A:$H,HLOOKUP($E$5,勘定科目!$F$1:$H$2,2,0),0)="","",VLOOKUP($B72,勘定科目!$A:$E,2,0)),"")</f>
        <v>減価償却費（製）　工具器具備品</v>
      </c>
      <c r="D72" s="239" t="str">
        <f>IF(C72="","",VLOOKUP($B72,勘定科目!$A:$E,4,0))</f>
        <v>減価償却費</v>
      </c>
      <c r="E72" s="245"/>
      <c r="F72" s="194">
        <f>ROUND(W72*$B2,0)</f>
        <v>2064461</v>
      </c>
      <c r="G72" s="247">
        <f>ROUND(X72*$B2,0)</f>
        <v>2064461</v>
      </c>
      <c r="H72" s="247">
        <f>ROUND(Y72*$B2,0)</f>
        <v>2064461</v>
      </c>
      <c r="I72" s="247">
        <f>ROUND(Z72*$B2,0)</f>
        <v>74139</v>
      </c>
      <c r="J72" s="247"/>
      <c r="K72" s="247"/>
      <c r="L72" s="247"/>
      <c r="M72" s="247"/>
      <c r="N72" s="247"/>
      <c r="O72" s="247"/>
      <c r="P72" s="247"/>
      <c r="Q72" s="247"/>
      <c r="R72" s="200">
        <f t="shared" si="3"/>
        <v>6267522</v>
      </c>
      <c r="S72" s="201" t="s">
        <v>741</v>
      </c>
      <c r="T72" s="202"/>
      <c r="U72" s="246"/>
      <c r="V72" s="312"/>
      <c r="W72" s="304">
        <v>81.31</v>
      </c>
      <c r="X72" s="304">
        <v>81.31</v>
      </c>
      <c r="Y72" s="304">
        <v>81.31</v>
      </c>
      <c r="Z72" s="304">
        <v>2.92</v>
      </c>
      <c r="AA72" s="304"/>
      <c r="AB72" s="304"/>
      <c r="AC72" s="304"/>
      <c r="AD72" s="304"/>
      <c r="AE72" s="304"/>
      <c r="AF72" s="304"/>
      <c r="AG72" s="304"/>
      <c r="AH72" s="304"/>
      <c r="BA72"/>
      <c r="BB72"/>
      <c r="BF72" s="191">
        <v>81.3</v>
      </c>
      <c r="BG72" s="191">
        <v>81.3</v>
      </c>
      <c r="BI72" s="191">
        <v>81.3</v>
      </c>
      <c r="BJ72" s="191">
        <v>81.3</v>
      </c>
      <c r="BK72" s="191">
        <v>81.3</v>
      </c>
      <c r="BL72" s="191">
        <v>81.3</v>
      </c>
    </row>
    <row r="73" spans="1:66" s="191" customFormat="1" ht="13">
      <c r="A73" s="226"/>
      <c r="B73" s="180">
        <v>5006016244</v>
      </c>
      <c r="C73" s="183" t="str">
        <f>IFERROR(IF(VLOOKUP($B73,勘定科目!$A:$H,HLOOKUP($E$5,勘定科目!$F$1:$H$2,2,0),0)="","",VLOOKUP($B73,勘定科目!$A:$E,2,0)),"")</f>
        <v>減価償却費（製）　工具器具備品</v>
      </c>
      <c r="D73" s="239" t="str">
        <f>IF(C73="","",VLOOKUP($B73,勘定科目!$A:$E,4,0))</f>
        <v>減価償却費</v>
      </c>
      <c r="E73" s="245"/>
      <c r="F73" s="194">
        <f t="shared" ref="F73:M73" si="13">ROUND(W73*$B2,0)</f>
        <v>9370941</v>
      </c>
      <c r="G73" s="247">
        <f t="shared" si="13"/>
        <v>9370941</v>
      </c>
      <c r="H73" s="247">
        <f t="shared" si="13"/>
        <v>9370941</v>
      </c>
      <c r="I73" s="247">
        <f t="shared" si="13"/>
        <v>9370941</v>
      </c>
      <c r="J73" s="247">
        <f t="shared" si="13"/>
        <v>9370941</v>
      </c>
      <c r="K73" s="247">
        <f t="shared" si="13"/>
        <v>9370941</v>
      </c>
      <c r="L73" s="247">
        <f t="shared" si="13"/>
        <v>9370941</v>
      </c>
      <c r="M73" s="247">
        <f t="shared" si="13"/>
        <v>337433</v>
      </c>
      <c r="N73" s="247"/>
      <c r="O73" s="247"/>
      <c r="P73" s="247"/>
      <c r="Q73" s="247"/>
      <c r="R73" s="200">
        <f t="shared" si="3"/>
        <v>65934020</v>
      </c>
      <c r="S73" s="201" t="s">
        <v>742</v>
      </c>
      <c r="T73" s="202"/>
      <c r="U73" s="246"/>
      <c r="V73" s="312"/>
      <c r="W73" s="304">
        <v>369.08</v>
      </c>
      <c r="X73" s="304">
        <v>369.08</v>
      </c>
      <c r="Y73" s="304">
        <v>369.08</v>
      </c>
      <c r="Z73" s="304">
        <v>369.08</v>
      </c>
      <c r="AA73" s="304">
        <v>369.08</v>
      </c>
      <c r="AB73" s="304">
        <v>369.08</v>
      </c>
      <c r="AC73" s="304">
        <v>369.08</v>
      </c>
      <c r="AD73" s="304">
        <v>13.29</v>
      </c>
      <c r="AE73" s="304"/>
      <c r="AF73" s="304"/>
      <c r="AG73" s="304"/>
      <c r="AH73" s="304"/>
      <c r="BA73"/>
      <c r="BB73"/>
      <c r="BF73" s="191">
        <v>369.08</v>
      </c>
      <c r="BG73" s="191">
        <v>369.07</v>
      </c>
      <c r="BI73" s="191">
        <v>369.07</v>
      </c>
      <c r="BJ73" s="191">
        <v>369.07</v>
      </c>
      <c r="BK73" s="191">
        <v>369.07</v>
      </c>
      <c r="BL73" s="191">
        <v>369.07</v>
      </c>
    </row>
    <row r="74" spans="1:66" s="191" customFormat="1" ht="13">
      <c r="A74" s="226"/>
      <c r="B74" s="180">
        <v>5006016244</v>
      </c>
      <c r="C74" s="183" t="str">
        <f>IFERROR(IF(VLOOKUP($B74,勘定科目!$A:$H,HLOOKUP($E$5,勘定科目!$F$1:$H$2,2,0),0)="","",VLOOKUP($B74,勘定科目!$A:$E,2,0)),"")</f>
        <v>減価償却費（製）　工具器具備品</v>
      </c>
      <c r="D74" s="239" t="str">
        <f>IF(C74="","",VLOOKUP($B74,勘定科目!$A:$E,4,0))</f>
        <v>減価償却費</v>
      </c>
      <c r="E74" s="245"/>
      <c r="F74" s="194">
        <f t="shared" ref="F74:M74" si="14">ROUND(W74*$B2,0)</f>
        <v>6324903</v>
      </c>
      <c r="G74" s="247">
        <f t="shared" si="14"/>
        <v>6324903</v>
      </c>
      <c r="H74" s="247">
        <f t="shared" si="14"/>
        <v>6324903</v>
      </c>
      <c r="I74" s="247">
        <f t="shared" si="14"/>
        <v>6324903</v>
      </c>
      <c r="J74" s="247">
        <f t="shared" si="14"/>
        <v>6324903</v>
      </c>
      <c r="K74" s="247">
        <f t="shared" si="14"/>
        <v>6324903</v>
      </c>
      <c r="L74" s="247">
        <f t="shared" si="14"/>
        <v>6324903</v>
      </c>
      <c r="M74" s="247">
        <f t="shared" si="14"/>
        <v>228256</v>
      </c>
      <c r="N74" s="247"/>
      <c r="O74" s="247"/>
      <c r="P74" s="247"/>
      <c r="Q74" s="247"/>
      <c r="R74" s="200">
        <f t="shared" si="3"/>
        <v>44502577</v>
      </c>
      <c r="S74" s="201" t="s">
        <v>743</v>
      </c>
      <c r="T74" s="202"/>
      <c r="U74" s="246"/>
      <c r="V74" s="312"/>
      <c r="W74" s="304">
        <v>249.11</v>
      </c>
      <c r="X74" s="304">
        <v>249.11</v>
      </c>
      <c r="Y74" s="304">
        <v>249.11</v>
      </c>
      <c r="Z74" s="304">
        <v>249.11</v>
      </c>
      <c r="AA74" s="304">
        <v>249.11</v>
      </c>
      <c r="AB74" s="304">
        <v>249.11</v>
      </c>
      <c r="AC74" s="304">
        <v>249.11</v>
      </c>
      <c r="AD74" s="304">
        <v>8.99</v>
      </c>
      <c r="AE74" s="304"/>
      <c r="AF74" s="304"/>
      <c r="AG74" s="304"/>
      <c r="AH74" s="304"/>
      <c r="BA74"/>
      <c r="BB74"/>
      <c r="BF74" s="191">
        <v>249.11</v>
      </c>
      <c r="BG74" s="191">
        <v>249.11</v>
      </c>
      <c r="BI74" s="191">
        <v>249.11</v>
      </c>
      <c r="BJ74" s="191">
        <v>249.11</v>
      </c>
      <c r="BK74" s="191">
        <v>249.11</v>
      </c>
      <c r="BL74" s="191">
        <v>249.11</v>
      </c>
    </row>
    <row r="75" spans="1:66" s="191" customFormat="1" ht="13">
      <c r="A75" s="226"/>
      <c r="B75" s="180">
        <v>5006016244</v>
      </c>
      <c r="C75" s="183" t="str">
        <f>IFERROR(IF(VLOOKUP($B75,勘定科目!$A:$H,HLOOKUP($E$5,勘定科目!$F$1:$H$2,2,0),0)="","",VLOOKUP($B75,勘定科目!$A:$E,2,0)),"")</f>
        <v>減価償却費（製）　工具器具備品</v>
      </c>
      <c r="D75" s="239" t="str">
        <f>IF(C75="","",VLOOKUP($B75,勘定科目!$A:$E,4,0))</f>
        <v>減価償却費</v>
      </c>
      <c r="E75" s="245"/>
      <c r="F75" s="194">
        <f t="shared" ref="F75:M75" si="15">ROUND(W75*$B2,0)</f>
        <v>3403022</v>
      </c>
      <c r="G75" s="247">
        <f t="shared" si="15"/>
        <v>3403022</v>
      </c>
      <c r="H75" s="247">
        <f t="shared" si="15"/>
        <v>3403022</v>
      </c>
      <c r="I75" s="247">
        <f t="shared" si="15"/>
        <v>3403022</v>
      </c>
      <c r="J75" s="247">
        <f t="shared" si="15"/>
        <v>3403022</v>
      </c>
      <c r="K75" s="247">
        <f t="shared" si="15"/>
        <v>3403022</v>
      </c>
      <c r="L75" s="247">
        <f t="shared" si="15"/>
        <v>3403022</v>
      </c>
      <c r="M75" s="247">
        <f t="shared" si="15"/>
        <v>122634</v>
      </c>
      <c r="N75" s="247"/>
      <c r="O75" s="247"/>
      <c r="P75" s="247"/>
      <c r="Q75" s="247"/>
      <c r="R75" s="200">
        <f t="shared" si="3"/>
        <v>23943788</v>
      </c>
      <c r="S75" s="201" t="s">
        <v>744</v>
      </c>
      <c r="T75" s="202"/>
      <c r="U75" s="246"/>
      <c r="V75" s="312"/>
      <c r="W75" s="304">
        <v>134.03</v>
      </c>
      <c r="X75" s="304">
        <v>134.03</v>
      </c>
      <c r="Y75" s="304">
        <v>134.03</v>
      </c>
      <c r="Z75" s="304">
        <v>134.03</v>
      </c>
      <c r="AA75" s="304">
        <v>134.03</v>
      </c>
      <c r="AB75" s="304">
        <v>134.03</v>
      </c>
      <c r="AC75" s="304">
        <v>134.03</v>
      </c>
      <c r="AD75" s="304">
        <v>4.83</v>
      </c>
      <c r="AE75" s="304"/>
      <c r="AF75" s="304"/>
      <c r="AG75" s="304"/>
      <c r="AH75" s="304"/>
      <c r="BA75"/>
      <c r="BB75"/>
      <c r="BF75" s="191">
        <v>134.03</v>
      </c>
      <c r="BG75" s="191">
        <v>134.03</v>
      </c>
      <c r="BI75" s="191">
        <v>134.03</v>
      </c>
      <c r="BJ75" s="191">
        <v>134.03</v>
      </c>
      <c r="BK75" s="191">
        <v>134.03</v>
      </c>
      <c r="BL75" s="191">
        <v>134.03</v>
      </c>
    </row>
    <row r="76" spans="1:66" s="191" customFormat="1" ht="13">
      <c r="A76" s="226"/>
      <c r="B76" s="180">
        <v>5006016244</v>
      </c>
      <c r="C76" s="183" t="str">
        <f>IFERROR(IF(VLOOKUP($B76,勘定科目!$A:$H,HLOOKUP($E$5,勘定科目!$F$1:$H$2,2,0),0)="","",VLOOKUP($B76,勘定科目!$A:$E,2,0)),"")</f>
        <v>減価償却費（製）　工具器具備品</v>
      </c>
      <c r="D76" s="239" t="str">
        <f>IF(C76="","",VLOOKUP($B76,勘定科目!$A:$E,4,0))</f>
        <v>減価償却費</v>
      </c>
      <c r="E76" s="245"/>
      <c r="F76" s="194">
        <f t="shared" ref="F76:M76" si="16">ROUND(W76*$B2,0)</f>
        <v>2951334</v>
      </c>
      <c r="G76" s="247">
        <f t="shared" si="16"/>
        <v>2951334</v>
      </c>
      <c r="H76" s="247">
        <f t="shared" si="16"/>
        <v>2951334</v>
      </c>
      <c r="I76" s="247">
        <f t="shared" si="16"/>
        <v>2951334</v>
      </c>
      <c r="J76" s="247">
        <f t="shared" si="16"/>
        <v>2951334</v>
      </c>
      <c r="K76" s="247">
        <f t="shared" si="16"/>
        <v>2951334</v>
      </c>
      <c r="L76" s="247">
        <f t="shared" si="16"/>
        <v>2951334</v>
      </c>
      <c r="M76" s="247">
        <f t="shared" si="16"/>
        <v>106384</v>
      </c>
      <c r="N76" s="247"/>
      <c r="O76" s="247"/>
      <c r="P76" s="247"/>
      <c r="Q76" s="247"/>
      <c r="R76" s="200">
        <f t="shared" si="3"/>
        <v>20765722</v>
      </c>
      <c r="S76" s="201" t="s">
        <v>745</v>
      </c>
      <c r="T76" s="202"/>
      <c r="U76" s="246"/>
      <c r="V76" s="312"/>
      <c r="W76" s="304">
        <v>116.24</v>
      </c>
      <c r="X76" s="304">
        <v>116.24</v>
      </c>
      <c r="Y76" s="304">
        <v>116.24</v>
      </c>
      <c r="Z76" s="304">
        <v>116.24</v>
      </c>
      <c r="AA76" s="304">
        <v>116.24</v>
      </c>
      <c r="AB76" s="304">
        <v>116.24</v>
      </c>
      <c r="AC76" s="304">
        <v>116.24</v>
      </c>
      <c r="AD76" s="304">
        <v>4.1900000000000004</v>
      </c>
      <c r="AE76" s="304"/>
      <c r="AF76" s="304"/>
      <c r="AG76" s="304"/>
      <c r="AH76" s="304"/>
      <c r="BA76"/>
      <c r="BB76"/>
      <c r="BF76" s="191">
        <v>116.24</v>
      </c>
      <c r="BG76" s="191">
        <v>116.25</v>
      </c>
      <c r="BI76" s="191">
        <v>116.25</v>
      </c>
      <c r="BJ76" s="191">
        <v>116.25</v>
      </c>
      <c r="BK76" s="191">
        <v>116.25</v>
      </c>
      <c r="BL76" s="191">
        <v>116.25</v>
      </c>
    </row>
    <row r="77" spans="1:66" s="191" customFormat="1" ht="13">
      <c r="A77" s="226"/>
      <c r="B77" s="180">
        <v>5006016244</v>
      </c>
      <c r="C77" s="183" t="str">
        <f>IFERROR(IF(VLOOKUP($B77,勘定科目!$A:$H,HLOOKUP($E$5,勘定科目!$F$1:$H$2,2,0),0)="","",VLOOKUP($B77,勘定科目!$A:$E,2,0)),"")</f>
        <v>減価償却費（製）　工具器具備品</v>
      </c>
      <c r="D77" s="239" t="str">
        <f>IF(C77="","",VLOOKUP($B77,勘定科目!$A:$E,4,0))</f>
        <v>減価償却費</v>
      </c>
      <c r="E77" s="245"/>
      <c r="F77" s="194">
        <f t="shared" ref="F77:M77" si="17">ROUND(W77*$B2,0)</f>
        <v>6368574</v>
      </c>
      <c r="G77" s="247">
        <f t="shared" si="17"/>
        <v>6368574</v>
      </c>
      <c r="H77" s="247">
        <f t="shared" si="17"/>
        <v>6368574</v>
      </c>
      <c r="I77" s="247">
        <f t="shared" si="17"/>
        <v>6368574</v>
      </c>
      <c r="J77" s="247">
        <f t="shared" si="17"/>
        <v>6368574</v>
      </c>
      <c r="K77" s="247">
        <f t="shared" si="17"/>
        <v>6368574</v>
      </c>
      <c r="L77" s="247">
        <f t="shared" si="17"/>
        <v>6368574</v>
      </c>
      <c r="M77" s="247">
        <f t="shared" si="17"/>
        <v>229272</v>
      </c>
      <c r="N77" s="247"/>
      <c r="O77" s="247"/>
      <c r="P77" s="247"/>
      <c r="Q77" s="247"/>
      <c r="R77" s="200">
        <f t="shared" si="3"/>
        <v>44809290</v>
      </c>
      <c r="S77" s="201" t="s">
        <v>746</v>
      </c>
      <c r="T77" s="202"/>
      <c r="U77" s="246"/>
      <c r="V77" s="312"/>
      <c r="W77" s="304">
        <v>250.83</v>
      </c>
      <c r="X77" s="304">
        <v>250.83</v>
      </c>
      <c r="Y77" s="304">
        <v>250.83</v>
      </c>
      <c r="Z77" s="304">
        <v>250.83</v>
      </c>
      <c r="AA77" s="304">
        <v>250.83</v>
      </c>
      <c r="AB77" s="304">
        <v>250.83</v>
      </c>
      <c r="AC77" s="304">
        <v>250.83</v>
      </c>
      <c r="AD77" s="304">
        <v>9.0299999999999994</v>
      </c>
      <c r="AE77" s="304"/>
      <c r="AF77" s="304"/>
      <c r="AG77" s="304"/>
      <c r="AH77" s="304"/>
      <c r="BA77"/>
      <c r="BB77"/>
      <c r="BF77" s="191">
        <v>250.84</v>
      </c>
      <c r="BG77" s="191">
        <v>250.83</v>
      </c>
      <c r="BI77" s="191">
        <v>250.83</v>
      </c>
      <c r="BJ77" s="191">
        <v>250.83</v>
      </c>
      <c r="BK77" s="191">
        <v>250.83</v>
      </c>
      <c r="BL77" s="191">
        <v>250.83</v>
      </c>
    </row>
    <row r="78" spans="1:66" s="191" customFormat="1" ht="13">
      <c r="A78" s="226"/>
      <c r="B78" s="180">
        <v>5006016244</v>
      </c>
      <c r="C78" s="183" t="str">
        <f>IFERROR(IF(VLOOKUP($B78,勘定科目!$A:$H,HLOOKUP($E$5,勘定科目!$F$1:$H$2,2,0),0)="","",VLOOKUP($B78,勘定科目!$A:$E,2,0)),"")</f>
        <v>減価償却費（製）　工具器具備品</v>
      </c>
      <c r="D78" s="239" t="str">
        <f>IF(C78="","",VLOOKUP($B78,勘定科目!$A:$E,4,0))</f>
        <v>減価償却費</v>
      </c>
      <c r="E78" s="245"/>
      <c r="F78" s="194">
        <f t="shared" ref="F78:M78" si="18">ROUND(W78*$B2,0)</f>
        <v>5502775</v>
      </c>
      <c r="G78" s="247">
        <f t="shared" si="18"/>
        <v>5502775</v>
      </c>
      <c r="H78" s="247">
        <f t="shared" si="18"/>
        <v>5502775</v>
      </c>
      <c r="I78" s="247">
        <f t="shared" si="18"/>
        <v>5502775</v>
      </c>
      <c r="J78" s="247">
        <f t="shared" si="18"/>
        <v>5502775</v>
      </c>
      <c r="K78" s="247">
        <f t="shared" si="18"/>
        <v>5502775</v>
      </c>
      <c r="L78" s="247">
        <f t="shared" si="18"/>
        <v>5502775</v>
      </c>
      <c r="M78" s="247">
        <f t="shared" si="18"/>
        <v>198296</v>
      </c>
      <c r="N78" s="247"/>
      <c r="O78" s="247"/>
      <c r="P78" s="247"/>
      <c r="Q78" s="247"/>
      <c r="R78" s="200">
        <f t="shared" si="3"/>
        <v>38717721</v>
      </c>
      <c r="S78" s="201" t="s">
        <v>747</v>
      </c>
      <c r="T78" s="202"/>
      <c r="U78" s="246"/>
      <c r="V78" s="312"/>
      <c r="W78" s="304">
        <v>216.73</v>
      </c>
      <c r="X78" s="304">
        <v>216.73</v>
      </c>
      <c r="Y78" s="304">
        <v>216.73</v>
      </c>
      <c r="Z78" s="304">
        <v>216.73</v>
      </c>
      <c r="AA78" s="304">
        <v>216.73</v>
      </c>
      <c r="AB78" s="304">
        <v>216.73</v>
      </c>
      <c r="AC78" s="304">
        <v>216.73</v>
      </c>
      <c r="AD78" s="304">
        <v>7.81</v>
      </c>
      <c r="AE78" s="304"/>
      <c r="AF78" s="304"/>
      <c r="AG78" s="304"/>
      <c r="AH78" s="304"/>
      <c r="BA78"/>
      <c r="BB78"/>
      <c r="BF78" s="191">
        <v>216.72</v>
      </c>
      <c r="BG78" s="191">
        <v>216.73</v>
      </c>
      <c r="BI78" s="191">
        <v>216.73</v>
      </c>
      <c r="BJ78" s="191">
        <v>216.73</v>
      </c>
      <c r="BK78" s="191">
        <v>216.73</v>
      </c>
      <c r="BL78" s="191">
        <v>216.73</v>
      </c>
    </row>
    <row r="79" spans="1:66" s="191" customFormat="1" ht="13">
      <c r="A79" s="226"/>
      <c r="B79" s="180">
        <v>5006016244</v>
      </c>
      <c r="C79" s="183" t="str">
        <f>IFERROR(IF(VLOOKUP($B79,勘定科目!$A:$H,HLOOKUP($E$5,勘定科目!$F$1:$H$2,2,0),0)="","",VLOOKUP($B79,勘定科目!$A:$E,2,0)),"")</f>
        <v>減価償却費（製）　工具器具備品</v>
      </c>
      <c r="D79" s="239" t="str">
        <f>IF(C79="","",VLOOKUP($B79,勘定科目!$A:$E,4,0))</f>
        <v>減価償却費</v>
      </c>
      <c r="E79" s="245"/>
      <c r="F79" s="194">
        <f t="shared" ref="F79:K79" si="19">ROUND(W79*$B2,0)</f>
        <v>1586875</v>
      </c>
      <c r="G79" s="247">
        <f t="shared" si="19"/>
        <v>1586875</v>
      </c>
      <c r="H79" s="247">
        <f t="shared" si="19"/>
        <v>1586875</v>
      </c>
      <c r="I79" s="247">
        <f t="shared" si="19"/>
        <v>1586875</v>
      </c>
      <c r="J79" s="247">
        <f t="shared" si="19"/>
        <v>1586875</v>
      </c>
      <c r="K79" s="247">
        <f t="shared" si="19"/>
        <v>57381</v>
      </c>
      <c r="L79" s="247"/>
      <c r="M79" s="247"/>
      <c r="N79" s="247"/>
      <c r="O79" s="247"/>
      <c r="P79" s="247"/>
      <c r="Q79" s="247"/>
      <c r="R79" s="200">
        <f t="shared" si="3"/>
        <v>7991756</v>
      </c>
      <c r="S79" s="201" t="s">
        <v>748</v>
      </c>
      <c r="T79" s="202"/>
      <c r="U79" s="246"/>
      <c r="V79" s="312"/>
      <c r="W79" s="304">
        <v>62.5</v>
      </c>
      <c r="X79" s="304">
        <v>62.5</v>
      </c>
      <c r="Y79" s="304">
        <v>62.5</v>
      </c>
      <c r="Z79" s="304">
        <v>62.5</v>
      </c>
      <c r="AA79" s="304">
        <v>62.5</v>
      </c>
      <c r="AB79" s="304">
        <v>2.2599999999999998</v>
      </c>
      <c r="AC79" s="304"/>
      <c r="AD79" s="304"/>
      <c r="AE79" s="304"/>
      <c r="AF79" s="304"/>
      <c r="AG79" s="304"/>
      <c r="AH79" s="304"/>
      <c r="BA79"/>
      <c r="BB79"/>
      <c r="BF79" s="191">
        <v>62.51</v>
      </c>
      <c r="BG79" s="191">
        <v>62.51</v>
      </c>
      <c r="BI79" s="191">
        <v>62.51</v>
      </c>
      <c r="BJ79" s="191">
        <v>62.51</v>
      </c>
      <c r="BK79" s="191">
        <v>62.51</v>
      </c>
      <c r="BL79" s="191">
        <v>62.51</v>
      </c>
    </row>
    <row r="80" spans="1:66" s="191" customFormat="1" ht="13">
      <c r="A80" s="226"/>
      <c r="B80" s="180"/>
      <c r="C80" s="183" t="str">
        <f>IFERROR(IF(VLOOKUP($B80,勘定科目!$A:$H,HLOOKUP($E$5,勘定科目!$F$1:$H$2,2,0),0)="","",VLOOKUP($B80,勘定科目!$A:$E,2,0)),"")</f>
        <v/>
      </c>
      <c r="D80" s="239" t="str">
        <f>IF(C80="","",VLOOKUP($B80,勘定科目!$A:$E,4,0))</f>
        <v/>
      </c>
      <c r="E80" s="245"/>
      <c r="F80" s="194"/>
      <c r="G80" s="247"/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00">
        <f t="shared" si="3"/>
        <v>0</v>
      </c>
      <c r="S80" s="201"/>
      <c r="T80" s="202"/>
      <c r="U80" s="246"/>
      <c r="V80" s="246"/>
      <c r="W80" s="246"/>
      <c r="BA80"/>
      <c r="BB80"/>
      <c r="BN80" s="191" t="s">
        <v>749</v>
      </c>
    </row>
    <row r="81" spans="1:66" s="191" customFormat="1" ht="13">
      <c r="A81" s="226"/>
      <c r="B81" s="180"/>
      <c r="C81" s="183" t="str">
        <f>IFERROR(IF(VLOOKUP($B81,勘定科目!$A:$H,HLOOKUP($E$5,勘定科目!$F$1:$H$2,2,0),0)="","",VLOOKUP($B81,勘定科目!$A:$E,2,0)),"")</f>
        <v/>
      </c>
      <c r="D81" s="239" t="str">
        <f>IF(C81="","",VLOOKUP($B81,勘定科目!$A:$E,4,0))</f>
        <v/>
      </c>
      <c r="E81" s="245"/>
      <c r="F81" s="194"/>
      <c r="G81" s="247"/>
      <c r="H81" s="247"/>
      <c r="I81" s="247"/>
      <c r="J81" s="247"/>
      <c r="K81" s="247"/>
      <c r="L81" s="247"/>
      <c r="M81" s="247"/>
      <c r="N81" s="247"/>
      <c r="O81" s="247"/>
      <c r="P81" s="247"/>
      <c r="Q81" s="247"/>
      <c r="R81" s="200">
        <f t="shared" ref="R81" si="20">SUM(F81:Q81)</f>
        <v>0</v>
      </c>
      <c r="S81" s="201"/>
      <c r="T81" s="202"/>
      <c r="U81" s="246"/>
      <c r="V81" s="312" t="s">
        <v>800</v>
      </c>
      <c r="W81" s="301" t="s">
        <v>787</v>
      </c>
      <c r="X81" s="301" t="s">
        <v>788</v>
      </c>
      <c r="Y81" s="301" t="s">
        <v>789</v>
      </c>
      <c r="Z81" s="301" t="s">
        <v>790</v>
      </c>
      <c r="AA81" s="301" t="s">
        <v>791</v>
      </c>
      <c r="AB81" s="301" t="s">
        <v>792</v>
      </c>
      <c r="AC81" s="301" t="s">
        <v>793</v>
      </c>
      <c r="AD81" s="301" t="s">
        <v>794</v>
      </c>
      <c r="AE81" s="301" t="s">
        <v>795</v>
      </c>
      <c r="AF81" s="301" t="s">
        <v>796</v>
      </c>
      <c r="AG81" s="301" t="s">
        <v>797</v>
      </c>
      <c r="AH81" s="301" t="s">
        <v>798</v>
      </c>
      <c r="BA81"/>
      <c r="BB81"/>
      <c r="BN81" s="191" t="s">
        <v>749</v>
      </c>
    </row>
    <row r="82" spans="1:66" s="191" customFormat="1" ht="13">
      <c r="A82" s="226"/>
      <c r="B82" s="180">
        <v>9114120007</v>
      </c>
      <c r="C82" s="183" t="str">
        <f>IFERROR(IF(VLOOKUP($B82,勘定科目!$A:$H,HLOOKUP($E$5,勘定科目!$F$1:$H$2,2,0),0)="","",VLOOKUP($B82,勘定科目!$A:$E,2,0)),"")</f>
        <v>社内金利（固定資産）</v>
      </c>
      <c r="D82" s="239" t="str">
        <f>IF(C82="","",VLOOKUP($B82,勘定科目!$A:$E,4,0))</f>
        <v>固定資産金利</v>
      </c>
      <c r="E82" s="245"/>
      <c r="F82" s="194">
        <f>ROUND(W82*$B2,0)</f>
        <v>93181</v>
      </c>
      <c r="G82" s="247">
        <f>ROUND(X82*$B2,0)</f>
        <v>18789</v>
      </c>
      <c r="H82" s="247">
        <f>ROUND(Y82*$B2,0)</f>
        <v>18789</v>
      </c>
      <c r="I82" s="247">
        <f>ROUND(Z82*$B2,0)</f>
        <v>18789</v>
      </c>
      <c r="J82" s="247"/>
      <c r="K82" s="247"/>
      <c r="L82" s="247"/>
      <c r="M82" s="247"/>
      <c r="N82" s="247"/>
      <c r="O82" s="247"/>
      <c r="P82" s="247"/>
      <c r="Q82" s="247"/>
      <c r="R82" s="200">
        <f t="shared" si="3"/>
        <v>149548</v>
      </c>
      <c r="S82" s="201" t="s">
        <v>741</v>
      </c>
      <c r="T82" s="202"/>
      <c r="U82" s="246"/>
      <c r="V82" s="312"/>
      <c r="W82" s="304">
        <v>3.67</v>
      </c>
      <c r="X82" s="304">
        <v>0.74</v>
      </c>
      <c r="Y82" s="304">
        <v>0.74</v>
      </c>
      <c r="Z82" s="304">
        <v>0.74</v>
      </c>
      <c r="AA82" s="304"/>
      <c r="AB82" s="304"/>
      <c r="AC82" s="304"/>
      <c r="AD82" s="304"/>
      <c r="AE82" s="304"/>
      <c r="AF82" s="304"/>
      <c r="AG82" s="304"/>
      <c r="AH82" s="304"/>
      <c r="BA82"/>
      <c r="BB82"/>
    </row>
    <row r="83" spans="1:66" s="191" customFormat="1" ht="13">
      <c r="A83" s="226"/>
      <c r="B83" s="180">
        <v>9114120007</v>
      </c>
      <c r="C83" s="183" t="str">
        <f>IFERROR(IF(VLOOKUP($B83,勘定科目!$A:$H,HLOOKUP($E$5,勘定科目!$F$1:$H$2,2,0),0)="","",VLOOKUP($B83,勘定科目!$A:$E,2,0)),"")</f>
        <v>社内金利（固定資産）</v>
      </c>
      <c r="D83" s="239" t="str">
        <f>IF(C83="","",VLOOKUP($B83,勘定科目!$A:$E,4,0))</f>
        <v>固定資産金利</v>
      </c>
      <c r="E83" s="245"/>
      <c r="F83" s="194">
        <f t="shared" ref="F83:M83" si="21">ROUND(W83*$B2,0)</f>
        <v>535221</v>
      </c>
      <c r="G83" s="247">
        <f t="shared" si="21"/>
        <v>197788</v>
      </c>
      <c r="H83" s="247">
        <f t="shared" si="21"/>
        <v>197788</v>
      </c>
      <c r="I83" s="247">
        <f t="shared" si="21"/>
        <v>197788</v>
      </c>
      <c r="J83" s="247">
        <f t="shared" si="21"/>
        <v>197788</v>
      </c>
      <c r="K83" s="247">
        <f t="shared" si="21"/>
        <v>197788</v>
      </c>
      <c r="L83" s="247">
        <f t="shared" si="21"/>
        <v>197788</v>
      </c>
      <c r="M83" s="247">
        <f t="shared" si="21"/>
        <v>197788</v>
      </c>
      <c r="N83" s="247"/>
      <c r="O83" s="247"/>
      <c r="P83" s="247"/>
      <c r="Q83" s="247"/>
      <c r="R83" s="200">
        <f t="shared" si="3"/>
        <v>1919737</v>
      </c>
      <c r="S83" s="201" t="s">
        <v>742</v>
      </c>
      <c r="T83" s="202"/>
      <c r="U83" s="246"/>
      <c r="V83" s="312"/>
      <c r="W83" s="304">
        <v>21.08</v>
      </c>
      <c r="X83" s="304">
        <v>7.79</v>
      </c>
      <c r="Y83" s="304">
        <v>7.79</v>
      </c>
      <c r="Z83" s="304">
        <v>7.79</v>
      </c>
      <c r="AA83" s="304">
        <v>7.79</v>
      </c>
      <c r="AB83" s="304">
        <v>7.79</v>
      </c>
      <c r="AC83" s="304">
        <v>7.79</v>
      </c>
      <c r="AD83" s="304">
        <v>7.79</v>
      </c>
      <c r="AE83" s="304"/>
      <c r="AF83" s="304"/>
      <c r="AG83" s="304"/>
      <c r="AH83" s="304"/>
      <c r="BA83"/>
      <c r="BB83"/>
    </row>
    <row r="84" spans="1:66" s="191" customFormat="1" ht="13">
      <c r="A84" s="226"/>
      <c r="B84" s="180">
        <v>9114120007</v>
      </c>
      <c r="C84" s="183" t="str">
        <f>IFERROR(IF(VLOOKUP($B84,勘定科目!$A:$H,HLOOKUP($E$5,勘定科目!$F$1:$H$2,2,0),0)="","",VLOOKUP($B84,勘定科目!$A:$E,2,0)),"")</f>
        <v>社内金利（固定資産）</v>
      </c>
      <c r="D84" s="239" t="str">
        <f>IF(C84="","",VLOOKUP($B84,勘定科目!$A:$E,4,0))</f>
        <v>固定資産金利</v>
      </c>
      <c r="E84" s="245"/>
      <c r="F84" s="194">
        <f t="shared" ref="F84:M84" si="22">ROUND(W84*$B2,0)</f>
        <v>361300</v>
      </c>
      <c r="G84" s="247">
        <f t="shared" si="22"/>
        <v>133551</v>
      </c>
      <c r="H84" s="247">
        <f t="shared" si="22"/>
        <v>133551</v>
      </c>
      <c r="I84" s="247">
        <f t="shared" si="22"/>
        <v>133551</v>
      </c>
      <c r="J84" s="247">
        <f t="shared" si="22"/>
        <v>133551</v>
      </c>
      <c r="K84" s="247">
        <f t="shared" si="22"/>
        <v>133551</v>
      </c>
      <c r="L84" s="247">
        <f t="shared" si="22"/>
        <v>133551</v>
      </c>
      <c r="M84" s="247">
        <f t="shared" si="22"/>
        <v>133551</v>
      </c>
      <c r="N84" s="247"/>
      <c r="O84" s="247"/>
      <c r="P84" s="247"/>
      <c r="Q84" s="247"/>
      <c r="R84" s="200">
        <f t="shared" si="3"/>
        <v>1296157</v>
      </c>
      <c r="S84" s="201" t="s">
        <v>743</v>
      </c>
      <c r="T84" s="202"/>
      <c r="U84" s="246"/>
      <c r="V84" s="312"/>
      <c r="W84" s="304">
        <v>14.23</v>
      </c>
      <c r="X84" s="304">
        <v>5.26</v>
      </c>
      <c r="Y84" s="304">
        <v>5.26</v>
      </c>
      <c r="Z84" s="304">
        <v>5.26</v>
      </c>
      <c r="AA84" s="304">
        <v>5.26</v>
      </c>
      <c r="AB84" s="304">
        <v>5.26</v>
      </c>
      <c r="AC84" s="304">
        <v>5.26</v>
      </c>
      <c r="AD84" s="304">
        <v>5.26</v>
      </c>
      <c r="AE84" s="304"/>
      <c r="AF84" s="304"/>
      <c r="AG84" s="304"/>
      <c r="AH84" s="304"/>
      <c r="BA84"/>
      <c r="BB84"/>
    </row>
    <row r="85" spans="1:66" s="191" customFormat="1" ht="13">
      <c r="A85" s="226"/>
      <c r="B85" s="180">
        <v>9114120007</v>
      </c>
      <c r="C85" s="183" t="str">
        <f>IFERROR(IF(VLOOKUP($B85,勘定科目!$A:$H,HLOOKUP($E$5,勘定科目!$F$1:$H$2,2,0),0)="","",VLOOKUP($B85,勘定科目!$A:$E,2,0)),"")</f>
        <v>社内金利（固定資産）</v>
      </c>
      <c r="D85" s="239" t="str">
        <f>IF(C85="","",VLOOKUP($B85,勘定科目!$A:$E,4,0))</f>
        <v>固定資産金利</v>
      </c>
      <c r="E85" s="245"/>
      <c r="F85" s="194">
        <f t="shared" ref="F85:M85" si="23">ROUND(W85*$B2,0)</f>
        <v>194234</v>
      </c>
      <c r="G85" s="247">
        <f t="shared" si="23"/>
        <v>71854</v>
      </c>
      <c r="H85" s="247">
        <f t="shared" si="23"/>
        <v>71854</v>
      </c>
      <c r="I85" s="247">
        <f t="shared" si="23"/>
        <v>71854</v>
      </c>
      <c r="J85" s="247">
        <f t="shared" si="23"/>
        <v>71854</v>
      </c>
      <c r="K85" s="247">
        <f t="shared" si="23"/>
        <v>71854</v>
      </c>
      <c r="L85" s="247">
        <f t="shared" si="23"/>
        <v>71854</v>
      </c>
      <c r="M85" s="247">
        <f t="shared" si="23"/>
        <v>71854</v>
      </c>
      <c r="N85" s="247"/>
      <c r="O85" s="247"/>
      <c r="P85" s="247"/>
      <c r="Q85" s="247"/>
      <c r="R85" s="200">
        <f t="shared" si="3"/>
        <v>697212</v>
      </c>
      <c r="S85" s="201" t="s">
        <v>744</v>
      </c>
      <c r="T85" s="202"/>
      <c r="U85" s="246"/>
      <c r="V85" s="312"/>
      <c r="W85" s="304">
        <v>7.65</v>
      </c>
      <c r="X85" s="304">
        <v>2.83</v>
      </c>
      <c r="Y85" s="304">
        <v>2.83</v>
      </c>
      <c r="Z85" s="304">
        <v>2.83</v>
      </c>
      <c r="AA85" s="304">
        <v>2.83</v>
      </c>
      <c r="AB85" s="304">
        <v>2.83</v>
      </c>
      <c r="AC85" s="304">
        <v>2.83</v>
      </c>
      <c r="AD85" s="304">
        <v>2.83</v>
      </c>
      <c r="AE85" s="304"/>
      <c r="AF85" s="304"/>
      <c r="AG85" s="304"/>
      <c r="AH85" s="304"/>
      <c r="BA85"/>
      <c r="BB85"/>
    </row>
    <row r="86" spans="1:66" s="191" customFormat="1" ht="13">
      <c r="A86" s="226"/>
      <c r="B86" s="180">
        <v>9114120007</v>
      </c>
      <c r="C86" s="183" t="str">
        <f>IFERROR(IF(VLOOKUP($B86,勘定科目!$A:$H,HLOOKUP($E$5,勘定科目!$F$1:$H$2,2,0),0)="","",VLOOKUP($B86,勘定科目!$A:$E,2,0)),"")</f>
        <v>社内金利（固定資産）</v>
      </c>
      <c r="D86" s="239" t="str">
        <f>IF(C86="","",VLOOKUP($B86,勘定科目!$A:$E,4,0))</f>
        <v>固定資産金利</v>
      </c>
      <c r="E86" s="245"/>
      <c r="F86" s="194">
        <f t="shared" ref="F86:M86" si="24">ROUND(W86*$B2,0)</f>
        <v>168590</v>
      </c>
      <c r="G86" s="247">
        <f t="shared" si="24"/>
        <v>62206</v>
      </c>
      <c r="H86" s="247">
        <f t="shared" si="24"/>
        <v>62206</v>
      </c>
      <c r="I86" s="247">
        <f t="shared" si="24"/>
        <v>62206</v>
      </c>
      <c r="J86" s="247">
        <f t="shared" si="24"/>
        <v>62206</v>
      </c>
      <c r="K86" s="247">
        <f t="shared" si="24"/>
        <v>62206</v>
      </c>
      <c r="L86" s="247">
        <f t="shared" si="24"/>
        <v>62206</v>
      </c>
      <c r="M86" s="247">
        <f t="shared" si="24"/>
        <v>62206</v>
      </c>
      <c r="N86" s="247"/>
      <c r="O86" s="247"/>
      <c r="P86" s="247"/>
      <c r="Q86" s="247"/>
      <c r="R86" s="200">
        <f t="shared" si="3"/>
        <v>604032</v>
      </c>
      <c r="S86" s="201" t="s">
        <v>745</v>
      </c>
      <c r="T86" s="202"/>
      <c r="U86" s="246"/>
      <c r="V86" s="312"/>
      <c r="W86" s="304">
        <v>6.64</v>
      </c>
      <c r="X86" s="304">
        <v>2.4500000000000002</v>
      </c>
      <c r="Y86" s="304">
        <v>2.4500000000000002</v>
      </c>
      <c r="Z86" s="304">
        <v>2.4500000000000002</v>
      </c>
      <c r="AA86" s="304">
        <v>2.4500000000000002</v>
      </c>
      <c r="AB86" s="304">
        <v>2.4500000000000002</v>
      </c>
      <c r="AC86" s="304">
        <v>2.4500000000000002</v>
      </c>
      <c r="AD86" s="304">
        <v>2.4500000000000002</v>
      </c>
      <c r="AE86" s="304"/>
      <c r="AF86" s="304"/>
      <c r="AG86" s="304"/>
      <c r="AH86" s="304"/>
      <c r="BA86"/>
      <c r="BB86"/>
    </row>
    <row r="87" spans="1:66" s="191" customFormat="1" ht="13">
      <c r="A87" s="226"/>
      <c r="B87" s="180">
        <v>9114120007</v>
      </c>
      <c r="C87" s="183" t="str">
        <f>IFERROR(IF(VLOOKUP($B87,勘定科目!$A:$H,HLOOKUP($E$5,勘定科目!$F$1:$H$2,2,0),0)="","",VLOOKUP($B87,勘定科目!$A:$E,2,0)),"")</f>
        <v>社内金利（固定資産）</v>
      </c>
      <c r="D87" s="239" t="str">
        <f>IF(C87="","",VLOOKUP($B87,勘定科目!$A:$E,4,0))</f>
        <v>固定資産金利</v>
      </c>
      <c r="E87" s="245"/>
      <c r="F87" s="194">
        <f t="shared" ref="F87:M87" si="25">ROUND(W87*$B2,0)</f>
        <v>363585</v>
      </c>
      <c r="G87" s="247">
        <f t="shared" si="25"/>
        <v>134313</v>
      </c>
      <c r="H87" s="247">
        <f t="shared" si="25"/>
        <v>134313</v>
      </c>
      <c r="I87" s="247">
        <f t="shared" si="25"/>
        <v>134313</v>
      </c>
      <c r="J87" s="247">
        <f t="shared" si="25"/>
        <v>134313</v>
      </c>
      <c r="K87" s="247">
        <f t="shared" si="25"/>
        <v>134313</v>
      </c>
      <c r="L87" s="247">
        <f t="shared" si="25"/>
        <v>134313</v>
      </c>
      <c r="M87" s="247">
        <f t="shared" si="25"/>
        <v>134313</v>
      </c>
      <c r="N87" s="247"/>
      <c r="O87" s="247"/>
      <c r="P87" s="247"/>
      <c r="Q87" s="247"/>
      <c r="R87" s="200">
        <f t="shared" si="3"/>
        <v>1303776</v>
      </c>
      <c r="S87" s="201" t="s">
        <v>746</v>
      </c>
      <c r="T87" s="202"/>
      <c r="U87" s="246"/>
      <c r="V87" s="312"/>
      <c r="W87" s="304">
        <v>14.32</v>
      </c>
      <c r="X87" s="304">
        <v>5.29</v>
      </c>
      <c r="Y87" s="304">
        <v>5.29</v>
      </c>
      <c r="Z87" s="304">
        <v>5.29</v>
      </c>
      <c r="AA87" s="304">
        <v>5.29</v>
      </c>
      <c r="AB87" s="304">
        <v>5.29</v>
      </c>
      <c r="AC87" s="304">
        <v>5.29</v>
      </c>
      <c r="AD87" s="304">
        <v>5.29</v>
      </c>
      <c r="AE87" s="304"/>
      <c r="AF87" s="304"/>
      <c r="AG87" s="304"/>
      <c r="AH87" s="304"/>
      <c r="BA87"/>
      <c r="BB87"/>
    </row>
    <row r="88" spans="1:66" s="191" customFormat="1" ht="13">
      <c r="A88" s="226"/>
      <c r="B88" s="180">
        <v>9114120007</v>
      </c>
      <c r="C88" s="183" t="str">
        <f>IFERROR(IF(VLOOKUP($B88,勘定科目!$A:$H,HLOOKUP($E$5,勘定科目!$F$1:$H$2,2,0),0)="","",VLOOKUP($B88,勘定科目!$A:$E,2,0)),"")</f>
        <v>社内金利（固定資産）</v>
      </c>
      <c r="D88" s="239" t="str">
        <f>IF(C88="","",VLOOKUP($B88,勘定科目!$A:$E,4,0))</f>
        <v>固定資産金利</v>
      </c>
      <c r="E88" s="245"/>
      <c r="F88" s="194">
        <f t="shared" ref="F88:M88" si="26">ROUND(W88*$B2,0)</f>
        <v>314328</v>
      </c>
      <c r="G88" s="247">
        <f t="shared" si="26"/>
        <v>116032</v>
      </c>
      <c r="H88" s="247">
        <f t="shared" si="26"/>
        <v>116032</v>
      </c>
      <c r="I88" s="247">
        <f t="shared" si="26"/>
        <v>116032</v>
      </c>
      <c r="J88" s="247">
        <f t="shared" si="26"/>
        <v>116032</v>
      </c>
      <c r="K88" s="247">
        <f t="shared" si="26"/>
        <v>116032</v>
      </c>
      <c r="L88" s="247">
        <f t="shared" si="26"/>
        <v>116032</v>
      </c>
      <c r="M88" s="247">
        <f t="shared" si="26"/>
        <v>116032</v>
      </c>
      <c r="N88" s="247"/>
      <c r="O88" s="247"/>
      <c r="P88" s="247"/>
      <c r="Q88" s="247"/>
      <c r="R88" s="200">
        <f t="shared" si="3"/>
        <v>1126552</v>
      </c>
      <c r="S88" s="201" t="s">
        <v>747</v>
      </c>
      <c r="T88" s="202"/>
      <c r="U88" s="246"/>
      <c r="V88" s="312"/>
      <c r="W88" s="304">
        <v>12.38</v>
      </c>
      <c r="X88" s="304">
        <v>4.57</v>
      </c>
      <c r="Y88" s="304">
        <v>4.57</v>
      </c>
      <c r="Z88" s="304">
        <v>4.57</v>
      </c>
      <c r="AA88" s="304">
        <v>4.57</v>
      </c>
      <c r="AB88" s="304">
        <v>4.57</v>
      </c>
      <c r="AC88" s="304">
        <v>4.57</v>
      </c>
      <c r="AD88" s="304">
        <v>4.57</v>
      </c>
      <c r="AE88" s="304"/>
      <c r="AF88" s="304"/>
      <c r="AG88" s="304"/>
      <c r="AH88" s="304"/>
      <c r="BA88"/>
      <c r="BB88"/>
    </row>
    <row r="89" spans="1:66" s="191" customFormat="1" ht="13">
      <c r="A89" s="226"/>
      <c r="B89" s="180">
        <v>9114120007</v>
      </c>
      <c r="C89" s="183" t="str">
        <f>IFERROR(IF(VLOOKUP($B89,勘定科目!$A:$H,HLOOKUP($E$5,勘定科目!$F$1:$H$2,2,0),0)="","",VLOOKUP($B89,勘定科目!$A:$E,2,0)),"")</f>
        <v>社内金利（固定資産）</v>
      </c>
      <c r="D89" s="239" t="str">
        <f>IF(C89="","",VLOOKUP($B89,勘定科目!$A:$E,4,0))</f>
        <v>固定資産金利</v>
      </c>
      <c r="E89" s="245"/>
      <c r="F89" s="194">
        <f t="shared" ref="F89:K89" si="27">ROUND(W89*$B2,0)</f>
        <v>80994</v>
      </c>
      <c r="G89" s="247">
        <f t="shared" si="27"/>
        <v>23867</v>
      </c>
      <c r="H89" s="247">
        <f t="shared" si="27"/>
        <v>23867</v>
      </c>
      <c r="I89" s="247">
        <f t="shared" si="27"/>
        <v>23867</v>
      </c>
      <c r="J89" s="247">
        <f t="shared" si="27"/>
        <v>23867</v>
      </c>
      <c r="K89" s="247">
        <f t="shared" si="27"/>
        <v>23867</v>
      </c>
      <c r="L89" s="247"/>
      <c r="M89" s="247"/>
      <c r="N89" s="247"/>
      <c r="O89" s="247"/>
      <c r="P89" s="247"/>
      <c r="Q89" s="247"/>
      <c r="R89" s="200">
        <f t="shared" si="3"/>
        <v>200329</v>
      </c>
      <c r="S89" s="201" t="s">
        <v>748</v>
      </c>
      <c r="T89" s="202"/>
      <c r="U89" s="246"/>
      <c r="V89" s="312"/>
      <c r="W89" s="304">
        <v>3.19</v>
      </c>
      <c r="X89" s="304">
        <v>0.94</v>
      </c>
      <c r="Y89" s="304">
        <v>0.94</v>
      </c>
      <c r="Z89" s="304">
        <v>0.94</v>
      </c>
      <c r="AA89" s="304">
        <v>0.94</v>
      </c>
      <c r="AB89" s="304">
        <v>0.94</v>
      </c>
      <c r="AC89" s="304"/>
      <c r="AD89" s="304"/>
      <c r="AE89" s="304"/>
      <c r="AF89" s="304"/>
      <c r="AG89" s="304"/>
      <c r="AH89" s="304"/>
      <c r="BA89"/>
      <c r="BB89"/>
    </row>
    <row r="90" spans="1:66" s="191" customFormat="1" ht="13">
      <c r="A90" s="226"/>
      <c r="B90" s="180"/>
      <c r="C90" s="183" t="str">
        <f>IFERROR(IF(VLOOKUP($B90,勘定科目!$A:$H,HLOOKUP($E$5,勘定科目!$F$1:$H$2,2,0),0)="","",VLOOKUP($B90,勘定科目!$A:$E,2,0)),"")</f>
        <v/>
      </c>
      <c r="D90" s="239" t="str">
        <f>IF(C90="","",VLOOKUP($B90,勘定科目!$A:$E,4,0))</f>
        <v/>
      </c>
      <c r="E90" s="245"/>
      <c r="F90" s="194"/>
      <c r="G90" s="247"/>
      <c r="H90" s="247"/>
      <c r="I90" s="247"/>
      <c r="J90" s="247"/>
      <c r="K90" s="247"/>
      <c r="L90" s="247"/>
      <c r="M90" s="247"/>
      <c r="N90" s="247"/>
      <c r="O90" s="247"/>
      <c r="P90" s="247"/>
      <c r="Q90" s="247"/>
      <c r="R90" s="200">
        <f t="shared" si="3"/>
        <v>0</v>
      </c>
      <c r="S90" s="201"/>
      <c r="T90" s="202"/>
      <c r="U90" s="246"/>
      <c r="V90" s="246"/>
      <c r="W90" s="246"/>
      <c r="BA90"/>
      <c r="BB90"/>
      <c r="BE90" s="191" t="s">
        <v>750</v>
      </c>
      <c r="BF90" s="191" t="s">
        <v>725</v>
      </c>
      <c r="BG90" s="191" t="s">
        <v>726</v>
      </c>
      <c r="BI90" s="191" t="e">
        <v>#REF!</v>
      </c>
      <c r="BJ90" s="191" t="e">
        <v>#REF!</v>
      </c>
      <c r="BK90" s="191" t="e">
        <v>#REF!</v>
      </c>
      <c r="BL90" s="191" t="e">
        <v>#REF!</v>
      </c>
    </row>
    <row r="91" spans="1:66" s="191" customFormat="1" ht="13">
      <c r="A91" s="226"/>
      <c r="B91" s="180"/>
      <c r="C91" s="183" t="str">
        <f>IFERROR(IF(VLOOKUP($B91,勘定科目!$A:$H,HLOOKUP($E$5,勘定科目!$F$1:$H$2,2,0),0)="","",VLOOKUP($B91,勘定科目!$A:$E,2,0)),"")</f>
        <v/>
      </c>
      <c r="D91" s="239" t="str">
        <f>IF(C91="","",VLOOKUP($B91,勘定科目!$A:$E,4,0))</f>
        <v/>
      </c>
      <c r="E91" s="245"/>
      <c r="F91" s="194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00">
        <f t="shared" ref="R91" si="28">SUM(F91:Q91)</f>
        <v>0</v>
      </c>
      <c r="S91" s="201"/>
      <c r="T91" s="202"/>
      <c r="U91" s="246"/>
      <c r="V91" s="303" t="s">
        <v>801</v>
      </c>
      <c r="W91" s="301" t="s">
        <v>787</v>
      </c>
      <c r="X91" s="301" t="s">
        <v>788</v>
      </c>
      <c r="Y91" s="301" t="s">
        <v>789</v>
      </c>
      <c r="Z91" s="301" t="s">
        <v>790</v>
      </c>
      <c r="AA91" s="301" t="s">
        <v>791</v>
      </c>
      <c r="AB91" s="301" t="s">
        <v>792</v>
      </c>
      <c r="AC91" s="301" t="s">
        <v>793</v>
      </c>
      <c r="AD91" s="301" t="s">
        <v>794</v>
      </c>
      <c r="AE91" s="301" t="s">
        <v>795</v>
      </c>
      <c r="AF91" s="301" t="s">
        <v>796</v>
      </c>
      <c r="AG91" s="301" t="s">
        <v>797</v>
      </c>
      <c r="AH91" s="301" t="s">
        <v>798</v>
      </c>
      <c r="BA91"/>
      <c r="BB91"/>
      <c r="BE91" s="191" t="s">
        <v>750</v>
      </c>
      <c r="BF91" s="191" t="s">
        <v>725</v>
      </c>
      <c r="BG91" s="191" t="s">
        <v>726</v>
      </c>
      <c r="BI91" s="191" t="e">
        <v>#REF!</v>
      </c>
      <c r="BJ91" s="191" t="e">
        <v>#REF!</v>
      </c>
      <c r="BK91" s="191" t="e">
        <v>#REF!</v>
      </c>
      <c r="BL91" s="191" t="e">
        <v>#REF!</v>
      </c>
    </row>
    <row r="92" spans="1:66" s="191" customFormat="1" ht="13">
      <c r="A92" s="226"/>
      <c r="B92" s="180">
        <v>9114120007</v>
      </c>
      <c r="C92" s="183" t="str">
        <f>IFERROR(IF(VLOOKUP($B92,勘定科目!$A:$H,HLOOKUP($E$5,勘定科目!$F$1:$H$2,2,0),0)="","",VLOOKUP($B92,勘定科目!$A:$E,2,0)),"")</f>
        <v>社内金利（固定資産）</v>
      </c>
      <c r="D92" s="239" t="str">
        <f>IF(C92="","",VLOOKUP($B92,勘定科目!$A:$E,4,0))</f>
        <v>固定資産金利</v>
      </c>
      <c r="E92" s="245"/>
      <c r="F92" s="194">
        <f t="shared" ref="F92:Q92" si="29">ROUND(W92*$B2,0)</f>
        <v>27626859</v>
      </c>
      <c r="G92" s="247">
        <f t="shared" si="29"/>
        <v>26118693</v>
      </c>
      <c r="H92" s="247">
        <f t="shared" si="29"/>
        <v>26129357</v>
      </c>
      <c r="I92" s="247">
        <f t="shared" si="29"/>
        <v>25911511</v>
      </c>
      <c r="J92" s="247">
        <f t="shared" si="29"/>
        <v>25935631</v>
      </c>
      <c r="K92" s="247">
        <f t="shared" si="29"/>
        <v>25667259</v>
      </c>
      <c r="L92" s="247">
        <f t="shared" si="29"/>
        <v>25414628</v>
      </c>
      <c r="M92" s="247">
        <f t="shared" si="29"/>
        <v>25409550</v>
      </c>
      <c r="N92" s="247">
        <f t="shared" si="29"/>
        <v>25416406</v>
      </c>
      <c r="O92" s="247">
        <f t="shared" si="29"/>
        <v>25369180</v>
      </c>
      <c r="P92" s="247">
        <f t="shared" si="29"/>
        <v>25216586</v>
      </c>
      <c r="Q92" s="247">
        <f t="shared" si="29"/>
        <v>25337443</v>
      </c>
      <c r="R92" s="200">
        <f t="shared" si="3"/>
        <v>309553103</v>
      </c>
      <c r="S92" s="201" t="s">
        <v>751</v>
      </c>
      <c r="T92" s="202"/>
      <c r="U92" s="246"/>
      <c r="V92" s="303" t="s">
        <v>737</v>
      </c>
      <c r="W92" s="304">
        <v>1088.0999999999999</v>
      </c>
      <c r="X92" s="304">
        <v>1028.7</v>
      </c>
      <c r="Y92" s="304">
        <v>1029.1199999999999</v>
      </c>
      <c r="Z92" s="304">
        <v>1020.54</v>
      </c>
      <c r="AA92" s="304">
        <v>1021.49</v>
      </c>
      <c r="AB92" s="304">
        <v>1010.92</v>
      </c>
      <c r="AC92" s="304">
        <v>1000.97</v>
      </c>
      <c r="AD92" s="304">
        <v>1000.77</v>
      </c>
      <c r="AE92" s="304">
        <v>1001.04</v>
      </c>
      <c r="AF92" s="304">
        <v>999.18</v>
      </c>
      <c r="AG92" s="304">
        <v>993.17</v>
      </c>
      <c r="AH92" s="304">
        <v>997.93</v>
      </c>
      <c r="BA92"/>
      <c r="BB92"/>
      <c r="BE92" s="191" t="s">
        <v>737</v>
      </c>
      <c r="BF92" s="191">
        <v>1063.32</v>
      </c>
      <c r="BG92" s="191">
        <v>1063.32</v>
      </c>
      <c r="BI92" s="191">
        <v>1061.6300000000001</v>
      </c>
      <c r="BJ92" s="191">
        <v>1061.6300000000001</v>
      </c>
      <c r="BK92" s="191">
        <v>1061.6300000000001</v>
      </c>
      <c r="BL92" s="191">
        <v>1061.6300000000001</v>
      </c>
    </row>
    <row r="93" spans="1:66" s="191" customFormat="1" ht="13">
      <c r="A93" s="226"/>
      <c r="B93" s="180">
        <v>9114120007</v>
      </c>
      <c r="C93" s="183" t="str">
        <f>IFERROR(IF(VLOOKUP($B93,勘定科目!$A:$H,HLOOKUP($E$5,勘定科目!$F$1:$H$2,2,0),0)="","",VLOOKUP($B93,勘定科目!$A:$E,2,0)),"")</f>
        <v>社内金利（固定資産）</v>
      </c>
      <c r="D93" s="239" t="str">
        <f>IF(C93="","",VLOOKUP($B93,勘定科目!$A:$E,4,0))</f>
        <v>固定資産金利</v>
      </c>
      <c r="E93" s="245"/>
      <c r="F93" s="194">
        <f t="shared" ref="F93:Q93" si="30">ROUND(W93*$B2,0)</f>
        <v>3415971</v>
      </c>
      <c r="G93" s="247">
        <f t="shared" si="30"/>
        <v>3311618</v>
      </c>
      <c r="H93" s="247">
        <f t="shared" si="30"/>
        <v>3312887</v>
      </c>
      <c r="I93" s="247">
        <f t="shared" si="30"/>
        <v>3285212</v>
      </c>
      <c r="J93" s="247">
        <f t="shared" si="30"/>
        <v>3288513</v>
      </c>
      <c r="K93" s="247">
        <f t="shared" si="30"/>
        <v>3254236</v>
      </c>
      <c r="L93" s="247">
        <f t="shared" si="30"/>
        <v>3222245</v>
      </c>
      <c r="M93" s="247">
        <f t="shared" si="30"/>
        <v>3221737</v>
      </c>
      <c r="N93" s="247">
        <f t="shared" si="30"/>
        <v>3222499</v>
      </c>
      <c r="O93" s="247">
        <f t="shared" si="30"/>
        <v>3216659</v>
      </c>
      <c r="P93" s="247">
        <f t="shared" si="30"/>
        <v>3197109</v>
      </c>
      <c r="Q93" s="247">
        <f t="shared" si="30"/>
        <v>3212597</v>
      </c>
      <c r="R93" s="200">
        <f t="shared" si="3"/>
        <v>39161283</v>
      </c>
      <c r="S93" s="201" t="s">
        <v>752</v>
      </c>
      <c r="T93" s="202"/>
      <c r="U93" s="246"/>
      <c r="V93" s="303" t="s">
        <v>739</v>
      </c>
      <c r="W93" s="304">
        <v>134.54</v>
      </c>
      <c r="X93" s="304">
        <v>130.43</v>
      </c>
      <c r="Y93" s="304">
        <v>130.47999999999999</v>
      </c>
      <c r="Z93" s="304">
        <v>129.38999999999999</v>
      </c>
      <c r="AA93" s="304">
        <v>129.52000000000001</v>
      </c>
      <c r="AB93" s="304">
        <v>128.16999999999999</v>
      </c>
      <c r="AC93" s="304">
        <v>126.91</v>
      </c>
      <c r="AD93" s="304">
        <v>126.89</v>
      </c>
      <c r="AE93" s="304">
        <v>126.92</v>
      </c>
      <c r="AF93" s="304">
        <v>126.69</v>
      </c>
      <c r="AG93" s="304">
        <v>125.92</v>
      </c>
      <c r="AH93" s="304">
        <v>126.53</v>
      </c>
      <c r="BA93"/>
      <c r="BB93"/>
      <c r="BE93" s="191" t="s">
        <v>739</v>
      </c>
      <c r="BF93" s="191">
        <v>131.47</v>
      </c>
      <c r="BG93" s="191">
        <v>131.47</v>
      </c>
      <c r="BI93" s="191">
        <v>131.27000000000001</v>
      </c>
      <c r="BJ93" s="191">
        <v>131.27000000000001</v>
      </c>
      <c r="BK93" s="191">
        <v>131.27000000000001</v>
      </c>
      <c r="BL93" s="191">
        <v>131.27000000000001</v>
      </c>
    </row>
    <row r="94" spans="1:66" s="191" customFormat="1" ht="13">
      <c r="A94" s="226"/>
      <c r="B94" s="180"/>
      <c r="C94" s="183" t="str">
        <f>IFERROR(IF(VLOOKUP($B94,勘定科目!$A:$H,HLOOKUP($E$5,勘定科目!$F$1:$H$2,2,0),0)="","",VLOOKUP($B94,勘定科目!$A:$E,2,0)),"")</f>
        <v/>
      </c>
      <c r="D94" s="239" t="str">
        <f>IF(C94="","",VLOOKUP($B94,勘定科目!$A:$E,4,0))</f>
        <v/>
      </c>
      <c r="E94" s="245"/>
      <c r="F94" s="194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00">
        <f t="shared" si="3"/>
        <v>0</v>
      </c>
      <c r="S94" s="201"/>
      <c r="T94" s="202"/>
      <c r="U94" s="246"/>
      <c r="V94" s="246"/>
      <c r="W94" s="246"/>
      <c r="BA94"/>
      <c r="BB94"/>
      <c r="BN94" s="191" t="s">
        <v>753</v>
      </c>
    </row>
    <row r="95" spans="1:66" s="191" customFormat="1" ht="13">
      <c r="A95" s="226"/>
      <c r="B95" s="180"/>
      <c r="C95" s="183" t="str">
        <f>IFERROR(IF(VLOOKUP($B95,勘定科目!$A:$H,HLOOKUP($E$5,勘定科目!$F$1:$H$2,2,0),0)="","",VLOOKUP($B95,勘定科目!$A:$E,2,0)),"")</f>
        <v/>
      </c>
      <c r="D95" s="239" t="str">
        <f>IF(C95="","",VLOOKUP($B95,勘定科目!$A:$E,4,0))</f>
        <v/>
      </c>
      <c r="E95" s="245"/>
      <c r="F95" s="194"/>
      <c r="G95" s="247"/>
      <c r="H95" s="247"/>
      <c r="I95" s="247"/>
      <c r="J95" s="247"/>
      <c r="K95" s="247"/>
      <c r="L95" s="247"/>
      <c r="M95" s="247"/>
      <c r="N95" s="247"/>
      <c r="O95" s="247"/>
      <c r="P95" s="247"/>
      <c r="Q95" s="247"/>
      <c r="R95" s="200">
        <f t="shared" ref="R95" si="31">SUM(F95:Q95)</f>
        <v>0</v>
      </c>
      <c r="S95" s="201"/>
      <c r="T95" s="202"/>
      <c r="U95" s="246"/>
      <c r="V95" s="305" t="s">
        <v>802</v>
      </c>
      <c r="W95" s="301" t="s">
        <v>787</v>
      </c>
      <c r="X95" s="301" t="s">
        <v>788</v>
      </c>
      <c r="Y95" s="301" t="s">
        <v>789</v>
      </c>
      <c r="Z95" s="301" t="s">
        <v>790</v>
      </c>
      <c r="AA95" s="301" t="s">
        <v>791</v>
      </c>
      <c r="AB95" s="301" t="s">
        <v>792</v>
      </c>
      <c r="AC95" s="301" t="s">
        <v>793</v>
      </c>
      <c r="AD95" s="301" t="s">
        <v>794</v>
      </c>
      <c r="AE95" s="301" t="s">
        <v>795</v>
      </c>
      <c r="AF95" s="301" t="s">
        <v>796</v>
      </c>
      <c r="AG95" s="301" t="s">
        <v>797</v>
      </c>
      <c r="AH95" s="301" t="s">
        <v>798</v>
      </c>
      <c r="BA95"/>
      <c r="BB95"/>
      <c r="BN95" s="191" t="s">
        <v>753</v>
      </c>
    </row>
    <row r="96" spans="1:66" s="191" customFormat="1" ht="13">
      <c r="A96" s="226"/>
      <c r="B96" s="180">
        <v>5005066281</v>
      </c>
      <c r="C96" s="183" t="str">
        <f>IFERROR(IF(VLOOKUP($B96,勘定科目!$A:$H,HLOOKUP($E$5,勘定科目!$F$1:$H$2,2,0),0)="","",VLOOKUP($B96,勘定科目!$A:$E,2,0)),"")</f>
        <v>電気代（製）</v>
      </c>
      <c r="D96" s="239" t="str">
        <f>IF(C96="","",VLOOKUP($B96,勘定科目!$A:$E,4,0))</f>
        <v>水道光熱費</v>
      </c>
      <c r="E96" s="245"/>
      <c r="F96" s="194">
        <f>ROUND(W96,0)</f>
        <v>8305528</v>
      </c>
      <c r="G96" s="247">
        <f t="shared" ref="G96:Q97" si="32">ROUND(X96,0)</f>
        <v>8527336</v>
      </c>
      <c r="H96" s="247">
        <f t="shared" si="32"/>
        <v>10695838</v>
      </c>
      <c r="I96" s="247">
        <f t="shared" si="32"/>
        <v>11518595</v>
      </c>
      <c r="J96" s="247">
        <f t="shared" si="32"/>
        <v>11930395</v>
      </c>
      <c r="K96" s="247">
        <f t="shared" si="32"/>
        <v>10943052</v>
      </c>
      <c r="L96" s="247">
        <f t="shared" si="32"/>
        <v>11014459</v>
      </c>
      <c r="M96" s="247">
        <f t="shared" si="32"/>
        <v>9873430</v>
      </c>
      <c r="N96" s="247">
        <f t="shared" si="32"/>
        <v>9462037</v>
      </c>
      <c r="O96" s="247">
        <f t="shared" si="32"/>
        <v>8321008</v>
      </c>
      <c r="P96" s="247">
        <f t="shared" si="32"/>
        <v>8312081</v>
      </c>
      <c r="Q96" s="247">
        <f t="shared" si="32"/>
        <v>6582287</v>
      </c>
      <c r="R96" s="200">
        <f t="shared" si="3"/>
        <v>115486046</v>
      </c>
      <c r="S96" s="201" t="s">
        <v>803</v>
      </c>
      <c r="T96" s="202"/>
      <c r="U96" s="246"/>
      <c r="V96" s="305" t="s">
        <v>754</v>
      </c>
      <c r="W96" s="306">
        <v>8305528</v>
      </c>
      <c r="X96" s="306">
        <v>8527336</v>
      </c>
      <c r="Y96" s="306">
        <v>10695838</v>
      </c>
      <c r="Z96" s="306">
        <v>11518595</v>
      </c>
      <c r="AA96" s="306">
        <v>11930395</v>
      </c>
      <c r="AB96" s="306">
        <v>10943052</v>
      </c>
      <c r="AC96" s="306">
        <v>11014459</v>
      </c>
      <c r="AD96" s="306">
        <v>9873430</v>
      </c>
      <c r="AE96" s="306">
        <v>9462037</v>
      </c>
      <c r="AF96" s="306">
        <v>8321008</v>
      </c>
      <c r="AG96" s="306">
        <v>8312081</v>
      </c>
      <c r="AH96" s="306">
        <v>6582287</v>
      </c>
      <c r="BA96"/>
      <c r="BB96"/>
      <c r="BN96" s="191" t="s">
        <v>754</v>
      </c>
    </row>
    <row r="97" spans="1:66" s="191" customFormat="1" ht="13">
      <c r="A97" s="226"/>
      <c r="B97" s="180">
        <v>5005066282</v>
      </c>
      <c r="C97" s="183" t="str">
        <f>IFERROR(IF(VLOOKUP($B97,勘定科目!$A:$H,HLOOKUP($E$5,勘定科目!$F$1:$H$2,2,0),0)="","",VLOOKUP($B97,勘定科目!$A:$E,2,0)),"")</f>
        <v>水道代（製）</v>
      </c>
      <c r="D97" s="239" t="str">
        <f>IF(C97="","",VLOOKUP($B97,勘定科目!$A:$E,4,0))</f>
        <v>水道光熱費</v>
      </c>
      <c r="E97" s="245"/>
      <c r="F97" s="194">
        <f>ROUND(W97,0)</f>
        <v>1307840</v>
      </c>
      <c r="G97" s="247">
        <f t="shared" si="32"/>
        <v>1445375</v>
      </c>
      <c r="H97" s="247">
        <f t="shared" si="32"/>
        <v>1632472</v>
      </c>
      <c r="I97" s="247">
        <f t="shared" si="32"/>
        <v>2331287</v>
      </c>
      <c r="J97" s="247">
        <f t="shared" si="32"/>
        <v>2180794</v>
      </c>
      <c r="K97" s="247">
        <f t="shared" si="32"/>
        <v>1892260</v>
      </c>
      <c r="L97" s="247">
        <f t="shared" si="32"/>
        <v>1296251</v>
      </c>
      <c r="M97" s="247">
        <f t="shared" si="32"/>
        <v>1805521</v>
      </c>
      <c r="N97" s="247">
        <f t="shared" si="32"/>
        <v>1803248</v>
      </c>
      <c r="O97" s="247">
        <f t="shared" si="32"/>
        <v>1222773</v>
      </c>
      <c r="P97" s="247">
        <f t="shared" si="32"/>
        <v>916914</v>
      </c>
      <c r="Q97" s="247">
        <f t="shared" si="32"/>
        <v>1065351</v>
      </c>
      <c r="R97" s="200">
        <f t="shared" si="3"/>
        <v>18900086</v>
      </c>
      <c r="S97" s="201" t="s">
        <v>755</v>
      </c>
      <c r="T97" s="202"/>
      <c r="U97" s="246"/>
      <c r="V97" s="305" t="s">
        <v>756</v>
      </c>
      <c r="W97" s="306">
        <v>1307840</v>
      </c>
      <c r="X97" s="306">
        <v>1445375</v>
      </c>
      <c r="Y97" s="306">
        <v>1632472</v>
      </c>
      <c r="Z97" s="306">
        <v>2331287</v>
      </c>
      <c r="AA97" s="306">
        <v>2180794</v>
      </c>
      <c r="AB97" s="306">
        <v>1892260</v>
      </c>
      <c r="AC97" s="306">
        <v>1296251</v>
      </c>
      <c r="AD97" s="306">
        <v>1805521</v>
      </c>
      <c r="AE97" s="306">
        <v>1803248</v>
      </c>
      <c r="AF97" s="306">
        <v>1222773</v>
      </c>
      <c r="AG97" s="306">
        <v>916914</v>
      </c>
      <c r="AH97" s="306">
        <v>1065351</v>
      </c>
      <c r="BA97"/>
      <c r="BB97"/>
      <c r="BN97" s="191" t="s">
        <v>756</v>
      </c>
    </row>
    <row r="98" spans="1:66" s="191" customFormat="1" ht="13">
      <c r="A98" s="226"/>
      <c r="B98" s="180"/>
      <c r="C98" s="183" t="str">
        <f>IFERROR(IF(VLOOKUP($B98,勘定科目!$A:$H,HLOOKUP($E$5,勘定科目!$F$1:$H$2,2,0),0)="","",VLOOKUP($B98,勘定科目!$A:$E,2,0)),"")</f>
        <v/>
      </c>
      <c r="D98" s="239" t="str">
        <f>IF(C98="","",VLOOKUP($B98,勘定科目!$A:$E,4,0))</f>
        <v/>
      </c>
      <c r="E98" s="245"/>
      <c r="F98" s="194"/>
      <c r="G98" s="247"/>
      <c r="H98" s="247"/>
      <c r="I98" s="247"/>
      <c r="J98" s="247"/>
      <c r="K98" s="247"/>
      <c r="L98" s="247"/>
      <c r="M98" s="247"/>
      <c r="N98" s="247"/>
      <c r="O98" s="247"/>
      <c r="P98" s="247"/>
      <c r="Q98" s="247"/>
      <c r="R98" s="200">
        <f t="shared" si="3"/>
        <v>0</v>
      </c>
      <c r="S98" s="201"/>
      <c r="T98" s="202"/>
      <c r="U98" s="246"/>
      <c r="V98" s="246"/>
      <c r="W98" s="246"/>
      <c r="BA98"/>
      <c r="BB98"/>
      <c r="BE98" s="191" t="s">
        <v>757</v>
      </c>
      <c r="BF98" s="191" t="s">
        <v>725</v>
      </c>
      <c r="BG98" s="191" t="s">
        <v>726</v>
      </c>
      <c r="BI98" s="191" t="e">
        <v>#REF!</v>
      </c>
      <c r="BJ98" s="191" t="e">
        <v>#REF!</v>
      </c>
      <c r="BK98" s="191" t="e">
        <v>#REF!</v>
      </c>
      <c r="BL98" s="191" t="e">
        <v>#REF!</v>
      </c>
    </row>
    <row r="99" spans="1:66" s="191" customFormat="1" ht="13">
      <c r="A99" s="226"/>
      <c r="B99" s="180"/>
      <c r="C99" s="183" t="str">
        <f>IFERROR(IF(VLOOKUP($B99,勘定科目!$A:$H,HLOOKUP($E$5,勘定科目!$F$1:$H$2,2,0),0)="","",VLOOKUP($B99,勘定科目!$A:$E,2,0)),"")</f>
        <v/>
      </c>
      <c r="D99" s="239" t="str">
        <f>IF(C99="","",VLOOKUP($B99,勘定科目!$A:$E,4,0))</f>
        <v/>
      </c>
      <c r="E99" s="245"/>
      <c r="F99" s="194"/>
      <c r="G99" s="247"/>
      <c r="H99" s="247"/>
      <c r="I99" s="247"/>
      <c r="J99" s="247"/>
      <c r="K99" s="247"/>
      <c r="L99" s="247"/>
      <c r="M99" s="247"/>
      <c r="N99" s="247"/>
      <c r="O99" s="247"/>
      <c r="P99" s="247"/>
      <c r="Q99" s="247"/>
      <c r="R99" s="200">
        <f t="shared" ref="R99" si="33">SUM(F99:Q99)</f>
        <v>0</v>
      </c>
      <c r="S99" s="201"/>
      <c r="T99" s="202"/>
      <c r="U99" s="246"/>
      <c r="V99" s="305" t="s">
        <v>757</v>
      </c>
      <c r="W99" s="301" t="s">
        <v>787</v>
      </c>
      <c r="X99" s="301" t="s">
        <v>788</v>
      </c>
      <c r="Y99" s="301" t="s">
        <v>789</v>
      </c>
      <c r="Z99" s="301" t="s">
        <v>790</v>
      </c>
      <c r="AA99" s="301" t="s">
        <v>791</v>
      </c>
      <c r="AB99" s="301" t="s">
        <v>792</v>
      </c>
      <c r="AC99" s="301" t="s">
        <v>793</v>
      </c>
      <c r="AD99" s="301" t="s">
        <v>794</v>
      </c>
      <c r="AE99" s="301" t="s">
        <v>795</v>
      </c>
      <c r="AF99" s="301" t="s">
        <v>796</v>
      </c>
      <c r="AG99" s="301" t="s">
        <v>797</v>
      </c>
      <c r="AH99" s="301" t="s">
        <v>798</v>
      </c>
      <c r="BA99"/>
      <c r="BB99"/>
      <c r="BE99" s="191" t="s">
        <v>757</v>
      </c>
      <c r="BF99" s="191" t="s">
        <v>725</v>
      </c>
      <c r="BG99" s="191" t="s">
        <v>726</v>
      </c>
      <c r="BI99" s="191" t="e">
        <v>#REF!</v>
      </c>
      <c r="BJ99" s="191" t="e">
        <v>#REF!</v>
      </c>
      <c r="BK99" s="191" t="e">
        <v>#REF!</v>
      </c>
      <c r="BL99" s="191" t="e">
        <v>#REF!</v>
      </c>
    </row>
    <row r="100" spans="1:66" s="191" customFormat="1" ht="13">
      <c r="A100" s="226"/>
      <c r="B100" s="180">
        <v>5005056281</v>
      </c>
      <c r="C100" s="183" t="str">
        <f>IFERROR(IF(VLOOKUP($B100,勘定科目!$A:$H,HLOOKUP($E$5,勘定科目!$F$1:$H$2,2,0),0)="","",VLOOKUP($B100,勘定科目!$A:$E,2,0)),"")</f>
        <v>ガス代（製）</v>
      </c>
      <c r="D100" s="239" t="str">
        <f>IF(C100="","",VLOOKUP($B100,勘定科目!$A:$E,4,0))</f>
        <v>水道光熱費</v>
      </c>
      <c r="E100" s="245"/>
      <c r="F100" s="194">
        <f>ROUND(W100*45,0)</f>
        <v>1816470</v>
      </c>
      <c r="G100" s="247">
        <f t="shared" ref="G100:Q100" si="34">ROUND(X100*F25,0)</f>
        <v>1759995</v>
      </c>
      <c r="H100" s="247">
        <f t="shared" si="34"/>
        <v>2018520</v>
      </c>
      <c r="I100" s="247">
        <f t="shared" si="34"/>
        <v>2111805</v>
      </c>
      <c r="J100" s="247">
        <f t="shared" si="34"/>
        <v>1920960</v>
      </c>
      <c r="K100" s="247">
        <f t="shared" si="34"/>
        <v>1809077</v>
      </c>
      <c r="L100" s="247">
        <f t="shared" si="34"/>
        <v>2207919</v>
      </c>
      <c r="M100" s="247">
        <f t="shared" si="34"/>
        <v>1932922</v>
      </c>
      <c r="N100" s="247">
        <f t="shared" si="34"/>
        <v>2072042</v>
      </c>
      <c r="O100" s="247">
        <f t="shared" si="34"/>
        <v>1995573</v>
      </c>
      <c r="P100" s="247">
        <f t="shared" si="34"/>
        <v>1546018</v>
      </c>
      <c r="Q100" s="247">
        <f t="shared" si="34"/>
        <v>1999474</v>
      </c>
      <c r="R100" s="200">
        <f t="shared" si="3"/>
        <v>23190775</v>
      </c>
      <c r="S100" s="201" t="s">
        <v>758</v>
      </c>
      <c r="T100" s="202"/>
      <c r="U100" s="246"/>
      <c r="V100" s="305" t="s">
        <v>695</v>
      </c>
      <c r="W100" s="302">
        <v>40366</v>
      </c>
      <c r="X100" s="302">
        <v>39111</v>
      </c>
      <c r="Y100" s="302">
        <v>44856</v>
      </c>
      <c r="Z100" s="302">
        <v>46929</v>
      </c>
      <c r="AA100" s="302">
        <v>42688</v>
      </c>
      <c r="AB100" s="302">
        <v>38491</v>
      </c>
      <c r="AC100" s="302">
        <v>46977</v>
      </c>
      <c r="AD100" s="302">
        <v>41126</v>
      </c>
      <c r="AE100" s="302">
        <v>44086</v>
      </c>
      <c r="AF100" s="302">
        <v>42459</v>
      </c>
      <c r="AG100" s="302">
        <v>32894</v>
      </c>
      <c r="AH100" s="302">
        <v>42542</v>
      </c>
      <c r="BA100"/>
      <c r="BB100"/>
      <c r="BE100" s="191" t="s">
        <v>695</v>
      </c>
      <c r="BF100" s="191">
        <v>39585</v>
      </c>
      <c r="BG100" s="191">
        <v>39585</v>
      </c>
      <c r="BI100" s="191">
        <v>35606</v>
      </c>
      <c r="BJ100" s="191">
        <v>38435</v>
      </c>
      <c r="BK100" s="191">
        <v>38435</v>
      </c>
      <c r="BL100" s="191">
        <v>38435</v>
      </c>
    </row>
    <row r="101" spans="1:66" s="191" customFormat="1" ht="13">
      <c r="A101" s="226"/>
      <c r="B101" s="180">
        <v>5005016372</v>
      </c>
      <c r="C101" s="183" t="str">
        <f>IFERROR(IF(VLOOKUP($B101,勘定科目!$A:$H,HLOOKUP($E$5,勘定科目!$F$1:$H$2,2,0),0)="","",VLOOKUP($B101,勘定科目!$A:$E,2,0)),"")</f>
        <v>その他消耗品（製）</v>
      </c>
      <c r="D101" s="239" t="str">
        <f>IF(C101="","",VLOOKUP($B101,勘定科目!$A:$E,4,0))</f>
        <v>消耗品費</v>
      </c>
      <c r="E101" s="245"/>
      <c r="F101" s="194">
        <f>ROUND(W101*45,0)</f>
        <v>50490</v>
      </c>
      <c r="G101" s="247">
        <f t="shared" ref="G101:Q101" si="35">ROUND(X101*F25,0)</f>
        <v>50850</v>
      </c>
      <c r="H101" s="247">
        <f t="shared" si="35"/>
        <v>52065</v>
      </c>
      <c r="I101" s="247">
        <f t="shared" si="35"/>
        <v>50085</v>
      </c>
      <c r="J101" s="247">
        <f t="shared" si="35"/>
        <v>48600</v>
      </c>
      <c r="K101" s="247">
        <f t="shared" si="35"/>
        <v>51371</v>
      </c>
      <c r="L101" s="247">
        <f t="shared" si="35"/>
        <v>53157</v>
      </c>
      <c r="M101" s="247">
        <f t="shared" si="35"/>
        <v>52358</v>
      </c>
      <c r="N101" s="247">
        <f t="shared" si="35"/>
        <v>52828</v>
      </c>
      <c r="O101" s="247">
        <f t="shared" si="35"/>
        <v>53016</v>
      </c>
      <c r="P101" s="247">
        <f t="shared" si="35"/>
        <v>53862</v>
      </c>
      <c r="Q101" s="247">
        <f t="shared" si="35"/>
        <v>50995</v>
      </c>
      <c r="R101" s="200">
        <f t="shared" si="3"/>
        <v>619677</v>
      </c>
      <c r="S101" s="201" t="s">
        <v>759</v>
      </c>
      <c r="T101" s="202"/>
      <c r="U101" s="246"/>
      <c r="V101" s="305" t="s">
        <v>760</v>
      </c>
      <c r="W101" s="302">
        <v>1122</v>
      </c>
      <c r="X101" s="302">
        <v>1130</v>
      </c>
      <c r="Y101" s="302">
        <v>1157</v>
      </c>
      <c r="Z101" s="302">
        <v>1113</v>
      </c>
      <c r="AA101" s="302">
        <v>1080</v>
      </c>
      <c r="AB101" s="302">
        <v>1093</v>
      </c>
      <c r="AC101" s="302">
        <v>1131</v>
      </c>
      <c r="AD101" s="302">
        <v>1114</v>
      </c>
      <c r="AE101" s="302">
        <v>1124</v>
      </c>
      <c r="AF101" s="302">
        <v>1128</v>
      </c>
      <c r="AG101" s="307">
        <v>1146</v>
      </c>
      <c r="AH101" s="302">
        <v>1085</v>
      </c>
      <c r="BA101"/>
      <c r="BB101"/>
      <c r="BE101" s="191" t="s">
        <v>760</v>
      </c>
      <c r="BF101" s="191">
        <v>1079</v>
      </c>
      <c r="BG101" s="191">
        <v>1079</v>
      </c>
      <c r="BI101" s="191">
        <v>1028</v>
      </c>
      <c r="BJ101" s="191">
        <v>1126</v>
      </c>
      <c r="BK101" s="191">
        <v>1174</v>
      </c>
      <c r="BL101" s="191">
        <v>1174</v>
      </c>
    </row>
    <row r="102" spans="1:66" s="191" customFormat="1" ht="13">
      <c r="A102" s="226"/>
      <c r="B102" s="180">
        <v>5005016372</v>
      </c>
      <c r="C102" s="183" t="str">
        <f>IFERROR(IF(VLOOKUP($B102,勘定科目!$A:$H,HLOOKUP($E$5,勘定科目!$F$1:$H$2,2,0),0)="","",VLOOKUP($B102,勘定科目!$A:$E,2,0)),"")</f>
        <v>その他消耗品（製）</v>
      </c>
      <c r="D102" s="239" t="str">
        <f>IF(C102="","",VLOOKUP($B102,勘定科目!$A:$E,4,0))</f>
        <v>消耗品費</v>
      </c>
      <c r="E102" s="245"/>
      <c r="F102" s="194">
        <f>ROUND(W102*45,0)</f>
        <v>829080</v>
      </c>
      <c r="G102" s="247">
        <f t="shared" ref="G102:Q102" si="36">ROUND(X102*F25,0)</f>
        <v>798120</v>
      </c>
      <c r="H102" s="247">
        <f t="shared" si="36"/>
        <v>873045</v>
      </c>
      <c r="I102" s="247">
        <f t="shared" si="36"/>
        <v>951210</v>
      </c>
      <c r="J102" s="247">
        <f t="shared" si="36"/>
        <v>828180</v>
      </c>
      <c r="K102" s="247">
        <f t="shared" si="36"/>
        <v>822500</v>
      </c>
      <c r="L102" s="247">
        <f t="shared" si="36"/>
        <v>992170</v>
      </c>
      <c r="M102" s="247">
        <f t="shared" si="36"/>
        <v>865787</v>
      </c>
      <c r="N102" s="247">
        <f t="shared" si="36"/>
        <v>951938</v>
      </c>
      <c r="O102" s="247">
        <f t="shared" si="36"/>
        <v>864753</v>
      </c>
      <c r="P102" s="247">
        <f t="shared" si="36"/>
        <v>651561</v>
      </c>
      <c r="Q102" s="247">
        <f t="shared" si="36"/>
        <v>866445</v>
      </c>
      <c r="R102" s="200">
        <f t="shared" si="3"/>
        <v>10294789</v>
      </c>
      <c r="S102" s="201" t="s">
        <v>761</v>
      </c>
      <c r="T102" s="202"/>
      <c r="U102" s="246"/>
      <c r="V102" s="305" t="s">
        <v>762</v>
      </c>
      <c r="W102" s="302">
        <v>18424</v>
      </c>
      <c r="X102" s="302">
        <v>17736</v>
      </c>
      <c r="Y102" s="302">
        <v>19401</v>
      </c>
      <c r="Z102" s="302">
        <v>21138</v>
      </c>
      <c r="AA102" s="302">
        <v>18404</v>
      </c>
      <c r="AB102" s="302">
        <v>17500</v>
      </c>
      <c r="AC102" s="302">
        <v>21110</v>
      </c>
      <c r="AD102" s="302">
        <v>18421</v>
      </c>
      <c r="AE102" s="302">
        <v>20254</v>
      </c>
      <c r="AF102" s="302">
        <v>18399</v>
      </c>
      <c r="AG102" s="302">
        <v>13863</v>
      </c>
      <c r="AH102" s="302">
        <v>18435</v>
      </c>
      <c r="BA102"/>
      <c r="BB102"/>
      <c r="BE102" s="191" t="s">
        <v>762</v>
      </c>
      <c r="BF102" s="191">
        <v>17105</v>
      </c>
      <c r="BG102" s="191">
        <v>17105</v>
      </c>
      <c r="BI102" s="191">
        <v>15443</v>
      </c>
      <c r="BJ102" s="191">
        <v>16391</v>
      </c>
      <c r="BK102" s="191">
        <v>17520</v>
      </c>
      <c r="BL102" s="191">
        <v>17520</v>
      </c>
    </row>
    <row r="103" spans="1:66" s="191" customFormat="1" ht="13">
      <c r="A103" s="226"/>
      <c r="B103" s="180">
        <v>5005246286</v>
      </c>
      <c r="C103" s="183" t="str">
        <f>IFERROR(IF(VLOOKUP($B103,勘定科目!$A:$H,HLOOKUP($E$5,勘定科目!$F$1:$H$2,2,0),0)="","",VLOOKUP($B103,勘定科目!$A:$E,2,0)),"")</f>
        <v>その他手数料（製）</v>
      </c>
      <c r="D103" s="239" t="str">
        <f>IF(C103="","",VLOOKUP($B103,勘定科目!$A:$E,4,0))</f>
        <v>手数料</v>
      </c>
      <c r="E103" s="245"/>
      <c r="F103" s="194">
        <f>ROUND(W103*45,0)</f>
        <v>2531115</v>
      </c>
      <c r="G103" s="247">
        <f t="shared" ref="G103:Q103" si="37">ROUND(X103*F25,0)</f>
        <v>2540790</v>
      </c>
      <c r="H103" s="247">
        <f t="shared" si="37"/>
        <v>2619045</v>
      </c>
      <c r="I103" s="247">
        <f t="shared" si="37"/>
        <v>2398770</v>
      </c>
      <c r="J103" s="247">
        <f t="shared" si="37"/>
        <v>2335095</v>
      </c>
      <c r="K103" s="247">
        <f t="shared" si="37"/>
        <v>2330730</v>
      </c>
      <c r="L103" s="247">
        <f t="shared" si="37"/>
        <v>2229304</v>
      </c>
      <c r="M103" s="247">
        <f t="shared" si="37"/>
        <v>2201668</v>
      </c>
      <c r="N103" s="247">
        <f t="shared" si="37"/>
        <v>2207919</v>
      </c>
      <c r="O103" s="247">
        <f t="shared" si="37"/>
        <v>2113496</v>
      </c>
      <c r="P103" s="247">
        <f t="shared" si="37"/>
        <v>2000414</v>
      </c>
      <c r="Q103" s="247">
        <f t="shared" si="37"/>
        <v>2093380</v>
      </c>
      <c r="R103" s="200">
        <f t="shared" si="3"/>
        <v>27601726</v>
      </c>
      <c r="S103" s="201" t="s">
        <v>763</v>
      </c>
      <c r="T103" s="202"/>
      <c r="U103" s="246"/>
      <c r="V103" s="305" t="s">
        <v>764</v>
      </c>
      <c r="W103" s="302">
        <v>56247</v>
      </c>
      <c r="X103" s="302">
        <v>56462</v>
      </c>
      <c r="Y103" s="302">
        <v>58201</v>
      </c>
      <c r="Z103" s="302">
        <v>53306</v>
      </c>
      <c r="AA103" s="302">
        <v>51891</v>
      </c>
      <c r="AB103" s="302">
        <v>49590</v>
      </c>
      <c r="AC103" s="302">
        <v>47432</v>
      </c>
      <c r="AD103" s="302">
        <v>46844</v>
      </c>
      <c r="AE103" s="302">
        <v>46977</v>
      </c>
      <c r="AF103" s="302">
        <v>44968</v>
      </c>
      <c r="AG103" s="302">
        <v>42562</v>
      </c>
      <c r="AH103" s="302">
        <v>44540</v>
      </c>
      <c r="BA103"/>
      <c r="BB103"/>
      <c r="BE103" s="191" t="s">
        <v>764</v>
      </c>
      <c r="BF103" s="191">
        <v>49155</v>
      </c>
      <c r="BG103" s="191">
        <v>49155</v>
      </c>
      <c r="BI103" s="191">
        <v>49027</v>
      </c>
      <c r="BJ103" s="191">
        <v>48431</v>
      </c>
      <c r="BK103" s="191">
        <v>48915</v>
      </c>
      <c r="BL103" s="191">
        <v>49077</v>
      </c>
    </row>
    <row r="104" spans="1:66" s="191" customFormat="1" ht="13">
      <c r="A104" s="226"/>
      <c r="B104" s="180">
        <v>5004086291</v>
      </c>
      <c r="C104" s="183" t="str">
        <f>IFERROR(IF(VLOOKUP($B104,勘定科目!$A:$H,HLOOKUP($E$5,勘定科目!$F$1:$H$2,2,0),0)="","",VLOOKUP($B104,勘定科目!$A:$E,2,0)),"")</f>
        <v>福利厚生費（製）</v>
      </c>
      <c r="D104" s="239" t="str">
        <f>IF(C104="","",VLOOKUP($B104,勘定科目!$A:$E,4,0))</f>
        <v>福利厚生費</v>
      </c>
      <c r="E104" s="245"/>
      <c r="F104" s="194">
        <f>ROUND(W104*7,0)</f>
        <v>9622746</v>
      </c>
      <c r="G104" s="247">
        <f t="shared" ref="G104:Q104" si="38">ROUND(X104*7,0)</f>
        <v>11107229</v>
      </c>
      <c r="H104" s="247">
        <f t="shared" si="38"/>
        <v>9929339</v>
      </c>
      <c r="I104" s="247">
        <f t="shared" si="38"/>
        <v>10412241</v>
      </c>
      <c r="J104" s="247">
        <f t="shared" si="38"/>
        <v>11118338</v>
      </c>
      <c r="K104" s="247">
        <f t="shared" si="38"/>
        <v>11154591</v>
      </c>
      <c r="L104" s="247">
        <f t="shared" si="38"/>
        <v>8363145</v>
      </c>
      <c r="M104" s="247">
        <f t="shared" si="38"/>
        <v>10168319</v>
      </c>
      <c r="N104" s="247">
        <f t="shared" si="38"/>
        <v>10259144</v>
      </c>
      <c r="O104" s="247">
        <f t="shared" si="38"/>
        <v>9652475</v>
      </c>
      <c r="P104" s="247">
        <f t="shared" si="38"/>
        <v>8773513</v>
      </c>
      <c r="Q104" s="247">
        <f t="shared" si="38"/>
        <v>9073596</v>
      </c>
      <c r="R104" s="200">
        <f t="shared" si="3"/>
        <v>119634676</v>
      </c>
      <c r="S104" s="201" t="s">
        <v>765</v>
      </c>
      <c r="T104" s="202"/>
      <c r="U104" s="246"/>
      <c r="V104" s="305" t="s">
        <v>766</v>
      </c>
      <c r="W104" s="302">
        <v>1374678</v>
      </c>
      <c r="X104" s="302">
        <v>1586747</v>
      </c>
      <c r="Y104" s="302">
        <v>1418477</v>
      </c>
      <c r="Z104" s="302">
        <v>1487463</v>
      </c>
      <c r="AA104" s="302">
        <v>1588334</v>
      </c>
      <c r="AB104" s="302">
        <v>1593513</v>
      </c>
      <c r="AC104" s="302">
        <v>1194735</v>
      </c>
      <c r="AD104" s="302">
        <v>1452617</v>
      </c>
      <c r="AE104" s="302">
        <v>1465592</v>
      </c>
      <c r="AF104" s="302">
        <v>1378925</v>
      </c>
      <c r="AG104" s="302">
        <v>1253359</v>
      </c>
      <c r="AH104" s="302">
        <v>1296228</v>
      </c>
      <c r="BA104"/>
      <c r="BB104"/>
      <c r="BE104" s="191" t="s">
        <v>766</v>
      </c>
      <c r="BF104" s="191">
        <v>1620318</v>
      </c>
      <c r="BG104" s="191">
        <v>1620318</v>
      </c>
      <c r="BI104" s="191">
        <v>1505412</v>
      </c>
      <c r="BJ104" s="191">
        <v>1488121</v>
      </c>
      <c r="BK104" s="191">
        <v>1167909</v>
      </c>
      <c r="BL104" s="191">
        <v>1259044</v>
      </c>
    </row>
    <row r="105" spans="1:66" s="191" customFormat="1" ht="13">
      <c r="A105" s="226"/>
      <c r="B105" s="180">
        <v>5004086291</v>
      </c>
      <c r="C105" s="183" t="str">
        <f>IFERROR(IF(VLOOKUP($B105,勘定科目!$A:$H,HLOOKUP($E$5,勘定科目!$F$1:$H$2,2,0),0)="","",VLOOKUP($B105,勘定科目!$A:$E,2,0)),"")</f>
        <v>福利厚生費（製）</v>
      </c>
      <c r="D105" s="239" t="str">
        <f>IF(C105="","",VLOOKUP($B105,勘定科目!$A:$E,4,0))</f>
        <v>福利厚生費</v>
      </c>
      <c r="E105" s="245"/>
      <c r="F105" s="194"/>
      <c r="G105" s="247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00">
        <f t="shared" si="3"/>
        <v>0</v>
      </c>
      <c r="S105" s="201" t="s">
        <v>767</v>
      </c>
      <c r="T105" s="202"/>
      <c r="U105" s="246"/>
      <c r="V105" s="246"/>
      <c r="W105" s="246"/>
      <c r="BA105"/>
      <c r="BB105"/>
      <c r="BE105" s="191" t="s">
        <v>768</v>
      </c>
      <c r="BF105" s="191">
        <v>6111000</v>
      </c>
      <c r="BG105" s="191">
        <v>6111000</v>
      </c>
      <c r="BI105" s="191">
        <v>7187500</v>
      </c>
    </row>
    <row r="106" spans="1:66" s="191" customFormat="1" ht="13">
      <c r="A106" s="226"/>
      <c r="B106" s="180"/>
      <c r="C106" s="183" t="str">
        <f>IFERROR(IF(VLOOKUP($B106,勘定科目!$A:$H,HLOOKUP($E$5,勘定科目!$F$1:$H$2,2,0),0)="","",VLOOKUP($B106,勘定科目!$A:$E,2,0)),"")</f>
        <v/>
      </c>
      <c r="D106" s="239" t="str">
        <f>IF(C106="","",VLOOKUP($B106,勘定科目!$A:$E,4,0))</f>
        <v/>
      </c>
      <c r="E106" s="245"/>
      <c r="F106" s="194"/>
      <c r="G106" s="247"/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00">
        <f t="shared" si="3"/>
        <v>0</v>
      </c>
      <c r="S106" s="201"/>
      <c r="T106" s="202"/>
      <c r="U106" s="246"/>
      <c r="V106" s="246"/>
      <c r="W106" s="246"/>
      <c r="BA106"/>
      <c r="BB106"/>
    </row>
    <row r="107" spans="1:66" s="191" customFormat="1" ht="13">
      <c r="A107" s="226"/>
      <c r="B107" s="180">
        <v>5004086291</v>
      </c>
      <c r="C107" s="183" t="str">
        <f>IFERROR(IF(VLOOKUP($B107,勘定科目!$A:$H,HLOOKUP($E$5,勘定科目!$F$1:$H$2,2,0),0)="","",VLOOKUP($B107,勘定科目!$A:$E,2,0)),"")</f>
        <v>福利厚生費（製）</v>
      </c>
      <c r="D107" s="239" t="str">
        <f>IF(C107="","",VLOOKUP($B107,勘定科目!$A:$E,4,0))</f>
        <v>福利厚生費</v>
      </c>
      <c r="E107" s="245"/>
      <c r="F107" s="194"/>
      <c r="G107" s="247"/>
      <c r="H107" s="247"/>
      <c r="I107" s="247"/>
      <c r="J107" s="247"/>
      <c r="K107" s="247">
        <f>40000*3</f>
        <v>120000</v>
      </c>
      <c r="L107" s="247"/>
      <c r="M107" s="247"/>
      <c r="N107" s="247"/>
      <c r="O107" s="247"/>
      <c r="P107" s="247"/>
      <c r="Q107" s="247"/>
      <c r="R107" s="200">
        <f t="shared" si="3"/>
        <v>120000</v>
      </c>
      <c r="S107" s="201" t="s">
        <v>804</v>
      </c>
      <c r="T107" s="202"/>
      <c r="U107" s="246"/>
      <c r="V107" s="246"/>
      <c r="W107" s="246"/>
      <c r="BA107"/>
      <c r="BB107"/>
    </row>
    <row r="108" spans="1:66" s="191" customFormat="1" ht="13">
      <c r="A108" s="226"/>
      <c r="B108" s="180">
        <v>5004086291</v>
      </c>
      <c r="C108" s="183" t="str">
        <f>IFERROR(IF(VLOOKUP($B108,勘定科目!$A:$H,HLOOKUP($E$5,勘定科目!$F$1:$H$2,2,0),0)="","",VLOOKUP($B108,勘定科目!$A:$E,2,0)),"")</f>
        <v>福利厚生費（製）</v>
      </c>
      <c r="D108" s="239" t="str">
        <f>IF(C108="","",VLOOKUP($B108,勘定科目!$A:$E,4,0))</f>
        <v>福利厚生費</v>
      </c>
      <c r="E108" s="245"/>
      <c r="F108" s="194"/>
      <c r="G108" s="247"/>
      <c r="H108" s="247">
        <f>200000*H25</f>
        <v>9000000</v>
      </c>
      <c r="I108" s="247"/>
      <c r="J108" s="247"/>
      <c r="K108" s="247"/>
      <c r="L108" s="247"/>
      <c r="M108" s="247"/>
      <c r="N108" s="247"/>
      <c r="O108" s="247"/>
      <c r="P108" s="247"/>
      <c r="Q108" s="247"/>
      <c r="R108" s="200">
        <f t="shared" si="3"/>
        <v>9000000</v>
      </c>
      <c r="S108" s="310" t="s">
        <v>844</v>
      </c>
      <c r="T108" s="202"/>
      <c r="U108" s="246"/>
      <c r="V108" s="246"/>
      <c r="W108" s="246"/>
      <c r="BA108"/>
      <c r="BB108"/>
    </row>
    <row r="109" spans="1:66" s="191" customFormat="1" ht="13">
      <c r="A109" s="226"/>
      <c r="B109" s="180">
        <v>5004086291</v>
      </c>
      <c r="C109" s="183" t="str">
        <f>IFERROR(IF(VLOOKUP($B109,勘定科目!$A:$H,HLOOKUP($E$5,勘定科目!$F$1:$H$2,2,0),0)="","",VLOOKUP($B109,勘定科目!$A:$E,2,0)),"")</f>
        <v>福利厚生費（製）</v>
      </c>
      <c r="D109" s="239" t="str">
        <f>IF(C109="","",VLOOKUP($B109,勘定科目!$A:$E,4,0))</f>
        <v>福利厚生費</v>
      </c>
      <c r="E109" s="245"/>
      <c r="F109" s="194"/>
      <c r="G109" s="247"/>
      <c r="H109" s="247"/>
      <c r="I109" s="247"/>
      <c r="J109" s="247"/>
      <c r="K109" s="247"/>
      <c r="L109" s="247">
        <f>56000*L25</f>
        <v>2632000</v>
      </c>
      <c r="M109" s="247"/>
      <c r="N109" s="247"/>
      <c r="O109" s="247"/>
      <c r="P109" s="247"/>
      <c r="Q109" s="247"/>
      <c r="R109" s="200">
        <f t="shared" si="3"/>
        <v>2632000</v>
      </c>
      <c r="S109" s="201" t="s">
        <v>839</v>
      </c>
      <c r="T109" s="202"/>
      <c r="U109" s="246"/>
      <c r="V109" s="246"/>
      <c r="W109" s="246"/>
      <c r="BA109"/>
      <c r="BB109"/>
    </row>
    <row r="110" spans="1:66" s="191" customFormat="1" ht="13">
      <c r="A110" s="226"/>
      <c r="B110" s="180">
        <v>5004086291</v>
      </c>
      <c r="C110" s="183" t="str">
        <f>IFERROR(IF(VLOOKUP($B110,勘定科目!$A:$H,HLOOKUP($E$5,勘定科目!$F$1:$H$2,2,0),0)="","",VLOOKUP($B110,勘定科目!$A:$E,2,0)),"")</f>
        <v>福利厚生費（製）</v>
      </c>
      <c r="D110" s="239" t="str">
        <f>IF(C110="","",VLOOKUP($B110,勘定科目!$A:$E,4,0))</f>
        <v>福利厚生費</v>
      </c>
      <c r="E110" s="245"/>
      <c r="F110" s="194"/>
      <c r="G110" s="247"/>
      <c r="H110" s="247"/>
      <c r="I110" s="247"/>
      <c r="J110" s="247"/>
      <c r="K110" s="247">
        <f>126000*K25</f>
        <v>5922000</v>
      </c>
      <c r="L110" s="247"/>
      <c r="M110" s="247"/>
      <c r="N110" s="247"/>
      <c r="O110" s="247"/>
      <c r="P110" s="247"/>
      <c r="Q110" s="247"/>
      <c r="R110" s="200">
        <f t="shared" si="3"/>
        <v>5922000</v>
      </c>
      <c r="S110" s="201" t="s">
        <v>838</v>
      </c>
      <c r="T110" s="202"/>
      <c r="U110" s="246"/>
      <c r="V110" s="246"/>
      <c r="W110" s="246"/>
      <c r="BA110"/>
      <c r="BB110"/>
    </row>
    <row r="111" spans="1:66" s="191" customFormat="1" ht="13">
      <c r="A111" s="226"/>
      <c r="B111" s="180">
        <v>5004086291</v>
      </c>
      <c r="C111" s="183" t="str">
        <f>IFERROR(IF(VLOOKUP($B111,勘定科目!$A:$H,HLOOKUP($E$5,勘定科目!$F$1:$H$2,2,0),0)="","",VLOOKUP($B111,勘定科目!$A:$E,2,0)),"")</f>
        <v>福利厚生費（製）</v>
      </c>
      <c r="D111" s="239" t="str">
        <f>IF(C111="","",VLOOKUP($B111,勘定科目!$A:$E,4,0))</f>
        <v>福利厚生費</v>
      </c>
      <c r="E111" s="245"/>
      <c r="F111" s="194"/>
      <c r="G111" s="247"/>
      <c r="H111" s="247"/>
      <c r="I111" s="247"/>
      <c r="J111" s="247"/>
      <c r="K111" s="247"/>
      <c r="L111" s="247">
        <f>549000+382000</f>
        <v>931000</v>
      </c>
      <c r="M111" s="247"/>
      <c r="N111" s="247"/>
      <c r="O111" s="247"/>
      <c r="P111" s="247"/>
      <c r="Q111" s="247"/>
      <c r="R111" s="200">
        <f t="shared" si="3"/>
        <v>931000</v>
      </c>
      <c r="S111" s="201" t="s">
        <v>840</v>
      </c>
      <c r="T111" s="202"/>
      <c r="U111" s="246"/>
      <c r="V111" s="246"/>
      <c r="W111" s="246"/>
      <c r="BA111"/>
      <c r="BB111"/>
    </row>
    <row r="112" spans="1:66" s="191" customFormat="1" ht="13">
      <c r="A112" s="226"/>
      <c r="B112" s="180">
        <v>5004086291</v>
      </c>
      <c r="C112" s="183" t="str">
        <f>IFERROR(IF(VLOOKUP($B112,勘定科目!$A:$H,HLOOKUP($E$5,勘定科目!$F$1:$H$2,2,0),0)="","",VLOOKUP($B112,勘定科目!$A:$E,2,0)),"")</f>
        <v>福利厚生費（製）</v>
      </c>
      <c r="D112" s="239" t="str">
        <f>IF(C112="","",VLOOKUP($B112,勘定科目!$A:$E,4,0))</f>
        <v>福利厚生費</v>
      </c>
      <c r="E112" s="245"/>
      <c r="F112" s="194"/>
      <c r="G112" s="247"/>
      <c r="H112" s="247"/>
      <c r="I112" s="247"/>
      <c r="J112" s="247"/>
      <c r="K112" s="247"/>
      <c r="L112" s="247"/>
      <c r="M112" s="247">
        <f>107000*M25</f>
        <v>5029000</v>
      </c>
      <c r="N112" s="247"/>
      <c r="O112" s="247"/>
      <c r="P112" s="247"/>
      <c r="Q112" s="247"/>
      <c r="R112" s="200">
        <f t="shared" si="3"/>
        <v>5029000</v>
      </c>
      <c r="S112" s="201" t="s">
        <v>841</v>
      </c>
      <c r="T112" s="202"/>
      <c r="U112" s="246"/>
      <c r="V112" s="246"/>
      <c r="W112" s="246"/>
      <c r="BA112"/>
      <c r="BB112"/>
    </row>
    <row r="113" spans="1:54" s="191" customFormat="1" ht="13">
      <c r="A113" s="226"/>
      <c r="B113" s="180">
        <v>5004086291</v>
      </c>
      <c r="C113" s="183" t="str">
        <f>IFERROR(IF(VLOOKUP($B113,勘定科目!$A:$H,HLOOKUP($E$5,勘定科目!$F$1:$H$2,2,0),0)="","",VLOOKUP($B113,勘定科目!$A:$E,2,0)),"")</f>
        <v>福利厚生費（製）</v>
      </c>
      <c r="D113" s="239" t="str">
        <f>IF(C113="","",VLOOKUP($B113,勘定科目!$A:$E,4,0))</f>
        <v>福利厚生費</v>
      </c>
      <c r="E113" s="245"/>
      <c r="F113" s="194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>
        <f>300000*P25</f>
        <v>14100000</v>
      </c>
      <c r="Q113" s="247"/>
      <c r="R113" s="200">
        <f t="shared" si="3"/>
        <v>14100000</v>
      </c>
      <c r="S113" s="201" t="s">
        <v>842</v>
      </c>
      <c r="T113" s="202"/>
      <c r="U113" s="246"/>
      <c r="V113" s="246"/>
      <c r="W113" s="246"/>
      <c r="BA113"/>
      <c r="BB113"/>
    </row>
    <row r="114" spans="1:54" s="191" customFormat="1" ht="13">
      <c r="A114" s="226"/>
      <c r="B114" s="180">
        <v>5004086291</v>
      </c>
      <c r="C114" s="183" t="str">
        <f>IFERROR(IF(VLOOKUP($B114,勘定科目!$A:$H,HLOOKUP($E$5,勘定科目!$F$1:$H$2,2,0),0)="","",VLOOKUP($B114,勘定科目!$A:$E,2,0)),"")</f>
        <v>福利厚生費（製）</v>
      </c>
      <c r="D114" s="239" t="str">
        <f>IF(C114="","",VLOOKUP($B114,勘定科目!$A:$E,4,0))</f>
        <v>福利厚生費</v>
      </c>
      <c r="E114" s="245"/>
      <c r="F114" s="194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>
        <f>100000*P25</f>
        <v>4700000</v>
      </c>
      <c r="Q114" s="247"/>
      <c r="R114" s="200">
        <f t="shared" si="3"/>
        <v>4700000</v>
      </c>
      <c r="S114" s="201" t="s">
        <v>845</v>
      </c>
      <c r="T114" s="202"/>
      <c r="U114" s="246"/>
      <c r="V114" s="246"/>
      <c r="W114" s="246"/>
      <c r="BA114"/>
      <c r="BB114"/>
    </row>
    <row r="115" spans="1:54" s="191" customFormat="1" ht="13">
      <c r="A115" s="226"/>
      <c r="B115" s="180">
        <v>5004086291</v>
      </c>
      <c r="C115" s="183" t="str">
        <f>IFERROR(IF(VLOOKUP($B115,勘定科目!$A:$H,HLOOKUP($E$5,勘定科目!$F$1:$H$2,2,0),0)="","",VLOOKUP($B115,勘定科目!$A:$E,2,0)),"")</f>
        <v>福利厚生費（製）</v>
      </c>
      <c r="D115" s="239" t="str">
        <f>IF(C115="","",VLOOKUP($B115,勘定科目!$A:$E,4,0))</f>
        <v>福利厚生費</v>
      </c>
      <c r="E115" s="245"/>
      <c r="F115" s="194">
        <f>163000*2</f>
        <v>326000</v>
      </c>
      <c r="G115" s="247">
        <f>163000*3</f>
        <v>489000</v>
      </c>
      <c r="H115" s="247">
        <f>163000</f>
        <v>163000</v>
      </c>
      <c r="I115" s="247">
        <f>163000*6</f>
        <v>978000</v>
      </c>
      <c r="J115" s="247">
        <f>163000*7</f>
        <v>1141000</v>
      </c>
      <c r="K115" s="247">
        <f>163000*2</f>
        <v>326000</v>
      </c>
      <c r="L115" s="247">
        <f>163000*4</f>
        <v>652000</v>
      </c>
      <c r="M115" s="247">
        <f>163000*5</f>
        <v>815000</v>
      </c>
      <c r="N115" s="247">
        <f>163000*2</f>
        <v>326000</v>
      </c>
      <c r="O115" s="247">
        <f>163000*5</f>
        <v>815000</v>
      </c>
      <c r="P115" s="247">
        <f>163000*4</f>
        <v>652000</v>
      </c>
      <c r="Q115" s="247">
        <f>163000*4</f>
        <v>652000</v>
      </c>
      <c r="R115" s="200">
        <f t="shared" si="3"/>
        <v>7335000</v>
      </c>
      <c r="S115" s="201" t="s">
        <v>846</v>
      </c>
      <c r="T115" s="202"/>
      <c r="U115" s="246"/>
      <c r="V115" s="246"/>
      <c r="W115" s="246"/>
      <c r="BA115"/>
      <c r="BB115"/>
    </row>
    <row r="116" spans="1:54" s="191" customFormat="1" ht="13">
      <c r="A116" s="226"/>
      <c r="B116" s="180">
        <v>5004086291</v>
      </c>
      <c r="C116" s="183" t="str">
        <f>IFERROR(IF(VLOOKUP($B116,勘定科目!$A:$H,HLOOKUP($E$5,勘定科目!$F$1:$H$2,2,0),0)="","",VLOOKUP($B116,勘定科目!$A:$E,2,0)),"")</f>
        <v>福利厚生費（製）</v>
      </c>
      <c r="D116" s="239" t="str">
        <f>IF(C116="","",VLOOKUP($B116,勘定科目!$A:$E,4,0))</f>
        <v>福利厚生費</v>
      </c>
      <c r="E116" s="245"/>
      <c r="F116" s="194">
        <v>32432</v>
      </c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00">
        <f t="shared" si="3"/>
        <v>32432</v>
      </c>
      <c r="S116" s="201" t="s">
        <v>805</v>
      </c>
      <c r="T116" s="202"/>
      <c r="U116" s="246"/>
      <c r="V116" s="246"/>
      <c r="W116" s="246"/>
      <c r="BA116"/>
      <c r="BB116"/>
    </row>
    <row r="117" spans="1:54" s="191" customFormat="1" ht="13">
      <c r="A117" s="226"/>
      <c r="B117" s="180"/>
      <c r="C117" s="183" t="str">
        <f>IFERROR(IF(VLOOKUP($B117,勘定科目!$A:$H,HLOOKUP($E$5,勘定科目!$F$1:$H$2,2,0),0)="","",VLOOKUP($B117,勘定科目!$A:$E,2,0)),"")</f>
        <v/>
      </c>
      <c r="D117" s="239" t="str">
        <f>IF(C117="","",VLOOKUP($B117,勘定科目!$A:$E,4,0))</f>
        <v/>
      </c>
      <c r="E117" s="245"/>
      <c r="F117" s="194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00">
        <f t="shared" si="3"/>
        <v>0</v>
      </c>
      <c r="S117" s="201"/>
      <c r="T117" s="202"/>
      <c r="U117" s="246"/>
      <c r="V117" s="246"/>
      <c r="W117" s="246"/>
      <c r="BA117"/>
      <c r="BB117"/>
    </row>
    <row r="118" spans="1:54" s="191" customFormat="1" ht="13">
      <c r="A118" s="226"/>
      <c r="B118" s="180">
        <v>5005136281</v>
      </c>
      <c r="C118" s="183" t="str">
        <f>IFERROR(IF(VLOOKUP($B118,勘定科目!$A:$H,HLOOKUP($E$5,勘定科目!$F$1:$H$2,2,0),0)="","",VLOOKUP($B118,勘定科目!$A:$E,2,0)),"")</f>
        <v>通信費（製）</v>
      </c>
      <c r="D118" s="239" t="str">
        <f>IF(C118="","",VLOOKUP($B118,勘定科目!$A:$E,4,0))</f>
        <v>通信費</v>
      </c>
      <c r="E118" s="245"/>
      <c r="F118" s="194">
        <v>80000</v>
      </c>
      <c r="G118" s="247">
        <v>80000</v>
      </c>
      <c r="H118" s="247">
        <v>80000</v>
      </c>
      <c r="I118" s="247">
        <v>80000</v>
      </c>
      <c r="J118" s="247">
        <v>80000</v>
      </c>
      <c r="K118" s="247">
        <v>80000</v>
      </c>
      <c r="L118" s="247">
        <v>80000</v>
      </c>
      <c r="M118" s="247">
        <v>80000</v>
      </c>
      <c r="N118" s="247">
        <v>80000</v>
      </c>
      <c r="O118" s="247">
        <v>80000</v>
      </c>
      <c r="P118" s="247">
        <v>80000</v>
      </c>
      <c r="Q118" s="247">
        <v>80000</v>
      </c>
      <c r="R118" s="200">
        <v>80000</v>
      </c>
      <c r="S118" s="201" t="s">
        <v>806</v>
      </c>
      <c r="T118" s="202"/>
      <c r="U118" s="246"/>
      <c r="V118" s="246"/>
      <c r="W118" s="246"/>
      <c r="BA118"/>
      <c r="BB118"/>
    </row>
    <row r="119" spans="1:54" s="191" customFormat="1" ht="13">
      <c r="A119" s="226"/>
      <c r="B119" s="180"/>
      <c r="C119" s="183" t="str">
        <f>IFERROR(IF(VLOOKUP($B119,勘定科目!$A:$H,HLOOKUP($E$5,勘定科目!$F$1:$H$2,2,0),0)="","",VLOOKUP($B119,勘定科目!$A:$E,2,0)),"")</f>
        <v/>
      </c>
      <c r="D119" s="239" t="str">
        <f>IF(C119="","",VLOOKUP($B119,勘定科目!$A:$E,4,0))</f>
        <v/>
      </c>
      <c r="E119" s="245"/>
      <c r="F119" s="194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00">
        <f t="shared" ref="R119" si="39">SUM(F119:Q119)</f>
        <v>0</v>
      </c>
      <c r="S119" s="201"/>
      <c r="T119" s="202"/>
      <c r="U119" s="246"/>
      <c r="V119" s="246"/>
      <c r="W119" s="246"/>
      <c r="BA119"/>
      <c r="BB119"/>
    </row>
    <row r="120" spans="1:54" s="191" customFormat="1" ht="13">
      <c r="A120" s="226"/>
      <c r="B120" s="180"/>
      <c r="C120" s="183" t="str">
        <f>IFERROR(IF(VLOOKUP($B120,勘定科目!$A:$H,HLOOKUP($E$5,勘定科目!$F$1:$H$2,2,0),0)="","",VLOOKUP($B120,勘定科目!$A:$E,2,0)),"")</f>
        <v/>
      </c>
      <c r="D120" s="239" t="str">
        <f>IF(C120="","",VLOOKUP($B120,勘定科目!$A:$E,4,0))</f>
        <v/>
      </c>
      <c r="E120" s="245"/>
      <c r="F120" s="194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00">
        <f t="shared" ref="R120" si="40">SUM(F120:Q120)</f>
        <v>0</v>
      </c>
      <c r="S120" s="201"/>
      <c r="T120" s="202"/>
      <c r="U120" s="246"/>
      <c r="V120" s="305"/>
      <c r="W120" s="301" t="s">
        <v>787</v>
      </c>
      <c r="X120" s="301" t="s">
        <v>788</v>
      </c>
      <c r="Y120" s="301" t="s">
        <v>789</v>
      </c>
      <c r="Z120" s="301" t="s">
        <v>790</v>
      </c>
      <c r="AA120" s="301" t="s">
        <v>791</v>
      </c>
      <c r="AB120" s="301" t="s">
        <v>792</v>
      </c>
      <c r="AC120" s="301" t="s">
        <v>793</v>
      </c>
      <c r="AD120" s="301" t="s">
        <v>794</v>
      </c>
      <c r="AE120" s="301" t="s">
        <v>795</v>
      </c>
      <c r="AF120" s="301" t="s">
        <v>796</v>
      </c>
      <c r="AG120" s="301" t="s">
        <v>797</v>
      </c>
      <c r="AH120" s="301" t="s">
        <v>798</v>
      </c>
      <c r="BA120"/>
      <c r="BB120"/>
    </row>
    <row r="121" spans="1:54" s="191" customFormat="1" ht="13">
      <c r="A121" s="226"/>
      <c r="B121" s="180">
        <v>5005246288</v>
      </c>
      <c r="C121" s="183" t="str">
        <f>IFERROR(IF(VLOOKUP($B121,勘定科目!$A:$H,HLOOKUP($E$5,勘定科目!$F$1:$H$2,2,0),0)="","",VLOOKUP($B121,勘定科目!$A:$E,2,0)),"")</f>
        <v>事務用品費（製）</v>
      </c>
      <c r="D121" s="239" t="str">
        <f>IF(C121="","",VLOOKUP($B121,勘定科目!$A:$E,4,0))</f>
        <v>図書及び事務費</v>
      </c>
      <c r="E121" s="245"/>
      <c r="F121" s="194">
        <f t="shared" ref="F121:Q121" si="41">ROUND(W121*$B2,0)</f>
        <v>1015600</v>
      </c>
      <c r="G121" s="247">
        <f t="shared" si="41"/>
        <v>1015600</v>
      </c>
      <c r="H121" s="247">
        <f t="shared" si="41"/>
        <v>1015600</v>
      </c>
      <c r="I121" s="247">
        <f t="shared" si="41"/>
        <v>1015600</v>
      </c>
      <c r="J121" s="247">
        <f t="shared" si="41"/>
        <v>1015600</v>
      </c>
      <c r="K121" s="247">
        <f t="shared" si="41"/>
        <v>1015600</v>
      </c>
      <c r="L121" s="247">
        <f t="shared" si="41"/>
        <v>1015600</v>
      </c>
      <c r="M121" s="247">
        <f t="shared" si="41"/>
        <v>1015600</v>
      </c>
      <c r="N121" s="247">
        <f t="shared" si="41"/>
        <v>1015600</v>
      </c>
      <c r="O121" s="247">
        <f t="shared" si="41"/>
        <v>1015600</v>
      </c>
      <c r="P121" s="247">
        <f t="shared" si="41"/>
        <v>1015600</v>
      </c>
      <c r="Q121" s="247">
        <f t="shared" si="41"/>
        <v>1015600</v>
      </c>
      <c r="R121" s="200">
        <f>SUM(F121:Q121)</f>
        <v>12187200</v>
      </c>
      <c r="S121" s="201" t="s">
        <v>808</v>
      </c>
      <c r="T121" s="202"/>
      <c r="U121" s="246"/>
      <c r="V121" s="305" t="s">
        <v>827</v>
      </c>
      <c r="W121" s="311">
        <v>40</v>
      </c>
      <c r="X121" s="311">
        <v>40</v>
      </c>
      <c r="Y121" s="311">
        <v>40</v>
      </c>
      <c r="Z121" s="311">
        <v>40</v>
      </c>
      <c r="AA121" s="311">
        <v>40</v>
      </c>
      <c r="AB121" s="311">
        <v>40</v>
      </c>
      <c r="AC121" s="311">
        <v>40</v>
      </c>
      <c r="AD121" s="311">
        <v>40</v>
      </c>
      <c r="AE121" s="311">
        <v>40</v>
      </c>
      <c r="AF121" s="311">
        <v>40</v>
      </c>
      <c r="AG121" s="311">
        <v>40</v>
      </c>
      <c r="AH121" s="311">
        <v>40</v>
      </c>
      <c r="BA121"/>
      <c r="BB121"/>
    </row>
    <row r="122" spans="1:54" s="191" customFormat="1" ht="13">
      <c r="A122" s="226"/>
      <c r="B122" s="180">
        <v>5004086291</v>
      </c>
      <c r="C122" s="183" t="str">
        <f>IFERROR(IF(VLOOKUP($B122,勘定科目!$A:$H,HLOOKUP($E$5,勘定科目!$F$1:$H$2,2,0),0)="","",VLOOKUP($B122,勘定科目!$A:$E,2,0)),"")</f>
        <v>福利厚生費（製）</v>
      </c>
      <c r="D122" s="239" t="str">
        <f>IF(C122="","",VLOOKUP($B122,勘定科目!$A:$E,4,0))</f>
        <v>福利厚生費</v>
      </c>
      <c r="E122" s="245"/>
      <c r="F122" s="194">
        <f t="shared" ref="F122:Q122" si="42">ROUND(W122*$B2,0)</f>
        <v>634750</v>
      </c>
      <c r="G122" s="247">
        <f t="shared" si="42"/>
        <v>634750</v>
      </c>
      <c r="H122" s="247">
        <f t="shared" si="42"/>
        <v>634750</v>
      </c>
      <c r="I122" s="247">
        <f t="shared" si="42"/>
        <v>634750</v>
      </c>
      <c r="J122" s="247">
        <f t="shared" si="42"/>
        <v>634750</v>
      </c>
      <c r="K122" s="247">
        <f t="shared" si="42"/>
        <v>634750</v>
      </c>
      <c r="L122" s="247">
        <f t="shared" si="42"/>
        <v>634750</v>
      </c>
      <c r="M122" s="247">
        <f t="shared" si="42"/>
        <v>634750</v>
      </c>
      <c r="N122" s="247">
        <f t="shared" si="42"/>
        <v>634750</v>
      </c>
      <c r="O122" s="247">
        <f t="shared" si="42"/>
        <v>634750</v>
      </c>
      <c r="P122" s="247">
        <f t="shared" si="42"/>
        <v>634750</v>
      </c>
      <c r="Q122" s="247">
        <f t="shared" si="42"/>
        <v>634750</v>
      </c>
      <c r="R122" s="200">
        <f>SUM(F122:Q122)</f>
        <v>7617000</v>
      </c>
      <c r="S122" s="201" t="s">
        <v>807</v>
      </c>
      <c r="T122" s="202"/>
      <c r="U122" s="246"/>
      <c r="V122" s="305" t="s">
        <v>828</v>
      </c>
      <c r="W122" s="311">
        <v>25</v>
      </c>
      <c r="X122" s="311">
        <v>25</v>
      </c>
      <c r="Y122" s="311">
        <v>25</v>
      </c>
      <c r="Z122" s="311">
        <v>25</v>
      </c>
      <c r="AA122" s="311">
        <v>25</v>
      </c>
      <c r="AB122" s="311">
        <v>25</v>
      </c>
      <c r="AC122" s="311">
        <v>25</v>
      </c>
      <c r="AD122" s="311">
        <v>25</v>
      </c>
      <c r="AE122" s="311">
        <v>25</v>
      </c>
      <c r="AF122" s="311">
        <v>25</v>
      </c>
      <c r="AG122" s="311">
        <v>25</v>
      </c>
      <c r="AH122" s="311">
        <v>25</v>
      </c>
      <c r="BA122"/>
      <c r="BB122"/>
    </row>
    <row r="123" spans="1:54" s="191" customFormat="1" ht="13">
      <c r="A123" s="226"/>
      <c r="B123" s="180"/>
      <c r="C123" s="183" t="str">
        <f>IFERROR(IF(VLOOKUP($B123,勘定科目!$A:$H,HLOOKUP($E$5,勘定科目!$F$1:$H$2,2,0),0)="","",VLOOKUP($B123,勘定科目!$A:$E,2,0)),"")</f>
        <v/>
      </c>
      <c r="D123" s="239" t="str">
        <f>IF(C123="","",VLOOKUP($B123,勘定科目!$A:$E,4,0))</f>
        <v/>
      </c>
      <c r="E123" s="245"/>
      <c r="F123" s="194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00">
        <f t="shared" ref="R123" si="43">SUM(F123:Q123)</f>
        <v>0</v>
      </c>
      <c r="S123" s="201"/>
      <c r="T123" s="202"/>
      <c r="U123" s="246"/>
      <c r="V123" s="246"/>
      <c r="W123" s="246"/>
      <c r="BA123"/>
      <c r="BB123"/>
    </row>
    <row r="124" spans="1:54" s="191" customFormat="1" ht="13">
      <c r="A124" s="226"/>
      <c r="B124" s="180"/>
      <c r="C124" s="183" t="str">
        <f>IFERROR(IF(VLOOKUP($B124,勘定科目!$A:$H,HLOOKUP($E$5,勘定科目!$F$1:$H$2,2,0),0)="","",VLOOKUP($B124,勘定科目!$A:$E,2,0)),"")</f>
        <v/>
      </c>
      <c r="D124" s="239" t="str">
        <f>IF(C124="","",VLOOKUP($B124,勘定科目!$A:$E,4,0))</f>
        <v/>
      </c>
      <c r="E124" s="245"/>
      <c r="F124" s="194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00">
        <f t="shared" ref="R124" si="44">SUM(F124:Q124)</f>
        <v>0</v>
      </c>
      <c r="S124" s="201"/>
      <c r="T124" s="202"/>
      <c r="U124" s="246"/>
      <c r="V124" s="305"/>
      <c r="W124" s="301" t="s">
        <v>787</v>
      </c>
      <c r="X124" s="301" t="s">
        <v>788</v>
      </c>
      <c r="Y124" s="301" t="s">
        <v>789</v>
      </c>
      <c r="Z124" s="301" t="s">
        <v>790</v>
      </c>
      <c r="AA124" s="301" t="s">
        <v>791</v>
      </c>
      <c r="AB124" s="301" t="s">
        <v>792</v>
      </c>
      <c r="AC124" s="301" t="s">
        <v>793</v>
      </c>
      <c r="AD124" s="301" t="s">
        <v>794</v>
      </c>
      <c r="AE124" s="301" t="s">
        <v>795</v>
      </c>
      <c r="AF124" s="301" t="s">
        <v>796</v>
      </c>
      <c r="AG124" s="301" t="s">
        <v>797</v>
      </c>
      <c r="AH124" s="301" t="s">
        <v>798</v>
      </c>
      <c r="BA124"/>
      <c r="BB124"/>
    </row>
    <row r="125" spans="1:54" s="191" customFormat="1" ht="13">
      <c r="A125" s="226"/>
      <c r="B125" s="180">
        <v>5005016371</v>
      </c>
      <c r="C125" s="183" t="str">
        <f>IFERROR(IF(VLOOKUP($B125,勘定科目!$A:$H,HLOOKUP($E$5,勘定科目!$F$1:$H$2,2,0),0)="","",VLOOKUP($B125,勘定科目!$A:$E,2,0)),"")</f>
        <v>生産用消耗品費（製）</v>
      </c>
      <c r="D125" s="239" t="str">
        <f>IF(C125="","",VLOOKUP($B125,勘定科目!$A:$E,4,0))</f>
        <v>消耗品費</v>
      </c>
      <c r="E125" s="245"/>
      <c r="F125" s="194">
        <f t="shared" ref="F125:Q125" si="45">ROUND(W125*$B2,0)</f>
        <v>38085000</v>
      </c>
      <c r="G125" s="247">
        <f t="shared" si="45"/>
        <v>35546000</v>
      </c>
      <c r="H125" s="247">
        <f t="shared" si="45"/>
        <v>38085000</v>
      </c>
      <c r="I125" s="247">
        <f t="shared" si="45"/>
        <v>40624000</v>
      </c>
      <c r="J125" s="247">
        <f t="shared" si="45"/>
        <v>38085000</v>
      </c>
      <c r="K125" s="247">
        <f t="shared" si="45"/>
        <v>35546000</v>
      </c>
      <c r="L125" s="247">
        <f t="shared" si="45"/>
        <v>40624000</v>
      </c>
      <c r="M125" s="247">
        <f t="shared" si="45"/>
        <v>38085000</v>
      </c>
      <c r="N125" s="247">
        <f t="shared" si="45"/>
        <v>38085000</v>
      </c>
      <c r="O125" s="247">
        <f t="shared" si="45"/>
        <v>38085000</v>
      </c>
      <c r="P125" s="247">
        <f t="shared" si="45"/>
        <v>40624000</v>
      </c>
      <c r="Q125" s="247">
        <f t="shared" si="45"/>
        <v>35546000</v>
      </c>
      <c r="R125" s="200">
        <f t="shared" si="3"/>
        <v>457020000</v>
      </c>
      <c r="S125" s="201" t="s">
        <v>809</v>
      </c>
      <c r="T125" s="202"/>
      <c r="U125" s="246"/>
      <c r="V125" s="305" t="s">
        <v>829</v>
      </c>
      <c r="W125" s="311">
        <v>1500</v>
      </c>
      <c r="X125" s="311">
        <v>1400</v>
      </c>
      <c r="Y125" s="311">
        <v>1500</v>
      </c>
      <c r="Z125" s="311">
        <v>1600</v>
      </c>
      <c r="AA125" s="311">
        <v>1500</v>
      </c>
      <c r="AB125" s="311">
        <v>1400</v>
      </c>
      <c r="AC125" s="311">
        <v>1600</v>
      </c>
      <c r="AD125" s="311">
        <v>1500</v>
      </c>
      <c r="AE125" s="311">
        <v>1500</v>
      </c>
      <c r="AF125" s="311">
        <v>1500</v>
      </c>
      <c r="AG125" s="311">
        <v>1600</v>
      </c>
      <c r="AH125" s="311">
        <v>1400</v>
      </c>
      <c r="BA125"/>
      <c r="BB125"/>
    </row>
    <row r="126" spans="1:54" s="191" customFormat="1" ht="13">
      <c r="A126" s="226"/>
      <c r="B126" s="180">
        <v>5005016371</v>
      </c>
      <c r="C126" s="183" t="str">
        <f>IFERROR(IF(VLOOKUP($B126,勘定科目!$A:$H,HLOOKUP($E$5,勘定科目!$F$1:$H$2,2,0),0)="","",VLOOKUP($B126,勘定科目!$A:$E,2,0)),"")</f>
        <v>生産用消耗品費（製）</v>
      </c>
      <c r="D126" s="239" t="str">
        <f>IF(C126="","",VLOOKUP($B126,勘定科目!$A:$E,4,0))</f>
        <v>消耗品費</v>
      </c>
      <c r="E126" s="245"/>
      <c r="F126" s="194">
        <f t="shared" ref="F126:Q126" si="46">ROUND(W126*$B2,0)</f>
        <v>45702000</v>
      </c>
      <c r="G126" s="247">
        <f t="shared" si="46"/>
        <v>40624000</v>
      </c>
      <c r="H126" s="247">
        <f t="shared" si="46"/>
        <v>45702000</v>
      </c>
      <c r="I126" s="247">
        <f t="shared" si="46"/>
        <v>48241000</v>
      </c>
      <c r="J126" s="247">
        <f t="shared" si="46"/>
        <v>45702000</v>
      </c>
      <c r="K126" s="247">
        <f t="shared" si="46"/>
        <v>40624000</v>
      </c>
      <c r="L126" s="247">
        <f t="shared" si="46"/>
        <v>48241000</v>
      </c>
      <c r="M126" s="247">
        <f t="shared" si="46"/>
        <v>45702000</v>
      </c>
      <c r="N126" s="247">
        <f t="shared" si="46"/>
        <v>45702000</v>
      </c>
      <c r="O126" s="247">
        <f t="shared" si="46"/>
        <v>45702000</v>
      </c>
      <c r="P126" s="247">
        <f t="shared" si="46"/>
        <v>38085000</v>
      </c>
      <c r="Q126" s="247">
        <f t="shared" si="46"/>
        <v>40624000</v>
      </c>
      <c r="R126" s="200">
        <f t="shared" si="3"/>
        <v>530651000</v>
      </c>
      <c r="S126" s="201" t="s">
        <v>810</v>
      </c>
      <c r="T126" s="202"/>
      <c r="U126" s="246"/>
      <c r="V126" s="305" t="s">
        <v>830</v>
      </c>
      <c r="W126" s="311">
        <v>1800</v>
      </c>
      <c r="X126" s="311">
        <v>1600</v>
      </c>
      <c r="Y126" s="311">
        <v>1800</v>
      </c>
      <c r="Z126" s="311">
        <v>1900</v>
      </c>
      <c r="AA126" s="311">
        <v>1800</v>
      </c>
      <c r="AB126" s="311">
        <v>1600</v>
      </c>
      <c r="AC126" s="311">
        <v>1900</v>
      </c>
      <c r="AD126" s="311">
        <v>1800</v>
      </c>
      <c r="AE126" s="311">
        <v>1800</v>
      </c>
      <c r="AF126" s="311">
        <v>1800</v>
      </c>
      <c r="AG126" s="311">
        <v>1500</v>
      </c>
      <c r="AH126" s="311">
        <v>1600</v>
      </c>
      <c r="BA126"/>
      <c r="BB126"/>
    </row>
    <row r="127" spans="1:54" s="191" customFormat="1" ht="13">
      <c r="A127" s="226"/>
      <c r="B127" s="180">
        <v>5005016371</v>
      </c>
      <c r="C127" s="183" t="str">
        <f>IFERROR(IF(VLOOKUP($B127,勘定科目!$A:$H,HLOOKUP($E$5,勘定科目!$F$1:$H$2,2,0),0)="","",VLOOKUP($B127,勘定科目!$A:$E,2,0)),"")</f>
        <v>生産用消耗品費（製）</v>
      </c>
      <c r="D127" s="239" t="str">
        <f>IF(C127="","",VLOOKUP($B127,勘定科目!$A:$E,4,0))</f>
        <v>消耗品費</v>
      </c>
      <c r="E127" s="245"/>
      <c r="F127" s="194">
        <f t="shared" ref="F127:Q127" si="47">ROUND(W127*$B2,0)</f>
        <v>507800</v>
      </c>
      <c r="G127" s="247">
        <f t="shared" si="47"/>
        <v>457020</v>
      </c>
      <c r="H127" s="247">
        <f t="shared" si="47"/>
        <v>507800</v>
      </c>
      <c r="I127" s="247">
        <f t="shared" si="47"/>
        <v>558580</v>
      </c>
      <c r="J127" s="247">
        <f t="shared" si="47"/>
        <v>507800</v>
      </c>
      <c r="K127" s="247">
        <f t="shared" si="47"/>
        <v>457020</v>
      </c>
      <c r="L127" s="247">
        <f t="shared" si="47"/>
        <v>558580</v>
      </c>
      <c r="M127" s="247">
        <f t="shared" si="47"/>
        <v>507800</v>
      </c>
      <c r="N127" s="247">
        <f t="shared" si="47"/>
        <v>507800</v>
      </c>
      <c r="O127" s="247">
        <f t="shared" si="47"/>
        <v>507800</v>
      </c>
      <c r="P127" s="247">
        <f t="shared" si="47"/>
        <v>406240</v>
      </c>
      <c r="Q127" s="247">
        <f t="shared" si="47"/>
        <v>507800</v>
      </c>
      <c r="R127" s="200">
        <f t="shared" ref="R127:R128" si="48">SUM(F127:Q127)</f>
        <v>5992040</v>
      </c>
      <c r="S127" s="201" t="s">
        <v>811</v>
      </c>
      <c r="T127" s="202"/>
      <c r="U127" s="246"/>
      <c r="V127" s="305" t="s">
        <v>831</v>
      </c>
      <c r="W127" s="311">
        <v>20</v>
      </c>
      <c r="X127" s="311">
        <v>18</v>
      </c>
      <c r="Y127" s="311">
        <v>20</v>
      </c>
      <c r="Z127" s="311">
        <v>22</v>
      </c>
      <c r="AA127" s="311">
        <v>20</v>
      </c>
      <c r="AB127" s="311">
        <v>18</v>
      </c>
      <c r="AC127" s="311">
        <v>22</v>
      </c>
      <c r="AD127" s="311">
        <v>20</v>
      </c>
      <c r="AE127" s="311">
        <v>20</v>
      </c>
      <c r="AF127" s="311">
        <v>20</v>
      </c>
      <c r="AG127" s="311">
        <v>16</v>
      </c>
      <c r="AH127" s="311">
        <v>20</v>
      </c>
      <c r="BA127"/>
      <c r="BB127"/>
    </row>
    <row r="128" spans="1:54" s="191" customFormat="1" ht="13">
      <c r="A128" s="226"/>
      <c r="B128" s="180">
        <v>5005016371</v>
      </c>
      <c r="C128" s="183" t="str">
        <f>IFERROR(IF(VLOOKUP($B128,勘定科目!$A:$H,HLOOKUP($E$5,勘定科目!$F$1:$H$2,2,0),0)="","",VLOOKUP($B128,勘定科目!$A:$E,2,0)),"")</f>
        <v>生産用消耗品費（製）</v>
      </c>
      <c r="D128" s="239" t="str">
        <f>IF(C128="","",VLOOKUP($B128,勘定科目!$A:$E,4,0))</f>
        <v>消耗品費</v>
      </c>
      <c r="E128" s="245"/>
      <c r="F128" s="194">
        <f t="shared" ref="F128:Q128" si="49">ROUND(W128*$B2,0)</f>
        <v>1396450</v>
      </c>
      <c r="G128" s="247">
        <f t="shared" si="49"/>
        <v>1269500</v>
      </c>
      <c r="H128" s="247">
        <f t="shared" si="49"/>
        <v>1396450</v>
      </c>
      <c r="I128" s="247">
        <f t="shared" si="49"/>
        <v>1523400</v>
      </c>
      <c r="J128" s="247">
        <f t="shared" si="49"/>
        <v>1396450</v>
      </c>
      <c r="K128" s="247">
        <f t="shared" si="49"/>
        <v>1269500</v>
      </c>
      <c r="L128" s="247">
        <f t="shared" si="49"/>
        <v>1523400</v>
      </c>
      <c r="M128" s="247">
        <f t="shared" si="49"/>
        <v>1396450</v>
      </c>
      <c r="N128" s="247">
        <f t="shared" si="49"/>
        <v>1472620</v>
      </c>
      <c r="O128" s="247">
        <f t="shared" si="49"/>
        <v>1396450</v>
      </c>
      <c r="P128" s="247">
        <f t="shared" si="49"/>
        <v>1015600</v>
      </c>
      <c r="Q128" s="247">
        <f t="shared" si="49"/>
        <v>1345670</v>
      </c>
      <c r="R128" s="200">
        <f t="shared" si="48"/>
        <v>16401940</v>
      </c>
      <c r="S128" s="201" t="s">
        <v>812</v>
      </c>
      <c r="T128" s="202"/>
      <c r="U128" s="246"/>
      <c r="V128" s="305" t="s">
        <v>832</v>
      </c>
      <c r="W128" s="311">
        <v>55</v>
      </c>
      <c r="X128" s="311">
        <v>50</v>
      </c>
      <c r="Y128" s="311">
        <v>55</v>
      </c>
      <c r="Z128" s="311">
        <v>60</v>
      </c>
      <c r="AA128" s="311">
        <v>55</v>
      </c>
      <c r="AB128" s="311">
        <v>50</v>
      </c>
      <c r="AC128" s="311">
        <v>60</v>
      </c>
      <c r="AD128" s="311">
        <v>55</v>
      </c>
      <c r="AE128" s="311">
        <v>58</v>
      </c>
      <c r="AF128" s="311">
        <v>55</v>
      </c>
      <c r="AG128" s="311">
        <v>40</v>
      </c>
      <c r="AH128" s="311">
        <v>53</v>
      </c>
      <c r="BA128"/>
      <c r="BB128"/>
    </row>
    <row r="129" spans="1:54" s="191" customFormat="1" ht="13">
      <c r="A129" s="226"/>
      <c r="B129" s="180">
        <v>5005016371</v>
      </c>
      <c r="C129" s="183" t="str">
        <f>IFERROR(IF(VLOOKUP($B129,勘定科目!$A:$H,HLOOKUP($E$5,勘定科目!$F$1:$H$2,2,0),0)="","",VLOOKUP($B129,勘定科目!$A:$E,2,0)),"")</f>
        <v>生産用消耗品費（製）</v>
      </c>
      <c r="D129" s="239" t="str">
        <f>IF(C129="","",VLOOKUP($B129,勘定科目!$A:$E,4,0))</f>
        <v>消耗品費</v>
      </c>
      <c r="E129" s="245"/>
      <c r="F129" s="247">
        <f t="shared" ref="F129:Q129" si="50">ROUND(W129*$B2,0)</f>
        <v>249068</v>
      </c>
      <c r="G129" s="247">
        <f t="shared" si="50"/>
        <v>240480</v>
      </c>
      <c r="H129" s="247">
        <f t="shared" si="50"/>
        <v>4655730</v>
      </c>
      <c r="I129" s="247">
        <f t="shared" si="50"/>
        <v>4760811</v>
      </c>
      <c r="J129" s="247">
        <f t="shared" si="50"/>
        <v>6430727</v>
      </c>
      <c r="K129" s="247">
        <f t="shared" si="50"/>
        <v>4733027</v>
      </c>
      <c r="L129" s="247">
        <f t="shared" si="50"/>
        <v>4846697</v>
      </c>
      <c r="M129" s="247">
        <f t="shared" si="50"/>
        <v>6928517</v>
      </c>
      <c r="N129" s="247">
        <f t="shared" si="50"/>
        <v>4767381</v>
      </c>
      <c r="O129" s="247">
        <f t="shared" si="50"/>
        <v>4863874</v>
      </c>
      <c r="P129" s="247">
        <f t="shared" si="50"/>
        <v>6473670</v>
      </c>
      <c r="Q129" s="247">
        <f t="shared" si="50"/>
        <v>4956329</v>
      </c>
      <c r="R129" s="200">
        <f t="shared" ref="R129:R194" si="51">SUM(F129:Q129)</f>
        <v>53906311</v>
      </c>
      <c r="S129" s="201" t="s">
        <v>813</v>
      </c>
      <c r="T129" s="202"/>
      <c r="U129" s="246"/>
      <c r="V129" s="305" t="s">
        <v>833</v>
      </c>
      <c r="W129" s="304">
        <v>9.8097039168176448</v>
      </c>
      <c r="X129" s="304">
        <v>9.4714382645135888</v>
      </c>
      <c r="Y129" s="304">
        <v>183.36863217833792</v>
      </c>
      <c r="Z129" s="304">
        <v>187.50733387191809</v>
      </c>
      <c r="AA129" s="304">
        <v>253.27795435368256</v>
      </c>
      <c r="AB129" s="304">
        <v>186.41302304907441</v>
      </c>
      <c r="AC129" s="304">
        <v>190.88999039495866</v>
      </c>
      <c r="AD129" s="304">
        <v>272.8836887013785</v>
      </c>
      <c r="AE129" s="304">
        <v>187.76608565829065</v>
      </c>
      <c r="AF129" s="304">
        <v>191.56652169956675</v>
      </c>
      <c r="AG129" s="304">
        <v>254.96928261520284</v>
      </c>
      <c r="AH129" s="304">
        <v>195.2079300089799</v>
      </c>
      <c r="BA129"/>
      <c r="BB129"/>
    </row>
    <row r="130" spans="1:54" s="191" customFormat="1" ht="13">
      <c r="A130" s="226"/>
      <c r="B130" s="180"/>
      <c r="C130" s="183" t="str">
        <f>IFERROR(IF(VLOOKUP($B130,勘定科目!$A:$H,HLOOKUP($E$5,勘定科目!$F$1:$H$2,2,0),0)="","",VLOOKUP($B130,勘定科目!$A:$E,2,0)),"")</f>
        <v/>
      </c>
      <c r="D130" s="239" t="str">
        <f>IF(C130="","",VLOOKUP($B130,勘定科目!$A:$E,4,0))</f>
        <v/>
      </c>
      <c r="E130" s="245"/>
      <c r="F130" s="194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00">
        <f t="shared" ref="R130" si="52">SUM(F130:Q130)</f>
        <v>0</v>
      </c>
      <c r="S130" s="201"/>
      <c r="T130" s="202"/>
      <c r="U130" s="246"/>
      <c r="V130" s="246"/>
      <c r="W130" s="246"/>
      <c r="BA130"/>
      <c r="BB130"/>
    </row>
    <row r="131" spans="1:54" s="191" customFormat="1" ht="13">
      <c r="A131" s="226"/>
      <c r="B131" s="180"/>
      <c r="C131" s="183" t="str">
        <f>IFERROR(IF(VLOOKUP($B131,勘定科目!$A:$H,HLOOKUP($E$5,勘定科目!$F$1:$H$2,2,0),0)="","",VLOOKUP($B131,勘定科目!$A:$E,2,0)),"")</f>
        <v/>
      </c>
      <c r="D131" s="239" t="str">
        <f>IF(C131="","",VLOOKUP($B131,勘定科目!$A:$E,4,0))</f>
        <v/>
      </c>
      <c r="E131" s="245"/>
      <c r="F131" s="194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00">
        <f t="shared" si="51"/>
        <v>0</v>
      </c>
      <c r="S131" s="201"/>
      <c r="T131" s="202"/>
      <c r="U131" s="246"/>
      <c r="V131" s="305"/>
      <c r="W131" s="301" t="s">
        <v>787</v>
      </c>
      <c r="X131" s="301" t="s">
        <v>788</v>
      </c>
      <c r="Y131" s="301" t="s">
        <v>789</v>
      </c>
      <c r="Z131" s="301" t="s">
        <v>790</v>
      </c>
      <c r="AA131" s="301" t="s">
        <v>791</v>
      </c>
      <c r="AB131" s="301" t="s">
        <v>792</v>
      </c>
      <c r="AC131" s="301" t="s">
        <v>793</v>
      </c>
      <c r="AD131" s="301" t="s">
        <v>794</v>
      </c>
      <c r="AE131" s="301" t="s">
        <v>795</v>
      </c>
      <c r="AF131" s="301" t="s">
        <v>796</v>
      </c>
      <c r="AG131" s="301" t="s">
        <v>797</v>
      </c>
      <c r="AH131" s="301" t="s">
        <v>798</v>
      </c>
      <c r="BA131"/>
      <c r="BB131"/>
    </row>
    <row r="132" spans="1:54" s="191" customFormat="1" ht="13">
      <c r="A132" s="226"/>
      <c r="B132" s="180">
        <v>5005026371</v>
      </c>
      <c r="C132" s="183" t="str">
        <f>IFERROR(IF(VLOOKUP($B132,勘定科目!$A:$H,HLOOKUP($E$5,勘定科目!$F$1:$H$2,2,0),0)="","",VLOOKUP($B132,勘定科目!$A:$E,2,0)),"")</f>
        <v>消耗工具器具備品費（製）</v>
      </c>
      <c r="D132" s="239" t="str">
        <f>IF(C132="","",VLOOKUP($B132,勘定科目!$A:$E,4,0))</f>
        <v>消耗工具器具備品費</v>
      </c>
      <c r="E132" s="245"/>
      <c r="F132" s="194">
        <f t="shared" ref="F132:Q132" si="53">ROUND(W132*$B2,0)</f>
        <v>2031200</v>
      </c>
      <c r="G132" s="247">
        <f t="shared" si="53"/>
        <v>2031200</v>
      </c>
      <c r="H132" s="247">
        <f t="shared" si="53"/>
        <v>2031200</v>
      </c>
      <c r="I132" s="247">
        <f t="shared" si="53"/>
        <v>2031200</v>
      </c>
      <c r="J132" s="247">
        <f t="shared" si="53"/>
        <v>2031200</v>
      </c>
      <c r="K132" s="247">
        <f t="shared" si="53"/>
        <v>2031200</v>
      </c>
      <c r="L132" s="247">
        <f t="shared" si="53"/>
        <v>2031200</v>
      </c>
      <c r="M132" s="247">
        <f t="shared" si="53"/>
        <v>2031200</v>
      </c>
      <c r="N132" s="247">
        <f t="shared" si="53"/>
        <v>2031200</v>
      </c>
      <c r="O132" s="247">
        <f t="shared" si="53"/>
        <v>2031200</v>
      </c>
      <c r="P132" s="247">
        <f t="shared" si="53"/>
        <v>2031200</v>
      </c>
      <c r="Q132" s="247">
        <f t="shared" si="53"/>
        <v>2031200</v>
      </c>
      <c r="R132" s="200">
        <f t="shared" si="51"/>
        <v>24374400</v>
      </c>
      <c r="S132" s="201" t="s">
        <v>834</v>
      </c>
      <c r="T132" s="202"/>
      <c r="U132" s="246"/>
      <c r="V132" s="305" t="s">
        <v>835</v>
      </c>
      <c r="W132" s="311">
        <v>80</v>
      </c>
      <c r="X132" s="311">
        <v>80</v>
      </c>
      <c r="Y132" s="311">
        <v>80</v>
      </c>
      <c r="Z132" s="311">
        <v>80</v>
      </c>
      <c r="AA132" s="311">
        <v>80</v>
      </c>
      <c r="AB132" s="311">
        <v>80</v>
      </c>
      <c r="AC132" s="311">
        <v>80</v>
      </c>
      <c r="AD132" s="311">
        <v>80</v>
      </c>
      <c r="AE132" s="311">
        <v>80</v>
      </c>
      <c r="AF132" s="311">
        <v>80</v>
      </c>
      <c r="AG132" s="311">
        <v>80</v>
      </c>
      <c r="AH132" s="311">
        <v>80</v>
      </c>
      <c r="BA132"/>
      <c r="BB132"/>
    </row>
    <row r="133" spans="1:54" s="191" customFormat="1" ht="13">
      <c r="A133" s="226"/>
      <c r="B133" s="180">
        <v>5005026371</v>
      </c>
      <c r="C133" s="183" t="str">
        <f>IFERROR(IF(VLOOKUP($B133,勘定科目!$A:$H,HLOOKUP($E$5,勘定科目!$F$1:$H$2,2,0),0)="","",VLOOKUP($B133,勘定科目!$A:$E,2,0)),"")</f>
        <v>消耗工具器具備品費（製）</v>
      </c>
      <c r="D133" s="239" t="str">
        <f>IF(C133="","",VLOOKUP($B133,勘定科目!$A:$E,4,0))</f>
        <v>消耗工具器具備品費</v>
      </c>
      <c r="E133" s="245"/>
      <c r="F133" s="194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>
        <f>100*$B2</f>
        <v>2539000</v>
      </c>
      <c r="Q133" s="247"/>
      <c r="R133" s="200">
        <f t="shared" ref="R133" si="54">SUM(F133:Q133)</f>
        <v>2539000</v>
      </c>
      <c r="S133" s="308" t="s">
        <v>814</v>
      </c>
      <c r="T133" s="202"/>
      <c r="U133" s="246"/>
      <c r="V133" s="246"/>
      <c r="W133" s="246"/>
      <c r="BA133"/>
      <c r="BB133"/>
    </row>
    <row r="134" spans="1:54" s="191" customFormat="1" ht="13">
      <c r="A134" s="226"/>
      <c r="B134" s="180">
        <v>5005026371</v>
      </c>
      <c r="C134" s="183" t="str">
        <f>IFERROR(IF(VLOOKUP($B134,勘定科目!$A:$H,HLOOKUP($E$5,勘定科目!$F$1:$H$2,2,0),0)="","",VLOOKUP($B134,勘定科目!$A:$E,2,0)),"")</f>
        <v>消耗工具器具備品費（製）</v>
      </c>
      <c r="D134" s="239" t="str">
        <f>IF(C134="","",VLOOKUP($B134,勘定科目!$A:$E,4,0))</f>
        <v>消耗工具器具備品費</v>
      </c>
      <c r="E134" s="245"/>
      <c r="F134" s="194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>
        <f>200*$B2</f>
        <v>5078000</v>
      </c>
      <c r="Q134" s="247"/>
      <c r="R134" s="200">
        <f t="shared" ref="R134" si="55">SUM(F134:Q134)</f>
        <v>5078000</v>
      </c>
      <c r="S134" s="308" t="s">
        <v>836</v>
      </c>
      <c r="T134" s="202"/>
      <c r="U134" s="246"/>
      <c r="V134" s="246"/>
      <c r="W134" s="246"/>
      <c r="BA134"/>
      <c r="BB134"/>
    </row>
    <row r="135" spans="1:54" s="191" customFormat="1" ht="13">
      <c r="A135" s="226"/>
      <c r="B135" s="180">
        <v>5005026371</v>
      </c>
      <c r="C135" s="183" t="str">
        <f>IFERROR(IF(VLOOKUP($B135,勘定科目!$A:$H,HLOOKUP($E$5,勘定科目!$F$1:$H$2,2,0),0)="","",VLOOKUP($B135,勘定科目!$A:$E,2,0)),"")</f>
        <v>消耗工具器具備品費（製）</v>
      </c>
      <c r="D135" s="239" t="str">
        <f>IF(C135="","",VLOOKUP($B135,勘定科目!$A:$E,4,0))</f>
        <v>消耗工具器具備品費</v>
      </c>
      <c r="E135" s="245"/>
      <c r="F135" s="194"/>
      <c r="G135" s="247"/>
      <c r="H135" s="247"/>
      <c r="I135" s="247"/>
      <c r="J135" s="247">
        <v>21065000</v>
      </c>
      <c r="K135" s="247"/>
      <c r="L135" s="247"/>
      <c r="M135" s="247"/>
      <c r="N135" s="247"/>
      <c r="O135" s="247"/>
      <c r="P135" s="247"/>
      <c r="Q135" s="247"/>
      <c r="R135" s="200">
        <f t="shared" ref="R135:R140" si="56">SUM(F135:Q135)</f>
        <v>21065000</v>
      </c>
      <c r="S135" s="201" t="s">
        <v>815</v>
      </c>
      <c r="T135" s="202"/>
      <c r="U135" s="246"/>
      <c r="V135" s="246"/>
      <c r="W135" s="246"/>
      <c r="BA135"/>
      <c r="BB135"/>
    </row>
    <row r="136" spans="1:54" s="191" customFormat="1" ht="13">
      <c r="A136" s="226"/>
      <c r="B136" s="180">
        <v>5005026371</v>
      </c>
      <c r="C136" s="183" t="str">
        <f>IFERROR(IF(VLOOKUP($B136,勘定科目!$A:$H,HLOOKUP($E$5,勘定科目!$F$1:$H$2,2,0),0)="","",VLOOKUP($B136,勘定科目!$A:$E,2,0)),"")</f>
        <v>消耗工具器具備品費（製）</v>
      </c>
      <c r="D136" s="239" t="str">
        <f>IF(C136="","",VLOOKUP($B136,勘定科目!$A:$E,4,0))</f>
        <v>消耗工具器具備品費</v>
      </c>
      <c r="E136" s="245"/>
      <c r="F136" s="194"/>
      <c r="G136" s="247"/>
      <c r="H136" s="247"/>
      <c r="I136" s="247"/>
      <c r="J136" s="247">
        <v>3670000</v>
      </c>
      <c r="K136" s="247"/>
      <c r="L136" s="247"/>
      <c r="M136" s="247"/>
      <c r="N136" s="247"/>
      <c r="O136" s="247"/>
      <c r="P136" s="247"/>
      <c r="Q136" s="247"/>
      <c r="R136" s="200">
        <f t="shared" si="56"/>
        <v>3670000</v>
      </c>
      <c r="S136" s="201" t="s">
        <v>816</v>
      </c>
      <c r="T136" s="202"/>
      <c r="U136" s="246"/>
      <c r="V136" s="246"/>
      <c r="W136" s="246"/>
      <c r="BA136"/>
      <c r="BB136"/>
    </row>
    <row r="137" spans="1:54" s="191" customFormat="1" ht="13">
      <c r="A137" s="226"/>
      <c r="B137" s="180">
        <v>5005026371</v>
      </c>
      <c r="C137" s="183" t="str">
        <f>IFERROR(IF(VLOOKUP($B137,勘定科目!$A:$H,HLOOKUP($E$5,勘定科目!$F$1:$H$2,2,0),0)="","",VLOOKUP($B137,勘定科目!$A:$E,2,0)),"")</f>
        <v>消耗工具器具備品費（製）</v>
      </c>
      <c r="D137" s="239" t="str">
        <f>IF(C137="","",VLOOKUP($B137,勘定科目!$A:$E,4,0))</f>
        <v>消耗工具器具備品費</v>
      </c>
      <c r="E137" s="245"/>
      <c r="F137" s="194"/>
      <c r="G137" s="247"/>
      <c r="H137" s="247"/>
      <c r="I137" s="247"/>
      <c r="J137" s="247">
        <v>530000</v>
      </c>
      <c r="K137" s="247"/>
      <c r="L137" s="247"/>
      <c r="M137" s="247"/>
      <c r="N137" s="247"/>
      <c r="O137" s="247"/>
      <c r="P137" s="247"/>
      <c r="Q137" s="247"/>
      <c r="R137" s="200">
        <f t="shared" si="56"/>
        <v>530000</v>
      </c>
      <c r="S137" s="201" t="s">
        <v>817</v>
      </c>
      <c r="T137" s="202"/>
      <c r="U137" s="246"/>
      <c r="V137" s="246"/>
      <c r="W137" s="246"/>
      <c r="BA137"/>
      <c r="BB137"/>
    </row>
    <row r="138" spans="1:54" s="191" customFormat="1" ht="13">
      <c r="A138" s="226"/>
      <c r="B138" s="180">
        <v>5005026371</v>
      </c>
      <c r="C138" s="183" t="str">
        <f>IFERROR(IF(VLOOKUP($B138,勘定科目!$A:$H,HLOOKUP($E$5,勘定科目!$F$1:$H$2,2,0),0)="","",VLOOKUP($B138,勘定科目!$A:$E,2,0)),"")</f>
        <v>消耗工具器具備品費（製）</v>
      </c>
      <c r="D138" s="239" t="str">
        <f>IF(C138="","",VLOOKUP($B138,勘定科目!$A:$E,4,0))</f>
        <v>消耗工具器具備品費</v>
      </c>
      <c r="E138" s="245"/>
      <c r="F138" s="194">
        <v>12150000</v>
      </c>
      <c r="G138" s="247">
        <v>12150000</v>
      </c>
      <c r="H138" s="247">
        <v>12150000</v>
      </c>
      <c r="I138" s="247"/>
      <c r="J138" s="247"/>
      <c r="K138" s="247"/>
      <c r="L138" s="247"/>
      <c r="M138" s="247"/>
      <c r="N138" s="247"/>
      <c r="O138" s="247"/>
      <c r="P138" s="247"/>
      <c r="Q138" s="247"/>
      <c r="R138" s="200">
        <f t="shared" ref="R138" si="57">SUM(F138:Q138)</f>
        <v>36450000</v>
      </c>
      <c r="S138" s="201" t="s">
        <v>824</v>
      </c>
      <c r="T138" s="202"/>
      <c r="U138" s="246"/>
      <c r="V138" s="246"/>
      <c r="W138" s="246"/>
      <c r="BA138"/>
      <c r="BB138"/>
    </row>
    <row r="139" spans="1:54" s="191" customFormat="1" ht="13">
      <c r="A139" s="226"/>
      <c r="B139" s="180">
        <v>5005026371</v>
      </c>
      <c r="C139" s="183" t="str">
        <f>IFERROR(IF(VLOOKUP($B139,勘定科目!$A:$H,HLOOKUP($E$5,勘定科目!$F$1:$H$2,2,0),0)="","",VLOOKUP($B139,勘定科目!$A:$E,2,0)),"")</f>
        <v>消耗工具器具備品費（製）</v>
      </c>
      <c r="D139" s="239" t="str">
        <f>IF(C139="","",VLOOKUP($B139,勘定科目!$A:$E,4,0))</f>
        <v>消耗工具器具備品費</v>
      </c>
      <c r="E139" s="245"/>
      <c r="F139" s="194"/>
      <c r="G139" s="247"/>
      <c r="H139" s="247"/>
      <c r="I139" s="247"/>
      <c r="J139" s="247">
        <v>15000000</v>
      </c>
      <c r="K139" s="247"/>
      <c r="L139" s="247"/>
      <c r="M139" s="247"/>
      <c r="N139" s="247"/>
      <c r="O139" s="247"/>
      <c r="P139" s="247"/>
      <c r="Q139" s="247"/>
      <c r="R139" s="200">
        <f t="shared" ref="R139" si="58">SUM(F139:Q139)</f>
        <v>15000000</v>
      </c>
      <c r="S139" s="201" t="s">
        <v>848</v>
      </c>
      <c r="T139" s="202"/>
      <c r="U139" s="246"/>
      <c r="V139" s="246"/>
      <c r="W139" s="246"/>
      <c r="BA139"/>
      <c r="BB139"/>
    </row>
    <row r="140" spans="1:54" s="191" customFormat="1" ht="13">
      <c r="A140" s="226"/>
      <c r="B140" s="180"/>
      <c r="C140" s="183" t="str">
        <f>IFERROR(IF(VLOOKUP($B140,勘定科目!$A:$H,HLOOKUP($E$5,勘定科目!$F$1:$H$2,2,0),0)="","",VLOOKUP($B140,勘定科目!$A:$E,2,0)),"")</f>
        <v/>
      </c>
      <c r="D140" s="239" t="str">
        <f>IF(C140="","",VLOOKUP($B140,勘定科目!$A:$E,4,0))</f>
        <v/>
      </c>
      <c r="E140" s="245"/>
      <c r="F140" s="194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00">
        <f t="shared" si="56"/>
        <v>0</v>
      </c>
      <c r="S140" s="201"/>
      <c r="T140" s="202"/>
      <c r="U140" s="246"/>
      <c r="V140" s="246"/>
      <c r="W140" s="246"/>
      <c r="BA140"/>
      <c r="BB140"/>
    </row>
    <row r="141" spans="1:54" s="191" customFormat="1" ht="13">
      <c r="A141" s="226"/>
      <c r="B141" s="180">
        <v>5005046283</v>
      </c>
      <c r="C141" s="183" t="str">
        <f>IFERROR(IF(VLOOKUP($B141,勘定科目!$A:$H,HLOOKUP($E$5,勘定科目!$F$1:$H$2,2,0),0)="","",VLOOKUP($B141,勘定科目!$A:$E,2,0)),"")</f>
        <v>年間保守料（製）</v>
      </c>
      <c r="D141" s="239" t="str">
        <f>IF(C141="","",VLOOKUP($B141,勘定科目!$A:$E,4,0))</f>
        <v>修繕費</v>
      </c>
      <c r="E141" s="245"/>
      <c r="F141" s="194">
        <v>12800000</v>
      </c>
      <c r="G141" s="247">
        <v>20200000</v>
      </c>
      <c r="H141" s="247">
        <v>10200000</v>
      </c>
      <c r="I141" s="247">
        <v>10000000</v>
      </c>
      <c r="J141" s="247">
        <v>18350000</v>
      </c>
      <c r="K141" s="247">
        <v>1200000</v>
      </c>
      <c r="L141" s="247"/>
      <c r="M141" s="247">
        <v>600000</v>
      </c>
      <c r="N141" s="247">
        <v>500000</v>
      </c>
      <c r="O141" s="247">
        <v>5500000</v>
      </c>
      <c r="P141" s="247">
        <v>11500000</v>
      </c>
      <c r="Q141" s="247">
        <v>2600000</v>
      </c>
      <c r="R141" s="200">
        <f t="shared" si="51"/>
        <v>93450000</v>
      </c>
      <c r="S141" s="201" t="s">
        <v>818</v>
      </c>
      <c r="T141" s="202"/>
      <c r="U141" s="246"/>
      <c r="V141" s="246"/>
      <c r="W141" s="246"/>
      <c r="BA141"/>
      <c r="BB141"/>
    </row>
    <row r="142" spans="1:54" s="191" customFormat="1" ht="13">
      <c r="A142" s="226"/>
      <c r="B142" s="180">
        <v>5005046282</v>
      </c>
      <c r="C142" s="183" t="str">
        <f>IFERROR(IF(VLOOKUP($B142,勘定科目!$A:$H,HLOOKUP($E$5,勘定科目!$F$1:$H$2,2,0),0)="","",VLOOKUP($B142,勘定科目!$A:$E,2,0)),"")</f>
        <v>その他修繕費（製）</v>
      </c>
      <c r="D142" s="239" t="str">
        <f>IF(C142="","",VLOOKUP($B142,勘定科目!$A:$E,4,0))</f>
        <v>修繕費</v>
      </c>
      <c r="E142" s="245"/>
      <c r="F142" s="194">
        <v>76500000</v>
      </c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00">
        <f t="shared" ref="R142" si="59">SUM(F142:Q142)</f>
        <v>76500000</v>
      </c>
      <c r="S142" s="201" t="s">
        <v>825</v>
      </c>
      <c r="T142" s="202"/>
      <c r="U142" s="246"/>
      <c r="V142" s="246"/>
      <c r="W142" s="246"/>
      <c r="BA142"/>
      <c r="BB142"/>
    </row>
    <row r="143" spans="1:54" s="191" customFormat="1" ht="13">
      <c r="A143" s="226"/>
      <c r="B143" s="180">
        <v>5005046283</v>
      </c>
      <c r="C143" s="183" t="str">
        <f>IFERROR(IF(VLOOKUP($B143,勘定科目!$A:$H,HLOOKUP($E$5,勘定科目!$F$1:$H$2,2,0),0)="","",VLOOKUP($B143,勘定科目!$A:$E,2,0)),"")</f>
        <v>年間保守料（製）</v>
      </c>
      <c r="D143" s="239" t="str">
        <f>IF(C143="","",VLOOKUP($B143,勘定科目!$A:$E,4,0))</f>
        <v>修繕費</v>
      </c>
      <c r="E143" s="245"/>
      <c r="F143" s="194"/>
      <c r="G143" s="247"/>
      <c r="H143" s="247"/>
      <c r="I143" s="247"/>
      <c r="J143" s="247"/>
      <c r="K143" s="247">
        <f>ROUND(630000*2,0)</f>
        <v>1260000</v>
      </c>
      <c r="L143" s="247"/>
      <c r="M143" s="247"/>
      <c r="N143" s="247"/>
      <c r="O143" s="247"/>
      <c r="P143" s="247"/>
      <c r="Q143" s="247"/>
      <c r="R143" s="200">
        <f t="shared" ref="R143" si="60">SUM(F143:Q143)</f>
        <v>1260000</v>
      </c>
      <c r="S143" s="201" t="s">
        <v>819</v>
      </c>
      <c r="T143" s="202"/>
      <c r="U143" s="246"/>
      <c r="V143" s="246"/>
      <c r="W143" s="246"/>
      <c r="BA143"/>
      <c r="BB143"/>
    </row>
    <row r="144" spans="1:54" s="191" customFormat="1" ht="13">
      <c r="A144" s="226"/>
      <c r="B144" s="180">
        <v>5004086293</v>
      </c>
      <c r="C144" s="183" t="str">
        <f>IFERROR(IF(VLOOKUP($B144,勘定科目!$A:$H,HLOOKUP($E$5,勘定科目!$F$1:$H$2,2,0),0)="","",VLOOKUP($B144,勘定科目!$A:$E,2,0)),"")</f>
        <v>教育訓練費（製）</v>
      </c>
      <c r="D144" s="239" t="str">
        <f>IF(C144="","",VLOOKUP($B144,勘定科目!$A:$E,4,0))</f>
        <v>募集教育費</v>
      </c>
      <c r="E144" s="245"/>
      <c r="F144" s="194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00">
        <f t="shared" si="51"/>
        <v>0</v>
      </c>
      <c r="S144" s="201"/>
      <c r="T144" s="202"/>
      <c r="U144" s="246"/>
      <c r="V144" s="246"/>
      <c r="W144" s="246"/>
      <c r="BA144"/>
      <c r="BB144"/>
    </row>
    <row r="145" spans="1:64" s="191" customFormat="1" ht="13">
      <c r="A145" s="226"/>
      <c r="B145" s="180">
        <v>5004086293</v>
      </c>
      <c r="C145" s="183" t="str">
        <f>IFERROR(IF(VLOOKUP($B145,勘定科目!$A:$H,HLOOKUP($E$5,勘定科目!$F$1:$H$2,2,0),0)="","",VLOOKUP($B145,勘定科目!$A:$E,2,0)),"")</f>
        <v>教育訓練費（製）</v>
      </c>
      <c r="D145" s="239" t="str">
        <f>IF(C145="","",VLOOKUP($B145,勘定科目!$A:$E,4,0))</f>
        <v>募集教育費</v>
      </c>
      <c r="E145" s="245"/>
      <c r="F145" s="194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00">
        <f t="shared" si="51"/>
        <v>0</v>
      </c>
      <c r="S145" s="201"/>
      <c r="T145" s="202"/>
      <c r="U145" s="246"/>
      <c r="V145" s="246"/>
      <c r="W145" s="246"/>
      <c r="BA145"/>
      <c r="BB145"/>
    </row>
    <row r="146" spans="1:64" s="191" customFormat="1" ht="13">
      <c r="A146" s="226"/>
      <c r="B146" s="180">
        <v>5005116291</v>
      </c>
      <c r="C146" s="183" t="str">
        <f>IFERROR(IF(VLOOKUP($B146,勘定科目!$A:$H,HLOOKUP($E$5,勘定科目!$F$1:$H$2,2,0),0)="","",VLOOKUP($B146,勘定科目!$A:$E,2,0)),"")</f>
        <v>ベトナム国内交通費（製）</v>
      </c>
      <c r="D146" s="239" t="str">
        <f>IF(C146="","",VLOOKUP($B146,勘定科目!$A:$E,4,0))</f>
        <v>旅費交通費</v>
      </c>
      <c r="E146" s="245"/>
      <c r="F146" s="194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00">
        <f t="shared" si="51"/>
        <v>0</v>
      </c>
      <c r="S146" s="201"/>
      <c r="T146" s="202"/>
      <c r="U146" s="246"/>
      <c r="V146" s="246"/>
      <c r="W146" s="246"/>
      <c r="BA146"/>
      <c r="BB146"/>
    </row>
    <row r="147" spans="1:64" s="191" customFormat="1" ht="13">
      <c r="A147" s="226"/>
      <c r="B147" s="180">
        <v>5005246283</v>
      </c>
      <c r="C147" s="183" t="str">
        <f>IFERROR(IF(VLOOKUP($B147,勘定科目!$A:$H,HLOOKUP($E$5,勘定科目!$F$1:$H$2,2,0),0)="","",VLOOKUP($B147,勘定科目!$A:$E,2,0)),"")</f>
        <v>ライセンス料（製）</v>
      </c>
      <c r="D147" s="239" t="str">
        <f>IF(C147="","",VLOOKUP($B147,勘定科目!$A:$E,4,0))</f>
        <v>図書及び事務費</v>
      </c>
      <c r="E147" s="245"/>
      <c r="F147" s="194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00">
        <f t="shared" si="51"/>
        <v>0</v>
      </c>
      <c r="S147" s="201"/>
      <c r="T147" s="202"/>
      <c r="U147" s="246"/>
      <c r="V147" s="246"/>
      <c r="W147" s="246"/>
      <c r="BA147"/>
      <c r="BB147"/>
    </row>
    <row r="148" spans="1:64" s="191" customFormat="1" ht="13">
      <c r="A148" s="226"/>
      <c r="B148" s="180">
        <v>5005136291</v>
      </c>
      <c r="C148" s="183" t="str">
        <f>IFERROR(IF(VLOOKUP($B148,勘定科目!$A:$H,HLOOKUP($E$5,勘定科目!$F$1:$H$2,2,0),0)="","",VLOOKUP($B148,勘定科目!$A:$E,2,0)),"")</f>
        <v>郵送代（製）</v>
      </c>
      <c r="D148" s="239" t="str">
        <f>IF(C148="","",VLOOKUP($B148,勘定科目!$A:$E,4,0))</f>
        <v>通信費</v>
      </c>
      <c r="E148" s="245"/>
      <c r="F148" s="194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00">
        <f t="shared" si="51"/>
        <v>0</v>
      </c>
      <c r="S148" s="201"/>
      <c r="T148" s="202"/>
      <c r="U148" s="246"/>
      <c r="V148" s="246"/>
      <c r="W148" s="246"/>
      <c r="BA148"/>
      <c r="BB148"/>
    </row>
    <row r="149" spans="1:64" s="191" customFormat="1" ht="13">
      <c r="A149" s="226"/>
      <c r="B149" s="180"/>
      <c r="C149" s="183" t="str">
        <f>IFERROR(IF(VLOOKUP($B149,勘定科目!$A:$H,HLOOKUP($E$5,勘定科目!$F$1:$H$2,2,0),0)="","",VLOOKUP($B149,勘定科目!$A:$E,2,0)),"")</f>
        <v/>
      </c>
      <c r="D149" s="239" t="str">
        <f>IF(C149="","",VLOOKUP($B149,勘定科目!$A:$E,4,0))</f>
        <v/>
      </c>
      <c r="E149" s="245"/>
      <c r="F149" s="194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00">
        <f t="shared" si="51"/>
        <v>0</v>
      </c>
      <c r="S149" s="201"/>
      <c r="T149" s="202"/>
      <c r="U149" s="246"/>
      <c r="V149" s="246"/>
      <c r="W149" s="246"/>
      <c r="BA149"/>
      <c r="BB149"/>
    </row>
    <row r="150" spans="1:64" s="191" customFormat="1" ht="13">
      <c r="A150" s="226"/>
      <c r="B150" s="180">
        <v>9114120009</v>
      </c>
      <c r="C150" s="183" t="str">
        <f>IFERROR(IF(VLOOKUP($B150,勘定科目!$A:$H,HLOOKUP($E$5,勘定科目!$F$1:$H$2,2,0),0)="","",VLOOKUP($B150,勘定科目!$A:$E,2,0)),"")</f>
        <v>社内金利（在庫）</v>
      </c>
      <c r="D150" s="239" t="str">
        <f>IF(C150="","",VLOOKUP($B150,勘定科目!$A:$E,4,0))</f>
        <v>在庫金利</v>
      </c>
      <c r="E150" s="245"/>
      <c r="F150" s="194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00">
        <f t="shared" si="51"/>
        <v>0</v>
      </c>
      <c r="S150" s="201"/>
      <c r="T150" s="202"/>
      <c r="U150" s="246"/>
      <c r="V150" s="246"/>
      <c r="W150" s="246"/>
      <c r="BA150"/>
      <c r="BB150"/>
    </row>
    <row r="151" spans="1:64" s="191" customFormat="1" ht="13">
      <c r="A151" s="226"/>
      <c r="B151" s="180">
        <v>5006016244</v>
      </c>
      <c r="C151" s="183" t="str">
        <f>IFERROR(IF(VLOOKUP($B151,勘定科目!$A:$H,HLOOKUP($E$5,勘定科目!$F$1:$H$2,2,0),0)="","",VLOOKUP($B151,勘定科目!$A:$E,2,0)),"")</f>
        <v>減価償却費（製）　工具器具備品</v>
      </c>
      <c r="D151" s="239" t="str">
        <f>IF(C151="","",VLOOKUP($B151,勘定科目!$A:$E,4,0))</f>
        <v>減価償却費</v>
      </c>
      <c r="E151" s="245"/>
      <c r="F151" s="194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>
        <f>ROUND((2500*$B2)/36,0)</f>
        <v>1763194</v>
      </c>
      <c r="Q151" s="247">
        <f>ROUND((2500*$B2)/36,0)</f>
        <v>1763194</v>
      </c>
      <c r="R151" s="200">
        <f t="shared" si="51"/>
        <v>3526388</v>
      </c>
      <c r="S151" s="201" t="s">
        <v>821</v>
      </c>
      <c r="T151" s="202"/>
      <c r="U151" s="246"/>
      <c r="V151" s="246"/>
      <c r="W151" s="246"/>
      <c r="BA151"/>
      <c r="BB151"/>
    </row>
    <row r="152" spans="1:64" s="191" customFormat="1" ht="13">
      <c r="A152" s="226"/>
      <c r="B152" s="180">
        <v>9114120007</v>
      </c>
      <c r="C152" s="183" t="str">
        <f>IFERROR(IF(VLOOKUP($B152,勘定科目!$A:$H,HLOOKUP($E$5,勘定科目!$F$1:$H$2,2,0),0)="","",VLOOKUP($B152,勘定科目!$A:$E,2,0)),"")</f>
        <v>社内金利（固定資産）</v>
      </c>
      <c r="D152" s="239" t="str">
        <f>IF(C152="","",VLOOKUP($B152,勘定科目!$A:$E,4,0))</f>
        <v>固定資産金利</v>
      </c>
      <c r="E152" s="245"/>
      <c r="F152" s="194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>
        <f>ROUND((2500*B2)*0.3%,0)</f>
        <v>190425</v>
      </c>
      <c r="R152" s="200">
        <f t="shared" si="51"/>
        <v>190425</v>
      </c>
      <c r="S152" s="201" t="s">
        <v>820</v>
      </c>
      <c r="T152" s="202"/>
      <c r="U152" s="246"/>
      <c r="V152" s="246"/>
      <c r="W152" s="246"/>
      <c r="BA152"/>
      <c r="BB152"/>
    </row>
    <row r="153" spans="1:64" s="191" customFormat="1" ht="13">
      <c r="A153" s="226"/>
      <c r="B153" s="180"/>
      <c r="C153" s="183" t="str">
        <f>IFERROR(IF(VLOOKUP($B153,勘定科目!$A:$H,HLOOKUP($E$5,勘定科目!$F$1:$H$2,2,0),0)="","",VLOOKUP($B153,勘定科目!$A:$E,2,0)),"")</f>
        <v/>
      </c>
      <c r="D153" s="239" t="str">
        <f>IF(C153="","",VLOOKUP($B153,勘定科目!$A:$E,4,0))</f>
        <v/>
      </c>
      <c r="E153" s="245"/>
      <c r="F153" s="194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00">
        <f t="shared" si="51"/>
        <v>0</v>
      </c>
      <c r="S153" s="201"/>
      <c r="T153" s="202"/>
      <c r="U153" s="246"/>
      <c r="V153" s="246"/>
      <c r="W153" s="246"/>
      <c r="BA153"/>
      <c r="BB153"/>
    </row>
    <row r="154" spans="1:64" s="191" customFormat="1" ht="13">
      <c r="A154" s="226"/>
      <c r="B154" s="180"/>
      <c r="C154" s="183" t="str">
        <f>IFERROR(IF(VLOOKUP($B154,勘定科目!$A:$H,HLOOKUP($E$5,勘定科目!$F$1:$H$2,2,0),0)="","",VLOOKUP($B154,勘定科目!$A:$E,2,0)),"")</f>
        <v/>
      </c>
      <c r="D154" s="239" t="str">
        <f>IF(C154="","",VLOOKUP($B154,勘定科目!$A:$E,4,0))</f>
        <v/>
      </c>
      <c r="E154" s="245"/>
      <c r="F154" s="194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00">
        <f t="shared" si="51"/>
        <v>0</v>
      </c>
      <c r="S154" s="201"/>
      <c r="T154" s="202"/>
      <c r="U154" s="246"/>
      <c r="V154" s="246"/>
      <c r="W154" s="246"/>
      <c r="BA154"/>
      <c r="BB154"/>
    </row>
    <row r="155" spans="1:64" s="191" customFormat="1" ht="13">
      <c r="A155" s="226"/>
      <c r="B155" s="180"/>
      <c r="C155" s="183" t="str">
        <f>IFERROR(IF(VLOOKUP($B155,勘定科目!$A:$H,HLOOKUP($E$5,勘定科目!$F$1:$H$2,2,0),0)="","",VLOOKUP($B155,勘定科目!$A:$E,2,0)),"")</f>
        <v/>
      </c>
      <c r="D155" s="239" t="str">
        <f>IF(C155="","",VLOOKUP($B155,勘定科目!$A:$E,4,0))</f>
        <v/>
      </c>
      <c r="E155" s="245"/>
      <c r="F155" s="194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00">
        <f t="shared" si="51"/>
        <v>0</v>
      </c>
      <c r="S155" s="201"/>
      <c r="T155" s="202"/>
      <c r="U155" s="246"/>
      <c r="V155" s="246"/>
      <c r="W155" s="246"/>
      <c r="BA155"/>
      <c r="BB155"/>
      <c r="BE155" s="191" t="s">
        <v>769</v>
      </c>
      <c r="BF155" s="191" t="s">
        <v>725</v>
      </c>
      <c r="BG155" s="191" t="s">
        <v>726</v>
      </c>
      <c r="BI155" s="191" t="e">
        <v>#REF!</v>
      </c>
      <c r="BJ155" s="191" t="e">
        <v>#REF!</v>
      </c>
      <c r="BK155" s="191" t="e">
        <v>#REF!</v>
      </c>
      <c r="BL155" s="191" t="e">
        <v>#REF!</v>
      </c>
    </row>
    <row r="156" spans="1:64" s="191" customFormat="1" ht="13">
      <c r="A156" s="226"/>
      <c r="B156" s="180"/>
      <c r="C156" s="183" t="str">
        <f>IFERROR(IF(VLOOKUP($B156,勘定科目!$A:$H,HLOOKUP($E$5,勘定科目!$F$1:$H$2,2,0),0)="","",VLOOKUP($B156,勘定科目!$A:$E,2,0)),"")</f>
        <v/>
      </c>
      <c r="D156" s="239" t="str">
        <f>IF(C156="","",VLOOKUP($B156,勘定科目!$A:$E,4,0))</f>
        <v/>
      </c>
      <c r="E156" s="245"/>
      <c r="F156" s="194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00">
        <f t="shared" si="51"/>
        <v>0</v>
      </c>
      <c r="S156" s="201"/>
      <c r="T156" s="202"/>
      <c r="U156" s="246"/>
      <c r="V156" s="246"/>
      <c r="W156" s="246"/>
      <c r="BA156"/>
      <c r="BB156"/>
      <c r="BE156" s="191" t="s">
        <v>770</v>
      </c>
      <c r="BF156" s="191">
        <v>159067255.14980003</v>
      </c>
      <c r="BG156" s="191">
        <v>159067255.14980003</v>
      </c>
      <c r="BI156" s="191">
        <v>109087916.28740001</v>
      </c>
      <c r="BJ156" s="191">
        <v>69107871.206699997</v>
      </c>
      <c r="BK156" s="191">
        <v>34801008.918300003</v>
      </c>
      <c r="BL156" s="191">
        <v>26832000</v>
      </c>
    </row>
    <row r="157" spans="1:64" s="191" customFormat="1" ht="13">
      <c r="A157" s="226"/>
      <c r="B157" s="180"/>
      <c r="C157" s="183" t="str">
        <f>IFERROR(IF(VLOOKUP($B157,勘定科目!$A:$H,HLOOKUP($E$5,勘定科目!$F$1:$H$2,2,0),0)="","",VLOOKUP($B157,勘定科目!$A:$E,2,0)),"")</f>
        <v/>
      </c>
      <c r="D157" s="239" t="str">
        <f>IF(C157="","",VLOOKUP($B157,勘定科目!$A:$E,4,0))</f>
        <v/>
      </c>
      <c r="E157" s="245"/>
      <c r="F157" s="194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00">
        <f t="shared" si="51"/>
        <v>0</v>
      </c>
      <c r="S157" s="201"/>
      <c r="T157" s="202"/>
      <c r="U157" s="246"/>
      <c r="V157" s="246"/>
      <c r="W157" s="246"/>
      <c r="BA157"/>
      <c r="BB157"/>
      <c r="BE157" s="191" t="s">
        <v>771</v>
      </c>
      <c r="BF157" s="191">
        <v>640000</v>
      </c>
      <c r="BG157" s="191">
        <v>640000</v>
      </c>
      <c r="BI157" s="191">
        <v>351000</v>
      </c>
      <c r="BJ157" s="191">
        <v>236000</v>
      </c>
      <c r="BK157" s="191">
        <v>0</v>
      </c>
      <c r="BL157" s="191">
        <v>0</v>
      </c>
    </row>
    <row r="158" spans="1:64" s="191" customFormat="1" ht="13">
      <c r="A158" s="226"/>
      <c r="B158" s="180"/>
      <c r="C158" s="183" t="str">
        <f>IFERROR(IF(VLOOKUP($B158,勘定科目!$A:$H,HLOOKUP($E$5,勘定科目!$F$1:$H$2,2,0),0)="","",VLOOKUP($B158,勘定科目!$A:$E,2,0)),"")</f>
        <v/>
      </c>
      <c r="D158" s="239" t="str">
        <f>IF(C158="","",VLOOKUP($B158,勘定科目!$A:$E,4,0))</f>
        <v/>
      </c>
      <c r="E158" s="245"/>
      <c r="F158" s="194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00">
        <f t="shared" si="51"/>
        <v>0</v>
      </c>
      <c r="S158" s="201"/>
      <c r="T158" s="202"/>
      <c r="U158" s="246"/>
      <c r="V158" s="246"/>
      <c r="W158" s="246"/>
      <c r="BA158"/>
      <c r="BB158"/>
      <c r="BE158" s="191" t="s">
        <v>772</v>
      </c>
      <c r="BF158" s="191">
        <v>723500</v>
      </c>
      <c r="BG158" s="191">
        <v>723500</v>
      </c>
      <c r="BI158" s="191">
        <v>316000</v>
      </c>
      <c r="BJ158" s="191">
        <v>0</v>
      </c>
      <c r="BK158" s="191">
        <v>0</v>
      </c>
      <c r="BL158" s="191">
        <v>0</v>
      </c>
    </row>
    <row r="159" spans="1:64" s="191" customFormat="1" ht="13">
      <c r="A159" s="226"/>
      <c r="B159" s="180"/>
      <c r="C159" s="183" t="str">
        <f>IFERROR(IF(VLOOKUP($B159,勘定科目!$A:$H,HLOOKUP($E$5,勘定科目!$F$1:$H$2,2,0),0)="","",VLOOKUP($B159,勘定科目!$A:$E,2,0)),"")</f>
        <v/>
      </c>
      <c r="D159" s="239" t="str">
        <f>IF(C159="","",VLOOKUP($B159,勘定科目!$A:$E,4,0))</f>
        <v/>
      </c>
      <c r="E159" s="245"/>
      <c r="F159" s="194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>
        <f t="shared" si="51"/>
        <v>0</v>
      </c>
      <c r="S159" s="201"/>
      <c r="T159" s="202"/>
      <c r="U159" s="246"/>
      <c r="V159" s="246"/>
      <c r="W159" s="246"/>
      <c r="BA159"/>
      <c r="BB159"/>
      <c r="BE159" s="191" t="s">
        <v>773</v>
      </c>
      <c r="BF159" s="191">
        <v>9605000</v>
      </c>
      <c r="BG159" s="191">
        <v>9605000</v>
      </c>
      <c r="BI159" s="191">
        <v>12115000</v>
      </c>
      <c r="BJ159" s="191">
        <v>520000</v>
      </c>
      <c r="BK159" s="191">
        <v>0</v>
      </c>
      <c r="BL159" s="191">
        <v>0</v>
      </c>
    </row>
    <row r="160" spans="1:64" s="191" customFormat="1" ht="13">
      <c r="A160" s="226"/>
      <c r="B160" s="180"/>
      <c r="C160" s="183" t="str">
        <f>IFERROR(IF(VLOOKUP($B160,勘定科目!$A:$H,HLOOKUP($E$5,勘定科目!$F$1:$H$2,2,0),0)="","",VLOOKUP($B160,勘定科目!$A:$E,2,0)),"")</f>
        <v/>
      </c>
      <c r="D160" s="239" t="str">
        <f>IF(C160="","",VLOOKUP($B160,勘定科目!$A:$E,4,0))</f>
        <v/>
      </c>
      <c r="E160" s="245"/>
      <c r="F160" s="194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00">
        <f t="shared" si="51"/>
        <v>0</v>
      </c>
      <c r="S160" s="201"/>
      <c r="T160" s="202"/>
      <c r="U160" s="246"/>
      <c r="V160" s="246"/>
      <c r="W160" s="246"/>
      <c r="BA160"/>
      <c r="BB160"/>
      <c r="BE160" s="191" t="s">
        <v>774</v>
      </c>
      <c r="BF160" s="191">
        <v>500000</v>
      </c>
      <c r="BG160" s="191">
        <v>500000</v>
      </c>
      <c r="BI160" s="191">
        <v>6000000</v>
      </c>
      <c r="BJ160" s="191">
        <v>11500000</v>
      </c>
      <c r="BK160" s="191">
        <v>2600000</v>
      </c>
      <c r="BL160" s="191">
        <v>800000</v>
      </c>
    </row>
    <row r="161" spans="1:64" s="191" customFormat="1" ht="13">
      <c r="A161" s="226"/>
      <c r="B161" s="180"/>
      <c r="C161" s="183" t="str">
        <f>IFERROR(IF(VLOOKUP($B161,勘定科目!$A:$H,HLOOKUP($E$5,勘定科目!$F$1:$H$2,2,0),0)="","",VLOOKUP($B161,勘定科目!$A:$E,2,0)),"")</f>
        <v/>
      </c>
      <c r="D161" s="239" t="str">
        <f>IF(C161="","",VLOOKUP($B161,勘定科目!$A:$E,4,0))</f>
        <v/>
      </c>
      <c r="E161" s="245"/>
      <c r="F161" s="194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00">
        <f t="shared" si="51"/>
        <v>0</v>
      </c>
      <c r="S161" s="201"/>
      <c r="T161" s="202"/>
      <c r="U161" s="246"/>
      <c r="V161" s="246"/>
      <c r="W161" s="246"/>
      <c r="BA161"/>
      <c r="BB161"/>
      <c r="BE161" s="191" t="s">
        <v>775</v>
      </c>
      <c r="BF161" s="191">
        <v>0</v>
      </c>
      <c r="BG161" s="191">
        <v>0</v>
      </c>
      <c r="BI161" s="191">
        <v>5000000</v>
      </c>
      <c r="BJ161" s="191">
        <v>0</v>
      </c>
      <c r="BK161" s="191">
        <v>0</v>
      </c>
      <c r="BL161" s="191">
        <v>0</v>
      </c>
    </row>
    <row r="162" spans="1:64" s="191" customFormat="1" ht="13">
      <c r="A162" s="226"/>
      <c r="B162" s="180"/>
      <c r="C162" s="183" t="str">
        <f>IFERROR(IF(VLOOKUP($B162,勘定科目!$A:$H,HLOOKUP($E$5,勘定科目!$F$1:$H$2,2,0),0)="","",VLOOKUP($B162,勘定科目!$A:$E,2,0)),"")</f>
        <v/>
      </c>
      <c r="D162" s="239" t="str">
        <f>IF(C162="","",VLOOKUP($B162,勘定科目!$A:$E,4,0))</f>
        <v/>
      </c>
      <c r="E162" s="245"/>
      <c r="F162" s="194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00">
        <f t="shared" si="51"/>
        <v>0</v>
      </c>
      <c r="S162" s="201"/>
      <c r="T162" s="202"/>
      <c r="U162" s="246"/>
      <c r="V162" s="246"/>
      <c r="W162" s="246"/>
      <c r="BA162"/>
      <c r="BB162"/>
      <c r="BE162" s="191" t="s">
        <v>776</v>
      </c>
      <c r="BF162" s="191">
        <v>95000</v>
      </c>
      <c r="BG162" s="191">
        <v>99453</v>
      </c>
      <c r="BI162" s="191">
        <v>80000</v>
      </c>
      <c r="BJ162" s="191">
        <v>80000</v>
      </c>
      <c r="BK162" s="191">
        <v>80000</v>
      </c>
      <c r="BL162" s="191">
        <v>80000</v>
      </c>
    </row>
    <row r="163" spans="1:64" s="191" customFormat="1" ht="13">
      <c r="A163" s="226"/>
      <c r="B163" s="180"/>
      <c r="C163" s="183" t="str">
        <f>IFERROR(IF(VLOOKUP($B163,勘定科目!$A:$H,HLOOKUP($E$5,勘定科目!$F$1:$H$2,2,0),0)="","",VLOOKUP($B163,勘定科目!$A:$E,2,0)),"")</f>
        <v/>
      </c>
      <c r="D163" s="239" t="str">
        <f>IF(C163="","",VLOOKUP($B163,勘定科目!$A:$E,4,0))</f>
        <v/>
      </c>
      <c r="E163" s="245"/>
      <c r="F163" s="194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00">
        <f t="shared" si="51"/>
        <v>0</v>
      </c>
      <c r="S163" s="201"/>
      <c r="T163" s="202"/>
      <c r="U163" s="246"/>
      <c r="V163" s="246"/>
      <c r="W163" s="246"/>
      <c r="BA163"/>
      <c r="BB163"/>
      <c r="BE163" s="191" t="s">
        <v>777</v>
      </c>
      <c r="BF163" s="191">
        <v>0</v>
      </c>
      <c r="BG163" s="191">
        <v>0</v>
      </c>
      <c r="BI163" s="191">
        <v>0</v>
      </c>
      <c r="BJ163" s="191">
        <v>0</v>
      </c>
      <c r="BK163" s="191">
        <v>0</v>
      </c>
      <c r="BL163" s="191">
        <v>0</v>
      </c>
    </row>
    <row r="164" spans="1:64" s="191" customFormat="1" ht="13">
      <c r="A164" s="226"/>
      <c r="B164" s="180"/>
      <c r="C164" s="183" t="str">
        <f>IFERROR(IF(VLOOKUP($B164,勘定科目!$A:$H,HLOOKUP($E$5,勘定科目!$F$1:$H$2,2,0),0)="","",VLOOKUP($B164,勘定科目!$A:$E,2,0)),"")</f>
        <v/>
      </c>
      <c r="D164" s="239" t="str">
        <f>IF(C164="","",VLOOKUP($B164,勘定科目!$A:$E,4,0))</f>
        <v/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00">
        <f t="shared" si="51"/>
        <v>0</v>
      </c>
      <c r="S164" s="201"/>
      <c r="T164" s="202"/>
      <c r="U164" s="246"/>
      <c r="V164" s="246"/>
      <c r="W164" s="246"/>
      <c r="BA164"/>
      <c r="BB164"/>
      <c r="BE164" s="191" t="s">
        <v>778</v>
      </c>
      <c r="BF164" s="191">
        <v>0</v>
      </c>
      <c r="BG164" s="191">
        <v>0</v>
      </c>
      <c r="BI164" s="191">
        <v>0</v>
      </c>
      <c r="BJ164" s="191">
        <v>0</v>
      </c>
      <c r="BK164" s="191">
        <v>0</v>
      </c>
      <c r="BL164" s="191">
        <v>0</v>
      </c>
    </row>
    <row r="165" spans="1:64" s="191" customFormat="1" ht="13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>
        <f t="shared" si="51"/>
        <v>0</v>
      </c>
      <c r="S165" s="201"/>
      <c r="T165" s="202"/>
      <c r="U165" s="246"/>
      <c r="V165" s="246"/>
      <c r="W165" s="246"/>
      <c r="BA165"/>
      <c r="BB165"/>
      <c r="BE165" s="191" t="s">
        <v>779</v>
      </c>
      <c r="BF165" s="191">
        <v>0</v>
      </c>
      <c r="BG165" s="191">
        <v>0</v>
      </c>
      <c r="BI165" s="191">
        <v>0</v>
      </c>
      <c r="BJ165" s="191">
        <v>0</v>
      </c>
      <c r="BK165" s="191">
        <v>0</v>
      </c>
      <c r="BL165" s="191">
        <v>0</v>
      </c>
    </row>
    <row r="166" spans="1:64" s="191" customFormat="1" ht="13">
      <c r="A166" s="226"/>
      <c r="B166" s="180"/>
      <c r="C166" s="183" t="str">
        <f>IFERROR(IF(VLOOKUP($B166,勘定科目!$A:$H,HLOOKUP($E$5,勘定科目!$F$1:$H$2,2,0),0)="","",VLOOKUP($B166,勘定科目!$A:$E,2,0)),"")</f>
        <v/>
      </c>
      <c r="D166" s="239" t="str">
        <f>IF(C166="","",VLOOKUP($B166,勘定科目!$A:$E,4,0))</f>
        <v/>
      </c>
      <c r="E166" s="245"/>
      <c r="F166" s="194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>
        <f t="shared" si="51"/>
        <v>0</v>
      </c>
      <c r="S166" s="201"/>
      <c r="T166" s="202"/>
      <c r="U166" s="246"/>
      <c r="V166" s="246"/>
      <c r="W166" s="246"/>
      <c r="BA166"/>
      <c r="BB166"/>
      <c r="BD166" s="191" t="s">
        <v>696</v>
      </c>
      <c r="BE166" s="191">
        <v>4.58</v>
      </c>
      <c r="BF166" s="191">
        <v>4.58</v>
      </c>
      <c r="BH166" s="191">
        <v>4.58</v>
      </c>
      <c r="BI166" s="191">
        <v>4.58</v>
      </c>
      <c r="BJ166" s="191">
        <v>4.58</v>
      </c>
      <c r="BK166" s="191">
        <v>4.58</v>
      </c>
    </row>
    <row r="167" spans="1:64" s="191" customFormat="1" ht="13">
      <c r="A167" s="226"/>
      <c r="B167" s="180"/>
      <c r="C167" s="183" t="str">
        <f>IFERROR(IF(VLOOKUP($B167,勘定科目!$A:$H,HLOOKUP($E$5,勘定科目!$F$1:$H$2,2,0),0)="","",VLOOKUP($B167,勘定科目!$A:$E,2,0)),"")</f>
        <v/>
      </c>
      <c r="D167" s="239" t="str">
        <f>IF(C167="","",VLOOKUP($B167,勘定科目!$A:$E,4,0))</f>
        <v/>
      </c>
      <c r="E167" s="245"/>
      <c r="F167" s="194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00">
        <f t="shared" si="51"/>
        <v>0</v>
      </c>
      <c r="S167" s="201"/>
      <c r="T167" s="202"/>
      <c r="U167" s="246"/>
      <c r="V167" s="246"/>
      <c r="W167" s="246"/>
      <c r="BA167"/>
      <c r="BB167"/>
      <c r="BD167" s="191" t="s">
        <v>697</v>
      </c>
      <c r="BE167" s="191">
        <v>8.6</v>
      </c>
      <c r="BF167" s="191">
        <v>8.6</v>
      </c>
      <c r="BH167" s="191">
        <v>8.6</v>
      </c>
      <c r="BI167" s="191">
        <v>8.6</v>
      </c>
      <c r="BJ167" s="191">
        <v>8.6</v>
      </c>
      <c r="BK167" s="191">
        <v>8.6</v>
      </c>
    </row>
    <row r="168" spans="1:64" s="191" customFormat="1" ht="13">
      <c r="A168" s="226"/>
      <c r="B168" s="180"/>
      <c r="C168" s="183" t="str">
        <f>IFERROR(IF(VLOOKUP($B168,勘定科目!$A:$H,HLOOKUP($E$5,勘定科目!$F$1:$H$2,2,0),0)="","",VLOOKUP($B168,勘定科目!$A:$E,2,0)),"")</f>
        <v/>
      </c>
      <c r="D168" s="239" t="str">
        <f>IF(C168="","",VLOOKUP($B168,勘定科目!$A:$E,4,0))</f>
        <v/>
      </c>
      <c r="E168" s="245"/>
      <c r="F168" s="194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00">
        <f t="shared" si="51"/>
        <v>0</v>
      </c>
      <c r="S168" s="201"/>
      <c r="T168" s="202"/>
      <c r="U168" s="246"/>
      <c r="V168" s="246"/>
      <c r="W168" s="246"/>
      <c r="BA168"/>
      <c r="BB168"/>
      <c r="BD168" s="191" t="s">
        <v>698</v>
      </c>
      <c r="BE168" s="191">
        <v>3.42</v>
      </c>
      <c r="BF168" s="191">
        <v>3.42</v>
      </c>
      <c r="BH168" s="191">
        <v>3.42</v>
      </c>
      <c r="BI168" s="191">
        <v>3.42</v>
      </c>
      <c r="BJ168" s="191">
        <v>3.42</v>
      </c>
      <c r="BK168" s="191">
        <v>3.42</v>
      </c>
    </row>
    <row r="169" spans="1:64" s="191" customFormat="1" ht="13">
      <c r="A169" s="226"/>
      <c r="B169" s="180"/>
      <c r="C169" s="183" t="str">
        <f>IFERROR(IF(VLOOKUP($B169,勘定科目!$A:$H,HLOOKUP($E$5,勘定科目!$F$1:$H$2,2,0),0)="","",VLOOKUP($B169,勘定科目!$A:$E,2,0)),"")</f>
        <v/>
      </c>
      <c r="D169" s="239" t="str">
        <f>IF(C169="","",VLOOKUP($B169,勘定科目!$A:$E,4,0))</f>
        <v/>
      </c>
      <c r="E169" s="245"/>
      <c r="F169" s="194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00">
        <f t="shared" si="51"/>
        <v>0</v>
      </c>
      <c r="S169" s="201"/>
      <c r="T169" s="202"/>
      <c r="U169" s="246"/>
      <c r="V169" s="246"/>
      <c r="W169" s="246"/>
      <c r="BA169"/>
      <c r="BB169"/>
      <c r="BD169" s="191" t="s">
        <v>699</v>
      </c>
      <c r="BE169" s="191">
        <v>74.67</v>
      </c>
      <c r="BF169" s="191">
        <v>74.67</v>
      </c>
      <c r="BH169" s="191">
        <v>74.67</v>
      </c>
      <c r="BI169" s="191">
        <v>74.67</v>
      </c>
      <c r="BJ169" s="191">
        <v>74.67</v>
      </c>
      <c r="BK169" s="191">
        <v>74.67</v>
      </c>
    </row>
    <row r="170" spans="1:64" s="191" customFormat="1" ht="13">
      <c r="A170" s="226"/>
      <c r="B170" s="180"/>
      <c r="C170" s="183" t="str">
        <f>IFERROR(IF(VLOOKUP($B170,勘定科目!$A:$H,HLOOKUP($E$5,勘定科目!$F$1:$H$2,2,0),0)="","",VLOOKUP($B170,勘定科目!$A:$E,2,0)),"")</f>
        <v/>
      </c>
      <c r="D170" s="239" t="str">
        <f>IF(C170="","",VLOOKUP($B170,勘定科目!$A:$E,4,0))</f>
        <v/>
      </c>
      <c r="E170" s="245"/>
      <c r="F170" s="194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00">
        <f t="shared" si="51"/>
        <v>0</v>
      </c>
      <c r="S170" s="201"/>
      <c r="T170" s="202"/>
      <c r="U170" s="246"/>
      <c r="V170" s="246"/>
      <c r="W170" s="246"/>
      <c r="BA170"/>
      <c r="BB170"/>
      <c r="BD170" s="191" t="s">
        <v>700</v>
      </c>
      <c r="BE170" s="191">
        <v>7.37</v>
      </c>
      <c r="BF170" s="191">
        <v>7.37</v>
      </c>
      <c r="BH170" s="191">
        <v>7.37</v>
      </c>
      <c r="BI170" s="191">
        <v>7.37</v>
      </c>
      <c r="BJ170" s="191">
        <v>7.37</v>
      </c>
      <c r="BK170" s="191">
        <v>7.37</v>
      </c>
    </row>
    <row r="171" spans="1:64" s="191" customFormat="1" ht="13">
      <c r="A171" s="226"/>
      <c r="B171" s="180"/>
      <c r="C171" s="183" t="str">
        <f>IFERROR(IF(VLOOKUP($B171,勘定科目!$A:$H,HLOOKUP($E$5,勘定科目!$F$1:$H$2,2,0),0)="","",VLOOKUP($B171,勘定科目!$A:$E,2,0)),"")</f>
        <v/>
      </c>
      <c r="D171" s="239" t="str">
        <f>IF(C171="","",VLOOKUP($B171,勘定科目!$A:$E,4,0))</f>
        <v/>
      </c>
      <c r="E171" s="245"/>
      <c r="F171" s="194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00">
        <f t="shared" si="51"/>
        <v>0</v>
      </c>
      <c r="S171" s="201"/>
      <c r="T171" s="202"/>
      <c r="U171" s="246"/>
      <c r="V171" s="246"/>
      <c r="W171" s="246"/>
      <c r="BA171"/>
      <c r="BB171"/>
      <c r="BD171" s="191" t="s">
        <v>701</v>
      </c>
      <c r="BE171" s="191">
        <v>9.06</v>
      </c>
      <c r="BF171" s="191">
        <v>9.06</v>
      </c>
      <c r="BH171" s="191">
        <v>9.06</v>
      </c>
      <c r="BI171" s="191">
        <v>9.06</v>
      </c>
      <c r="BJ171" s="191">
        <v>9.06</v>
      </c>
      <c r="BK171" s="191">
        <v>9.06</v>
      </c>
    </row>
    <row r="172" spans="1:64" s="191" customFormat="1" ht="13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>
        <f t="shared" si="51"/>
        <v>0</v>
      </c>
      <c r="S172" s="201"/>
      <c r="T172" s="202"/>
      <c r="U172" s="246"/>
      <c r="V172" s="246"/>
      <c r="W172" s="246"/>
      <c r="BA172"/>
      <c r="BB172"/>
      <c r="BD172" s="191" t="s">
        <v>702</v>
      </c>
      <c r="BE172" s="191">
        <v>9.06</v>
      </c>
      <c r="BF172" s="191">
        <v>9.06</v>
      </c>
      <c r="BH172" s="191">
        <v>9.06</v>
      </c>
      <c r="BI172" s="191">
        <v>9.06</v>
      </c>
      <c r="BJ172" s="191">
        <v>9.06</v>
      </c>
      <c r="BK172" s="191">
        <v>9.06</v>
      </c>
    </row>
    <row r="173" spans="1:64" s="191" customFormat="1" ht="13">
      <c r="A173" s="226"/>
      <c r="B173" s="180"/>
      <c r="C173" s="183" t="str">
        <f>IFERROR(IF(VLOOKUP($B173,勘定科目!$A:$H,HLOOKUP($E$5,勘定科目!$F$1:$H$2,2,0),0)="","",VLOOKUP($B173,勘定科目!$A:$E,2,0)),"")</f>
        <v/>
      </c>
      <c r="D173" s="239" t="str">
        <f>IF(C173="","",VLOOKUP($B173,勘定科目!$A:$E,4,0))</f>
        <v/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>
        <f t="shared" si="51"/>
        <v>0</v>
      </c>
      <c r="S173" s="201"/>
      <c r="T173" s="202"/>
      <c r="U173" s="246"/>
      <c r="V173" s="246"/>
      <c r="W173" s="246"/>
      <c r="BA173"/>
      <c r="BB173"/>
      <c r="BD173" s="191" t="s">
        <v>703</v>
      </c>
      <c r="BE173" s="191">
        <v>18.91</v>
      </c>
      <c r="BF173" s="191">
        <v>18.91</v>
      </c>
      <c r="BH173" s="191">
        <v>18.91</v>
      </c>
      <c r="BI173" s="191">
        <v>18.91</v>
      </c>
      <c r="BJ173" s="191">
        <v>18.91</v>
      </c>
      <c r="BK173" s="191">
        <v>18.91</v>
      </c>
    </row>
    <row r="174" spans="1:64" s="191" customFormat="1" ht="13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00">
        <f t="shared" si="51"/>
        <v>0</v>
      </c>
      <c r="S174" s="201"/>
      <c r="T174" s="202"/>
      <c r="U174" s="246"/>
      <c r="V174" s="246"/>
      <c r="W174" s="246"/>
      <c r="BA174"/>
      <c r="BB174"/>
      <c r="BD174" s="191" t="s">
        <v>704</v>
      </c>
      <c r="BE174" s="191">
        <v>12.69</v>
      </c>
      <c r="BF174" s="191">
        <v>12.69</v>
      </c>
      <c r="BH174" s="191">
        <v>12.69</v>
      </c>
      <c r="BI174" s="191">
        <v>12.69</v>
      </c>
      <c r="BJ174" s="191">
        <v>12.69</v>
      </c>
      <c r="BK174" s="191">
        <v>12.69</v>
      </c>
    </row>
    <row r="175" spans="1:64" s="191" customFormat="1" ht="13">
      <c r="A175" s="226"/>
      <c r="B175" s="180"/>
      <c r="C175" s="183" t="str">
        <f>IFERROR(IF(VLOOKUP($B175,勘定科目!$A:$H,HLOOKUP($E$5,勘定科目!$F$1:$H$2,2,0),0)="","",VLOOKUP($B175,勘定科目!$A:$E,2,0)),"")</f>
        <v/>
      </c>
      <c r="D175" s="239" t="str">
        <f>IF(C175="","",VLOOKUP($B175,勘定科目!$A:$E,4,0))</f>
        <v/>
      </c>
      <c r="E175" s="245"/>
      <c r="F175" s="194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00">
        <f t="shared" si="51"/>
        <v>0</v>
      </c>
      <c r="S175" s="201"/>
      <c r="T175" s="202"/>
      <c r="U175" s="246"/>
      <c r="V175" s="246"/>
      <c r="W175" s="246"/>
      <c r="BA175"/>
      <c r="BB175"/>
      <c r="BD175" s="191" t="s">
        <v>705</v>
      </c>
      <c r="BE175" s="191">
        <v>6.66</v>
      </c>
      <c r="BF175" s="191">
        <v>6.66</v>
      </c>
      <c r="BH175" s="191">
        <v>6.66</v>
      </c>
      <c r="BI175" s="191">
        <v>6.66</v>
      </c>
      <c r="BJ175" s="191">
        <v>6.66</v>
      </c>
      <c r="BK175" s="191">
        <v>6.66</v>
      </c>
    </row>
    <row r="176" spans="1:64" s="191" customFormat="1" ht="13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00">
        <f t="shared" si="51"/>
        <v>0</v>
      </c>
      <c r="S176" s="201"/>
      <c r="T176" s="202"/>
      <c r="U176" s="246"/>
      <c r="V176" s="246"/>
      <c r="W176" s="246"/>
      <c r="BA176"/>
      <c r="BB176"/>
      <c r="BD176" s="191" t="s">
        <v>706</v>
      </c>
      <c r="BE176" s="191">
        <v>6.24</v>
      </c>
      <c r="BF176" s="191">
        <v>6.24</v>
      </c>
      <c r="BH176" s="191">
        <v>6.24</v>
      </c>
      <c r="BI176" s="191">
        <v>6.24</v>
      </c>
      <c r="BJ176" s="191">
        <v>6.24</v>
      </c>
      <c r="BK176" s="191">
        <v>6.24</v>
      </c>
    </row>
    <row r="177" spans="1:63" s="191" customFormat="1" ht="13">
      <c r="A177" s="226"/>
      <c r="B177" s="180"/>
      <c r="C177" s="183" t="str">
        <f>IFERROR(IF(VLOOKUP($B177,勘定科目!$A:$H,HLOOKUP($E$5,勘定科目!$F$1:$H$2,2,0),0)="","",VLOOKUP($B177,勘定科目!$A:$E,2,0)),"")</f>
        <v/>
      </c>
      <c r="D177" s="239" t="str">
        <f>IF(C177="","",VLOOKUP($B177,勘定科目!$A:$E,4,0))</f>
        <v/>
      </c>
      <c r="E177" s="245"/>
      <c r="F177" s="194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00">
        <f t="shared" si="51"/>
        <v>0</v>
      </c>
      <c r="S177" s="201"/>
      <c r="T177" s="202"/>
      <c r="U177" s="246"/>
      <c r="V177" s="246"/>
      <c r="W177" s="246"/>
      <c r="BA177"/>
      <c r="BB177"/>
      <c r="BD177" s="191" t="s">
        <v>707</v>
      </c>
      <c r="BE177" s="191">
        <v>6.24</v>
      </c>
      <c r="BF177" s="191">
        <v>6.24</v>
      </c>
      <c r="BH177" s="191">
        <v>6.24</v>
      </c>
      <c r="BI177" s="191">
        <v>6.24</v>
      </c>
      <c r="BJ177" s="191">
        <v>6.24</v>
      </c>
      <c r="BK177" s="191">
        <v>6.24</v>
      </c>
    </row>
    <row r="178" spans="1:63" s="191" customFormat="1" ht="13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00">
        <f t="shared" si="51"/>
        <v>0</v>
      </c>
      <c r="S178" s="201"/>
      <c r="T178" s="202"/>
      <c r="U178" s="246"/>
      <c r="V178" s="246"/>
      <c r="W178" s="246"/>
      <c r="BA178"/>
      <c r="BB178"/>
      <c r="BD178" s="191" t="s">
        <v>708</v>
      </c>
      <c r="BE178" s="191">
        <v>6.24</v>
      </c>
      <c r="BF178" s="191">
        <v>6.24</v>
      </c>
      <c r="BH178" s="191">
        <v>6.24</v>
      </c>
      <c r="BI178" s="191">
        <v>6.24</v>
      </c>
      <c r="BJ178" s="191">
        <v>6.24</v>
      </c>
      <c r="BK178" s="191">
        <v>6.24</v>
      </c>
    </row>
    <row r="179" spans="1:63" s="191" customFormat="1" ht="13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00">
        <f t="shared" si="51"/>
        <v>0</v>
      </c>
      <c r="S179" s="201"/>
      <c r="T179" s="202"/>
      <c r="U179" s="246"/>
      <c r="V179" s="246"/>
      <c r="W179" s="246"/>
      <c r="BA179"/>
      <c r="BB179"/>
      <c r="BD179" s="191" t="s">
        <v>709</v>
      </c>
      <c r="BE179" s="191">
        <v>6.24</v>
      </c>
      <c r="BF179" s="191">
        <v>6.24</v>
      </c>
      <c r="BH179" s="191">
        <v>6.24</v>
      </c>
      <c r="BI179" s="191">
        <v>6.24</v>
      </c>
      <c r="BJ179" s="191">
        <v>6.24</v>
      </c>
      <c r="BK179" s="191">
        <v>6.24</v>
      </c>
    </row>
    <row r="180" spans="1:63" s="191" customFormat="1" ht="13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00">
        <f t="shared" si="51"/>
        <v>0</v>
      </c>
      <c r="S180" s="201"/>
      <c r="T180" s="202"/>
      <c r="U180" s="246"/>
      <c r="V180" s="246"/>
      <c r="W180" s="246"/>
      <c r="BA180"/>
      <c r="BB180"/>
      <c r="BD180" s="191" t="s">
        <v>710</v>
      </c>
      <c r="BE180" s="191">
        <v>6.03</v>
      </c>
      <c r="BF180" s="191">
        <v>6.03</v>
      </c>
      <c r="BH180" s="191">
        <v>6.03</v>
      </c>
      <c r="BI180" s="191">
        <v>6.03</v>
      </c>
      <c r="BJ180" s="191">
        <v>6.03</v>
      </c>
      <c r="BK180" s="191">
        <v>6.03</v>
      </c>
    </row>
    <row r="181" spans="1:63" s="191" customFormat="1" ht="13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00">
        <f t="shared" si="51"/>
        <v>0</v>
      </c>
      <c r="S181" s="201"/>
      <c r="T181" s="202"/>
      <c r="U181" s="246"/>
      <c r="V181" s="246"/>
      <c r="W181" s="246"/>
      <c r="BA181"/>
      <c r="BB181"/>
      <c r="BD181" s="191" t="s">
        <v>711</v>
      </c>
      <c r="BE181" s="191">
        <v>25.02</v>
      </c>
      <c r="BF181" s="191">
        <v>25.02</v>
      </c>
      <c r="BH181" s="191">
        <v>25.02</v>
      </c>
      <c r="BI181" s="191">
        <v>25.02</v>
      </c>
      <c r="BJ181" s="191">
        <v>25.02</v>
      </c>
      <c r="BK181" s="191">
        <v>25.02</v>
      </c>
    </row>
    <row r="182" spans="1:63" s="191" customFormat="1" ht="13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00">
        <f t="shared" si="51"/>
        <v>0</v>
      </c>
      <c r="S182" s="201"/>
      <c r="T182" s="202"/>
      <c r="U182" s="246"/>
      <c r="V182" s="246"/>
      <c r="W182" s="246"/>
      <c r="BA182"/>
      <c r="BB182"/>
      <c r="BD182" s="191" t="s">
        <v>712</v>
      </c>
      <c r="BE182" s="191">
        <v>26.22</v>
      </c>
      <c r="BF182" s="191">
        <v>26.22</v>
      </c>
      <c r="BH182" s="191">
        <v>26.22</v>
      </c>
      <c r="BI182" s="191">
        <v>26.22</v>
      </c>
      <c r="BJ182" s="191">
        <v>26.22</v>
      </c>
      <c r="BK182" s="191">
        <v>26.22</v>
      </c>
    </row>
    <row r="183" spans="1:63" s="191" customFormat="1" ht="13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00">
        <f t="shared" si="51"/>
        <v>0</v>
      </c>
      <c r="S183" s="201"/>
      <c r="T183" s="202"/>
      <c r="U183" s="246"/>
      <c r="V183" s="246"/>
      <c r="W183" s="246"/>
      <c r="BA183"/>
      <c r="BB183"/>
      <c r="BD183" s="191" t="s">
        <v>713</v>
      </c>
      <c r="BE183" s="191">
        <v>24.62</v>
      </c>
      <c r="BF183" s="191">
        <v>24.62</v>
      </c>
      <c r="BH183" s="191">
        <v>24.62</v>
      </c>
      <c r="BI183" s="191">
        <v>24.62</v>
      </c>
      <c r="BJ183" s="191">
        <v>24.62</v>
      </c>
      <c r="BK183" s="191">
        <v>24.62</v>
      </c>
    </row>
    <row r="184" spans="1:63" s="191" customFormat="1" ht="13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00">
        <f t="shared" si="51"/>
        <v>0</v>
      </c>
      <c r="S184" s="201"/>
      <c r="T184" s="202"/>
      <c r="U184" s="246"/>
      <c r="V184" s="246"/>
      <c r="W184" s="246"/>
      <c r="BA184"/>
      <c r="BB184"/>
      <c r="BD184" s="191" t="s">
        <v>714</v>
      </c>
      <c r="BE184" s="191">
        <v>23.92</v>
      </c>
      <c r="BF184" s="191">
        <v>23.92</v>
      </c>
      <c r="BH184" s="191">
        <v>23.92</v>
      </c>
      <c r="BI184" s="191">
        <v>23.92</v>
      </c>
      <c r="BJ184" s="191">
        <v>23.92</v>
      </c>
      <c r="BK184" s="191">
        <v>23.92</v>
      </c>
    </row>
    <row r="185" spans="1:63" s="191" customFormat="1" ht="13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00">
        <f t="shared" si="51"/>
        <v>0</v>
      </c>
      <c r="S185" s="201"/>
      <c r="T185" s="202"/>
      <c r="U185" s="246"/>
      <c r="V185" s="246"/>
      <c r="W185" s="246"/>
      <c r="BA185"/>
      <c r="BB185"/>
      <c r="BD185" s="191" t="s">
        <v>715</v>
      </c>
      <c r="BE185" s="191">
        <v>20.38</v>
      </c>
      <c r="BF185" s="191">
        <v>20.38</v>
      </c>
      <c r="BH185" s="191">
        <v>20.38</v>
      </c>
      <c r="BI185" s="191">
        <v>20.38</v>
      </c>
      <c r="BJ185" s="191">
        <v>20.38</v>
      </c>
      <c r="BK185" s="191">
        <v>20.38</v>
      </c>
    </row>
    <row r="186" spans="1:63" s="191" customFormat="1" ht="13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>
        <f t="shared" si="51"/>
        <v>0</v>
      </c>
      <c r="S186" s="201"/>
      <c r="T186" s="202"/>
      <c r="U186" s="246"/>
      <c r="V186" s="246"/>
      <c r="W186" s="246"/>
      <c r="BA186"/>
      <c r="BB186"/>
      <c r="BD186" s="191" t="s">
        <v>716</v>
      </c>
      <c r="BE186" s="191">
        <v>38.6</v>
      </c>
      <c r="BF186" s="191">
        <v>38.6</v>
      </c>
      <c r="BH186" s="191">
        <v>38.6</v>
      </c>
      <c r="BI186" s="191">
        <v>38.6</v>
      </c>
      <c r="BJ186" s="191">
        <v>38.6</v>
      </c>
      <c r="BK186" s="191">
        <v>38.6</v>
      </c>
    </row>
    <row r="187" spans="1:63" s="191" customFormat="1" ht="13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>
        <f t="shared" si="51"/>
        <v>0</v>
      </c>
      <c r="S187" s="201"/>
      <c r="T187" s="202"/>
      <c r="U187" s="246"/>
      <c r="V187" s="246"/>
      <c r="W187" s="246"/>
      <c r="BA187"/>
      <c r="BB187"/>
      <c r="BD187" s="191" t="s">
        <v>717</v>
      </c>
      <c r="BE187" s="191">
        <v>38.6</v>
      </c>
      <c r="BF187" s="191">
        <v>38.6</v>
      </c>
      <c r="BH187" s="191">
        <v>38.6</v>
      </c>
      <c r="BI187" s="191">
        <v>38.6</v>
      </c>
      <c r="BJ187" s="191">
        <v>38.6</v>
      </c>
      <c r="BK187" s="191">
        <v>38.6</v>
      </c>
    </row>
    <row r="188" spans="1:63" s="191" customFormat="1" ht="13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>
        <f t="shared" si="51"/>
        <v>0</v>
      </c>
      <c r="S188" s="201"/>
      <c r="T188" s="202"/>
      <c r="U188" s="246"/>
      <c r="V188" s="246"/>
      <c r="W188" s="246"/>
      <c r="BA188"/>
      <c r="BB188"/>
    </row>
    <row r="189" spans="1:63" s="191" customFormat="1" ht="13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>
        <f t="shared" si="51"/>
        <v>0</v>
      </c>
      <c r="S189" s="201"/>
      <c r="T189" s="202"/>
      <c r="U189" s="246"/>
      <c r="V189" s="246"/>
      <c r="W189" s="246"/>
      <c r="BA189"/>
      <c r="BB189"/>
    </row>
    <row r="190" spans="1:63" s="191" customFormat="1" ht="13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>
        <f t="shared" si="51"/>
        <v>0</v>
      </c>
      <c r="S190" s="201"/>
      <c r="T190" s="202"/>
      <c r="U190" s="246"/>
      <c r="V190" s="246"/>
      <c r="W190" s="246"/>
      <c r="BA190"/>
      <c r="BB190"/>
    </row>
    <row r="191" spans="1:63" s="191" customFormat="1" ht="13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>
        <f t="shared" si="51"/>
        <v>0</v>
      </c>
      <c r="S191" s="201"/>
      <c r="T191" s="202"/>
      <c r="U191" s="246"/>
      <c r="V191" s="246"/>
      <c r="W191" s="246"/>
      <c r="BA191"/>
      <c r="BB191"/>
    </row>
    <row r="192" spans="1:63" s="191" customFormat="1" ht="13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>
        <f t="shared" si="51"/>
        <v>0</v>
      </c>
      <c r="S192" s="201"/>
      <c r="T192" s="202"/>
      <c r="U192" s="246"/>
      <c r="V192" s="246"/>
      <c r="W192" s="246"/>
      <c r="BA192"/>
      <c r="BB192"/>
    </row>
    <row r="193" spans="1:54" s="191" customFormat="1" ht="13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>
        <f t="shared" si="51"/>
        <v>0</v>
      </c>
      <c r="S193" s="201"/>
      <c r="T193" s="202"/>
      <c r="U193" s="246"/>
      <c r="V193" s="246"/>
      <c r="W193" s="246"/>
      <c r="BA193"/>
      <c r="BB193"/>
    </row>
    <row r="194" spans="1:54" s="191" customFormat="1" ht="13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>
        <f t="shared" si="51"/>
        <v>0</v>
      </c>
      <c r="S194" s="201"/>
      <c r="T194" s="202"/>
      <c r="U194" s="246"/>
      <c r="V194" s="246"/>
      <c r="W194" s="246"/>
      <c r="BA194"/>
      <c r="BB194"/>
    </row>
    <row r="195" spans="1:54" s="191" customFormat="1" ht="13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>
        <f t="shared" ref="R195:R258" si="61">SUM(F195:Q195)</f>
        <v>0</v>
      </c>
      <c r="S195" s="201"/>
      <c r="T195" s="202"/>
      <c r="U195" s="246"/>
      <c r="V195" s="246"/>
      <c r="W195" s="246"/>
      <c r="BA195"/>
      <c r="BB195"/>
    </row>
    <row r="196" spans="1:54" s="191" customFormat="1" ht="13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>
        <f t="shared" si="61"/>
        <v>0</v>
      </c>
      <c r="S196" s="201"/>
      <c r="T196" s="202"/>
      <c r="U196" s="246"/>
      <c r="V196" s="246"/>
      <c r="W196" s="246"/>
      <c r="BA196"/>
      <c r="BB196"/>
    </row>
    <row r="197" spans="1:54" s="191" customFormat="1" ht="13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>
        <f t="shared" si="61"/>
        <v>0</v>
      </c>
      <c r="S197" s="201"/>
      <c r="T197" s="202"/>
      <c r="U197" s="246"/>
      <c r="V197" s="246"/>
      <c r="W197" s="246"/>
      <c r="BA197"/>
      <c r="BB197"/>
    </row>
    <row r="198" spans="1:54" s="191" customFormat="1" ht="13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>
        <f t="shared" si="61"/>
        <v>0</v>
      </c>
      <c r="S198" s="201"/>
      <c r="T198" s="202"/>
      <c r="U198" s="246"/>
      <c r="V198" s="246"/>
      <c r="W198" s="246"/>
      <c r="BA198"/>
      <c r="BB198"/>
    </row>
    <row r="199" spans="1:54" s="191" customFormat="1" ht="13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>
        <f t="shared" si="61"/>
        <v>0</v>
      </c>
      <c r="S199" s="201"/>
      <c r="T199" s="202"/>
      <c r="U199" s="246"/>
      <c r="V199" s="246"/>
      <c r="W199" s="246"/>
      <c r="BA199"/>
      <c r="BB199"/>
    </row>
    <row r="200" spans="1:54" s="191" customFormat="1" ht="13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>
        <f t="shared" si="61"/>
        <v>0</v>
      </c>
      <c r="S200" s="201"/>
      <c r="T200" s="202"/>
      <c r="U200" s="246"/>
      <c r="V200" s="246"/>
      <c r="W200" s="246"/>
      <c r="BA200"/>
      <c r="BB200"/>
    </row>
    <row r="201" spans="1:54" s="191" customFormat="1" ht="13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>
        <f t="shared" si="61"/>
        <v>0</v>
      </c>
      <c r="S201" s="201"/>
      <c r="T201" s="202"/>
      <c r="U201" s="246"/>
      <c r="V201" s="246"/>
      <c r="W201" s="246"/>
      <c r="BA201"/>
      <c r="BB201"/>
    </row>
    <row r="202" spans="1:54" s="191" customFormat="1" ht="13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>
        <f t="shared" si="61"/>
        <v>0</v>
      </c>
      <c r="S202" s="201"/>
      <c r="T202" s="202"/>
      <c r="U202" s="246"/>
      <c r="V202" s="246"/>
      <c r="W202" s="246"/>
      <c r="BA202"/>
      <c r="BB202"/>
    </row>
    <row r="203" spans="1:54" s="191" customFormat="1" ht="13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>
        <f t="shared" si="61"/>
        <v>0</v>
      </c>
      <c r="S203" s="201"/>
      <c r="T203" s="202"/>
      <c r="U203" s="246"/>
      <c r="V203" s="246"/>
      <c r="W203" s="246"/>
      <c r="BA203"/>
      <c r="BB203"/>
    </row>
    <row r="204" spans="1:54" s="191" customFormat="1" ht="13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>
        <f t="shared" si="61"/>
        <v>0</v>
      </c>
      <c r="S204" s="201"/>
      <c r="T204" s="202"/>
      <c r="U204" s="246"/>
      <c r="V204" s="246"/>
      <c r="W204" s="246"/>
      <c r="BA204"/>
      <c r="BB204"/>
    </row>
    <row r="205" spans="1:54" s="191" customFormat="1" ht="13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>
        <f t="shared" si="61"/>
        <v>0</v>
      </c>
      <c r="S205" s="201"/>
      <c r="T205" s="202"/>
      <c r="U205" s="246"/>
      <c r="V205" s="246"/>
      <c r="W205" s="246"/>
      <c r="BA205"/>
      <c r="BB205"/>
    </row>
    <row r="206" spans="1:54" s="191" customFormat="1" ht="13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>
        <f t="shared" si="61"/>
        <v>0</v>
      </c>
      <c r="S206" s="201"/>
      <c r="T206" s="202"/>
      <c r="U206" s="246"/>
      <c r="V206" s="246"/>
      <c r="W206" s="246"/>
      <c r="BA206"/>
      <c r="BB206"/>
    </row>
    <row r="207" spans="1:54" s="191" customFormat="1" ht="13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>
        <f t="shared" si="61"/>
        <v>0</v>
      </c>
      <c r="S207" s="201"/>
      <c r="T207" s="202"/>
      <c r="U207" s="246"/>
      <c r="V207" s="246"/>
      <c r="W207" s="246"/>
      <c r="BA207"/>
      <c r="BB207"/>
    </row>
    <row r="208" spans="1:54" s="191" customFormat="1" ht="13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>
        <f t="shared" si="61"/>
        <v>0</v>
      </c>
      <c r="S208" s="201"/>
      <c r="T208" s="202"/>
      <c r="U208" s="246"/>
      <c r="V208" s="246"/>
      <c r="W208" s="246"/>
      <c r="BA208"/>
      <c r="BB208"/>
    </row>
    <row r="209" spans="1:54" s="191" customFormat="1" ht="13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>
        <f t="shared" si="61"/>
        <v>0</v>
      </c>
      <c r="S209" s="201"/>
      <c r="T209" s="202"/>
      <c r="U209" s="246"/>
      <c r="V209" s="246"/>
      <c r="W209" s="246"/>
      <c r="BA209"/>
      <c r="BB209"/>
    </row>
    <row r="210" spans="1:54" s="191" customFormat="1" ht="13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>
        <f t="shared" si="61"/>
        <v>0</v>
      </c>
      <c r="S210" s="201"/>
      <c r="T210" s="202"/>
      <c r="U210" s="246"/>
      <c r="V210" s="246"/>
      <c r="W210" s="246"/>
      <c r="BA210"/>
      <c r="BB210"/>
    </row>
    <row r="211" spans="1:54" s="191" customFormat="1" ht="13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>
        <f t="shared" si="61"/>
        <v>0</v>
      </c>
      <c r="S211" s="201"/>
      <c r="T211" s="202"/>
      <c r="U211" s="246"/>
      <c r="V211" s="246"/>
      <c r="W211" s="246"/>
      <c r="BA211"/>
      <c r="BB211"/>
    </row>
    <row r="212" spans="1:54" s="191" customFormat="1" ht="13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>
        <f t="shared" si="61"/>
        <v>0</v>
      </c>
      <c r="S212" s="201"/>
      <c r="T212" s="202"/>
      <c r="U212" s="246"/>
      <c r="V212" s="246"/>
      <c r="W212" s="246"/>
      <c r="BA212"/>
      <c r="BB212"/>
    </row>
    <row r="213" spans="1:54" s="191" customFormat="1" ht="13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>
        <f t="shared" si="61"/>
        <v>0</v>
      </c>
      <c r="S213" s="201"/>
      <c r="T213" s="202"/>
      <c r="U213" s="246"/>
      <c r="V213" s="246"/>
      <c r="W213" s="246"/>
      <c r="BA213"/>
      <c r="BB213"/>
    </row>
    <row r="214" spans="1:54" s="191" customFormat="1" ht="13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>
        <f t="shared" si="61"/>
        <v>0</v>
      </c>
      <c r="S214" s="201"/>
      <c r="T214" s="202"/>
      <c r="U214" s="246"/>
      <c r="V214" s="246"/>
      <c r="W214" s="246"/>
      <c r="BA214"/>
      <c r="BB214"/>
    </row>
    <row r="215" spans="1:54" s="191" customFormat="1" ht="13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>
        <f t="shared" si="61"/>
        <v>0</v>
      </c>
      <c r="S215" s="201"/>
      <c r="T215" s="202"/>
      <c r="U215" s="246"/>
      <c r="V215" s="246"/>
      <c r="W215" s="246"/>
      <c r="BA215"/>
      <c r="BB215"/>
    </row>
    <row r="216" spans="1:54" s="191" customFormat="1" ht="13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>
        <f t="shared" si="61"/>
        <v>0</v>
      </c>
      <c r="S216" s="201"/>
      <c r="T216" s="202"/>
      <c r="U216" s="246"/>
      <c r="V216" s="246"/>
      <c r="W216" s="246"/>
      <c r="BA216"/>
      <c r="BB216"/>
    </row>
    <row r="217" spans="1:54" s="191" customFormat="1" ht="13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>
        <f t="shared" si="61"/>
        <v>0</v>
      </c>
      <c r="S217" s="201"/>
      <c r="T217" s="202"/>
      <c r="U217" s="246"/>
      <c r="V217" s="246"/>
      <c r="W217" s="246"/>
      <c r="BA217"/>
      <c r="BB217"/>
    </row>
    <row r="218" spans="1:54" s="191" customFormat="1" ht="13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>
        <f t="shared" si="61"/>
        <v>0</v>
      </c>
      <c r="S218" s="201"/>
      <c r="T218" s="202"/>
      <c r="U218" s="246"/>
      <c r="V218" s="246"/>
      <c r="W218" s="246"/>
      <c r="BA218"/>
      <c r="BB218"/>
    </row>
    <row r="219" spans="1:54" s="191" customFormat="1" ht="13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>
        <f t="shared" si="61"/>
        <v>0</v>
      </c>
      <c r="S219" s="201"/>
      <c r="T219" s="202"/>
      <c r="U219" s="246"/>
      <c r="V219" s="246"/>
      <c r="W219" s="246"/>
      <c r="BA219"/>
      <c r="BB219"/>
    </row>
    <row r="220" spans="1:54" s="191" customFormat="1" ht="13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>
        <f t="shared" si="61"/>
        <v>0</v>
      </c>
      <c r="S220" s="201"/>
      <c r="T220" s="202"/>
      <c r="U220" s="246"/>
      <c r="V220" s="246"/>
      <c r="W220" s="246"/>
      <c r="BA220"/>
      <c r="BB220"/>
    </row>
    <row r="221" spans="1:54" s="191" customFormat="1" ht="13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>
        <f t="shared" si="61"/>
        <v>0</v>
      </c>
      <c r="S221" s="201"/>
      <c r="T221" s="202"/>
      <c r="U221" s="246"/>
      <c r="V221" s="246"/>
      <c r="W221" s="246"/>
      <c r="BA221"/>
      <c r="BB221"/>
    </row>
    <row r="222" spans="1:54" s="191" customFormat="1" ht="13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>
        <f t="shared" si="61"/>
        <v>0</v>
      </c>
      <c r="S222" s="201"/>
      <c r="T222" s="202"/>
      <c r="U222" s="246"/>
      <c r="V222" s="246"/>
      <c r="W222" s="246"/>
      <c r="BA222"/>
      <c r="BB222"/>
    </row>
    <row r="223" spans="1:54" s="191" customFormat="1" ht="13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>
        <f t="shared" si="61"/>
        <v>0</v>
      </c>
      <c r="S223" s="201"/>
      <c r="T223" s="202"/>
      <c r="U223" s="246"/>
      <c r="V223" s="246"/>
      <c r="W223" s="246"/>
      <c r="BA223"/>
      <c r="BB223"/>
    </row>
    <row r="224" spans="1:54" s="191" customFormat="1" ht="13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>
        <f t="shared" si="61"/>
        <v>0</v>
      </c>
      <c r="S224" s="201"/>
      <c r="T224" s="202"/>
      <c r="U224" s="246"/>
      <c r="V224" s="246"/>
      <c r="W224" s="246"/>
      <c r="BA224"/>
      <c r="BB224"/>
    </row>
    <row r="225" spans="1:54" s="191" customFormat="1" ht="13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>
        <f t="shared" si="61"/>
        <v>0</v>
      </c>
      <c r="S225" s="201"/>
      <c r="T225" s="202"/>
      <c r="U225" s="246"/>
      <c r="V225" s="246"/>
      <c r="W225" s="246"/>
      <c r="BA225"/>
      <c r="BB225"/>
    </row>
    <row r="226" spans="1:54" s="191" customFormat="1" ht="13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>
        <f t="shared" si="61"/>
        <v>0</v>
      </c>
      <c r="S226" s="201"/>
      <c r="T226" s="202"/>
      <c r="U226" s="246"/>
      <c r="V226" s="246"/>
      <c r="W226" s="246"/>
      <c r="BA226"/>
      <c r="BB226"/>
    </row>
    <row r="227" spans="1:54" s="191" customFormat="1" ht="13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>
        <f t="shared" si="61"/>
        <v>0</v>
      </c>
      <c r="S227" s="201"/>
      <c r="T227" s="202"/>
      <c r="U227" s="246"/>
      <c r="V227" s="246"/>
      <c r="W227" s="246"/>
      <c r="BA227"/>
      <c r="BB227"/>
    </row>
    <row r="228" spans="1:54" s="191" customFormat="1" ht="13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>
        <f t="shared" si="61"/>
        <v>0</v>
      </c>
      <c r="S228" s="201"/>
      <c r="T228" s="202"/>
      <c r="U228" s="246"/>
      <c r="V228" s="246"/>
      <c r="W228" s="246"/>
      <c r="BA228"/>
      <c r="BB228"/>
    </row>
    <row r="229" spans="1:54" s="191" customFormat="1" ht="13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>
        <f t="shared" si="61"/>
        <v>0</v>
      </c>
      <c r="S229" s="201"/>
      <c r="T229" s="202"/>
      <c r="U229" s="246"/>
      <c r="V229" s="246"/>
      <c r="W229" s="246"/>
      <c r="BA229"/>
      <c r="BB229"/>
    </row>
    <row r="230" spans="1:54" s="191" customFormat="1" ht="13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>
        <f t="shared" si="61"/>
        <v>0</v>
      </c>
      <c r="S230" s="201"/>
      <c r="T230" s="202"/>
      <c r="U230" s="246"/>
      <c r="V230" s="246"/>
      <c r="W230" s="246"/>
      <c r="BA230"/>
      <c r="BB230"/>
    </row>
    <row r="231" spans="1:54" s="191" customFormat="1" ht="13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>
        <f t="shared" si="61"/>
        <v>0</v>
      </c>
      <c r="S231" s="201"/>
      <c r="T231" s="202"/>
      <c r="U231" s="246"/>
      <c r="V231" s="246"/>
      <c r="W231" s="246"/>
      <c r="BA231"/>
      <c r="BB231"/>
    </row>
    <row r="232" spans="1:54" s="191" customFormat="1" ht="13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>
        <f t="shared" si="61"/>
        <v>0</v>
      </c>
      <c r="S232" s="201"/>
      <c r="T232" s="202"/>
      <c r="U232" s="246"/>
      <c r="V232" s="246"/>
      <c r="W232" s="246"/>
      <c r="BA232"/>
      <c r="BB232"/>
    </row>
    <row r="233" spans="1:54" s="191" customFormat="1" ht="13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>
        <f t="shared" si="61"/>
        <v>0</v>
      </c>
      <c r="S233" s="201"/>
      <c r="T233" s="202"/>
      <c r="U233" s="246"/>
      <c r="V233" s="246"/>
      <c r="W233" s="246"/>
      <c r="BA233"/>
      <c r="BB233"/>
    </row>
    <row r="234" spans="1:54" s="191" customFormat="1" ht="13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>
        <f t="shared" si="61"/>
        <v>0</v>
      </c>
      <c r="S234" s="201"/>
      <c r="T234" s="202"/>
      <c r="U234" s="246"/>
      <c r="V234" s="246"/>
      <c r="W234" s="246"/>
      <c r="BA234"/>
      <c r="BB234"/>
    </row>
    <row r="235" spans="1:54" s="191" customFormat="1" ht="13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>
        <f t="shared" si="61"/>
        <v>0</v>
      </c>
      <c r="S235" s="201"/>
      <c r="T235" s="202"/>
      <c r="U235" s="246"/>
      <c r="V235" s="246"/>
      <c r="W235" s="246"/>
      <c r="BA235"/>
      <c r="BB235"/>
    </row>
    <row r="236" spans="1:54" s="191" customFormat="1" ht="13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>
        <f t="shared" si="61"/>
        <v>0</v>
      </c>
      <c r="S236" s="201"/>
      <c r="T236" s="202"/>
      <c r="U236" s="246"/>
      <c r="V236" s="246"/>
      <c r="W236" s="246"/>
      <c r="BA236"/>
      <c r="BB236"/>
    </row>
    <row r="237" spans="1:54" s="191" customFormat="1" ht="13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>
        <f t="shared" si="61"/>
        <v>0</v>
      </c>
      <c r="S237" s="201"/>
      <c r="T237" s="202"/>
      <c r="U237" s="246"/>
      <c r="V237" s="246"/>
      <c r="W237" s="246"/>
      <c r="BA237"/>
      <c r="BB237"/>
    </row>
    <row r="238" spans="1:54" s="191" customFormat="1" ht="13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>
        <f t="shared" si="61"/>
        <v>0</v>
      </c>
      <c r="S238" s="201"/>
      <c r="T238" s="202"/>
      <c r="U238" s="246"/>
      <c r="V238" s="246"/>
      <c r="W238" s="246"/>
      <c r="BA238"/>
      <c r="BB238"/>
    </row>
    <row r="239" spans="1:54" s="191" customFormat="1" ht="13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>
        <f t="shared" si="61"/>
        <v>0</v>
      </c>
      <c r="S239" s="201"/>
      <c r="T239" s="202"/>
      <c r="U239" s="246"/>
      <c r="V239" s="246"/>
      <c r="W239" s="246"/>
      <c r="BA239"/>
      <c r="BB239"/>
    </row>
    <row r="240" spans="1:54" s="191" customFormat="1" ht="13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>
        <f t="shared" si="61"/>
        <v>0</v>
      </c>
      <c r="S240" s="201"/>
      <c r="T240" s="202"/>
      <c r="U240" s="246"/>
      <c r="V240" s="246"/>
      <c r="W240" s="246"/>
      <c r="BA240"/>
      <c r="BB240"/>
    </row>
    <row r="241" spans="1:54" s="191" customFormat="1" ht="13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>
        <f t="shared" si="61"/>
        <v>0</v>
      </c>
      <c r="S241" s="201"/>
      <c r="T241" s="202"/>
      <c r="U241" s="246"/>
      <c r="V241" s="246"/>
      <c r="W241" s="246"/>
      <c r="BA241"/>
      <c r="BB241"/>
    </row>
    <row r="242" spans="1:54" s="191" customFormat="1" ht="13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>
        <f t="shared" si="61"/>
        <v>0</v>
      </c>
      <c r="S242" s="201"/>
      <c r="T242" s="202"/>
      <c r="U242" s="246"/>
      <c r="V242" s="246"/>
      <c r="W242" s="246"/>
      <c r="BA242"/>
      <c r="BB242"/>
    </row>
    <row r="243" spans="1:54" s="191" customFormat="1" ht="13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>
        <f t="shared" si="61"/>
        <v>0</v>
      </c>
      <c r="S243" s="201"/>
      <c r="T243" s="202"/>
      <c r="U243" s="246"/>
      <c r="V243" s="246"/>
      <c r="W243" s="246"/>
      <c r="BA243"/>
      <c r="BB243"/>
    </row>
    <row r="244" spans="1:54" s="191" customFormat="1" ht="13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>
        <f t="shared" si="61"/>
        <v>0</v>
      </c>
      <c r="S244" s="201"/>
      <c r="T244" s="202"/>
      <c r="U244" s="246"/>
      <c r="V244" s="246"/>
      <c r="W244" s="246"/>
      <c r="BA244"/>
      <c r="BB244"/>
    </row>
    <row r="245" spans="1:54" s="191" customFormat="1" ht="13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>
        <f t="shared" si="61"/>
        <v>0</v>
      </c>
      <c r="S245" s="201"/>
      <c r="T245" s="202"/>
      <c r="U245" s="246"/>
      <c r="V245" s="246"/>
      <c r="W245" s="246"/>
      <c r="BA245"/>
      <c r="BB245"/>
    </row>
    <row r="246" spans="1:54" s="191" customFormat="1" ht="13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>
        <f t="shared" si="61"/>
        <v>0</v>
      </c>
      <c r="S246" s="201"/>
      <c r="T246" s="202"/>
      <c r="U246" s="246"/>
      <c r="V246" s="246"/>
      <c r="W246" s="246"/>
      <c r="BA246"/>
      <c r="BB246"/>
    </row>
    <row r="247" spans="1:54" s="191" customFormat="1" ht="13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>
        <f t="shared" si="61"/>
        <v>0</v>
      </c>
      <c r="S247" s="201"/>
      <c r="T247" s="202"/>
      <c r="U247" s="246"/>
      <c r="V247" s="246"/>
      <c r="W247" s="246"/>
      <c r="BA247"/>
      <c r="BB247"/>
    </row>
    <row r="248" spans="1:54" s="191" customFormat="1" ht="13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>
        <f t="shared" si="61"/>
        <v>0</v>
      </c>
      <c r="S248" s="201"/>
      <c r="T248" s="202"/>
      <c r="U248" s="246"/>
      <c r="V248" s="246"/>
      <c r="W248" s="246"/>
      <c r="BA248"/>
      <c r="BB248"/>
    </row>
    <row r="249" spans="1:54" s="191" customFormat="1" ht="13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>
        <f t="shared" si="61"/>
        <v>0</v>
      </c>
      <c r="S249" s="201"/>
      <c r="T249" s="202"/>
      <c r="U249" s="246"/>
      <c r="V249" s="246"/>
      <c r="W249" s="246"/>
      <c r="BA249"/>
      <c r="BB249"/>
    </row>
    <row r="250" spans="1:54" s="191" customFormat="1" ht="13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>
        <f t="shared" si="61"/>
        <v>0</v>
      </c>
      <c r="S250" s="201"/>
      <c r="T250" s="202"/>
      <c r="U250" s="246"/>
      <c r="V250" s="246"/>
      <c r="W250" s="246"/>
      <c r="BA250"/>
      <c r="BB250"/>
    </row>
    <row r="251" spans="1:54" s="191" customFormat="1" ht="13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>
        <f t="shared" si="61"/>
        <v>0</v>
      </c>
      <c r="S251" s="201"/>
      <c r="T251" s="202"/>
      <c r="U251" s="246"/>
      <c r="V251" s="246"/>
      <c r="W251" s="246"/>
      <c r="BA251"/>
      <c r="BB251"/>
    </row>
    <row r="252" spans="1:54" s="191" customFormat="1" ht="13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>
        <f t="shared" si="61"/>
        <v>0</v>
      </c>
      <c r="S252" s="201"/>
      <c r="T252" s="202"/>
      <c r="U252" s="246"/>
      <c r="V252" s="246"/>
      <c r="W252" s="246"/>
      <c r="BA252"/>
      <c r="BB252"/>
    </row>
    <row r="253" spans="1:54" s="191" customFormat="1" ht="13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>
        <f t="shared" si="61"/>
        <v>0</v>
      </c>
      <c r="S253" s="201"/>
      <c r="T253" s="202"/>
      <c r="U253" s="246"/>
      <c r="V253" s="246"/>
      <c r="W253" s="246"/>
      <c r="BA253"/>
      <c r="BB253"/>
    </row>
    <row r="254" spans="1:54" s="191" customFormat="1" ht="13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>
        <f t="shared" si="61"/>
        <v>0</v>
      </c>
      <c r="S254" s="201"/>
      <c r="T254" s="202"/>
      <c r="U254" s="246"/>
      <c r="V254" s="246"/>
      <c r="W254" s="246"/>
      <c r="BA254"/>
      <c r="BB254"/>
    </row>
    <row r="255" spans="1:54" s="191" customFormat="1" ht="13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>
        <f t="shared" si="61"/>
        <v>0</v>
      </c>
      <c r="S255" s="201"/>
      <c r="T255" s="202"/>
      <c r="U255" s="246"/>
      <c r="V255" s="246"/>
      <c r="W255" s="246"/>
      <c r="BA255"/>
      <c r="BB255"/>
    </row>
    <row r="256" spans="1:54" s="191" customFormat="1" ht="13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>
        <f t="shared" si="61"/>
        <v>0</v>
      </c>
      <c r="S256" s="201"/>
      <c r="T256" s="202"/>
      <c r="U256" s="246"/>
      <c r="V256" s="246"/>
      <c r="W256" s="246"/>
      <c r="BA256"/>
      <c r="BB256"/>
    </row>
    <row r="257" spans="1:54" s="191" customFormat="1" ht="13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>
        <f t="shared" si="61"/>
        <v>0</v>
      </c>
      <c r="S257" s="201"/>
      <c r="T257" s="202"/>
      <c r="U257" s="246"/>
      <c r="V257" s="246"/>
      <c r="W257" s="246"/>
      <c r="BA257"/>
      <c r="BB257"/>
    </row>
    <row r="258" spans="1:54" s="191" customFormat="1" ht="13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>
        <f t="shared" si="61"/>
        <v>0</v>
      </c>
      <c r="S258" s="201"/>
      <c r="T258" s="202"/>
      <c r="U258" s="246"/>
      <c r="V258" s="246"/>
      <c r="W258" s="246"/>
      <c r="BA258"/>
      <c r="BB258"/>
    </row>
    <row r="259" spans="1:54" s="191" customFormat="1" ht="13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>
        <f t="shared" ref="R259:R322" si="62">SUM(F259:Q259)</f>
        <v>0</v>
      </c>
      <c r="S259" s="201"/>
      <c r="T259" s="202"/>
      <c r="U259" s="246"/>
      <c r="V259" s="246"/>
      <c r="W259" s="246"/>
      <c r="BA259"/>
      <c r="BB259"/>
    </row>
    <row r="260" spans="1:54" s="191" customFormat="1" ht="13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>
        <f t="shared" si="62"/>
        <v>0</v>
      </c>
      <c r="S260" s="201"/>
      <c r="T260" s="202"/>
      <c r="U260" s="246"/>
      <c r="V260" s="246"/>
      <c r="W260" s="246"/>
      <c r="BA260"/>
      <c r="BB260"/>
    </row>
    <row r="261" spans="1:54" s="191" customFormat="1" ht="13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>
        <f t="shared" si="62"/>
        <v>0</v>
      </c>
      <c r="S261" s="201"/>
      <c r="T261" s="202"/>
      <c r="U261" s="246"/>
      <c r="V261" s="246"/>
      <c r="W261" s="246"/>
      <c r="BA261"/>
      <c r="BB261"/>
    </row>
    <row r="262" spans="1:54" s="191" customFormat="1" ht="13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>
        <f t="shared" si="62"/>
        <v>0</v>
      </c>
      <c r="S262" s="201"/>
      <c r="T262" s="202"/>
      <c r="U262" s="246"/>
      <c r="V262" s="246"/>
      <c r="W262" s="246"/>
      <c r="BA262"/>
      <c r="BB262"/>
    </row>
    <row r="263" spans="1:54" s="191" customFormat="1" ht="13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>
        <f t="shared" si="62"/>
        <v>0</v>
      </c>
      <c r="S263" s="201"/>
      <c r="T263" s="202"/>
      <c r="U263" s="246"/>
      <c r="V263" s="246"/>
      <c r="W263" s="246"/>
      <c r="BA263"/>
      <c r="BB263"/>
    </row>
    <row r="264" spans="1:54" s="191" customFormat="1" ht="13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>
        <f t="shared" si="62"/>
        <v>0</v>
      </c>
      <c r="S264" s="201"/>
      <c r="T264" s="202"/>
      <c r="U264" s="246"/>
      <c r="V264" s="246"/>
      <c r="W264" s="246"/>
      <c r="BA264"/>
      <c r="BB264"/>
    </row>
    <row r="265" spans="1:54" s="191" customFormat="1" ht="13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>
        <f t="shared" si="62"/>
        <v>0</v>
      </c>
      <c r="S265" s="201"/>
      <c r="T265" s="202"/>
      <c r="U265" s="246"/>
      <c r="V265" s="246"/>
      <c r="W265" s="246"/>
      <c r="BA265"/>
      <c r="BB265"/>
    </row>
    <row r="266" spans="1:54" s="191" customFormat="1" ht="13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>
        <f t="shared" si="62"/>
        <v>0</v>
      </c>
      <c r="S266" s="201"/>
      <c r="T266" s="202"/>
      <c r="U266" s="246"/>
      <c r="V266" s="246"/>
      <c r="W266" s="246"/>
      <c r="BA266"/>
      <c r="BB266"/>
    </row>
    <row r="267" spans="1:54" s="191" customFormat="1" ht="13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>
        <f t="shared" si="62"/>
        <v>0</v>
      </c>
      <c r="S267" s="201"/>
      <c r="T267" s="202"/>
      <c r="U267" s="246"/>
      <c r="V267" s="246"/>
      <c r="W267" s="246"/>
      <c r="BA267"/>
      <c r="BB267"/>
    </row>
    <row r="268" spans="1:54" s="191" customFormat="1" ht="13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>
        <f t="shared" si="62"/>
        <v>0</v>
      </c>
      <c r="S268" s="201"/>
      <c r="T268" s="202"/>
      <c r="U268" s="246"/>
      <c r="V268" s="246"/>
      <c r="W268" s="246"/>
      <c r="BA268"/>
      <c r="BB268"/>
    </row>
    <row r="269" spans="1:54" s="191" customFormat="1" ht="13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>
        <f t="shared" si="62"/>
        <v>0</v>
      </c>
      <c r="S269" s="201"/>
      <c r="T269" s="202"/>
      <c r="U269" s="246"/>
      <c r="V269" s="246"/>
      <c r="W269" s="246"/>
      <c r="BA269"/>
      <c r="BB269"/>
    </row>
    <row r="270" spans="1:54" s="191" customFormat="1" ht="13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>
        <f t="shared" si="62"/>
        <v>0</v>
      </c>
      <c r="S270" s="201"/>
      <c r="T270" s="202"/>
      <c r="U270" s="246"/>
      <c r="V270" s="246"/>
      <c r="W270" s="246"/>
      <c r="BA270"/>
      <c r="BB270"/>
    </row>
    <row r="271" spans="1:54" s="191" customFormat="1" ht="13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>
        <f t="shared" si="62"/>
        <v>0</v>
      </c>
      <c r="S271" s="201"/>
      <c r="T271" s="202"/>
      <c r="U271" s="246"/>
      <c r="V271" s="246"/>
      <c r="W271" s="246"/>
      <c r="BA271"/>
      <c r="BB271"/>
    </row>
    <row r="272" spans="1:54" s="191" customFormat="1" ht="13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>
        <f t="shared" si="62"/>
        <v>0</v>
      </c>
      <c r="S272" s="201"/>
      <c r="T272" s="202"/>
      <c r="U272" s="246"/>
      <c r="V272" s="246"/>
      <c r="W272" s="246"/>
      <c r="BA272"/>
      <c r="BB272"/>
    </row>
    <row r="273" spans="1:54" s="191" customFormat="1" ht="13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>
        <f t="shared" si="62"/>
        <v>0</v>
      </c>
      <c r="S273" s="201"/>
      <c r="T273" s="202"/>
      <c r="U273" s="246"/>
      <c r="V273" s="246"/>
      <c r="W273" s="246"/>
      <c r="BA273"/>
      <c r="BB273"/>
    </row>
    <row r="274" spans="1:54" s="191" customFormat="1" ht="13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>
        <f t="shared" si="62"/>
        <v>0</v>
      </c>
      <c r="S274" s="201"/>
      <c r="T274" s="202"/>
      <c r="U274" s="246"/>
      <c r="V274" s="246"/>
      <c r="W274" s="246"/>
      <c r="BA274"/>
      <c r="BB274"/>
    </row>
    <row r="275" spans="1:54" s="191" customFormat="1" ht="13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>
        <f t="shared" si="62"/>
        <v>0</v>
      </c>
      <c r="S275" s="201"/>
      <c r="T275" s="202"/>
      <c r="U275" s="246"/>
      <c r="V275" s="246"/>
      <c r="W275" s="246"/>
      <c r="BA275"/>
      <c r="BB275"/>
    </row>
    <row r="276" spans="1:54" s="191" customFormat="1" ht="13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>
        <f t="shared" si="62"/>
        <v>0</v>
      </c>
      <c r="S276" s="201"/>
      <c r="T276" s="202"/>
      <c r="U276" s="246"/>
      <c r="V276" s="246"/>
      <c r="W276" s="246"/>
      <c r="BA276"/>
      <c r="BB276"/>
    </row>
    <row r="277" spans="1:54" s="191" customFormat="1" ht="13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>
        <f t="shared" si="62"/>
        <v>0</v>
      </c>
      <c r="S277" s="201"/>
      <c r="T277" s="202"/>
      <c r="U277" s="246"/>
      <c r="V277" s="246"/>
      <c r="W277" s="246"/>
      <c r="BA277"/>
      <c r="BB277"/>
    </row>
    <row r="278" spans="1:54" s="191" customFormat="1" ht="13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>
        <f t="shared" si="62"/>
        <v>0</v>
      </c>
      <c r="S278" s="201"/>
      <c r="T278" s="202"/>
      <c r="U278" s="246"/>
      <c r="V278" s="246"/>
      <c r="W278" s="246"/>
      <c r="BA278"/>
      <c r="BB278"/>
    </row>
    <row r="279" spans="1:54" s="191" customFormat="1" ht="13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>
        <f t="shared" si="62"/>
        <v>0</v>
      </c>
      <c r="S279" s="201"/>
      <c r="T279" s="202"/>
      <c r="U279" s="246"/>
      <c r="V279" s="246"/>
      <c r="W279" s="246"/>
      <c r="BA279"/>
      <c r="BB279"/>
    </row>
    <row r="280" spans="1:54" s="191" customFormat="1" ht="13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>
        <f t="shared" si="62"/>
        <v>0</v>
      </c>
      <c r="S280" s="201"/>
      <c r="T280" s="202"/>
      <c r="U280" s="246"/>
      <c r="V280" s="246"/>
      <c r="W280" s="246"/>
      <c r="BA280"/>
      <c r="BB280"/>
    </row>
    <row r="281" spans="1:54" s="191" customFormat="1" ht="13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>
        <f t="shared" si="62"/>
        <v>0</v>
      </c>
      <c r="S281" s="201"/>
      <c r="T281" s="202"/>
      <c r="U281" s="246"/>
      <c r="V281" s="246"/>
      <c r="W281" s="246"/>
      <c r="BA281"/>
      <c r="BB281"/>
    </row>
    <row r="282" spans="1:54" s="191" customFormat="1" ht="13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>
        <f t="shared" si="62"/>
        <v>0</v>
      </c>
      <c r="S282" s="201"/>
      <c r="T282" s="202"/>
      <c r="U282" s="246"/>
      <c r="V282" s="246"/>
      <c r="W282" s="246"/>
      <c r="BA282"/>
      <c r="BB282"/>
    </row>
    <row r="283" spans="1:54" s="191" customFormat="1" ht="13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>
        <f t="shared" si="62"/>
        <v>0</v>
      </c>
      <c r="S283" s="201"/>
      <c r="T283" s="202"/>
      <c r="U283" s="246"/>
      <c r="V283" s="246"/>
      <c r="W283" s="246"/>
      <c r="BA283"/>
      <c r="BB283"/>
    </row>
    <row r="284" spans="1:54" s="191" customFormat="1" ht="13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>
        <f t="shared" si="62"/>
        <v>0</v>
      </c>
      <c r="S284" s="201"/>
      <c r="T284" s="202"/>
      <c r="U284" s="246"/>
      <c r="V284" s="246"/>
      <c r="W284" s="246"/>
      <c r="BA284"/>
      <c r="BB284"/>
    </row>
    <row r="285" spans="1:54" s="191" customFormat="1" ht="13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>
        <f t="shared" si="62"/>
        <v>0</v>
      </c>
      <c r="S285" s="201"/>
      <c r="T285" s="202"/>
      <c r="U285" s="246"/>
      <c r="V285" s="246"/>
      <c r="W285" s="246"/>
      <c r="BA285"/>
      <c r="BB285"/>
    </row>
    <row r="286" spans="1:54" s="191" customFormat="1" ht="13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>
        <f t="shared" si="62"/>
        <v>0</v>
      </c>
      <c r="S286" s="201"/>
      <c r="T286" s="202"/>
      <c r="U286" s="246"/>
      <c r="V286" s="246"/>
      <c r="W286" s="246"/>
      <c r="BA286"/>
      <c r="BB286"/>
    </row>
    <row r="287" spans="1:54" s="191" customFormat="1" ht="13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>
        <f t="shared" si="62"/>
        <v>0</v>
      </c>
      <c r="S287" s="201"/>
      <c r="T287" s="202"/>
      <c r="U287" s="246"/>
      <c r="V287" s="246"/>
      <c r="W287" s="246"/>
      <c r="BA287"/>
      <c r="BB287"/>
    </row>
    <row r="288" spans="1:54" s="191" customFormat="1" ht="13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>
        <f t="shared" si="62"/>
        <v>0</v>
      </c>
      <c r="S288" s="201"/>
      <c r="T288" s="202"/>
      <c r="U288" s="246"/>
      <c r="V288" s="246"/>
      <c r="W288" s="246"/>
      <c r="BA288"/>
      <c r="BB288"/>
    </row>
    <row r="289" spans="1:54" s="191" customFormat="1" ht="13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>
        <f t="shared" si="62"/>
        <v>0</v>
      </c>
      <c r="S289" s="201"/>
      <c r="T289" s="202"/>
      <c r="U289" s="246"/>
      <c r="V289" s="246"/>
      <c r="W289" s="246"/>
      <c r="BA289"/>
      <c r="BB289"/>
    </row>
    <row r="290" spans="1:54" s="191" customFormat="1" ht="13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>
        <f t="shared" si="62"/>
        <v>0</v>
      </c>
      <c r="S290" s="201"/>
      <c r="T290" s="202"/>
      <c r="U290" s="246"/>
      <c r="V290" s="246"/>
      <c r="W290" s="246"/>
      <c r="BA290"/>
      <c r="BB290"/>
    </row>
    <row r="291" spans="1:54" s="191" customFormat="1" ht="13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>
        <f t="shared" si="62"/>
        <v>0</v>
      </c>
      <c r="S291" s="201"/>
      <c r="T291" s="202"/>
      <c r="U291" s="246"/>
      <c r="V291" s="246"/>
      <c r="W291" s="246"/>
      <c r="BA291"/>
      <c r="BB291"/>
    </row>
    <row r="292" spans="1:54" s="191" customFormat="1" ht="13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>
        <f t="shared" si="62"/>
        <v>0</v>
      </c>
      <c r="S292" s="201"/>
      <c r="T292" s="202"/>
      <c r="U292" s="246"/>
      <c r="V292" s="246"/>
      <c r="W292" s="246"/>
      <c r="BA292"/>
      <c r="BB292"/>
    </row>
    <row r="293" spans="1:54" s="191" customFormat="1" ht="13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>
        <f t="shared" si="62"/>
        <v>0</v>
      </c>
      <c r="S293" s="201"/>
      <c r="T293" s="202"/>
      <c r="U293" s="246"/>
      <c r="V293" s="246"/>
      <c r="W293" s="246"/>
      <c r="BA293"/>
      <c r="BB293"/>
    </row>
    <row r="294" spans="1:54" s="191" customFormat="1" ht="13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>
        <f t="shared" si="62"/>
        <v>0</v>
      </c>
      <c r="S294" s="201"/>
      <c r="T294" s="202"/>
      <c r="U294" s="246"/>
      <c r="V294" s="246"/>
      <c r="W294" s="246"/>
      <c r="BA294"/>
      <c r="BB294"/>
    </row>
    <row r="295" spans="1:54" s="191" customFormat="1" ht="13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>
        <f t="shared" si="62"/>
        <v>0</v>
      </c>
      <c r="S295" s="201"/>
      <c r="T295" s="202"/>
      <c r="U295" s="246"/>
      <c r="V295" s="246"/>
      <c r="W295" s="246"/>
      <c r="BA295"/>
      <c r="BB295"/>
    </row>
    <row r="296" spans="1:54" s="191" customFormat="1" ht="13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>
        <f t="shared" si="62"/>
        <v>0</v>
      </c>
      <c r="S296" s="201"/>
      <c r="T296" s="202"/>
      <c r="U296" s="246"/>
      <c r="V296" s="246"/>
      <c r="W296" s="246"/>
      <c r="BA296"/>
      <c r="BB296"/>
    </row>
    <row r="297" spans="1:54" s="191" customFormat="1" ht="13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>
        <f t="shared" si="62"/>
        <v>0</v>
      </c>
      <c r="S297" s="201"/>
      <c r="T297" s="202"/>
      <c r="U297" s="246"/>
      <c r="V297" s="246"/>
      <c r="W297" s="246"/>
      <c r="BA297"/>
      <c r="BB297"/>
    </row>
    <row r="298" spans="1:54" s="191" customFormat="1" ht="13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>
        <f t="shared" si="62"/>
        <v>0</v>
      </c>
      <c r="S298" s="201"/>
      <c r="T298" s="202"/>
      <c r="U298" s="246"/>
      <c r="V298" s="246"/>
      <c r="W298" s="246"/>
      <c r="BA298"/>
      <c r="BB298"/>
    </row>
    <row r="299" spans="1:54" s="191" customFormat="1" ht="13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>
        <f t="shared" si="62"/>
        <v>0</v>
      </c>
      <c r="S299" s="201"/>
      <c r="T299" s="202"/>
      <c r="U299" s="246"/>
      <c r="V299" s="246"/>
      <c r="W299" s="246"/>
      <c r="BA299"/>
      <c r="BB299"/>
    </row>
    <row r="300" spans="1:54" s="191" customFormat="1" ht="13">
      <c r="A300" s="226"/>
      <c r="B300" s="180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194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00">
        <f t="shared" si="62"/>
        <v>0</v>
      </c>
      <c r="S300" s="201"/>
      <c r="T300" s="202"/>
      <c r="U300" s="246"/>
      <c r="V300" s="246"/>
      <c r="W300" s="246"/>
      <c r="BA300"/>
      <c r="BB300"/>
    </row>
    <row r="301" spans="1:54" s="191" customFormat="1" ht="13">
      <c r="A301" s="226"/>
      <c r="B301" s="180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194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00">
        <f t="shared" si="62"/>
        <v>0</v>
      </c>
      <c r="S301" s="201"/>
      <c r="T301" s="202"/>
      <c r="U301" s="246"/>
      <c r="V301" s="246"/>
      <c r="W301" s="246"/>
      <c r="BA301"/>
      <c r="BB301"/>
    </row>
    <row r="302" spans="1:54" s="191" customFormat="1" ht="13">
      <c r="A302" s="226"/>
      <c r="B302" s="180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194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00">
        <f t="shared" si="62"/>
        <v>0</v>
      </c>
      <c r="S302" s="201"/>
      <c r="T302" s="202"/>
      <c r="U302" s="246"/>
      <c r="V302" s="246"/>
      <c r="W302" s="246"/>
      <c r="BA302"/>
      <c r="BB302"/>
    </row>
    <row r="303" spans="1:54" s="191" customFormat="1" ht="13">
      <c r="A303" s="226"/>
      <c r="B303" s="180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194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00">
        <f t="shared" si="62"/>
        <v>0</v>
      </c>
      <c r="S303" s="201"/>
      <c r="T303" s="202"/>
      <c r="U303" s="246"/>
      <c r="V303" s="246"/>
      <c r="W303" s="246"/>
      <c r="BA303"/>
      <c r="BB303"/>
    </row>
    <row r="304" spans="1:54" s="191" customFormat="1" ht="13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>
        <f t="shared" si="62"/>
        <v>0</v>
      </c>
      <c r="S304" s="201"/>
      <c r="T304" s="202"/>
      <c r="U304" s="246"/>
      <c r="V304" s="246"/>
      <c r="W304" s="246"/>
      <c r="BA304"/>
      <c r="BB304"/>
    </row>
    <row r="305" spans="1:54" s="191" customFormat="1" ht="13">
      <c r="A305" s="226"/>
      <c r="B305" s="180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>
        <f t="shared" si="62"/>
        <v>0</v>
      </c>
      <c r="S305" s="201"/>
      <c r="T305" s="202"/>
      <c r="U305" s="246"/>
      <c r="V305" s="246"/>
      <c r="W305" s="246"/>
      <c r="BA305"/>
      <c r="BB305"/>
    </row>
    <row r="306" spans="1:54" s="191" customFormat="1" ht="13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>
        <f t="shared" si="62"/>
        <v>0</v>
      </c>
      <c r="S306" s="201"/>
      <c r="T306" s="202"/>
      <c r="U306" s="246"/>
      <c r="V306" s="246"/>
      <c r="W306" s="246"/>
      <c r="BA306"/>
      <c r="BB306"/>
    </row>
    <row r="307" spans="1:54" s="191" customFormat="1" ht="13">
      <c r="A307" s="226"/>
      <c r="B307" s="180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>
        <f t="shared" si="62"/>
        <v>0</v>
      </c>
      <c r="S307" s="201"/>
      <c r="T307" s="202"/>
      <c r="U307" s="246"/>
      <c r="V307" s="246"/>
      <c r="W307" s="246"/>
      <c r="BA307"/>
      <c r="BB307"/>
    </row>
    <row r="308" spans="1:54" s="191" customFormat="1" ht="13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>
        <f t="shared" si="62"/>
        <v>0</v>
      </c>
      <c r="S308" s="201"/>
      <c r="T308" s="202"/>
      <c r="U308" s="246"/>
      <c r="V308" s="246"/>
      <c r="W308" s="246"/>
      <c r="BA308"/>
      <c r="BB308"/>
    </row>
    <row r="309" spans="1:54" s="191" customFormat="1" ht="13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>
        <f t="shared" si="62"/>
        <v>0</v>
      </c>
      <c r="S309" s="201"/>
      <c r="T309" s="202"/>
      <c r="U309" s="246"/>
      <c r="V309" s="246"/>
      <c r="W309" s="246"/>
      <c r="BA309"/>
      <c r="BB309"/>
    </row>
    <row r="310" spans="1:54" s="191" customFormat="1" ht="13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>
        <f t="shared" si="62"/>
        <v>0</v>
      </c>
      <c r="S310" s="201"/>
      <c r="T310" s="202"/>
      <c r="U310" s="246"/>
      <c r="V310" s="246"/>
      <c r="W310" s="246"/>
      <c r="BA310"/>
      <c r="BB310"/>
    </row>
    <row r="311" spans="1:54" s="191" customFormat="1" ht="13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>
        <f t="shared" si="62"/>
        <v>0</v>
      </c>
      <c r="S311" s="201"/>
      <c r="T311" s="202"/>
      <c r="U311" s="246"/>
      <c r="V311" s="246"/>
      <c r="W311" s="246"/>
      <c r="BA311"/>
      <c r="BB311"/>
    </row>
    <row r="312" spans="1:54" s="191" customFormat="1" ht="13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>
        <f t="shared" si="62"/>
        <v>0</v>
      </c>
      <c r="S312" s="201"/>
      <c r="T312" s="202"/>
      <c r="U312" s="246"/>
      <c r="V312" s="246"/>
      <c r="W312" s="246"/>
      <c r="BA312"/>
      <c r="BB312"/>
    </row>
    <row r="313" spans="1:54" s="191" customFormat="1" ht="13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>
        <f t="shared" si="62"/>
        <v>0</v>
      </c>
      <c r="S313" s="201"/>
      <c r="T313" s="202"/>
      <c r="U313" s="246"/>
      <c r="V313" s="246"/>
      <c r="W313" s="246"/>
      <c r="BA313"/>
      <c r="BB313"/>
    </row>
    <row r="314" spans="1:54" s="191" customFormat="1" ht="13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>
        <f t="shared" si="62"/>
        <v>0</v>
      </c>
      <c r="S314" s="201"/>
      <c r="T314" s="202"/>
      <c r="U314" s="246"/>
      <c r="V314" s="246"/>
      <c r="W314" s="246"/>
      <c r="BA314"/>
      <c r="BB314"/>
    </row>
    <row r="315" spans="1:54" s="191" customFormat="1" ht="13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>
        <f t="shared" si="62"/>
        <v>0</v>
      </c>
      <c r="S315" s="201"/>
      <c r="T315" s="202"/>
      <c r="U315" s="246"/>
      <c r="V315" s="246"/>
      <c r="W315" s="246"/>
      <c r="BA315"/>
      <c r="BB315"/>
    </row>
    <row r="316" spans="1:54" s="191" customFormat="1" ht="13">
      <c r="A316" s="226"/>
      <c r="B316" s="180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194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00">
        <f t="shared" si="62"/>
        <v>0</v>
      </c>
      <c r="S316" s="201"/>
      <c r="T316" s="202"/>
      <c r="U316" s="246"/>
      <c r="V316" s="246"/>
      <c r="W316" s="246"/>
      <c r="BA316"/>
      <c r="BB316"/>
    </row>
    <row r="317" spans="1:54" s="191" customFormat="1" ht="13">
      <c r="A317" s="226"/>
      <c r="B317" s="180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194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00">
        <f t="shared" si="62"/>
        <v>0</v>
      </c>
      <c r="S317" s="201"/>
      <c r="T317" s="202"/>
      <c r="U317" s="246"/>
      <c r="V317" s="246"/>
      <c r="W317" s="246"/>
      <c r="BA317"/>
      <c r="BB317"/>
    </row>
    <row r="318" spans="1:54" s="191" customFormat="1" ht="13">
      <c r="A318" s="226"/>
      <c r="B318" s="180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194"/>
      <c r="G318" s="247"/>
      <c r="H318" s="247"/>
      <c r="I318" s="247"/>
      <c r="J318" s="247"/>
      <c r="K318" s="247"/>
      <c r="L318" s="247"/>
      <c r="M318" s="247"/>
      <c r="N318" s="247"/>
      <c r="O318" s="247"/>
      <c r="P318" s="247"/>
      <c r="Q318" s="247"/>
      <c r="R318" s="200">
        <f t="shared" si="62"/>
        <v>0</v>
      </c>
      <c r="S318" s="201"/>
      <c r="T318" s="202"/>
      <c r="U318" s="246"/>
      <c r="V318" s="246"/>
      <c r="W318" s="246"/>
      <c r="BA318"/>
      <c r="BB318"/>
    </row>
    <row r="319" spans="1:54" s="191" customFormat="1" ht="13">
      <c r="A319" s="226"/>
      <c r="B319" s="180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194"/>
      <c r="G319" s="247"/>
      <c r="H319" s="247"/>
      <c r="I319" s="247"/>
      <c r="J319" s="247"/>
      <c r="K319" s="247"/>
      <c r="L319" s="247"/>
      <c r="M319" s="247"/>
      <c r="N319" s="247"/>
      <c r="O319" s="247"/>
      <c r="P319" s="247"/>
      <c r="Q319" s="247"/>
      <c r="R319" s="200">
        <f t="shared" si="62"/>
        <v>0</v>
      </c>
      <c r="S319" s="201"/>
      <c r="T319" s="202"/>
      <c r="U319" s="246"/>
      <c r="V319" s="246"/>
      <c r="W319" s="246"/>
      <c r="BA319"/>
      <c r="BB319"/>
    </row>
    <row r="320" spans="1:54" s="191" customFormat="1" ht="13">
      <c r="A320" s="226"/>
      <c r="B320" s="180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194"/>
      <c r="G320" s="247"/>
      <c r="H320" s="247"/>
      <c r="I320" s="247"/>
      <c r="J320" s="247"/>
      <c r="K320" s="247"/>
      <c r="L320" s="247"/>
      <c r="M320" s="247"/>
      <c r="N320" s="247"/>
      <c r="O320" s="247"/>
      <c r="P320" s="247"/>
      <c r="Q320" s="247"/>
      <c r="R320" s="200">
        <f t="shared" si="62"/>
        <v>0</v>
      </c>
      <c r="S320" s="201"/>
      <c r="T320" s="202"/>
      <c r="U320" s="246"/>
      <c r="V320" s="246"/>
      <c r="W320" s="246"/>
      <c r="BA320"/>
      <c r="BB320"/>
    </row>
    <row r="321" spans="1:54" s="191" customFormat="1" ht="13">
      <c r="A321" s="226"/>
      <c r="B321" s="180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194"/>
      <c r="G321" s="247"/>
      <c r="H321" s="247"/>
      <c r="I321" s="247"/>
      <c r="J321" s="247"/>
      <c r="K321" s="247"/>
      <c r="L321" s="247"/>
      <c r="M321" s="247"/>
      <c r="N321" s="247"/>
      <c r="O321" s="247"/>
      <c r="P321" s="247"/>
      <c r="Q321" s="247"/>
      <c r="R321" s="200">
        <f t="shared" si="62"/>
        <v>0</v>
      </c>
      <c r="S321" s="201"/>
      <c r="T321" s="202"/>
      <c r="U321" s="246"/>
      <c r="V321" s="246"/>
      <c r="W321" s="246"/>
      <c r="BA321"/>
      <c r="BB321"/>
    </row>
    <row r="322" spans="1:54" s="191" customFormat="1" ht="13">
      <c r="A322" s="226"/>
      <c r="B322" s="180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194"/>
      <c r="G322" s="247"/>
      <c r="H322" s="247"/>
      <c r="I322" s="247"/>
      <c r="J322" s="247"/>
      <c r="K322" s="247"/>
      <c r="L322" s="247"/>
      <c r="M322" s="247"/>
      <c r="N322" s="247"/>
      <c r="O322" s="247"/>
      <c r="P322" s="247"/>
      <c r="Q322" s="247"/>
      <c r="R322" s="200">
        <f t="shared" si="62"/>
        <v>0</v>
      </c>
      <c r="S322" s="201"/>
      <c r="T322" s="202"/>
      <c r="U322" s="246"/>
      <c r="V322" s="246"/>
      <c r="W322" s="246"/>
      <c r="BA322"/>
      <c r="BB322"/>
    </row>
    <row r="323" spans="1:54" s="191" customFormat="1" ht="13">
      <c r="A323" s="226"/>
      <c r="B323" s="180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194"/>
      <c r="G323" s="247"/>
      <c r="H323" s="247"/>
      <c r="I323" s="247"/>
      <c r="J323" s="247"/>
      <c r="K323" s="247"/>
      <c r="L323" s="247"/>
      <c r="M323" s="247"/>
      <c r="N323" s="247"/>
      <c r="O323" s="247"/>
      <c r="P323" s="247"/>
      <c r="Q323" s="247"/>
      <c r="R323" s="200">
        <f t="shared" ref="R323:R386" si="63">SUM(F323:Q323)</f>
        <v>0</v>
      </c>
      <c r="S323" s="201"/>
      <c r="T323" s="202"/>
      <c r="U323" s="246"/>
      <c r="V323" s="246"/>
      <c r="W323" s="246"/>
      <c r="BA323"/>
      <c r="BB323"/>
    </row>
    <row r="324" spans="1:54" s="191" customFormat="1" ht="13">
      <c r="A324" s="226"/>
      <c r="B324" s="180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194"/>
      <c r="G324" s="247"/>
      <c r="H324" s="247"/>
      <c r="I324" s="247"/>
      <c r="J324" s="247"/>
      <c r="K324" s="247"/>
      <c r="L324" s="247"/>
      <c r="M324" s="247"/>
      <c r="N324" s="247"/>
      <c r="O324" s="247"/>
      <c r="P324" s="247"/>
      <c r="Q324" s="247"/>
      <c r="R324" s="200">
        <f t="shared" si="63"/>
        <v>0</v>
      </c>
      <c r="S324" s="201"/>
      <c r="T324" s="202"/>
      <c r="U324" s="246"/>
      <c r="V324" s="246"/>
      <c r="W324" s="246"/>
      <c r="BA324"/>
      <c r="BB324"/>
    </row>
    <row r="325" spans="1:54" s="191" customFormat="1" ht="13">
      <c r="A325" s="226"/>
      <c r="B325" s="180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194"/>
      <c r="G325" s="247"/>
      <c r="H325" s="247"/>
      <c r="I325" s="247"/>
      <c r="J325" s="247"/>
      <c r="K325" s="247"/>
      <c r="L325" s="247"/>
      <c r="M325" s="247"/>
      <c r="N325" s="247"/>
      <c r="O325" s="247"/>
      <c r="P325" s="247"/>
      <c r="Q325" s="247"/>
      <c r="R325" s="200">
        <f t="shared" si="63"/>
        <v>0</v>
      </c>
      <c r="S325" s="201"/>
      <c r="T325" s="202"/>
      <c r="U325" s="246"/>
      <c r="V325" s="246"/>
      <c r="W325" s="246"/>
      <c r="BA325"/>
      <c r="BB325"/>
    </row>
    <row r="326" spans="1:54" s="191" customFormat="1" ht="13">
      <c r="A326" s="226"/>
      <c r="B326" s="180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194"/>
      <c r="G326" s="247"/>
      <c r="H326" s="247"/>
      <c r="I326" s="247"/>
      <c r="J326" s="247"/>
      <c r="K326" s="247"/>
      <c r="L326" s="247"/>
      <c r="M326" s="247"/>
      <c r="N326" s="247"/>
      <c r="O326" s="247"/>
      <c r="P326" s="247"/>
      <c r="Q326" s="247"/>
      <c r="R326" s="200">
        <f t="shared" si="63"/>
        <v>0</v>
      </c>
      <c r="S326" s="201"/>
      <c r="T326" s="202"/>
      <c r="U326" s="246"/>
      <c r="V326" s="246"/>
      <c r="W326" s="246"/>
      <c r="BA326"/>
      <c r="BB326"/>
    </row>
    <row r="327" spans="1:54" s="191" customFormat="1" ht="13">
      <c r="A327" s="226"/>
      <c r="B327" s="180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194"/>
      <c r="G327" s="247"/>
      <c r="H327" s="247"/>
      <c r="I327" s="247"/>
      <c r="J327" s="247"/>
      <c r="K327" s="247"/>
      <c r="L327" s="247"/>
      <c r="M327" s="247"/>
      <c r="N327" s="247"/>
      <c r="O327" s="247"/>
      <c r="P327" s="247"/>
      <c r="Q327" s="247"/>
      <c r="R327" s="200">
        <f t="shared" si="63"/>
        <v>0</v>
      </c>
      <c r="S327" s="201"/>
      <c r="T327" s="202"/>
      <c r="U327" s="246"/>
      <c r="V327" s="246"/>
      <c r="W327" s="246"/>
      <c r="BA327"/>
      <c r="BB327"/>
    </row>
    <row r="328" spans="1:54" s="191" customFormat="1" ht="13">
      <c r="A328" s="226"/>
      <c r="B328" s="180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194"/>
      <c r="G328" s="247"/>
      <c r="H328" s="247"/>
      <c r="I328" s="247"/>
      <c r="J328" s="247"/>
      <c r="K328" s="247"/>
      <c r="L328" s="247"/>
      <c r="M328" s="247"/>
      <c r="N328" s="247"/>
      <c r="O328" s="247"/>
      <c r="P328" s="247"/>
      <c r="Q328" s="247"/>
      <c r="R328" s="200">
        <f t="shared" si="63"/>
        <v>0</v>
      </c>
      <c r="S328" s="201"/>
      <c r="T328" s="202"/>
      <c r="U328" s="246"/>
      <c r="V328" s="246"/>
      <c r="W328" s="246"/>
      <c r="BA328"/>
      <c r="BB328"/>
    </row>
    <row r="329" spans="1:54" s="191" customFormat="1" ht="13">
      <c r="A329" s="226"/>
      <c r="B329" s="180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194"/>
      <c r="G329" s="247"/>
      <c r="H329" s="247"/>
      <c r="I329" s="247"/>
      <c r="J329" s="247"/>
      <c r="K329" s="247"/>
      <c r="L329" s="247"/>
      <c r="M329" s="247"/>
      <c r="N329" s="247"/>
      <c r="O329" s="247"/>
      <c r="P329" s="247"/>
      <c r="Q329" s="247"/>
      <c r="R329" s="200">
        <f t="shared" si="63"/>
        <v>0</v>
      </c>
      <c r="S329" s="201"/>
      <c r="T329" s="202"/>
      <c r="U329" s="246"/>
      <c r="V329" s="246"/>
      <c r="W329" s="246"/>
      <c r="BA329"/>
      <c r="BB329"/>
    </row>
    <row r="330" spans="1:54" s="191" customFormat="1" ht="13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>
        <f t="shared" si="63"/>
        <v>0</v>
      </c>
      <c r="S330" s="201"/>
      <c r="T330" s="202"/>
      <c r="U330" s="246"/>
      <c r="V330" s="246"/>
      <c r="W330" s="246"/>
      <c r="BA330"/>
      <c r="BB330"/>
    </row>
    <row r="331" spans="1:54" s="191" customFormat="1" ht="13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>
        <f t="shared" si="63"/>
        <v>0</v>
      </c>
      <c r="S331" s="201"/>
      <c r="T331" s="202"/>
      <c r="U331" s="246"/>
      <c r="V331" s="246"/>
      <c r="W331" s="246"/>
      <c r="BA331"/>
      <c r="BB331"/>
    </row>
    <row r="332" spans="1:54" s="191" customFormat="1" ht="13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>
        <f t="shared" si="63"/>
        <v>0</v>
      </c>
      <c r="S332" s="201"/>
      <c r="T332" s="202"/>
      <c r="U332" s="246"/>
      <c r="V332" s="246"/>
      <c r="W332" s="246"/>
      <c r="BA332"/>
      <c r="BB332"/>
    </row>
    <row r="333" spans="1:54" s="191" customFormat="1" ht="13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>
        <f t="shared" si="63"/>
        <v>0</v>
      </c>
      <c r="S333" s="201"/>
      <c r="T333" s="202"/>
      <c r="U333" s="246"/>
      <c r="V333" s="246"/>
      <c r="W333" s="246"/>
      <c r="BA333"/>
      <c r="BB333"/>
    </row>
    <row r="334" spans="1:54" s="191" customFormat="1" ht="13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>
        <f t="shared" si="63"/>
        <v>0</v>
      </c>
      <c r="S334" s="201"/>
      <c r="T334" s="202"/>
      <c r="U334" s="246"/>
      <c r="V334" s="246"/>
      <c r="W334" s="246"/>
      <c r="BA334"/>
      <c r="BB334"/>
    </row>
    <row r="335" spans="1:54" s="191" customFormat="1" ht="13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>
        <f t="shared" si="63"/>
        <v>0</v>
      </c>
      <c r="S335" s="201"/>
      <c r="T335" s="202"/>
      <c r="U335" s="246"/>
      <c r="V335" s="246"/>
      <c r="W335" s="246"/>
      <c r="BA335"/>
      <c r="BB335"/>
    </row>
    <row r="336" spans="1:54" s="191" customFormat="1" ht="13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>
        <f t="shared" si="63"/>
        <v>0</v>
      </c>
      <c r="S336" s="201"/>
      <c r="T336" s="202"/>
      <c r="U336" s="246"/>
      <c r="V336" s="246"/>
      <c r="W336" s="246"/>
      <c r="BA336"/>
      <c r="BB336"/>
    </row>
    <row r="337" spans="1:54" s="191" customFormat="1" ht="13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>
        <f t="shared" si="63"/>
        <v>0</v>
      </c>
      <c r="S337" s="201"/>
      <c r="T337" s="202"/>
      <c r="U337" s="246"/>
      <c r="V337" s="246"/>
      <c r="W337" s="246"/>
      <c r="BA337"/>
      <c r="BB337"/>
    </row>
    <row r="338" spans="1:54" s="191" customFormat="1" ht="13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>
        <f t="shared" si="63"/>
        <v>0</v>
      </c>
      <c r="S338" s="201"/>
      <c r="T338" s="202"/>
      <c r="U338" s="246"/>
      <c r="V338" s="246"/>
      <c r="W338" s="246"/>
      <c r="BA338"/>
      <c r="BB338"/>
    </row>
    <row r="339" spans="1:54" s="191" customFormat="1" ht="13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>
        <f t="shared" si="63"/>
        <v>0</v>
      </c>
      <c r="S339" s="201"/>
      <c r="T339" s="202"/>
      <c r="U339" s="246"/>
      <c r="V339" s="246"/>
      <c r="W339" s="246"/>
      <c r="BA339"/>
      <c r="BB339"/>
    </row>
    <row r="340" spans="1:54" s="191" customFormat="1" ht="13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>
        <f t="shared" si="63"/>
        <v>0</v>
      </c>
      <c r="S340" s="201"/>
      <c r="T340" s="202"/>
      <c r="U340" s="246"/>
      <c r="V340" s="246"/>
      <c r="W340" s="246"/>
      <c r="BA340"/>
      <c r="BB340"/>
    </row>
    <row r="341" spans="1:54" s="191" customFormat="1" ht="13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>
        <f t="shared" si="63"/>
        <v>0</v>
      </c>
      <c r="S341" s="201"/>
      <c r="T341" s="202"/>
      <c r="U341" s="246"/>
      <c r="V341" s="246"/>
      <c r="W341" s="246"/>
      <c r="BA341"/>
      <c r="BB341"/>
    </row>
    <row r="342" spans="1:54" s="191" customFormat="1" ht="13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>
        <f t="shared" si="63"/>
        <v>0</v>
      </c>
      <c r="S342" s="201"/>
      <c r="T342" s="202"/>
      <c r="U342" s="246"/>
      <c r="V342" s="246"/>
      <c r="W342" s="246"/>
      <c r="BA342"/>
      <c r="BB342"/>
    </row>
    <row r="343" spans="1:54" s="191" customFormat="1" ht="13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>
        <f t="shared" si="63"/>
        <v>0</v>
      </c>
      <c r="S343" s="201"/>
      <c r="T343" s="202"/>
      <c r="U343" s="246"/>
      <c r="V343" s="246"/>
      <c r="W343" s="246"/>
      <c r="BA343"/>
      <c r="BB343"/>
    </row>
    <row r="344" spans="1:54" s="191" customFormat="1" ht="13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>
        <f t="shared" si="63"/>
        <v>0</v>
      </c>
      <c r="S344" s="201"/>
      <c r="T344" s="202"/>
      <c r="U344" s="246"/>
      <c r="V344" s="246"/>
      <c r="W344" s="246"/>
      <c r="BA344"/>
      <c r="BB344"/>
    </row>
    <row r="345" spans="1:54" s="191" customFormat="1" ht="13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>
        <f t="shared" si="63"/>
        <v>0</v>
      </c>
      <c r="S345" s="201"/>
      <c r="T345" s="202"/>
      <c r="U345" s="246"/>
      <c r="V345" s="246"/>
      <c r="W345" s="246"/>
      <c r="BA345"/>
      <c r="BB345"/>
    </row>
    <row r="346" spans="1:54" s="191" customFormat="1" ht="13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>
        <f t="shared" si="63"/>
        <v>0</v>
      </c>
      <c r="S346" s="201"/>
      <c r="T346" s="202"/>
      <c r="U346" s="246"/>
      <c r="V346" s="246"/>
      <c r="W346" s="246"/>
      <c r="BA346"/>
      <c r="BB346"/>
    </row>
    <row r="347" spans="1:54" s="191" customFormat="1" ht="13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>
        <f t="shared" si="63"/>
        <v>0</v>
      </c>
      <c r="S347" s="201"/>
      <c r="T347" s="202"/>
      <c r="U347" s="246"/>
      <c r="V347" s="246"/>
      <c r="W347" s="246"/>
      <c r="BA347"/>
      <c r="BB347"/>
    </row>
    <row r="348" spans="1:54" s="191" customFormat="1" ht="13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>
        <f t="shared" si="63"/>
        <v>0</v>
      </c>
      <c r="S348" s="201"/>
      <c r="T348" s="202"/>
      <c r="U348" s="246"/>
      <c r="V348" s="246"/>
      <c r="W348" s="246"/>
      <c r="BA348"/>
      <c r="BB348"/>
    </row>
    <row r="349" spans="1:54" s="191" customFormat="1" ht="13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>
        <f t="shared" si="63"/>
        <v>0</v>
      </c>
      <c r="S349" s="201"/>
      <c r="T349" s="202"/>
      <c r="U349" s="246"/>
      <c r="V349" s="246"/>
      <c r="W349" s="246"/>
      <c r="BA349"/>
      <c r="BB349"/>
    </row>
    <row r="350" spans="1:54" s="191" customFormat="1" ht="13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>
        <f t="shared" si="63"/>
        <v>0</v>
      </c>
      <c r="S350" s="201"/>
      <c r="T350" s="202"/>
      <c r="U350" s="246"/>
      <c r="V350" s="246"/>
      <c r="W350" s="246"/>
      <c r="BA350"/>
      <c r="BB350"/>
    </row>
    <row r="351" spans="1:54" s="191" customFormat="1" ht="13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>
        <f t="shared" si="63"/>
        <v>0</v>
      </c>
      <c r="S351" s="201"/>
      <c r="T351" s="202"/>
      <c r="U351" s="246"/>
      <c r="V351" s="246"/>
      <c r="W351" s="246"/>
      <c r="BA351"/>
      <c r="BB351"/>
    </row>
    <row r="352" spans="1:54" s="191" customFormat="1" ht="13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>
        <f t="shared" si="63"/>
        <v>0</v>
      </c>
      <c r="S352" s="201"/>
      <c r="T352" s="202"/>
      <c r="U352" s="246"/>
      <c r="V352" s="246"/>
      <c r="W352" s="246"/>
      <c r="BA352"/>
      <c r="BB352"/>
    </row>
    <row r="353" spans="1:54" s="191" customFormat="1" ht="13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>
        <f t="shared" si="63"/>
        <v>0</v>
      </c>
      <c r="S353" s="201"/>
      <c r="T353" s="202"/>
      <c r="U353" s="246"/>
      <c r="V353" s="246"/>
      <c r="W353" s="246"/>
      <c r="BA353"/>
      <c r="BB353"/>
    </row>
    <row r="354" spans="1:54" s="191" customFormat="1" ht="13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>
        <f t="shared" si="63"/>
        <v>0</v>
      </c>
      <c r="S354" s="201"/>
      <c r="T354" s="202"/>
      <c r="U354" s="246"/>
      <c r="V354" s="246"/>
      <c r="W354" s="246"/>
      <c r="BA354"/>
      <c r="BB354"/>
    </row>
    <row r="355" spans="1:54" s="191" customFormat="1" ht="13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>
        <f t="shared" si="63"/>
        <v>0</v>
      </c>
      <c r="S355" s="201"/>
      <c r="T355" s="202"/>
      <c r="U355" s="246"/>
      <c r="V355" s="246"/>
      <c r="W355" s="246"/>
      <c r="BA355"/>
      <c r="BB355"/>
    </row>
    <row r="356" spans="1:54" s="191" customFormat="1" ht="13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>
        <f t="shared" si="63"/>
        <v>0</v>
      </c>
      <c r="S356" s="201"/>
      <c r="T356" s="202"/>
      <c r="U356" s="246"/>
      <c r="V356" s="246"/>
      <c r="W356" s="246"/>
      <c r="BA356"/>
      <c r="BB356"/>
    </row>
    <row r="357" spans="1:54" s="191" customFormat="1" ht="13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>
        <f t="shared" si="63"/>
        <v>0</v>
      </c>
      <c r="S357" s="201"/>
      <c r="T357" s="202"/>
      <c r="U357" s="246"/>
      <c r="V357" s="246"/>
      <c r="W357" s="246"/>
      <c r="BA357"/>
      <c r="BB357"/>
    </row>
    <row r="358" spans="1:54" s="191" customFormat="1" ht="13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>
        <f t="shared" si="63"/>
        <v>0</v>
      </c>
      <c r="S358" s="201"/>
      <c r="T358" s="202"/>
      <c r="U358" s="246"/>
      <c r="V358" s="246"/>
      <c r="W358" s="246"/>
      <c r="BA358"/>
      <c r="BB358"/>
    </row>
    <row r="359" spans="1:54" s="191" customFormat="1" ht="13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>
        <f t="shared" si="63"/>
        <v>0</v>
      </c>
      <c r="S359" s="201"/>
      <c r="T359" s="202"/>
      <c r="U359" s="246"/>
      <c r="V359" s="246"/>
      <c r="W359" s="246"/>
      <c r="BA359"/>
      <c r="BB359"/>
    </row>
    <row r="360" spans="1:54" s="191" customFormat="1" ht="13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>
        <f t="shared" si="63"/>
        <v>0</v>
      </c>
      <c r="S360" s="201"/>
      <c r="T360" s="202"/>
      <c r="U360" s="246"/>
      <c r="V360" s="246"/>
      <c r="W360" s="246"/>
      <c r="BA360"/>
      <c r="BB360"/>
    </row>
    <row r="361" spans="1:54" s="191" customFormat="1" ht="13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>
        <f t="shared" si="63"/>
        <v>0</v>
      </c>
      <c r="S361" s="201"/>
      <c r="T361" s="202"/>
      <c r="U361" s="246"/>
      <c r="V361" s="246"/>
      <c r="W361" s="246"/>
      <c r="BA361"/>
      <c r="BB361"/>
    </row>
    <row r="362" spans="1:54" s="191" customFormat="1" ht="13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>
        <f t="shared" si="63"/>
        <v>0</v>
      </c>
      <c r="S362" s="201"/>
      <c r="T362" s="202"/>
      <c r="U362" s="246"/>
      <c r="V362" s="246"/>
      <c r="W362" s="246"/>
      <c r="BA362"/>
      <c r="BB362"/>
    </row>
    <row r="363" spans="1:54" s="191" customFormat="1" ht="13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>
        <f t="shared" si="63"/>
        <v>0</v>
      </c>
      <c r="S363" s="201"/>
      <c r="T363" s="202"/>
      <c r="U363" s="246"/>
      <c r="V363" s="246"/>
      <c r="W363" s="246"/>
      <c r="BA363"/>
      <c r="BB363"/>
    </row>
    <row r="364" spans="1:54" s="191" customFormat="1" ht="13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>
        <f t="shared" si="63"/>
        <v>0</v>
      </c>
      <c r="S364" s="201"/>
      <c r="T364" s="202"/>
      <c r="U364" s="246"/>
      <c r="V364" s="246"/>
      <c r="W364" s="246"/>
      <c r="BA364"/>
      <c r="BB364"/>
    </row>
    <row r="365" spans="1:54" s="191" customFormat="1" ht="13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>
        <f t="shared" si="63"/>
        <v>0</v>
      </c>
      <c r="S365" s="201"/>
      <c r="T365" s="202"/>
      <c r="U365" s="246"/>
      <c r="V365" s="246"/>
      <c r="W365" s="246"/>
      <c r="BA365"/>
      <c r="BB365"/>
    </row>
    <row r="366" spans="1:54" s="191" customFormat="1" ht="13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>
        <f t="shared" si="63"/>
        <v>0</v>
      </c>
      <c r="S366" s="201"/>
      <c r="T366" s="202"/>
      <c r="U366" s="246"/>
      <c r="V366" s="246"/>
      <c r="W366" s="246"/>
      <c r="BA366"/>
      <c r="BB366"/>
    </row>
    <row r="367" spans="1:54" s="191" customFormat="1" ht="13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>
        <f t="shared" si="63"/>
        <v>0</v>
      </c>
      <c r="S367" s="201"/>
      <c r="T367" s="202"/>
      <c r="U367" s="246"/>
      <c r="V367" s="246"/>
      <c r="W367" s="246"/>
      <c r="BA367"/>
      <c r="BB367"/>
    </row>
    <row r="368" spans="1:54" s="191" customFormat="1" ht="13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>
        <f t="shared" si="63"/>
        <v>0</v>
      </c>
      <c r="S368" s="201"/>
      <c r="T368" s="202"/>
      <c r="U368" s="246"/>
      <c r="V368" s="246"/>
      <c r="W368" s="246"/>
      <c r="BA368"/>
      <c r="BB368"/>
    </row>
    <row r="369" spans="1:54" s="191" customFormat="1" ht="13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>
        <f t="shared" si="63"/>
        <v>0</v>
      </c>
      <c r="S369" s="201"/>
      <c r="T369" s="202"/>
      <c r="U369" s="246"/>
      <c r="V369" s="246"/>
      <c r="W369" s="246"/>
      <c r="BA369"/>
      <c r="BB369"/>
    </row>
    <row r="370" spans="1:54" s="191" customFormat="1" ht="13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>
        <f t="shared" si="63"/>
        <v>0</v>
      </c>
      <c r="S370" s="201"/>
      <c r="T370" s="202"/>
      <c r="U370" s="246"/>
      <c r="V370" s="246"/>
      <c r="W370" s="246"/>
      <c r="BA370"/>
      <c r="BB370"/>
    </row>
    <row r="371" spans="1:54" s="191" customFormat="1" ht="13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>
        <f t="shared" si="63"/>
        <v>0</v>
      </c>
      <c r="S371" s="201"/>
      <c r="T371" s="202"/>
      <c r="U371" s="246"/>
      <c r="V371" s="246"/>
      <c r="W371" s="246"/>
      <c r="BA371"/>
      <c r="BB371"/>
    </row>
    <row r="372" spans="1:54" s="191" customFormat="1" ht="13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>
        <f t="shared" si="63"/>
        <v>0</v>
      </c>
      <c r="S372" s="201"/>
      <c r="T372" s="202"/>
      <c r="U372" s="246"/>
      <c r="V372" s="246"/>
      <c r="W372" s="246"/>
      <c r="BA372"/>
      <c r="BB372"/>
    </row>
    <row r="373" spans="1:54" s="191" customFormat="1" ht="13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>
        <f t="shared" si="63"/>
        <v>0</v>
      </c>
      <c r="S373" s="201"/>
      <c r="T373" s="202"/>
      <c r="U373" s="246"/>
      <c r="V373" s="246"/>
      <c r="W373" s="246"/>
      <c r="BA373"/>
      <c r="BB373"/>
    </row>
    <row r="374" spans="1:54" s="191" customFormat="1" ht="13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>
        <f t="shared" si="63"/>
        <v>0</v>
      </c>
      <c r="S374" s="201"/>
      <c r="T374" s="202"/>
      <c r="U374" s="246"/>
      <c r="V374" s="246"/>
      <c r="W374" s="246"/>
      <c r="BA374"/>
      <c r="BB374"/>
    </row>
    <row r="375" spans="1:54" s="191" customFormat="1" ht="13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>
        <f t="shared" si="63"/>
        <v>0</v>
      </c>
      <c r="S375" s="201"/>
      <c r="T375" s="202"/>
      <c r="U375" s="246"/>
      <c r="V375" s="246"/>
      <c r="W375" s="246"/>
      <c r="BA375"/>
      <c r="BB375"/>
    </row>
    <row r="376" spans="1:54" s="191" customFormat="1" ht="13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>
        <f t="shared" si="63"/>
        <v>0</v>
      </c>
      <c r="S376" s="201"/>
      <c r="T376" s="202"/>
      <c r="U376" s="246"/>
      <c r="V376" s="246"/>
      <c r="W376" s="246"/>
      <c r="BA376"/>
      <c r="BB376"/>
    </row>
    <row r="377" spans="1:54" s="191" customFormat="1" ht="13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>
        <f t="shared" si="63"/>
        <v>0</v>
      </c>
      <c r="S377" s="201"/>
      <c r="T377" s="202"/>
      <c r="U377" s="246"/>
      <c r="V377" s="246"/>
      <c r="W377" s="246"/>
      <c r="BA377"/>
      <c r="BB377"/>
    </row>
    <row r="378" spans="1:54" s="191" customFormat="1" ht="13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>
        <f t="shared" si="63"/>
        <v>0</v>
      </c>
      <c r="S378" s="201"/>
      <c r="T378" s="202"/>
      <c r="U378" s="246"/>
      <c r="V378" s="246"/>
      <c r="W378" s="246"/>
      <c r="BA378"/>
      <c r="BB378"/>
    </row>
    <row r="379" spans="1:54" s="191" customFormat="1" ht="13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>
        <f t="shared" si="63"/>
        <v>0</v>
      </c>
      <c r="S379" s="201"/>
      <c r="T379" s="202"/>
      <c r="U379" s="246"/>
      <c r="V379" s="246"/>
      <c r="W379" s="246"/>
      <c r="BA379"/>
      <c r="BB379"/>
    </row>
    <row r="380" spans="1:54" s="191" customFormat="1" ht="13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>
        <f t="shared" si="63"/>
        <v>0</v>
      </c>
      <c r="S380" s="201"/>
      <c r="T380" s="202"/>
      <c r="U380" s="246"/>
      <c r="V380" s="246"/>
      <c r="W380" s="246"/>
      <c r="BA380"/>
      <c r="BB380"/>
    </row>
    <row r="381" spans="1:54" s="191" customFormat="1" ht="13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>
        <f t="shared" si="63"/>
        <v>0</v>
      </c>
      <c r="S381" s="201"/>
      <c r="T381" s="202"/>
      <c r="U381" s="246"/>
      <c r="V381" s="246"/>
      <c r="W381" s="246"/>
      <c r="BA381"/>
      <c r="BB381"/>
    </row>
    <row r="382" spans="1:54" s="191" customFormat="1" ht="13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>
        <f t="shared" si="63"/>
        <v>0</v>
      </c>
      <c r="S382" s="201"/>
      <c r="T382" s="202"/>
      <c r="U382" s="246"/>
      <c r="V382" s="246"/>
      <c r="W382" s="246"/>
      <c r="BA382"/>
      <c r="BB382"/>
    </row>
    <row r="383" spans="1:54" s="191" customFormat="1" ht="13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>
        <f t="shared" si="63"/>
        <v>0</v>
      </c>
      <c r="S383" s="201"/>
      <c r="T383" s="202"/>
      <c r="U383" s="246"/>
      <c r="V383" s="246"/>
      <c r="W383" s="246"/>
      <c r="BA383"/>
      <c r="BB383"/>
    </row>
    <row r="384" spans="1:54" s="191" customFormat="1" ht="13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>
        <f t="shared" si="63"/>
        <v>0</v>
      </c>
      <c r="S384" s="201"/>
      <c r="T384" s="202"/>
      <c r="U384" s="246"/>
      <c r="V384" s="246"/>
      <c r="W384" s="246"/>
      <c r="BA384"/>
      <c r="BB384"/>
    </row>
    <row r="385" spans="1:54" s="191" customFormat="1" ht="13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>
        <f t="shared" si="63"/>
        <v>0</v>
      </c>
      <c r="S385" s="201"/>
      <c r="T385" s="202"/>
      <c r="U385" s="246"/>
      <c r="V385" s="246"/>
      <c r="W385" s="246"/>
      <c r="BA385"/>
      <c r="BB385"/>
    </row>
    <row r="386" spans="1:54" s="191" customFormat="1" ht="13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>
        <f t="shared" si="63"/>
        <v>0</v>
      </c>
      <c r="S386" s="201"/>
      <c r="T386" s="202"/>
      <c r="U386" s="246"/>
      <c r="V386" s="246"/>
      <c r="W386" s="246"/>
      <c r="BA386"/>
      <c r="BB386"/>
    </row>
    <row r="387" spans="1:54" s="191" customFormat="1" ht="13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>
        <f t="shared" ref="R387:R450" si="64">SUM(F387:Q387)</f>
        <v>0</v>
      </c>
      <c r="S387" s="201"/>
      <c r="T387" s="202"/>
      <c r="U387" s="246"/>
      <c r="V387" s="246"/>
      <c r="W387" s="246"/>
      <c r="BA387"/>
      <c r="BB387"/>
    </row>
    <row r="388" spans="1:54" s="191" customFormat="1" ht="13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>
        <f t="shared" si="64"/>
        <v>0</v>
      </c>
      <c r="S388" s="201"/>
      <c r="T388" s="202"/>
      <c r="U388" s="246"/>
      <c r="V388" s="246"/>
      <c r="W388" s="246"/>
      <c r="BA388"/>
      <c r="BB388"/>
    </row>
    <row r="389" spans="1:54" s="191" customFormat="1" ht="13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>
        <f t="shared" si="64"/>
        <v>0</v>
      </c>
      <c r="S389" s="201"/>
      <c r="T389" s="202"/>
      <c r="U389" s="246"/>
      <c r="V389" s="246"/>
      <c r="W389" s="246"/>
      <c r="BA389"/>
      <c r="BB389"/>
    </row>
    <row r="390" spans="1:54" s="191" customFormat="1" ht="13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>
        <f t="shared" si="64"/>
        <v>0</v>
      </c>
      <c r="S390" s="201"/>
      <c r="T390" s="202"/>
      <c r="U390" s="246"/>
      <c r="V390" s="246"/>
      <c r="W390" s="246"/>
      <c r="BA390"/>
      <c r="BB390"/>
    </row>
    <row r="391" spans="1:54" s="191" customFormat="1" ht="13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>
        <f t="shared" si="64"/>
        <v>0</v>
      </c>
      <c r="S391" s="201"/>
      <c r="T391" s="202"/>
      <c r="U391" s="246"/>
      <c r="V391" s="246"/>
      <c r="W391" s="246"/>
      <c r="BA391"/>
      <c r="BB391"/>
    </row>
    <row r="392" spans="1:54" s="191" customFormat="1" ht="13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>
        <f t="shared" si="64"/>
        <v>0</v>
      </c>
      <c r="S392" s="201"/>
      <c r="T392" s="202"/>
      <c r="U392" s="246"/>
      <c r="V392" s="246"/>
      <c r="W392" s="246"/>
      <c r="BA392"/>
      <c r="BB392"/>
    </row>
    <row r="393" spans="1:54" s="191" customFormat="1" ht="13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>
        <f t="shared" si="64"/>
        <v>0</v>
      </c>
      <c r="S393" s="201"/>
      <c r="T393" s="202"/>
      <c r="U393" s="246"/>
      <c r="V393" s="246"/>
      <c r="W393" s="246"/>
      <c r="BA393"/>
      <c r="BB393"/>
    </row>
    <row r="394" spans="1:54" s="191" customFormat="1" ht="13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>
        <f t="shared" si="64"/>
        <v>0</v>
      </c>
      <c r="S394" s="201"/>
      <c r="T394" s="202"/>
      <c r="U394" s="246"/>
      <c r="V394" s="246"/>
      <c r="W394" s="246"/>
      <c r="BA394"/>
      <c r="BB394"/>
    </row>
    <row r="395" spans="1:54" s="191" customFormat="1" ht="13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>
        <f t="shared" si="64"/>
        <v>0</v>
      </c>
      <c r="S395" s="201"/>
      <c r="T395" s="202"/>
      <c r="U395" s="246"/>
      <c r="V395" s="246"/>
      <c r="W395" s="246"/>
      <c r="BA395"/>
      <c r="BB395"/>
    </row>
    <row r="396" spans="1:54" s="191" customFormat="1" ht="13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>
        <f t="shared" si="64"/>
        <v>0</v>
      </c>
      <c r="S396" s="201"/>
      <c r="T396" s="202"/>
      <c r="U396" s="246"/>
      <c r="V396" s="246"/>
      <c r="W396" s="246"/>
      <c r="BA396"/>
      <c r="BB396"/>
    </row>
    <row r="397" spans="1:54" s="191" customFormat="1" ht="13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>
        <f t="shared" si="64"/>
        <v>0</v>
      </c>
      <c r="S397" s="201"/>
      <c r="T397" s="202"/>
      <c r="U397" s="246"/>
      <c r="V397" s="246"/>
      <c r="W397" s="246"/>
      <c r="BA397"/>
      <c r="BB397"/>
    </row>
    <row r="398" spans="1:54" s="191" customFormat="1" ht="13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>
        <f t="shared" si="64"/>
        <v>0</v>
      </c>
      <c r="S398" s="201"/>
      <c r="T398" s="202"/>
      <c r="U398" s="246"/>
      <c r="V398" s="246"/>
      <c r="W398" s="246"/>
      <c r="BA398"/>
      <c r="BB398"/>
    </row>
    <row r="399" spans="1:54" s="191" customFormat="1" ht="13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>
        <f t="shared" si="64"/>
        <v>0</v>
      </c>
      <c r="S399" s="201"/>
      <c r="T399" s="202"/>
      <c r="U399" s="246"/>
      <c r="V399" s="246"/>
      <c r="W399" s="246"/>
      <c r="BA399"/>
      <c r="BB399"/>
    </row>
    <row r="400" spans="1:54" s="191" customFormat="1" ht="13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>
        <f t="shared" si="64"/>
        <v>0</v>
      </c>
      <c r="S400" s="201"/>
      <c r="T400" s="202"/>
      <c r="U400" s="246"/>
      <c r="V400" s="246"/>
      <c r="W400" s="246"/>
      <c r="BA400"/>
      <c r="BB400"/>
    </row>
    <row r="401" spans="1:54" s="191" customFormat="1" ht="13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>
        <f t="shared" si="64"/>
        <v>0</v>
      </c>
      <c r="S401" s="201"/>
      <c r="T401" s="202"/>
      <c r="U401" s="246"/>
      <c r="V401" s="246"/>
      <c r="W401" s="246"/>
      <c r="BA401"/>
      <c r="BB401"/>
    </row>
    <row r="402" spans="1:54" s="191" customFormat="1" ht="13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>
        <f t="shared" si="64"/>
        <v>0</v>
      </c>
      <c r="S402" s="201"/>
      <c r="T402" s="202"/>
      <c r="U402" s="246"/>
      <c r="V402" s="246"/>
      <c r="W402" s="246"/>
      <c r="BA402"/>
      <c r="BB402"/>
    </row>
    <row r="403" spans="1:54" s="191" customFormat="1" ht="13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>
        <f t="shared" si="64"/>
        <v>0</v>
      </c>
      <c r="S403" s="201"/>
      <c r="T403" s="202"/>
      <c r="U403" s="246"/>
      <c r="V403" s="246"/>
      <c r="W403" s="246"/>
      <c r="BA403"/>
      <c r="BB403"/>
    </row>
    <row r="404" spans="1:54" s="191" customFormat="1" ht="13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>
        <f t="shared" si="64"/>
        <v>0</v>
      </c>
      <c r="S404" s="201"/>
      <c r="T404" s="202"/>
      <c r="U404" s="246"/>
      <c r="V404" s="246"/>
      <c r="W404" s="246"/>
      <c r="BA404"/>
      <c r="BB404"/>
    </row>
    <row r="405" spans="1:54" s="191" customFormat="1" ht="13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>
        <f t="shared" si="64"/>
        <v>0</v>
      </c>
      <c r="S405" s="201"/>
      <c r="T405" s="202"/>
      <c r="U405" s="246"/>
      <c r="V405" s="246"/>
      <c r="W405" s="246"/>
      <c r="BA405"/>
      <c r="BB405"/>
    </row>
    <row r="406" spans="1:54" s="191" customFormat="1" ht="13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>
        <f t="shared" si="64"/>
        <v>0</v>
      </c>
      <c r="S406" s="201"/>
      <c r="T406" s="202"/>
      <c r="U406" s="246"/>
      <c r="V406" s="246"/>
      <c r="W406" s="246"/>
      <c r="BA406"/>
      <c r="BB406"/>
    </row>
    <row r="407" spans="1:54" s="191" customFormat="1" ht="13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>
        <f t="shared" si="64"/>
        <v>0</v>
      </c>
      <c r="S407" s="201"/>
      <c r="T407" s="202"/>
      <c r="U407" s="246"/>
      <c r="V407" s="246"/>
      <c r="W407" s="246"/>
      <c r="BA407"/>
      <c r="BB407"/>
    </row>
    <row r="408" spans="1:54" s="191" customFormat="1" ht="13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>
        <f t="shared" si="64"/>
        <v>0</v>
      </c>
      <c r="S408" s="201"/>
      <c r="T408" s="202"/>
      <c r="U408" s="246"/>
      <c r="V408" s="246"/>
      <c r="W408" s="246"/>
      <c r="BA408"/>
      <c r="BB408"/>
    </row>
    <row r="409" spans="1:54" s="191" customFormat="1" ht="13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>
        <f t="shared" si="64"/>
        <v>0</v>
      </c>
      <c r="S409" s="201"/>
      <c r="T409" s="202"/>
      <c r="U409" s="246"/>
      <c r="V409" s="246"/>
      <c r="W409" s="246"/>
      <c r="BA409"/>
      <c r="BB409"/>
    </row>
    <row r="410" spans="1:54" s="191" customFormat="1" ht="13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>
        <f t="shared" si="64"/>
        <v>0</v>
      </c>
      <c r="S410" s="201"/>
      <c r="T410" s="202"/>
      <c r="U410" s="246"/>
      <c r="V410" s="246"/>
      <c r="W410" s="246"/>
      <c r="BA410"/>
      <c r="BB410"/>
    </row>
    <row r="411" spans="1:54" s="191" customFormat="1" ht="13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>
        <f t="shared" si="64"/>
        <v>0</v>
      </c>
      <c r="S411" s="201"/>
      <c r="T411" s="202"/>
      <c r="U411" s="246"/>
      <c r="V411" s="246"/>
      <c r="W411" s="246"/>
      <c r="BA411"/>
      <c r="BB411"/>
    </row>
    <row r="412" spans="1:54" s="191" customFormat="1" ht="13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>
        <f t="shared" si="64"/>
        <v>0</v>
      </c>
      <c r="S412" s="201"/>
      <c r="T412" s="202"/>
      <c r="U412" s="246"/>
      <c r="V412" s="246"/>
      <c r="W412" s="246"/>
      <c r="BA412"/>
      <c r="BB412"/>
    </row>
    <row r="413" spans="1:54" s="191" customFormat="1" ht="13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>
        <f t="shared" si="64"/>
        <v>0</v>
      </c>
      <c r="S413" s="201"/>
      <c r="T413" s="202"/>
      <c r="U413" s="246"/>
      <c r="V413" s="246"/>
      <c r="W413" s="246"/>
      <c r="BA413"/>
      <c r="BB413"/>
    </row>
    <row r="414" spans="1:54" s="191" customFormat="1" ht="13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>
        <f t="shared" si="64"/>
        <v>0</v>
      </c>
      <c r="S414" s="201"/>
      <c r="T414" s="202"/>
      <c r="U414" s="246"/>
      <c r="V414" s="246"/>
      <c r="W414" s="246"/>
      <c r="BA414"/>
      <c r="BB414"/>
    </row>
    <row r="415" spans="1:54" s="191" customFormat="1" ht="13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>
        <f t="shared" si="64"/>
        <v>0</v>
      </c>
      <c r="S415" s="201"/>
      <c r="T415" s="202"/>
      <c r="U415" s="246"/>
      <c r="V415" s="246"/>
      <c r="W415" s="246"/>
      <c r="BA415"/>
      <c r="BB415"/>
    </row>
    <row r="416" spans="1:54" s="191" customFormat="1" ht="13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>
        <f t="shared" si="64"/>
        <v>0</v>
      </c>
      <c r="S416" s="201"/>
      <c r="T416" s="202"/>
      <c r="U416" s="246"/>
      <c r="V416" s="246"/>
      <c r="W416" s="246"/>
      <c r="BA416"/>
      <c r="BB416"/>
    </row>
    <row r="417" spans="1:54" s="191" customFormat="1" ht="13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>
        <f t="shared" si="64"/>
        <v>0</v>
      </c>
      <c r="S417" s="201"/>
      <c r="T417" s="202"/>
      <c r="U417" s="246"/>
      <c r="V417" s="246"/>
      <c r="W417" s="246"/>
      <c r="BA417"/>
      <c r="BB417"/>
    </row>
    <row r="418" spans="1:54" s="191" customFormat="1" ht="13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>
        <f t="shared" si="64"/>
        <v>0</v>
      </c>
      <c r="S418" s="201"/>
      <c r="T418" s="202"/>
      <c r="U418" s="246"/>
      <c r="V418" s="246"/>
      <c r="W418" s="246"/>
      <c r="BA418"/>
      <c r="BB418"/>
    </row>
    <row r="419" spans="1:54" s="191" customFormat="1" ht="13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>
        <f t="shared" si="64"/>
        <v>0</v>
      </c>
      <c r="S419" s="201"/>
      <c r="T419" s="202"/>
      <c r="U419" s="246"/>
      <c r="V419" s="246"/>
      <c r="W419" s="246"/>
      <c r="BA419"/>
      <c r="BB419"/>
    </row>
    <row r="420" spans="1:54" s="191" customFormat="1" ht="13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>
        <f t="shared" si="64"/>
        <v>0</v>
      </c>
      <c r="S420" s="201"/>
      <c r="T420" s="202"/>
      <c r="U420" s="246"/>
      <c r="V420" s="246"/>
      <c r="W420" s="246"/>
      <c r="BA420"/>
      <c r="BB420"/>
    </row>
    <row r="421" spans="1:54" s="191" customFormat="1" ht="13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>
        <f t="shared" si="64"/>
        <v>0</v>
      </c>
      <c r="S421" s="201"/>
      <c r="T421" s="202"/>
      <c r="U421" s="246"/>
      <c r="V421" s="246"/>
      <c r="W421" s="246"/>
      <c r="BA421"/>
      <c r="BB421"/>
    </row>
    <row r="422" spans="1:54" s="191" customFormat="1" ht="13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>
        <f t="shared" si="64"/>
        <v>0</v>
      </c>
      <c r="S422" s="201"/>
      <c r="T422" s="202"/>
      <c r="U422" s="246"/>
      <c r="V422" s="246"/>
      <c r="W422" s="246"/>
      <c r="BA422"/>
      <c r="BB422"/>
    </row>
    <row r="423" spans="1:54" s="191" customFormat="1" ht="13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>
        <f t="shared" si="64"/>
        <v>0</v>
      </c>
      <c r="S423" s="201"/>
      <c r="T423" s="202"/>
      <c r="U423" s="246"/>
      <c r="V423" s="246"/>
      <c r="W423" s="246"/>
      <c r="BA423"/>
      <c r="BB423"/>
    </row>
    <row r="424" spans="1:54" s="191" customFormat="1" ht="13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>
        <f t="shared" si="64"/>
        <v>0</v>
      </c>
      <c r="S424" s="201"/>
      <c r="T424" s="202"/>
      <c r="U424" s="246"/>
      <c r="V424" s="246"/>
      <c r="W424" s="246"/>
      <c r="BA424"/>
      <c r="BB424"/>
    </row>
    <row r="425" spans="1:54" s="191" customFormat="1" ht="13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>
        <f t="shared" si="64"/>
        <v>0</v>
      </c>
      <c r="S425" s="201"/>
      <c r="T425" s="202"/>
      <c r="U425" s="246"/>
      <c r="V425" s="246"/>
      <c r="W425" s="246"/>
      <c r="BA425"/>
      <c r="BB425"/>
    </row>
    <row r="426" spans="1:54" s="191" customFormat="1" ht="13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>
        <f t="shared" si="64"/>
        <v>0</v>
      </c>
      <c r="S426" s="201"/>
      <c r="T426" s="202"/>
      <c r="U426" s="246"/>
      <c r="V426" s="246"/>
      <c r="W426" s="246"/>
      <c r="BA426"/>
      <c r="BB426"/>
    </row>
    <row r="427" spans="1:54" s="191" customFormat="1" ht="13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>
        <f t="shared" si="64"/>
        <v>0</v>
      </c>
      <c r="S427" s="201"/>
      <c r="T427" s="202"/>
      <c r="U427" s="246"/>
      <c r="V427" s="246"/>
      <c r="W427" s="246"/>
      <c r="BA427"/>
      <c r="BB427"/>
    </row>
    <row r="428" spans="1:54" s="191" customFormat="1" ht="13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>
        <f t="shared" si="64"/>
        <v>0</v>
      </c>
      <c r="S428" s="201"/>
      <c r="T428" s="202"/>
      <c r="U428" s="246"/>
      <c r="V428" s="246"/>
      <c r="W428" s="246"/>
      <c r="BA428"/>
      <c r="BB428"/>
    </row>
    <row r="429" spans="1:54" s="191" customFormat="1" ht="13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>
        <f t="shared" si="64"/>
        <v>0</v>
      </c>
      <c r="S429" s="201"/>
      <c r="T429" s="202"/>
      <c r="U429" s="246"/>
      <c r="V429" s="246"/>
      <c r="W429" s="246"/>
      <c r="BA429"/>
      <c r="BB429"/>
    </row>
    <row r="430" spans="1:54" s="191" customFormat="1" ht="13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>
        <f t="shared" si="64"/>
        <v>0</v>
      </c>
      <c r="S430" s="201"/>
      <c r="T430" s="202"/>
      <c r="U430" s="246"/>
      <c r="V430" s="246"/>
      <c r="W430" s="246"/>
      <c r="BA430"/>
      <c r="BB430"/>
    </row>
    <row r="431" spans="1:54" s="191" customFormat="1" ht="13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>
        <f t="shared" si="64"/>
        <v>0</v>
      </c>
      <c r="S431" s="201"/>
      <c r="T431" s="202"/>
      <c r="U431" s="246"/>
      <c r="V431" s="246"/>
      <c r="W431" s="246"/>
      <c r="BA431"/>
      <c r="BB431"/>
    </row>
    <row r="432" spans="1:54" s="191" customFormat="1" ht="13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>
        <f t="shared" si="64"/>
        <v>0</v>
      </c>
      <c r="S432" s="201"/>
      <c r="T432" s="202"/>
      <c r="U432" s="246"/>
      <c r="V432" s="246"/>
      <c r="W432" s="246"/>
      <c r="BA432"/>
      <c r="BB432"/>
    </row>
    <row r="433" spans="1:54" s="191" customFormat="1" ht="13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>
        <f t="shared" si="64"/>
        <v>0</v>
      </c>
      <c r="S433" s="201"/>
      <c r="T433" s="202"/>
      <c r="U433" s="246"/>
      <c r="V433" s="246"/>
      <c r="W433" s="246"/>
      <c r="BA433"/>
      <c r="BB433"/>
    </row>
    <row r="434" spans="1:54" s="191" customFormat="1" ht="13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>
        <f t="shared" si="64"/>
        <v>0</v>
      </c>
      <c r="S434" s="201"/>
      <c r="T434" s="202"/>
      <c r="U434" s="246"/>
      <c r="V434" s="246"/>
      <c r="W434" s="246"/>
      <c r="BA434"/>
      <c r="BB434"/>
    </row>
    <row r="435" spans="1:54" s="191" customFormat="1" ht="13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>
        <f t="shared" si="64"/>
        <v>0</v>
      </c>
      <c r="S435" s="201"/>
      <c r="T435" s="202"/>
      <c r="U435" s="246"/>
      <c r="V435" s="246"/>
      <c r="W435" s="246"/>
      <c r="BA435"/>
      <c r="BB435"/>
    </row>
    <row r="436" spans="1:54" s="191" customFormat="1" ht="13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>
        <f t="shared" si="64"/>
        <v>0</v>
      </c>
      <c r="S436" s="201"/>
      <c r="T436" s="202"/>
      <c r="U436" s="246"/>
      <c r="V436" s="246"/>
      <c r="W436" s="246"/>
      <c r="BA436"/>
      <c r="BB436"/>
    </row>
    <row r="437" spans="1:54" s="191" customFormat="1" ht="13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>
        <f t="shared" si="64"/>
        <v>0</v>
      </c>
      <c r="S437" s="201"/>
      <c r="T437" s="202"/>
      <c r="U437" s="246"/>
      <c r="V437" s="246"/>
      <c r="W437" s="246"/>
      <c r="BA437"/>
      <c r="BB437"/>
    </row>
    <row r="438" spans="1:54" s="191" customFormat="1" ht="13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>
        <f t="shared" si="64"/>
        <v>0</v>
      </c>
      <c r="S438" s="201"/>
      <c r="T438" s="202"/>
      <c r="U438" s="246"/>
      <c r="V438" s="246"/>
      <c r="W438" s="246"/>
      <c r="BA438"/>
      <c r="BB438"/>
    </row>
    <row r="439" spans="1:54" s="191" customFormat="1" ht="13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>
        <f t="shared" si="64"/>
        <v>0</v>
      </c>
      <c r="S439" s="201"/>
      <c r="T439" s="202"/>
      <c r="U439" s="246"/>
      <c r="V439" s="246"/>
      <c r="W439" s="246"/>
      <c r="BA439"/>
      <c r="BB439"/>
    </row>
    <row r="440" spans="1:54" s="191" customFormat="1" ht="13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>
        <f t="shared" si="64"/>
        <v>0</v>
      </c>
      <c r="S440" s="201"/>
      <c r="T440" s="202"/>
      <c r="U440" s="246"/>
      <c r="V440" s="246"/>
      <c r="W440" s="246"/>
      <c r="BA440"/>
      <c r="BB440"/>
    </row>
    <row r="441" spans="1:54" s="191" customFormat="1" ht="13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>
        <f t="shared" si="64"/>
        <v>0</v>
      </c>
      <c r="S441" s="201"/>
      <c r="T441" s="202"/>
      <c r="U441" s="246"/>
      <c r="V441" s="246"/>
      <c r="W441" s="246"/>
      <c r="BA441"/>
      <c r="BB441"/>
    </row>
    <row r="442" spans="1:54" s="191" customFormat="1" ht="13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>
        <f t="shared" si="64"/>
        <v>0</v>
      </c>
      <c r="S442" s="201"/>
      <c r="T442" s="202"/>
      <c r="U442" s="246"/>
      <c r="V442" s="246"/>
      <c r="W442" s="246"/>
      <c r="BA442"/>
      <c r="BB442"/>
    </row>
    <row r="443" spans="1:54" s="191" customFormat="1" ht="13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>
        <f t="shared" si="64"/>
        <v>0</v>
      </c>
      <c r="S443" s="201"/>
      <c r="T443" s="202"/>
      <c r="U443" s="246"/>
      <c r="V443" s="246"/>
      <c r="W443" s="246"/>
      <c r="BA443"/>
      <c r="BB443"/>
    </row>
    <row r="444" spans="1:54" s="191" customFormat="1" ht="13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>
        <f t="shared" si="64"/>
        <v>0</v>
      </c>
      <c r="S444" s="201"/>
      <c r="T444" s="202"/>
      <c r="U444" s="246"/>
      <c r="V444" s="246"/>
      <c r="W444" s="246"/>
      <c r="BA444"/>
      <c r="BB444"/>
    </row>
    <row r="445" spans="1:54" s="191" customFormat="1" ht="13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>
        <f t="shared" si="64"/>
        <v>0</v>
      </c>
      <c r="S445" s="201"/>
      <c r="T445" s="202"/>
      <c r="U445" s="246"/>
      <c r="V445" s="246"/>
      <c r="W445" s="246"/>
      <c r="BA445"/>
      <c r="BB445"/>
    </row>
    <row r="446" spans="1:54" s="191" customFormat="1" ht="13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>
        <f t="shared" si="64"/>
        <v>0</v>
      </c>
      <c r="S446" s="201"/>
      <c r="T446" s="202"/>
      <c r="U446" s="246"/>
      <c r="V446" s="246"/>
      <c r="W446" s="246"/>
      <c r="BA446"/>
      <c r="BB446"/>
    </row>
    <row r="447" spans="1:54" s="191" customFormat="1" ht="13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>
        <f t="shared" si="64"/>
        <v>0</v>
      </c>
      <c r="S447" s="201"/>
      <c r="T447" s="202"/>
      <c r="U447" s="246"/>
      <c r="V447" s="246"/>
      <c r="W447" s="246"/>
      <c r="BA447"/>
      <c r="BB447"/>
    </row>
    <row r="448" spans="1:54" s="191" customFormat="1" ht="13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>
        <f t="shared" si="64"/>
        <v>0</v>
      </c>
      <c r="S448" s="201"/>
      <c r="T448" s="202"/>
      <c r="U448" s="246"/>
      <c r="V448" s="246"/>
      <c r="W448" s="246"/>
      <c r="BA448"/>
      <c r="BB448"/>
    </row>
    <row r="449" spans="1:54" s="191" customFormat="1" ht="13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>
        <f t="shared" si="64"/>
        <v>0</v>
      </c>
      <c r="S449" s="201"/>
      <c r="T449" s="202"/>
      <c r="U449" s="246"/>
      <c r="V449" s="246"/>
      <c r="W449" s="246"/>
      <c r="BA449"/>
      <c r="BB449"/>
    </row>
    <row r="450" spans="1:54" s="191" customFormat="1" ht="13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>
        <f t="shared" si="64"/>
        <v>0</v>
      </c>
      <c r="S450" s="201"/>
      <c r="T450" s="202"/>
      <c r="U450" s="246"/>
      <c r="V450" s="246"/>
      <c r="W450" s="246"/>
      <c r="BA450"/>
      <c r="BB450"/>
    </row>
    <row r="451" spans="1:54" s="191" customFormat="1" ht="13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>
        <f t="shared" ref="R451:R514" si="65">SUM(F451:Q451)</f>
        <v>0</v>
      </c>
      <c r="S451" s="201"/>
      <c r="T451" s="202"/>
      <c r="U451" s="246"/>
      <c r="V451" s="246"/>
      <c r="W451" s="246"/>
      <c r="BA451"/>
      <c r="BB451"/>
    </row>
    <row r="452" spans="1:54" s="191" customFormat="1" ht="13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>
        <f t="shared" si="65"/>
        <v>0</v>
      </c>
      <c r="S452" s="201"/>
      <c r="T452" s="202"/>
      <c r="U452" s="246"/>
      <c r="V452" s="246"/>
      <c r="W452" s="246"/>
      <c r="BA452"/>
      <c r="BB452"/>
    </row>
    <row r="453" spans="1:54" s="191" customFormat="1" ht="13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>
        <f t="shared" si="65"/>
        <v>0</v>
      </c>
      <c r="S453" s="201"/>
      <c r="T453" s="202"/>
      <c r="U453" s="246"/>
      <c r="V453" s="246"/>
      <c r="W453" s="246"/>
      <c r="BA453"/>
      <c r="BB453"/>
    </row>
    <row r="454" spans="1:54" s="191" customFormat="1" ht="13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>
        <f t="shared" si="65"/>
        <v>0</v>
      </c>
      <c r="S454" s="201"/>
      <c r="T454" s="202"/>
      <c r="U454" s="246"/>
      <c r="V454" s="246"/>
      <c r="W454" s="246"/>
      <c r="BA454"/>
      <c r="BB454"/>
    </row>
    <row r="455" spans="1:54" s="191" customFormat="1" ht="13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>
        <f t="shared" si="65"/>
        <v>0</v>
      </c>
      <c r="S455" s="201"/>
      <c r="T455" s="202"/>
      <c r="U455" s="246"/>
      <c r="V455" s="246"/>
      <c r="W455" s="246"/>
      <c r="BA455"/>
      <c r="BB455"/>
    </row>
    <row r="456" spans="1:54" s="191" customFormat="1" ht="13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>
        <f t="shared" si="65"/>
        <v>0</v>
      </c>
      <c r="S456" s="201"/>
      <c r="T456" s="202"/>
      <c r="U456" s="246"/>
      <c r="V456" s="246"/>
      <c r="W456" s="246"/>
      <c r="BA456"/>
      <c r="BB456"/>
    </row>
    <row r="457" spans="1:54" s="191" customFormat="1" ht="13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>
        <f t="shared" si="65"/>
        <v>0</v>
      </c>
      <c r="S457" s="201"/>
      <c r="T457" s="202"/>
      <c r="U457" s="246"/>
      <c r="V457" s="246"/>
      <c r="W457" s="246"/>
      <c r="BA457"/>
      <c r="BB457"/>
    </row>
    <row r="458" spans="1:54" s="191" customFormat="1" ht="13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>
        <f t="shared" si="65"/>
        <v>0</v>
      </c>
      <c r="S458" s="201"/>
      <c r="T458" s="202"/>
      <c r="U458" s="246"/>
      <c r="V458" s="246"/>
      <c r="W458" s="246"/>
      <c r="BA458"/>
      <c r="BB458"/>
    </row>
    <row r="459" spans="1:54" s="191" customFormat="1" ht="13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>
        <f t="shared" si="65"/>
        <v>0</v>
      </c>
      <c r="S459" s="201"/>
      <c r="T459" s="202"/>
      <c r="U459" s="246"/>
      <c r="V459" s="246"/>
      <c r="W459" s="246"/>
      <c r="BA459"/>
      <c r="BB459"/>
    </row>
    <row r="460" spans="1:54" s="191" customFormat="1" ht="13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>
        <f t="shared" si="65"/>
        <v>0</v>
      </c>
      <c r="S460" s="201"/>
      <c r="T460" s="202"/>
      <c r="U460" s="246"/>
      <c r="V460" s="246"/>
      <c r="W460" s="246"/>
      <c r="BA460"/>
      <c r="BB460"/>
    </row>
    <row r="461" spans="1:54" s="191" customFormat="1" ht="13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>
        <f t="shared" si="65"/>
        <v>0</v>
      </c>
      <c r="S461" s="201"/>
      <c r="T461" s="202"/>
      <c r="U461" s="246"/>
      <c r="V461" s="246"/>
      <c r="W461" s="246"/>
      <c r="BA461"/>
      <c r="BB461"/>
    </row>
    <row r="462" spans="1:54" s="191" customFormat="1" ht="13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>
        <f t="shared" si="65"/>
        <v>0</v>
      </c>
      <c r="S462" s="201"/>
      <c r="T462" s="202"/>
      <c r="U462" s="246"/>
      <c r="V462" s="246"/>
      <c r="W462" s="246"/>
      <c r="BA462"/>
      <c r="BB462"/>
    </row>
    <row r="463" spans="1:54" s="191" customFormat="1" ht="13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>
        <f t="shared" si="65"/>
        <v>0</v>
      </c>
      <c r="S463" s="201"/>
      <c r="T463" s="202"/>
      <c r="U463" s="246"/>
      <c r="V463" s="246"/>
      <c r="W463" s="246"/>
      <c r="BA463"/>
      <c r="BB463"/>
    </row>
    <row r="464" spans="1:54" s="191" customFormat="1" ht="13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>
        <f t="shared" si="65"/>
        <v>0</v>
      </c>
      <c r="S464" s="201"/>
      <c r="T464" s="202"/>
      <c r="U464" s="246"/>
      <c r="V464" s="246"/>
      <c r="W464" s="246"/>
      <c r="BA464"/>
      <c r="BB464"/>
    </row>
    <row r="465" spans="1:54" s="191" customFormat="1" ht="13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>
        <f t="shared" si="65"/>
        <v>0</v>
      </c>
      <c r="S465" s="201"/>
      <c r="T465" s="202"/>
      <c r="U465" s="246"/>
      <c r="V465" s="246"/>
      <c r="W465" s="246"/>
      <c r="BA465"/>
      <c r="BB465"/>
    </row>
    <row r="466" spans="1:54" s="191" customFormat="1" ht="13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>
        <f t="shared" si="65"/>
        <v>0</v>
      </c>
      <c r="S466" s="201"/>
      <c r="T466" s="202"/>
      <c r="U466" s="246"/>
      <c r="V466" s="246"/>
      <c r="W466" s="246"/>
      <c r="BA466"/>
      <c r="BB466"/>
    </row>
    <row r="467" spans="1:54" s="191" customFormat="1" ht="13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>
        <f t="shared" si="65"/>
        <v>0</v>
      </c>
      <c r="S467" s="201"/>
      <c r="T467" s="202"/>
      <c r="U467" s="246"/>
      <c r="V467" s="246"/>
      <c r="W467" s="246"/>
      <c r="BA467"/>
      <c r="BB467"/>
    </row>
    <row r="468" spans="1:54" s="191" customFormat="1" ht="13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>
        <f t="shared" si="65"/>
        <v>0</v>
      </c>
      <c r="S468" s="201"/>
      <c r="T468" s="202"/>
      <c r="U468" s="246"/>
      <c r="V468" s="246"/>
      <c r="W468" s="246"/>
      <c r="BA468"/>
      <c r="BB468"/>
    </row>
    <row r="469" spans="1:54" s="191" customFormat="1" ht="13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>
        <f t="shared" si="65"/>
        <v>0</v>
      </c>
      <c r="S469" s="201"/>
      <c r="T469" s="202"/>
      <c r="U469" s="246"/>
      <c r="V469" s="246"/>
      <c r="W469" s="246"/>
      <c r="BA469"/>
      <c r="BB469"/>
    </row>
    <row r="470" spans="1:54" s="191" customFormat="1" ht="13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>
        <f t="shared" si="65"/>
        <v>0</v>
      </c>
      <c r="S470" s="201"/>
      <c r="T470" s="202"/>
      <c r="U470" s="246"/>
      <c r="V470" s="246"/>
      <c r="W470" s="246"/>
      <c r="BA470"/>
      <c r="BB470"/>
    </row>
    <row r="471" spans="1:54" s="191" customFormat="1" ht="13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>
        <f t="shared" si="65"/>
        <v>0</v>
      </c>
      <c r="S471" s="201"/>
      <c r="T471" s="202"/>
      <c r="U471" s="246"/>
      <c r="V471" s="246"/>
      <c r="W471" s="246"/>
      <c r="BA471"/>
      <c r="BB471"/>
    </row>
    <row r="472" spans="1:54" s="191" customFormat="1" ht="13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>
        <f t="shared" si="65"/>
        <v>0</v>
      </c>
      <c r="S472" s="201"/>
      <c r="T472" s="202"/>
      <c r="U472" s="246"/>
      <c r="V472" s="246"/>
      <c r="W472" s="246"/>
      <c r="BA472"/>
      <c r="BB472"/>
    </row>
    <row r="473" spans="1:54" s="191" customFormat="1" ht="13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>
        <f t="shared" si="65"/>
        <v>0</v>
      </c>
      <c r="S473" s="201"/>
      <c r="T473" s="202"/>
      <c r="U473" s="246"/>
      <c r="V473" s="246"/>
      <c r="W473" s="246"/>
      <c r="BA473"/>
      <c r="BB473"/>
    </row>
    <row r="474" spans="1:54" s="191" customFormat="1" ht="13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>
        <f t="shared" si="65"/>
        <v>0</v>
      </c>
      <c r="S474" s="201"/>
      <c r="T474" s="202"/>
      <c r="U474" s="246"/>
      <c r="V474" s="246"/>
      <c r="W474" s="246"/>
      <c r="BA474"/>
      <c r="BB474"/>
    </row>
    <row r="475" spans="1:54" s="191" customFormat="1" ht="13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>
        <f t="shared" si="65"/>
        <v>0</v>
      </c>
      <c r="S475" s="201"/>
      <c r="T475" s="202"/>
      <c r="U475" s="246"/>
      <c r="V475" s="246"/>
      <c r="W475" s="246"/>
      <c r="BA475"/>
      <c r="BB475"/>
    </row>
    <row r="476" spans="1:54" s="191" customFormat="1" ht="13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>
        <f t="shared" si="65"/>
        <v>0</v>
      </c>
      <c r="S476" s="201"/>
      <c r="T476" s="202"/>
      <c r="U476" s="246"/>
      <c r="V476" s="246"/>
      <c r="W476" s="246"/>
      <c r="BA476"/>
      <c r="BB476"/>
    </row>
    <row r="477" spans="1:54" s="191" customFormat="1" ht="13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>
        <f t="shared" si="65"/>
        <v>0</v>
      </c>
      <c r="S477" s="201"/>
      <c r="T477" s="202"/>
      <c r="U477" s="246"/>
      <c r="V477" s="246"/>
      <c r="W477" s="246"/>
      <c r="BA477"/>
      <c r="BB477"/>
    </row>
    <row r="478" spans="1:54" s="191" customFormat="1" ht="13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>
        <f t="shared" si="65"/>
        <v>0</v>
      </c>
      <c r="S478" s="201"/>
      <c r="T478" s="202"/>
      <c r="U478" s="246"/>
      <c r="V478" s="246"/>
      <c r="W478" s="246"/>
      <c r="BA478"/>
      <c r="BB478"/>
    </row>
    <row r="479" spans="1:54" s="191" customFormat="1" ht="13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>
        <f t="shared" si="65"/>
        <v>0</v>
      </c>
      <c r="S479" s="201"/>
      <c r="T479" s="202"/>
      <c r="U479" s="246"/>
      <c r="V479" s="246"/>
      <c r="W479" s="246"/>
      <c r="BA479"/>
      <c r="BB479"/>
    </row>
    <row r="480" spans="1:54" s="191" customFormat="1" ht="13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>
        <f t="shared" si="65"/>
        <v>0</v>
      </c>
      <c r="S480" s="201"/>
      <c r="T480" s="202"/>
      <c r="U480" s="246"/>
      <c r="V480" s="246"/>
      <c r="W480" s="246"/>
      <c r="BA480"/>
      <c r="BB480"/>
    </row>
    <row r="481" spans="1:54" s="191" customFormat="1" ht="13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>
        <f t="shared" si="65"/>
        <v>0</v>
      </c>
      <c r="S481" s="201"/>
      <c r="T481" s="202"/>
      <c r="U481" s="246"/>
      <c r="V481" s="246"/>
      <c r="W481" s="246"/>
      <c r="BA481"/>
      <c r="BB481"/>
    </row>
    <row r="482" spans="1:54" s="191" customFormat="1" ht="13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>
        <f t="shared" si="65"/>
        <v>0</v>
      </c>
      <c r="S482" s="201"/>
      <c r="T482" s="202"/>
      <c r="U482" s="246"/>
      <c r="V482" s="246"/>
      <c r="W482" s="246"/>
      <c r="BA482"/>
      <c r="BB482"/>
    </row>
    <row r="483" spans="1:54" s="191" customFormat="1" ht="13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>
        <f t="shared" si="65"/>
        <v>0</v>
      </c>
      <c r="S483" s="201"/>
      <c r="T483" s="202"/>
      <c r="U483" s="246"/>
      <c r="V483" s="246"/>
      <c r="W483" s="246"/>
      <c r="BA483"/>
      <c r="BB483"/>
    </row>
    <row r="484" spans="1:54" s="191" customFormat="1" ht="13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>
        <f t="shared" si="65"/>
        <v>0</v>
      </c>
      <c r="S484" s="201"/>
      <c r="T484" s="202"/>
      <c r="U484" s="246"/>
      <c r="V484" s="246"/>
      <c r="W484" s="246"/>
      <c r="BA484"/>
      <c r="BB484"/>
    </row>
    <row r="485" spans="1:54" s="191" customFormat="1" ht="13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>
        <f t="shared" si="65"/>
        <v>0</v>
      </c>
      <c r="S485" s="201"/>
      <c r="T485" s="202"/>
      <c r="U485" s="246"/>
      <c r="V485" s="246"/>
      <c r="W485" s="246"/>
      <c r="BA485"/>
      <c r="BB485"/>
    </row>
    <row r="486" spans="1:54" s="191" customFormat="1" ht="13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>
        <f t="shared" si="65"/>
        <v>0</v>
      </c>
      <c r="S486" s="201"/>
      <c r="T486" s="202"/>
      <c r="U486" s="246"/>
      <c r="V486" s="246"/>
      <c r="W486" s="246"/>
      <c r="BA486"/>
      <c r="BB486"/>
    </row>
    <row r="487" spans="1:54" s="191" customFormat="1" ht="13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>
        <f t="shared" si="65"/>
        <v>0</v>
      </c>
      <c r="S487" s="201"/>
      <c r="T487" s="202"/>
      <c r="U487" s="246"/>
      <c r="V487" s="246"/>
      <c r="W487" s="246"/>
      <c r="BA487"/>
      <c r="BB487"/>
    </row>
    <row r="488" spans="1:54" s="191" customFormat="1" ht="13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>
        <f t="shared" si="65"/>
        <v>0</v>
      </c>
      <c r="S488" s="201"/>
      <c r="T488" s="202"/>
      <c r="U488" s="246"/>
      <c r="V488" s="246"/>
      <c r="W488" s="246"/>
      <c r="BA488"/>
      <c r="BB488"/>
    </row>
    <row r="489" spans="1:54" s="191" customFormat="1" ht="13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>
        <f t="shared" si="65"/>
        <v>0</v>
      </c>
      <c r="S489" s="201"/>
      <c r="T489" s="202"/>
      <c r="U489" s="246"/>
      <c r="V489" s="246"/>
      <c r="W489" s="246"/>
      <c r="BA489"/>
      <c r="BB489"/>
    </row>
    <row r="490" spans="1:54" s="191" customFormat="1" ht="13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>
        <f t="shared" si="65"/>
        <v>0</v>
      </c>
      <c r="S490" s="201"/>
      <c r="T490" s="202"/>
      <c r="U490" s="246"/>
      <c r="V490" s="246"/>
      <c r="W490" s="246"/>
      <c r="BA490"/>
      <c r="BB490"/>
    </row>
    <row r="491" spans="1:54" s="191" customFormat="1" ht="13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>
        <f t="shared" si="65"/>
        <v>0</v>
      </c>
      <c r="S491" s="201"/>
      <c r="T491" s="202"/>
      <c r="U491" s="246"/>
      <c r="V491" s="246"/>
      <c r="W491" s="246"/>
      <c r="BA491"/>
      <c r="BB491"/>
    </row>
    <row r="492" spans="1:54" s="191" customFormat="1" ht="13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>
        <f t="shared" si="65"/>
        <v>0</v>
      </c>
      <c r="S492" s="201"/>
      <c r="T492" s="202"/>
      <c r="U492" s="246"/>
      <c r="V492" s="246"/>
      <c r="W492" s="246"/>
      <c r="BA492"/>
      <c r="BB492"/>
    </row>
    <row r="493" spans="1:54" s="191" customFormat="1" ht="13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>
        <f t="shared" si="65"/>
        <v>0</v>
      </c>
      <c r="S493" s="201"/>
      <c r="T493" s="202"/>
      <c r="U493" s="246"/>
      <c r="V493" s="246"/>
      <c r="W493" s="246"/>
      <c r="BA493"/>
      <c r="BB493"/>
    </row>
    <row r="494" spans="1:54" s="191" customFormat="1" ht="13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>
        <f t="shared" si="65"/>
        <v>0</v>
      </c>
      <c r="S494" s="201"/>
      <c r="T494" s="202"/>
      <c r="U494" s="246"/>
      <c r="V494" s="246"/>
      <c r="W494" s="246"/>
      <c r="BA494"/>
      <c r="BB494"/>
    </row>
    <row r="495" spans="1:54" s="191" customFormat="1" ht="13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>
        <f t="shared" si="65"/>
        <v>0</v>
      </c>
      <c r="S495" s="201"/>
      <c r="T495" s="202"/>
      <c r="U495" s="246"/>
      <c r="V495" s="246"/>
      <c r="W495" s="246"/>
      <c r="BA495"/>
      <c r="BB495"/>
    </row>
    <row r="496" spans="1:54" s="191" customFormat="1" ht="13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>
        <f t="shared" si="65"/>
        <v>0</v>
      </c>
      <c r="S496" s="201"/>
      <c r="T496" s="202"/>
      <c r="U496" s="246"/>
      <c r="V496" s="246"/>
      <c r="W496" s="246"/>
      <c r="BA496"/>
      <c r="BB496"/>
    </row>
    <row r="497" spans="1:54" s="191" customFormat="1" ht="13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>
        <f t="shared" si="65"/>
        <v>0</v>
      </c>
      <c r="S497" s="201"/>
      <c r="T497" s="202"/>
      <c r="U497" s="246"/>
      <c r="V497" s="246"/>
      <c r="W497" s="246"/>
      <c r="BA497"/>
      <c r="BB497"/>
    </row>
    <row r="498" spans="1:54" s="191" customFormat="1" ht="13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>
        <f t="shared" si="65"/>
        <v>0</v>
      </c>
      <c r="S498" s="201"/>
      <c r="T498" s="202"/>
      <c r="U498" s="246"/>
      <c r="V498" s="246"/>
      <c r="W498" s="246"/>
      <c r="BA498"/>
      <c r="BB498"/>
    </row>
    <row r="499" spans="1:54" s="191" customFormat="1" ht="13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>
        <f t="shared" si="65"/>
        <v>0</v>
      </c>
      <c r="S499" s="201"/>
      <c r="T499" s="202"/>
      <c r="U499" s="246"/>
      <c r="V499" s="246"/>
      <c r="W499" s="246"/>
      <c r="BA499"/>
      <c r="BB499"/>
    </row>
    <row r="500" spans="1:54" s="191" customFormat="1" ht="13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>
        <f t="shared" si="65"/>
        <v>0</v>
      </c>
      <c r="S500" s="201"/>
      <c r="T500" s="202"/>
      <c r="U500" s="246"/>
      <c r="V500" s="246"/>
      <c r="W500" s="246"/>
      <c r="BA500"/>
      <c r="BB500"/>
    </row>
    <row r="501" spans="1:54" s="191" customFormat="1" ht="13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>
        <f t="shared" si="65"/>
        <v>0</v>
      </c>
      <c r="S501" s="201"/>
      <c r="T501" s="202"/>
      <c r="U501" s="246"/>
      <c r="V501" s="246"/>
      <c r="W501" s="246"/>
      <c r="BA501"/>
      <c r="BB501"/>
    </row>
    <row r="502" spans="1:54" s="191" customFormat="1" ht="13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>
        <f t="shared" si="65"/>
        <v>0</v>
      </c>
      <c r="S502" s="201"/>
      <c r="T502" s="202"/>
      <c r="U502" s="246"/>
      <c r="V502" s="246"/>
      <c r="W502" s="246"/>
      <c r="BA502"/>
      <c r="BB502"/>
    </row>
    <row r="503" spans="1:54" s="191" customFormat="1" ht="13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>
        <f t="shared" si="65"/>
        <v>0</v>
      </c>
      <c r="S503" s="201"/>
      <c r="T503" s="202"/>
      <c r="U503" s="246"/>
      <c r="V503" s="246"/>
      <c r="W503" s="246"/>
      <c r="BA503"/>
      <c r="BB503"/>
    </row>
    <row r="504" spans="1:54" s="191" customFormat="1" ht="13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>
        <f t="shared" si="65"/>
        <v>0</v>
      </c>
      <c r="S504" s="201"/>
      <c r="T504" s="202"/>
      <c r="U504" s="246"/>
      <c r="V504" s="246"/>
      <c r="W504" s="246"/>
      <c r="BA504"/>
      <c r="BB504"/>
    </row>
    <row r="505" spans="1:54" s="191" customFormat="1" ht="13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>
        <f t="shared" si="65"/>
        <v>0</v>
      </c>
      <c r="S505" s="201"/>
      <c r="T505" s="202"/>
      <c r="U505" s="246"/>
      <c r="V505" s="246"/>
      <c r="W505" s="246"/>
      <c r="BA505"/>
      <c r="BB505"/>
    </row>
    <row r="506" spans="1:54" s="191" customFormat="1" ht="13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>
        <f t="shared" si="65"/>
        <v>0</v>
      </c>
      <c r="S506" s="201"/>
      <c r="T506" s="202"/>
      <c r="U506" s="246"/>
      <c r="V506" s="246"/>
      <c r="W506" s="246"/>
      <c r="BA506"/>
      <c r="BB506"/>
    </row>
    <row r="507" spans="1:54" s="191" customFormat="1" ht="13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>
        <f t="shared" si="65"/>
        <v>0</v>
      </c>
      <c r="S507" s="201"/>
      <c r="T507" s="202"/>
      <c r="U507" s="246"/>
      <c r="V507" s="246"/>
      <c r="W507" s="246"/>
      <c r="BA507"/>
      <c r="BB507"/>
    </row>
    <row r="508" spans="1:54" s="191" customFormat="1" ht="13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>
        <f t="shared" si="65"/>
        <v>0</v>
      </c>
      <c r="S508" s="201"/>
      <c r="T508" s="202"/>
      <c r="U508" s="246"/>
      <c r="V508" s="246"/>
      <c r="W508" s="246"/>
      <c r="BA508"/>
      <c r="BB508"/>
    </row>
    <row r="509" spans="1:54" s="191" customFormat="1" ht="13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>
        <f t="shared" si="65"/>
        <v>0</v>
      </c>
      <c r="S509" s="201"/>
      <c r="T509" s="202"/>
      <c r="U509" s="246"/>
      <c r="V509" s="246"/>
      <c r="W509" s="246"/>
      <c r="BA509"/>
      <c r="BB509"/>
    </row>
    <row r="510" spans="1:54" s="191" customFormat="1" ht="13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>
        <f t="shared" si="65"/>
        <v>0</v>
      </c>
      <c r="S510" s="201"/>
      <c r="T510" s="202"/>
      <c r="U510" s="246"/>
      <c r="V510" s="246"/>
      <c r="W510" s="246"/>
      <c r="BA510"/>
      <c r="BB510"/>
    </row>
    <row r="511" spans="1:54" s="191" customFormat="1" ht="13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>
        <f t="shared" si="65"/>
        <v>0</v>
      </c>
      <c r="S511" s="201"/>
      <c r="T511" s="202"/>
      <c r="U511" s="246"/>
      <c r="V511" s="246"/>
      <c r="W511" s="246"/>
      <c r="BA511"/>
      <c r="BB511"/>
    </row>
    <row r="512" spans="1:54" s="191" customFormat="1" ht="13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>
        <f t="shared" si="65"/>
        <v>0</v>
      </c>
      <c r="S512" s="201"/>
      <c r="T512" s="202"/>
      <c r="U512" s="246"/>
      <c r="V512" s="246"/>
      <c r="W512" s="246"/>
      <c r="BA512"/>
      <c r="BB512"/>
    </row>
    <row r="513" spans="1:54" s="191" customFormat="1" ht="13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>
        <f t="shared" si="65"/>
        <v>0</v>
      </c>
      <c r="S513" s="201"/>
      <c r="T513" s="202"/>
      <c r="U513" s="246"/>
      <c r="V513" s="246"/>
      <c r="W513" s="246"/>
      <c r="BA513"/>
      <c r="BB513"/>
    </row>
    <row r="514" spans="1:54" s="191" customFormat="1" ht="13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>
        <f t="shared" si="65"/>
        <v>0</v>
      </c>
      <c r="S514" s="201"/>
      <c r="T514" s="202"/>
      <c r="U514" s="246"/>
      <c r="V514" s="246"/>
      <c r="W514" s="246"/>
      <c r="BA514"/>
      <c r="BB514"/>
    </row>
    <row r="515" spans="1:54" s="191" customFormat="1" ht="13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>
        <f t="shared" ref="R515:R578" si="66">SUM(F515:Q515)</f>
        <v>0</v>
      </c>
      <c r="S515" s="201"/>
      <c r="T515" s="202"/>
      <c r="U515" s="246"/>
      <c r="V515" s="246"/>
      <c r="W515" s="246"/>
      <c r="BA515"/>
      <c r="BB515"/>
    </row>
    <row r="516" spans="1:54" s="191" customFormat="1" ht="13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>
        <f t="shared" si="66"/>
        <v>0</v>
      </c>
      <c r="S516" s="201"/>
      <c r="T516" s="202"/>
      <c r="U516" s="246"/>
      <c r="V516" s="246"/>
      <c r="W516" s="246"/>
      <c r="BA516"/>
      <c r="BB516"/>
    </row>
    <row r="517" spans="1:54" s="191" customFormat="1" ht="13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>
        <f t="shared" si="66"/>
        <v>0</v>
      </c>
      <c r="S517" s="201"/>
      <c r="T517" s="202"/>
      <c r="U517" s="246"/>
      <c r="V517" s="246"/>
      <c r="W517" s="246"/>
      <c r="BA517"/>
      <c r="BB517"/>
    </row>
    <row r="518" spans="1:54" s="191" customFormat="1" ht="13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>
        <f t="shared" si="66"/>
        <v>0</v>
      </c>
      <c r="S518" s="201"/>
      <c r="T518" s="202"/>
      <c r="U518" s="246"/>
      <c r="V518" s="246"/>
      <c r="W518" s="246"/>
      <c r="BA518"/>
      <c r="BB518"/>
    </row>
    <row r="519" spans="1:54" s="191" customFormat="1" ht="13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>
        <f t="shared" si="66"/>
        <v>0</v>
      </c>
      <c r="S519" s="201"/>
      <c r="T519" s="202"/>
      <c r="U519" s="246"/>
      <c r="V519" s="246"/>
      <c r="W519" s="246"/>
      <c r="BA519"/>
      <c r="BB519"/>
    </row>
    <row r="520" spans="1:54" s="191" customFormat="1" ht="13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>
        <f t="shared" si="66"/>
        <v>0</v>
      </c>
      <c r="S520" s="201"/>
      <c r="T520" s="202"/>
      <c r="U520" s="246"/>
      <c r="V520" s="246"/>
      <c r="W520" s="246"/>
      <c r="BA520"/>
      <c r="BB520"/>
    </row>
    <row r="521" spans="1:54" s="191" customFormat="1" ht="13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>
        <f t="shared" si="66"/>
        <v>0</v>
      </c>
      <c r="S521" s="201"/>
      <c r="T521" s="202"/>
      <c r="U521" s="246"/>
      <c r="V521" s="246"/>
      <c r="W521" s="246"/>
      <c r="BA521"/>
      <c r="BB521"/>
    </row>
    <row r="522" spans="1:54" s="191" customFormat="1" ht="13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>
        <f t="shared" si="66"/>
        <v>0</v>
      </c>
      <c r="S522" s="201"/>
      <c r="T522" s="202"/>
      <c r="U522" s="246"/>
      <c r="V522" s="246"/>
      <c r="W522" s="246"/>
      <c r="BA522"/>
      <c r="BB522"/>
    </row>
    <row r="523" spans="1:54" s="191" customFormat="1" ht="13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>
        <f t="shared" si="66"/>
        <v>0</v>
      </c>
      <c r="S523" s="201"/>
      <c r="T523" s="202"/>
      <c r="U523" s="246"/>
      <c r="V523" s="246"/>
      <c r="W523" s="246"/>
      <c r="BA523"/>
      <c r="BB523"/>
    </row>
    <row r="524" spans="1:54" s="191" customFormat="1" ht="13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>
        <f t="shared" si="66"/>
        <v>0</v>
      </c>
      <c r="S524" s="201"/>
      <c r="T524" s="202"/>
      <c r="U524" s="246"/>
      <c r="V524" s="246"/>
      <c r="W524" s="246"/>
      <c r="BA524"/>
      <c r="BB524"/>
    </row>
    <row r="525" spans="1:54" s="191" customFormat="1" ht="13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>
        <f t="shared" si="66"/>
        <v>0</v>
      </c>
      <c r="S525" s="201"/>
      <c r="T525" s="202"/>
      <c r="U525" s="246"/>
      <c r="V525" s="246"/>
      <c r="W525" s="246"/>
      <c r="BA525"/>
      <c r="BB525"/>
    </row>
    <row r="526" spans="1:54" s="191" customFormat="1" ht="13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>
        <f t="shared" si="66"/>
        <v>0</v>
      </c>
      <c r="S526" s="201"/>
      <c r="T526" s="202"/>
      <c r="U526" s="246"/>
      <c r="V526" s="246"/>
      <c r="W526" s="246"/>
      <c r="BA526"/>
      <c r="BB526"/>
    </row>
    <row r="527" spans="1:54" s="191" customFormat="1" ht="13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>
        <f t="shared" si="66"/>
        <v>0</v>
      </c>
      <c r="S527" s="201"/>
      <c r="T527" s="202"/>
      <c r="U527" s="246"/>
      <c r="V527" s="246"/>
      <c r="W527" s="246"/>
      <c r="BA527"/>
      <c r="BB527"/>
    </row>
    <row r="528" spans="1:54" s="191" customFormat="1" ht="13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>
        <f t="shared" si="66"/>
        <v>0</v>
      </c>
      <c r="S528" s="201"/>
      <c r="T528" s="202"/>
      <c r="U528" s="246"/>
      <c r="V528" s="246"/>
      <c r="W528" s="246"/>
      <c r="BA528"/>
      <c r="BB528"/>
    </row>
    <row r="529" spans="1:54" s="191" customFormat="1" ht="13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>
        <f t="shared" si="66"/>
        <v>0</v>
      </c>
      <c r="S529" s="201"/>
      <c r="T529" s="202"/>
      <c r="U529" s="246"/>
      <c r="V529" s="246"/>
      <c r="W529" s="246"/>
      <c r="BA529"/>
      <c r="BB529"/>
    </row>
    <row r="530" spans="1:54" s="191" customFormat="1" ht="13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>
        <f t="shared" si="66"/>
        <v>0</v>
      </c>
      <c r="S530" s="201"/>
      <c r="T530" s="202"/>
      <c r="U530" s="246"/>
      <c r="V530" s="246"/>
      <c r="W530" s="246"/>
      <c r="BA530"/>
      <c r="BB530"/>
    </row>
    <row r="531" spans="1:54" s="191" customFormat="1" ht="13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>
        <f t="shared" si="66"/>
        <v>0</v>
      </c>
      <c r="S531" s="201"/>
      <c r="T531" s="202"/>
      <c r="U531" s="246"/>
      <c r="V531" s="246"/>
      <c r="W531" s="246"/>
      <c r="BA531"/>
      <c r="BB531"/>
    </row>
    <row r="532" spans="1:54" s="191" customFormat="1" ht="13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>
        <f t="shared" si="66"/>
        <v>0</v>
      </c>
      <c r="S532" s="201"/>
      <c r="T532" s="202"/>
      <c r="U532" s="246"/>
      <c r="V532" s="246"/>
      <c r="W532" s="246"/>
      <c r="BA532"/>
      <c r="BB532"/>
    </row>
    <row r="533" spans="1:54" s="191" customFormat="1" ht="13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>
        <f t="shared" si="66"/>
        <v>0</v>
      </c>
      <c r="S533" s="201"/>
      <c r="T533" s="202"/>
      <c r="U533" s="246"/>
      <c r="V533" s="246"/>
      <c r="W533" s="246"/>
      <c r="BA533"/>
      <c r="BB533"/>
    </row>
    <row r="534" spans="1:54" s="191" customFormat="1" ht="13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>
        <f t="shared" si="66"/>
        <v>0</v>
      </c>
      <c r="S534" s="201"/>
      <c r="T534" s="202"/>
      <c r="U534" s="246"/>
      <c r="V534" s="246"/>
      <c r="W534" s="246"/>
      <c r="BA534"/>
      <c r="BB534"/>
    </row>
    <row r="535" spans="1:54" s="191" customFormat="1" ht="13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>
        <f t="shared" si="66"/>
        <v>0</v>
      </c>
      <c r="S535" s="201"/>
      <c r="T535" s="202"/>
      <c r="U535" s="246"/>
      <c r="V535" s="246"/>
      <c r="W535" s="246"/>
      <c r="BA535"/>
      <c r="BB535"/>
    </row>
    <row r="536" spans="1:54" s="191" customFormat="1" ht="13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>
        <f t="shared" si="66"/>
        <v>0</v>
      </c>
      <c r="S536" s="201"/>
      <c r="T536" s="202"/>
      <c r="U536" s="246"/>
      <c r="V536" s="246"/>
      <c r="W536" s="246"/>
      <c r="BA536"/>
      <c r="BB536"/>
    </row>
    <row r="537" spans="1:54" s="191" customFormat="1" ht="13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>
        <f t="shared" si="66"/>
        <v>0</v>
      </c>
      <c r="S537" s="201"/>
      <c r="T537" s="202"/>
      <c r="U537" s="246"/>
      <c r="V537" s="246"/>
      <c r="W537" s="246"/>
      <c r="BA537"/>
      <c r="BB537"/>
    </row>
    <row r="538" spans="1:54" s="191" customFormat="1" ht="13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>
        <f t="shared" si="66"/>
        <v>0</v>
      </c>
      <c r="S538" s="201"/>
      <c r="T538" s="202"/>
      <c r="U538" s="246"/>
      <c r="V538" s="246"/>
      <c r="W538" s="246"/>
      <c r="BA538"/>
      <c r="BB538"/>
    </row>
    <row r="539" spans="1:54" s="191" customFormat="1" ht="13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>
        <f t="shared" si="66"/>
        <v>0</v>
      </c>
      <c r="S539" s="201"/>
      <c r="T539" s="202"/>
      <c r="U539" s="246"/>
      <c r="V539" s="246"/>
      <c r="W539" s="246"/>
      <c r="BA539"/>
      <c r="BB539"/>
    </row>
    <row r="540" spans="1:54" s="191" customFormat="1" ht="13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>
        <f t="shared" si="66"/>
        <v>0</v>
      </c>
      <c r="S540" s="201"/>
      <c r="T540" s="202"/>
      <c r="U540" s="246"/>
      <c r="V540" s="246"/>
      <c r="W540" s="246"/>
      <c r="BA540"/>
      <c r="BB540"/>
    </row>
    <row r="541" spans="1:54" s="191" customFormat="1" ht="13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>
        <f t="shared" si="66"/>
        <v>0</v>
      </c>
      <c r="S541" s="201"/>
      <c r="T541" s="202"/>
      <c r="U541" s="246"/>
      <c r="V541" s="246"/>
      <c r="W541" s="246"/>
      <c r="BA541"/>
      <c r="BB541"/>
    </row>
    <row r="542" spans="1:54" s="191" customFormat="1" ht="13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>
        <f t="shared" si="66"/>
        <v>0</v>
      </c>
      <c r="S542" s="201"/>
      <c r="T542" s="202"/>
      <c r="U542" s="246"/>
      <c r="V542" s="246"/>
      <c r="W542" s="246"/>
      <c r="BA542"/>
      <c r="BB542"/>
    </row>
    <row r="543" spans="1:54" s="191" customFormat="1" ht="13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>
        <f t="shared" si="66"/>
        <v>0</v>
      </c>
      <c r="S543" s="201"/>
      <c r="T543" s="202"/>
      <c r="U543" s="246"/>
      <c r="V543" s="246"/>
      <c r="W543" s="246"/>
      <c r="BA543"/>
      <c r="BB543"/>
    </row>
    <row r="544" spans="1:54" s="191" customFormat="1" ht="13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>
        <f t="shared" si="66"/>
        <v>0</v>
      </c>
      <c r="S544" s="201"/>
      <c r="T544" s="202"/>
      <c r="U544" s="246"/>
      <c r="V544" s="246"/>
      <c r="W544" s="246"/>
      <c r="BA544"/>
      <c r="BB544"/>
    </row>
    <row r="545" spans="1:54" s="191" customFormat="1" ht="13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>
        <f t="shared" si="66"/>
        <v>0</v>
      </c>
      <c r="S545" s="201"/>
      <c r="T545" s="202"/>
      <c r="U545" s="246"/>
      <c r="V545" s="246"/>
      <c r="W545" s="246"/>
      <c r="BA545"/>
      <c r="BB545"/>
    </row>
    <row r="546" spans="1:54" s="191" customFormat="1" ht="13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>
        <f t="shared" si="66"/>
        <v>0</v>
      </c>
      <c r="S546" s="201"/>
      <c r="T546" s="202"/>
      <c r="U546" s="246"/>
      <c r="V546" s="246"/>
      <c r="W546" s="246"/>
      <c r="BA546"/>
      <c r="BB546"/>
    </row>
    <row r="547" spans="1:54" s="191" customFormat="1" ht="13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>
        <f t="shared" si="66"/>
        <v>0</v>
      </c>
      <c r="S547" s="201"/>
      <c r="T547" s="202"/>
      <c r="U547" s="246"/>
      <c r="V547" s="246"/>
      <c r="W547" s="246"/>
      <c r="BA547"/>
      <c r="BB547"/>
    </row>
    <row r="548" spans="1:54" s="191" customFormat="1" ht="13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>
        <f t="shared" si="66"/>
        <v>0</v>
      </c>
      <c r="S548" s="201"/>
      <c r="T548" s="202"/>
      <c r="U548" s="246"/>
      <c r="V548" s="246"/>
      <c r="W548" s="246"/>
      <c r="BA548"/>
      <c r="BB548"/>
    </row>
    <row r="549" spans="1:54" s="191" customFormat="1" ht="13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>
        <f t="shared" si="66"/>
        <v>0</v>
      </c>
      <c r="S549" s="201"/>
      <c r="T549" s="202"/>
      <c r="U549" s="246"/>
      <c r="V549" s="246"/>
      <c r="W549" s="246"/>
      <c r="BA549"/>
      <c r="BB549"/>
    </row>
    <row r="550" spans="1:54" s="191" customFormat="1" ht="13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>
        <f t="shared" si="66"/>
        <v>0</v>
      </c>
      <c r="S550" s="201"/>
      <c r="T550" s="202"/>
      <c r="U550" s="246"/>
      <c r="V550" s="246"/>
      <c r="W550" s="246"/>
      <c r="BA550"/>
      <c r="BB550"/>
    </row>
    <row r="551" spans="1:54" s="191" customFormat="1" ht="13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>
        <f t="shared" si="66"/>
        <v>0</v>
      </c>
      <c r="S551" s="201"/>
      <c r="T551" s="202"/>
      <c r="U551" s="246"/>
      <c r="V551" s="246"/>
      <c r="W551" s="246"/>
      <c r="BA551"/>
      <c r="BB551"/>
    </row>
    <row r="552" spans="1:54" s="191" customFormat="1" ht="13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>
        <f t="shared" si="66"/>
        <v>0</v>
      </c>
      <c r="S552" s="201"/>
      <c r="T552" s="202"/>
      <c r="U552" s="246"/>
      <c r="V552" s="246"/>
      <c r="W552" s="246"/>
      <c r="BA552"/>
      <c r="BB552"/>
    </row>
    <row r="553" spans="1:54" s="191" customFormat="1" ht="13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>
        <f t="shared" si="66"/>
        <v>0</v>
      </c>
      <c r="S553" s="201"/>
      <c r="T553" s="202"/>
      <c r="U553" s="246"/>
      <c r="V553" s="246"/>
      <c r="W553" s="246"/>
      <c r="BA553"/>
      <c r="BB553"/>
    </row>
    <row r="554" spans="1:54" s="191" customFormat="1" ht="13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>
        <f t="shared" si="66"/>
        <v>0</v>
      </c>
      <c r="S554" s="201"/>
      <c r="T554" s="202"/>
      <c r="U554" s="246"/>
      <c r="V554" s="246"/>
      <c r="W554" s="246"/>
      <c r="BA554"/>
      <c r="BB554"/>
    </row>
    <row r="555" spans="1:54" s="191" customFormat="1" ht="13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>
        <f t="shared" si="66"/>
        <v>0</v>
      </c>
      <c r="S555" s="201"/>
      <c r="T555" s="202"/>
      <c r="U555" s="246"/>
      <c r="V555" s="246"/>
      <c r="W555" s="246"/>
      <c r="BA555"/>
      <c r="BB555"/>
    </row>
    <row r="556" spans="1:54" s="191" customFormat="1" ht="13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>
        <f t="shared" si="66"/>
        <v>0</v>
      </c>
      <c r="S556" s="201"/>
      <c r="T556" s="202"/>
      <c r="U556" s="246"/>
      <c r="V556" s="246"/>
      <c r="W556" s="246"/>
      <c r="BA556"/>
      <c r="BB556"/>
    </row>
    <row r="557" spans="1:54" s="191" customFormat="1" ht="13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>
        <f t="shared" si="66"/>
        <v>0</v>
      </c>
      <c r="S557" s="201"/>
      <c r="T557" s="202"/>
      <c r="U557" s="246"/>
      <c r="V557" s="246"/>
      <c r="W557" s="246"/>
      <c r="BA557"/>
      <c r="BB557"/>
    </row>
    <row r="558" spans="1:54" s="191" customFormat="1" ht="13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>
        <f t="shared" si="66"/>
        <v>0</v>
      </c>
      <c r="S558" s="201"/>
      <c r="T558" s="202"/>
      <c r="U558" s="246"/>
      <c r="V558" s="246"/>
      <c r="W558" s="246"/>
      <c r="BA558"/>
      <c r="BB558"/>
    </row>
    <row r="559" spans="1:54" s="191" customFormat="1" ht="13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>
        <f t="shared" si="66"/>
        <v>0</v>
      </c>
      <c r="S559" s="201"/>
      <c r="T559" s="202"/>
      <c r="U559" s="246"/>
      <c r="V559" s="246"/>
      <c r="W559" s="246"/>
      <c r="BA559"/>
      <c r="BB559"/>
    </row>
    <row r="560" spans="1:54" s="191" customFormat="1" ht="13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>
        <f t="shared" si="66"/>
        <v>0</v>
      </c>
      <c r="S560" s="201"/>
      <c r="T560" s="202"/>
      <c r="U560" s="246"/>
      <c r="V560" s="246"/>
      <c r="W560" s="246"/>
      <c r="BA560"/>
      <c r="BB560"/>
    </row>
    <row r="561" spans="1:54" s="191" customFormat="1" ht="13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>
        <f t="shared" si="66"/>
        <v>0</v>
      </c>
      <c r="S561" s="201"/>
      <c r="T561" s="202"/>
      <c r="U561" s="246"/>
      <c r="V561" s="246"/>
      <c r="W561" s="246"/>
      <c r="BA561"/>
      <c r="BB561"/>
    </row>
    <row r="562" spans="1:54" s="191" customFormat="1" ht="13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>
        <f t="shared" si="66"/>
        <v>0</v>
      </c>
      <c r="S562" s="201"/>
      <c r="T562" s="202"/>
      <c r="U562" s="246"/>
      <c r="V562" s="246"/>
      <c r="W562" s="246"/>
      <c r="BA562"/>
      <c r="BB562"/>
    </row>
    <row r="563" spans="1:54" s="191" customFormat="1" ht="13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>
        <f t="shared" si="66"/>
        <v>0</v>
      </c>
      <c r="S563" s="201"/>
      <c r="T563" s="202"/>
      <c r="U563" s="246"/>
      <c r="V563" s="246"/>
      <c r="W563" s="246"/>
      <c r="BA563"/>
      <c r="BB563"/>
    </row>
    <row r="564" spans="1:54" s="191" customFormat="1" ht="13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>
        <f t="shared" si="66"/>
        <v>0</v>
      </c>
      <c r="S564" s="201"/>
      <c r="T564" s="202"/>
      <c r="U564" s="246"/>
      <c r="V564" s="246"/>
      <c r="W564" s="246"/>
      <c r="BA564"/>
      <c r="BB564"/>
    </row>
    <row r="565" spans="1:54" s="191" customFormat="1" ht="13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>
        <f t="shared" si="66"/>
        <v>0</v>
      </c>
      <c r="S565" s="201"/>
      <c r="T565" s="202"/>
      <c r="U565" s="246"/>
      <c r="V565" s="246"/>
      <c r="W565" s="246"/>
      <c r="BA565"/>
      <c r="BB565"/>
    </row>
    <row r="566" spans="1:54" s="191" customFormat="1" ht="13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>
        <f t="shared" si="66"/>
        <v>0</v>
      </c>
      <c r="S566" s="201"/>
      <c r="T566" s="202"/>
      <c r="U566" s="246"/>
      <c r="V566" s="246"/>
      <c r="W566" s="246"/>
      <c r="BA566"/>
      <c r="BB566"/>
    </row>
    <row r="567" spans="1:54" s="191" customFormat="1" ht="13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>
        <f t="shared" si="66"/>
        <v>0</v>
      </c>
      <c r="S567" s="201"/>
      <c r="T567" s="202"/>
      <c r="U567" s="246"/>
      <c r="V567" s="246"/>
      <c r="W567" s="246"/>
      <c r="BA567"/>
      <c r="BB567"/>
    </row>
    <row r="568" spans="1:54" s="191" customFormat="1" ht="13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>
        <f t="shared" si="66"/>
        <v>0</v>
      </c>
      <c r="S568" s="201"/>
      <c r="T568" s="202"/>
      <c r="U568" s="246"/>
      <c r="V568" s="246"/>
      <c r="W568" s="246"/>
      <c r="BA568"/>
      <c r="BB568"/>
    </row>
    <row r="569" spans="1:54" s="191" customFormat="1" ht="13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>
        <f t="shared" si="66"/>
        <v>0</v>
      </c>
      <c r="S569" s="201"/>
      <c r="T569" s="202"/>
      <c r="U569" s="246"/>
      <c r="V569" s="246"/>
      <c r="W569" s="246"/>
      <c r="BA569"/>
      <c r="BB569"/>
    </row>
    <row r="570" spans="1:54" s="191" customFormat="1" ht="13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>
        <f t="shared" si="66"/>
        <v>0</v>
      </c>
      <c r="S570" s="201"/>
      <c r="T570" s="202"/>
      <c r="U570" s="246"/>
      <c r="V570" s="246"/>
      <c r="W570" s="246"/>
      <c r="BA570"/>
      <c r="BB570"/>
    </row>
    <row r="571" spans="1:54" s="191" customFormat="1" ht="13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>
        <f t="shared" si="66"/>
        <v>0</v>
      </c>
      <c r="S571" s="201"/>
      <c r="T571" s="202"/>
      <c r="U571" s="246"/>
      <c r="V571" s="246"/>
      <c r="W571" s="246"/>
      <c r="BA571"/>
      <c r="BB571"/>
    </row>
    <row r="572" spans="1:54" s="191" customFormat="1" ht="13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>
        <f t="shared" si="66"/>
        <v>0</v>
      </c>
      <c r="S572" s="201"/>
      <c r="T572" s="202"/>
      <c r="U572" s="246"/>
      <c r="V572" s="246"/>
      <c r="W572" s="246"/>
      <c r="BA572"/>
      <c r="BB572"/>
    </row>
    <row r="573" spans="1:54" s="191" customFormat="1" ht="13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>
        <f t="shared" si="66"/>
        <v>0</v>
      </c>
      <c r="S573" s="201"/>
      <c r="T573" s="202"/>
      <c r="U573" s="246"/>
      <c r="V573" s="246"/>
      <c r="W573" s="246"/>
      <c r="BA573"/>
      <c r="BB573"/>
    </row>
    <row r="574" spans="1:54" s="191" customFormat="1" ht="13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>
        <f t="shared" si="66"/>
        <v>0</v>
      </c>
      <c r="S574" s="201"/>
      <c r="T574" s="202"/>
      <c r="U574" s="246"/>
      <c r="V574" s="246"/>
      <c r="W574" s="246"/>
      <c r="BA574"/>
      <c r="BB574"/>
    </row>
    <row r="575" spans="1:54" s="191" customFormat="1" ht="13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>
        <f t="shared" si="66"/>
        <v>0</v>
      </c>
      <c r="S575" s="201"/>
      <c r="T575" s="202"/>
      <c r="U575" s="246"/>
      <c r="V575" s="246"/>
      <c r="W575" s="246"/>
      <c r="BA575"/>
      <c r="BB575"/>
    </row>
    <row r="576" spans="1:54" s="191" customFormat="1" ht="13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>
        <f t="shared" si="66"/>
        <v>0</v>
      </c>
      <c r="S576" s="201"/>
      <c r="T576" s="202"/>
      <c r="U576" s="246"/>
      <c r="V576" s="246"/>
      <c r="W576" s="246"/>
      <c r="BA576"/>
      <c r="BB576"/>
    </row>
    <row r="577" spans="1:54" s="191" customFormat="1" ht="13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>
        <f t="shared" si="66"/>
        <v>0</v>
      </c>
      <c r="S577" s="201"/>
      <c r="T577" s="202"/>
      <c r="U577" s="246"/>
      <c r="V577" s="246"/>
      <c r="W577" s="246"/>
      <c r="BA577"/>
      <c r="BB577"/>
    </row>
    <row r="578" spans="1:54" s="191" customFormat="1" ht="13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>
        <f t="shared" si="66"/>
        <v>0</v>
      </c>
      <c r="S578" s="201"/>
      <c r="T578" s="202"/>
      <c r="U578" s="246"/>
      <c r="V578" s="246"/>
      <c r="W578" s="246"/>
      <c r="BA578"/>
      <c r="BB578"/>
    </row>
    <row r="579" spans="1:54" s="191" customFormat="1" ht="13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>
        <f t="shared" ref="R579:R642" si="67">SUM(F579:Q579)</f>
        <v>0</v>
      </c>
      <c r="S579" s="201"/>
      <c r="T579" s="202"/>
      <c r="U579" s="246"/>
      <c r="V579" s="246"/>
      <c r="W579" s="246"/>
      <c r="BA579"/>
      <c r="BB579"/>
    </row>
    <row r="580" spans="1:54" s="191" customFormat="1" ht="13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>
        <f t="shared" si="67"/>
        <v>0</v>
      </c>
      <c r="S580" s="201"/>
      <c r="T580" s="202"/>
      <c r="U580" s="246"/>
      <c r="V580" s="246"/>
      <c r="W580" s="246"/>
      <c r="BA580"/>
      <c r="BB580"/>
    </row>
    <row r="581" spans="1:54" s="191" customFormat="1" ht="13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>
        <f t="shared" si="67"/>
        <v>0</v>
      </c>
      <c r="S581" s="201"/>
      <c r="T581" s="202"/>
      <c r="U581" s="246"/>
      <c r="V581" s="246"/>
      <c r="W581" s="246"/>
      <c r="BA581"/>
      <c r="BB581"/>
    </row>
    <row r="582" spans="1:54" s="191" customFormat="1" ht="13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>
        <f t="shared" si="67"/>
        <v>0</v>
      </c>
      <c r="S582" s="201"/>
      <c r="T582" s="202"/>
      <c r="U582" s="246"/>
      <c r="V582" s="246"/>
      <c r="W582" s="246"/>
      <c r="BA582"/>
      <c r="BB582"/>
    </row>
    <row r="583" spans="1:54" s="191" customFormat="1" ht="13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>
        <f t="shared" si="67"/>
        <v>0</v>
      </c>
      <c r="S583" s="201"/>
      <c r="T583" s="202"/>
      <c r="U583" s="246"/>
      <c r="V583" s="246"/>
      <c r="W583" s="246"/>
      <c r="BA583"/>
      <c r="BB583"/>
    </row>
    <row r="584" spans="1:54" s="191" customFormat="1" ht="13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>
        <f t="shared" si="67"/>
        <v>0</v>
      </c>
      <c r="S584" s="201"/>
      <c r="T584" s="202"/>
      <c r="U584" s="246"/>
      <c r="V584" s="246"/>
      <c r="W584" s="246"/>
      <c r="BA584"/>
      <c r="BB584"/>
    </row>
    <row r="585" spans="1:54" s="191" customFormat="1" ht="13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>
        <f t="shared" si="67"/>
        <v>0</v>
      </c>
      <c r="S585" s="201"/>
      <c r="T585" s="202"/>
      <c r="U585" s="246"/>
      <c r="V585" s="246"/>
      <c r="W585" s="246"/>
      <c r="BA585"/>
      <c r="BB585"/>
    </row>
    <row r="586" spans="1:54" s="191" customFormat="1" ht="13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>
        <f t="shared" si="67"/>
        <v>0</v>
      </c>
      <c r="S586" s="201"/>
      <c r="T586" s="202"/>
      <c r="U586" s="246"/>
      <c r="V586" s="246"/>
      <c r="W586" s="246"/>
      <c r="BA586"/>
      <c r="BB586"/>
    </row>
    <row r="587" spans="1:54" s="191" customFormat="1" ht="13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>
        <f t="shared" si="67"/>
        <v>0</v>
      </c>
      <c r="S587" s="201"/>
      <c r="T587" s="202"/>
      <c r="U587" s="246"/>
      <c r="V587" s="246"/>
      <c r="W587" s="246"/>
      <c r="BA587"/>
      <c r="BB587"/>
    </row>
    <row r="588" spans="1:54" s="191" customFormat="1" ht="13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>
        <f t="shared" si="67"/>
        <v>0</v>
      </c>
      <c r="S588" s="201"/>
      <c r="T588" s="202"/>
      <c r="U588" s="246"/>
      <c r="V588" s="246"/>
      <c r="W588" s="246"/>
      <c r="BA588"/>
      <c r="BB588"/>
    </row>
    <row r="589" spans="1:54" s="191" customFormat="1" ht="13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>
        <f t="shared" si="67"/>
        <v>0</v>
      </c>
      <c r="S589" s="201"/>
      <c r="T589" s="202"/>
      <c r="U589" s="246"/>
      <c r="V589" s="246"/>
      <c r="W589" s="246"/>
      <c r="BA589"/>
      <c r="BB589"/>
    </row>
    <row r="590" spans="1:54" s="191" customFormat="1" ht="13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>
        <f t="shared" si="67"/>
        <v>0</v>
      </c>
      <c r="S590" s="201"/>
      <c r="T590" s="202"/>
      <c r="U590" s="246"/>
      <c r="V590" s="246"/>
      <c r="W590" s="246"/>
      <c r="BA590"/>
      <c r="BB590"/>
    </row>
    <row r="591" spans="1:54" s="191" customFormat="1" ht="13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>
        <f t="shared" si="67"/>
        <v>0</v>
      </c>
      <c r="S591" s="201"/>
      <c r="T591" s="202"/>
      <c r="U591" s="246"/>
      <c r="V591" s="246"/>
      <c r="W591" s="246"/>
      <c r="BA591"/>
      <c r="BB591"/>
    </row>
    <row r="592" spans="1:54" s="191" customFormat="1" ht="13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>
        <f t="shared" si="67"/>
        <v>0</v>
      </c>
      <c r="S592" s="201"/>
      <c r="T592" s="202"/>
      <c r="U592" s="246"/>
      <c r="V592" s="246"/>
      <c r="W592" s="246"/>
      <c r="BA592"/>
      <c r="BB592"/>
    </row>
    <row r="593" spans="1:54" s="191" customFormat="1" ht="13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>
        <f t="shared" si="67"/>
        <v>0</v>
      </c>
      <c r="S593" s="201"/>
      <c r="T593" s="202"/>
      <c r="U593" s="246"/>
      <c r="V593" s="246"/>
      <c r="W593" s="246"/>
      <c r="BA593"/>
      <c r="BB593"/>
    </row>
    <row r="594" spans="1:54" s="191" customFormat="1" ht="13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>
        <f t="shared" si="67"/>
        <v>0</v>
      </c>
      <c r="S594" s="201"/>
      <c r="T594" s="202"/>
      <c r="U594" s="246"/>
      <c r="V594" s="246"/>
      <c r="W594" s="246"/>
      <c r="BA594"/>
      <c r="BB594"/>
    </row>
    <row r="595" spans="1:54" s="191" customFormat="1" ht="13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>
        <f t="shared" si="67"/>
        <v>0</v>
      </c>
      <c r="S595" s="201"/>
      <c r="T595" s="202"/>
      <c r="U595" s="246"/>
      <c r="V595" s="246"/>
      <c r="W595" s="246"/>
      <c r="BA595"/>
      <c r="BB595"/>
    </row>
    <row r="596" spans="1:54" s="191" customFormat="1" ht="13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>
        <f t="shared" si="67"/>
        <v>0</v>
      </c>
      <c r="S596" s="201"/>
      <c r="T596" s="202"/>
      <c r="U596" s="246"/>
      <c r="V596" s="246"/>
      <c r="W596" s="246"/>
      <c r="BA596"/>
      <c r="BB596"/>
    </row>
    <row r="597" spans="1:54" s="191" customFormat="1" ht="13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>
        <f t="shared" si="67"/>
        <v>0</v>
      </c>
      <c r="S597" s="201"/>
      <c r="T597" s="202"/>
      <c r="U597" s="246"/>
      <c r="V597" s="246"/>
      <c r="W597" s="246"/>
      <c r="BA597"/>
      <c r="BB597"/>
    </row>
    <row r="598" spans="1:54" s="191" customFormat="1" ht="13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>
        <f t="shared" si="67"/>
        <v>0</v>
      </c>
      <c r="S598" s="201"/>
      <c r="T598" s="202"/>
      <c r="U598" s="246"/>
      <c r="V598" s="246"/>
      <c r="W598" s="246"/>
      <c r="BA598"/>
      <c r="BB598"/>
    </row>
    <row r="599" spans="1:54" s="191" customFormat="1" ht="13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>
        <f t="shared" si="67"/>
        <v>0</v>
      </c>
      <c r="S599" s="201"/>
      <c r="T599" s="202"/>
      <c r="U599" s="246"/>
      <c r="V599" s="246"/>
      <c r="W599" s="246"/>
      <c r="BA599"/>
      <c r="BB599"/>
    </row>
    <row r="600" spans="1:54" s="191" customFormat="1" ht="13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>
        <f t="shared" si="67"/>
        <v>0</v>
      </c>
      <c r="S600" s="201"/>
      <c r="T600" s="202"/>
      <c r="U600" s="246"/>
      <c r="V600" s="246"/>
      <c r="W600" s="246"/>
      <c r="BA600"/>
      <c r="BB600"/>
    </row>
    <row r="601" spans="1:54" s="191" customFormat="1" ht="13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>
        <f t="shared" si="67"/>
        <v>0</v>
      </c>
      <c r="S601" s="201"/>
      <c r="T601" s="202"/>
      <c r="U601" s="246"/>
      <c r="V601" s="246"/>
      <c r="W601" s="246"/>
      <c r="BA601"/>
      <c r="BB601"/>
    </row>
    <row r="602" spans="1:54" s="191" customFormat="1" ht="13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>
        <f t="shared" si="67"/>
        <v>0</v>
      </c>
      <c r="S602" s="201"/>
      <c r="T602" s="202"/>
      <c r="U602" s="246"/>
      <c r="V602" s="246"/>
      <c r="W602" s="246"/>
      <c r="BA602"/>
      <c r="BB602"/>
    </row>
    <row r="603" spans="1:54" s="191" customFormat="1" ht="13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>
        <f t="shared" si="67"/>
        <v>0</v>
      </c>
      <c r="S603" s="201"/>
      <c r="T603" s="202"/>
      <c r="U603" s="246"/>
      <c r="V603" s="246"/>
      <c r="W603" s="246"/>
      <c r="BA603"/>
      <c r="BB603"/>
    </row>
    <row r="604" spans="1:54" s="191" customFormat="1" ht="13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>
        <f t="shared" si="67"/>
        <v>0</v>
      </c>
      <c r="S604" s="201"/>
      <c r="T604" s="202"/>
      <c r="U604" s="246"/>
      <c r="V604" s="246"/>
      <c r="W604" s="246"/>
      <c r="BA604"/>
      <c r="BB604"/>
    </row>
    <row r="605" spans="1:54" s="191" customFormat="1" ht="13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>
        <f t="shared" si="67"/>
        <v>0</v>
      </c>
      <c r="S605" s="201"/>
      <c r="T605" s="202"/>
      <c r="U605" s="246"/>
      <c r="V605" s="246"/>
      <c r="W605" s="246"/>
      <c r="BA605"/>
      <c r="BB605"/>
    </row>
    <row r="606" spans="1:54" s="191" customFormat="1" ht="13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>
        <f t="shared" si="67"/>
        <v>0</v>
      </c>
      <c r="S606" s="201"/>
      <c r="T606" s="202"/>
      <c r="U606" s="246"/>
      <c r="V606" s="246"/>
      <c r="W606" s="246"/>
      <c r="BA606"/>
      <c r="BB606"/>
    </row>
    <row r="607" spans="1:54" s="191" customFormat="1" ht="13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>
        <f t="shared" si="67"/>
        <v>0</v>
      </c>
      <c r="S607" s="201"/>
      <c r="T607" s="202"/>
      <c r="U607" s="246"/>
      <c r="V607" s="246"/>
      <c r="W607" s="246"/>
      <c r="BA607"/>
      <c r="BB607"/>
    </row>
    <row r="608" spans="1:54" s="191" customFormat="1" ht="13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>
        <f t="shared" si="67"/>
        <v>0</v>
      </c>
      <c r="S608" s="201"/>
      <c r="T608" s="202"/>
      <c r="U608" s="246"/>
      <c r="V608" s="246"/>
      <c r="W608" s="246"/>
      <c r="BA608"/>
      <c r="BB608"/>
    </row>
    <row r="609" spans="1:54" s="191" customFormat="1" ht="13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>
        <f t="shared" si="67"/>
        <v>0</v>
      </c>
      <c r="S609" s="201"/>
      <c r="T609" s="202"/>
      <c r="U609" s="246"/>
      <c r="V609" s="246"/>
      <c r="W609" s="246"/>
      <c r="BA609"/>
      <c r="BB609"/>
    </row>
    <row r="610" spans="1:54" s="191" customFormat="1" ht="13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>
        <f t="shared" si="67"/>
        <v>0</v>
      </c>
      <c r="S610" s="201"/>
      <c r="T610" s="202"/>
      <c r="U610" s="246"/>
      <c r="V610" s="246"/>
      <c r="W610" s="246"/>
      <c r="BA610"/>
      <c r="BB610"/>
    </row>
    <row r="611" spans="1:54" s="191" customFormat="1" ht="13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>
        <f t="shared" si="67"/>
        <v>0</v>
      </c>
      <c r="S611" s="201"/>
      <c r="T611" s="202"/>
      <c r="U611" s="246"/>
      <c r="V611" s="246"/>
      <c r="W611" s="246"/>
      <c r="BA611"/>
      <c r="BB611"/>
    </row>
    <row r="612" spans="1:54" s="191" customFormat="1" ht="13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>
        <f t="shared" si="67"/>
        <v>0</v>
      </c>
      <c r="S612" s="201"/>
      <c r="T612" s="202"/>
      <c r="U612" s="246"/>
      <c r="V612" s="246"/>
      <c r="W612" s="246"/>
      <c r="BA612"/>
      <c r="BB612"/>
    </row>
    <row r="613" spans="1:54" s="191" customFormat="1" ht="13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>
        <f t="shared" si="67"/>
        <v>0</v>
      </c>
      <c r="S613" s="201"/>
      <c r="T613" s="202"/>
      <c r="U613" s="246"/>
      <c r="V613" s="246"/>
      <c r="W613" s="246"/>
      <c r="BA613"/>
      <c r="BB613"/>
    </row>
    <row r="614" spans="1:54" s="191" customFormat="1" ht="13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>
        <f t="shared" si="67"/>
        <v>0</v>
      </c>
      <c r="S614" s="201"/>
      <c r="T614" s="202"/>
      <c r="U614" s="246"/>
      <c r="V614" s="246"/>
      <c r="W614" s="246"/>
      <c r="BA614"/>
      <c r="BB614"/>
    </row>
    <row r="615" spans="1:54" s="191" customFormat="1" ht="13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>
        <f t="shared" si="67"/>
        <v>0</v>
      </c>
      <c r="S615" s="201"/>
      <c r="T615" s="202"/>
      <c r="U615" s="246"/>
      <c r="V615" s="246"/>
      <c r="W615" s="246"/>
      <c r="BA615"/>
      <c r="BB615"/>
    </row>
    <row r="616" spans="1:54" s="191" customFormat="1" ht="13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>
        <f t="shared" si="67"/>
        <v>0</v>
      </c>
      <c r="S616" s="201"/>
      <c r="T616" s="202"/>
      <c r="U616" s="246"/>
      <c r="V616" s="246"/>
      <c r="W616" s="246"/>
      <c r="BA616"/>
      <c r="BB616"/>
    </row>
    <row r="617" spans="1:54" s="191" customFormat="1" ht="13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>
        <f t="shared" si="67"/>
        <v>0</v>
      </c>
      <c r="S617" s="201"/>
      <c r="T617" s="202"/>
      <c r="U617" s="246"/>
      <c r="V617" s="246"/>
      <c r="W617" s="246"/>
      <c r="BA617"/>
      <c r="BB617"/>
    </row>
    <row r="618" spans="1:54" s="191" customFormat="1" ht="13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>
        <f t="shared" si="67"/>
        <v>0</v>
      </c>
      <c r="S618" s="201"/>
      <c r="T618" s="202"/>
      <c r="U618" s="246"/>
      <c r="V618" s="246"/>
      <c r="W618" s="246"/>
      <c r="BA618"/>
      <c r="BB618"/>
    </row>
    <row r="619" spans="1:54" s="191" customFormat="1" ht="13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>
        <f t="shared" si="67"/>
        <v>0</v>
      </c>
      <c r="S619" s="201"/>
      <c r="T619" s="202"/>
      <c r="U619" s="246"/>
      <c r="V619" s="246"/>
      <c r="W619" s="246"/>
      <c r="BA619"/>
      <c r="BB619"/>
    </row>
    <row r="620" spans="1:54" s="191" customFormat="1" ht="13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>
        <f t="shared" si="67"/>
        <v>0</v>
      </c>
      <c r="S620" s="201"/>
      <c r="T620" s="202"/>
      <c r="U620" s="246"/>
      <c r="V620" s="246"/>
      <c r="W620" s="246"/>
      <c r="BA620"/>
      <c r="BB620"/>
    </row>
    <row r="621" spans="1:54" s="191" customFormat="1" ht="13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>
        <f t="shared" si="67"/>
        <v>0</v>
      </c>
      <c r="S621" s="201"/>
      <c r="T621" s="202"/>
      <c r="U621" s="246"/>
      <c r="V621" s="246"/>
      <c r="W621" s="246"/>
      <c r="BA621"/>
      <c r="BB621"/>
    </row>
    <row r="622" spans="1:54" s="191" customFormat="1" ht="13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>
        <f t="shared" si="67"/>
        <v>0</v>
      </c>
      <c r="S622" s="201"/>
      <c r="T622" s="202"/>
      <c r="U622" s="246"/>
      <c r="V622" s="246"/>
      <c r="W622" s="246"/>
      <c r="BA622"/>
      <c r="BB622"/>
    </row>
    <row r="623" spans="1:54" s="191" customFormat="1" ht="13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>
        <f t="shared" si="67"/>
        <v>0</v>
      </c>
      <c r="S623" s="201"/>
      <c r="T623" s="202"/>
      <c r="U623" s="246"/>
      <c r="V623" s="246"/>
      <c r="W623" s="246"/>
      <c r="BA623"/>
      <c r="BB623"/>
    </row>
    <row r="624" spans="1:54" s="191" customFormat="1" ht="13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>
        <f t="shared" si="67"/>
        <v>0</v>
      </c>
      <c r="S624" s="201"/>
      <c r="T624" s="202"/>
      <c r="U624" s="246"/>
      <c r="V624" s="246"/>
      <c r="W624" s="246"/>
      <c r="BA624"/>
      <c r="BB624"/>
    </row>
    <row r="625" spans="1:54" s="191" customFormat="1" ht="13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>
        <f t="shared" si="67"/>
        <v>0</v>
      </c>
      <c r="S625" s="201"/>
      <c r="T625" s="202"/>
      <c r="U625" s="246"/>
      <c r="V625" s="246"/>
      <c r="W625" s="246"/>
      <c r="BA625"/>
      <c r="BB625"/>
    </row>
    <row r="626" spans="1:54" s="191" customFormat="1" ht="13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>
        <f t="shared" si="67"/>
        <v>0</v>
      </c>
      <c r="S626" s="201"/>
      <c r="T626" s="202"/>
      <c r="U626" s="246"/>
      <c r="V626" s="246"/>
      <c r="W626" s="246"/>
      <c r="BA626"/>
      <c r="BB626"/>
    </row>
    <row r="627" spans="1:54" s="191" customFormat="1" ht="13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>
        <f t="shared" si="67"/>
        <v>0</v>
      </c>
      <c r="S627" s="201"/>
      <c r="T627" s="202"/>
      <c r="U627" s="246"/>
      <c r="V627" s="246"/>
      <c r="W627" s="246"/>
      <c r="BA627"/>
      <c r="BB627"/>
    </row>
    <row r="628" spans="1:54" s="191" customFormat="1" ht="13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>
        <f t="shared" si="67"/>
        <v>0</v>
      </c>
      <c r="S628" s="201"/>
      <c r="T628" s="202"/>
      <c r="U628" s="246"/>
      <c r="V628" s="246"/>
      <c r="W628" s="246"/>
      <c r="BA628"/>
      <c r="BB628"/>
    </row>
    <row r="629" spans="1:54" s="191" customFormat="1" ht="13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>
        <f t="shared" si="67"/>
        <v>0</v>
      </c>
      <c r="S629" s="201"/>
      <c r="T629" s="202"/>
      <c r="U629" s="246"/>
      <c r="V629" s="246"/>
      <c r="W629" s="246"/>
      <c r="BA629"/>
      <c r="BB629"/>
    </row>
    <row r="630" spans="1:54" s="191" customFormat="1" ht="13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>
        <f t="shared" si="67"/>
        <v>0</v>
      </c>
      <c r="S630" s="201"/>
      <c r="T630" s="202"/>
      <c r="U630" s="246"/>
      <c r="V630" s="246"/>
      <c r="W630" s="246"/>
      <c r="BA630"/>
      <c r="BB630"/>
    </row>
    <row r="631" spans="1:54" s="191" customFormat="1" ht="13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>
        <f t="shared" si="67"/>
        <v>0</v>
      </c>
      <c r="S631" s="201"/>
      <c r="T631" s="202"/>
      <c r="U631" s="246"/>
      <c r="V631" s="246"/>
      <c r="W631" s="246"/>
      <c r="BA631"/>
      <c r="BB631"/>
    </row>
    <row r="632" spans="1:54" s="191" customFormat="1" ht="13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>
        <f t="shared" si="67"/>
        <v>0</v>
      </c>
      <c r="S632" s="201"/>
      <c r="T632" s="202"/>
      <c r="U632" s="246"/>
      <c r="V632" s="246"/>
      <c r="W632" s="246"/>
      <c r="BA632"/>
      <c r="BB632"/>
    </row>
    <row r="633" spans="1:54" s="191" customFormat="1" ht="13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>
        <f t="shared" si="67"/>
        <v>0</v>
      </c>
      <c r="S633" s="201"/>
      <c r="T633" s="202"/>
      <c r="U633" s="246"/>
      <c r="V633" s="246"/>
      <c r="W633" s="246"/>
      <c r="BA633"/>
      <c r="BB633"/>
    </row>
    <row r="634" spans="1:54" s="191" customFormat="1" ht="13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>
        <f t="shared" si="67"/>
        <v>0</v>
      </c>
      <c r="S634" s="201"/>
      <c r="T634" s="202"/>
      <c r="U634" s="246"/>
      <c r="V634" s="246"/>
      <c r="W634" s="246"/>
      <c r="BA634"/>
      <c r="BB634"/>
    </row>
    <row r="635" spans="1:54" s="191" customFormat="1" ht="13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>
        <f t="shared" si="67"/>
        <v>0</v>
      </c>
      <c r="S635" s="201"/>
      <c r="T635" s="202"/>
      <c r="U635" s="246"/>
      <c r="V635" s="246"/>
      <c r="W635" s="246"/>
      <c r="BA635"/>
      <c r="BB635"/>
    </row>
    <row r="636" spans="1:54" s="191" customFormat="1" ht="13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>
        <f t="shared" si="67"/>
        <v>0</v>
      </c>
      <c r="S636" s="201"/>
      <c r="T636" s="202"/>
      <c r="U636" s="246"/>
      <c r="V636" s="246"/>
      <c r="W636" s="246"/>
      <c r="BA636"/>
      <c r="BB636"/>
    </row>
    <row r="637" spans="1:54" s="191" customFormat="1" ht="13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>
        <f t="shared" si="67"/>
        <v>0</v>
      </c>
      <c r="S637" s="201"/>
      <c r="T637" s="202"/>
      <c r="U637" s="246"/>
      <c r="V637" s="246"/>
      <c r="W637" s="246"/>
      <c r="BA637"/>
      <c r="BB637"/>
    </row>
    <row r="638" spans="1:54" s="191" customFormat="1" ht="13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>
        <f t="shared" si="67"/>
        <v>0</v>
      </c>
      <c r="S638" s="201"/>
      <c r="T638" s="202"/>
      <c r="U638" s="246"/>
      <c r="V638" s="246"/>
      <c r="W638" s="246"/>
      <c r="BA638"/>
      <c r="BB638"/>
    </row>
    <row r="639" spans="1:54" s="191" customFormat="1" ht="13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>
        <f t="shared" si="67"/>
        <v>0</v>
      </c>
      <c r="S639" s="201"/>
      <c r="T639" s="202"/>
      <c r="U639" s="246"/>
      <c r="V639" s="246"/>
      <c r="W639" s="246"/>
      <c r="BA639"/>
      <c r="BB639"/>
    </row>
    <row r="640" spans="1:54" s="191" customFormat="1" ht="13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>
        <f t="shared" si="67"/>
        <v>0</v>
      </c>
      <c r="S640" s="201"/>
      <c r="T640" s="202"/>
      <c r="U640" s="246"/>
      <c r="V640" s="246"/>
      <c r="W640" s="246"/>
      <c r="BA640"/>
      <c r="BB640"/>
    </row>
    <row r="641" spans="1:54" s="191" customFormat="1" ht="13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>
        <f t="shared" si="67"/>
        <v>0</v>
      </c>
      <c r="S641" s="201"/>
      <c r="T641" s="202"/>
      <c r="U641" s="246"/>
      <c r="V641" s="246"/>
      <c r="W641" s="246"/>
      <c r="BA641"/>
      <c r="BB641"/>
    </row>
    <row r="642" spans="1:54" s="191" customFormat="1" ht="13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>
        <f t="shared" si="67"/>
        <v>0</v>
      </c>
      <c r="S642" s="201"/>
      <c r="T642" s="202"/>
      <c r="U642" s="246"/>
      <c r="V642" s="246"/>
      <c r="W642" s="246"/>
      <c r="BA642"/>
      <c r="BB642"/>
    </row>
    <row r="643" spans="1:54" s="191" customFormat="1" ht="13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>
        <f t="shared" ref="R643:R706" si="68">SUM(F643:Q643)</f>
        <v>0</v>
      </c>
      <c r="S643" s="201"/>
      <c r="T643" s="202"/>
      <c r="U643" s="246"/>
      <c r="V643" s="246"/>
      <c r="W643" s="246"/>
      <c r="BA643"/>
      <c r="BB643"/>
    </row>
    <row r="644" spans="1:54" s="191" customFormat="1" ht="13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>
        <f t="shared" si="68"/>
        <v>0</v>
      </c>
      <c r="S644" s="201"/>
      <c r="T644" s="202"/>
      <c r="U644" s="246"/>
      <c r="V644" s="246"/>
      <c r="W644" s="246"/>
      <c r="BA644"/>
      <c r="BB644"/>
    </row>
    <row r="645" spans="1:54" s="191" customFormat="1" ht="13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>
        <f t="shared" si="68"/>
        <v>0</v>
      </c>
      <c r="S645" s="201"/>
      <c r="T645" s="202"/>
      <c r="U645" s="246"/>
      <c r="V645" s="246"/>
      <c r="W645" s="246"/>
      <c r="BA645"/>
      <c r="BB645"/>
    </row>
    <row r="646" spans="1:54" s="191" customFormat="1" ht="13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>
        <f t="shared" si="68"/>
        <v>0</v>
      </c>
      <c r="S646" s="201"/>
      <c r="T646" s="202"/>
      <c r="U646" s="246"/>
      <c r="V646" s="246"/>
      <c r="W646" s="246"/>
      <c r="BA646"/>
      <c r="BB646"/>
    </row>
    <row r="647" spans="1:54" s="191" customFormat="1" ht="13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>
        <f t="shared" si="68"/>
        <v>0</v>
      </c>
      <c r="S647" s="201"/>
      <c r="T647" s="202"/>
      <c r="U647" s="246"/>
      <c r="V647" s="246"/>
      <c r="W647" s="246"/>
      <c r="BA647"/>
      <c r="BB647"/>
    </row>
    <row r="648" spans="1:54" s="191" customFormat="1" ht="13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>
        <f t="shared" si="68"/>
        <v>0</v>
      </c>
      <c r="S648" s="201"/>
      <c r="T648" s="202"/>
      <c r="U648" s="246"/>
      <c r="V648" s="246"/>
      <c r="W648" s="246"/>
      <c r="BA648"/>
      <c r="BB648"/>
    </row>
    <row r="649" spans="1:54" s="191" customFormat="1" ht="13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>
        <f t="shared" si="68"/>
        <v>0</v>
      </c>
      <c r="S649" s="201"/>
      <c r="T649" s="202"/>
      <c r="U649" s="246"/>
      <c r="V649" s="246"/>
      <c r="W649" s="246"/>
      <c r="BA649"/>
      <c r="BB649"/>
    </row>
    <row r="650" spans="1:54" s="191" customFormat="1" ht="13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>
        <f t="shared" si="68"/>
        <v>0</v>
      </c>
      <c r="S650" s="201"/>
      <c r="T650" s="202"/>
      <c r="U650" s="246"/>
      <c r="V650" s="246"/>
      <c r="W650" s="246"/>
      <c r="BA650"/>
      <c r="BB650"/>
    </row>
    <row r="651" spans="1:54" s="191" customFormat="1" ht="13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>
        <f t="shared" si="68"/>
        <v>0</v>
      </c>
      <c r="S651" s="201"/>
      <c r="T651" s="202"/>
      <c r="U651" s="246"/>
      <c r="V651" s="246"/>
      <c r="W651" s="246"/>
      <c r="BA651"/>
      <c r="BB651"/>
    </row>
    <row r="652" spans="1:54" s="191" customFormat="1" ht="13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>
        <f t="shared" si="68"/>
        <v>0</v>
      </c>
      <c r="S652" s="201"/>
      <c r="T652" s="202"/>
      <c r="U652" s="246"/>
      <c r="V652" s="246"/>
      <c r="W652" s="246"/>
      <c r="BA652"/>
      <c r="BB652"/>
    </row>
    <row r="653" spans="1:54" s="191" customFormat="1" ht="13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>
        <f t="shared" si="68"/>
        <v>0</v>
      </c>
      <c r="S653" s="201"/>
      <c r="T653" s="202"/>
      <c r="U653" s="246"/>
      <c r="V653" s="246"/>
      <c r="W653" s="246"/>
      <c r="BA653"/>
      <c r="BB653"/>
    </row>
    <row r="654" spans="1:54" s="191" customFormat="1" ht="13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>
        <f t="shared" si="68"/>
        <v>0</v>
      </c>
      <c r="S654" s="201"/>
      <c r="T654" s="202"/>
      <c r="U654" s="246"/>
      <c r="V654" s="246"/>
      <c r="W654" s="246"/>
      <c r="BA654"/>
      <c r="BB654"/>
    </row>
    <row r="655" spans="1:54" s="191" customFormat="1" ht="13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>
        <f t="shared" si="68"/>
        <v>0</v>
      </c>
      <c r="S655" s="201"/>
      <c r="T655" s="202"/>
      <c r="U655" s="246"/>
      <c r="V655" s="246"/>
      <c r="W655" s="246"/>
      <c r="BA655"/>
      <c r="BB655"/>
    </row>
    <row r="656" spans="1:54" s="191" customFormat="1" ht="13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>
        <f t="shared" si="68"/>
        <v>0</v>
      </c>
      <c r="S656" s="201"/>
      <c r="T656" s="202"/>
      <c r="U656" s="246"/>
      <c r="V656" s="246"/>
      <c r="W656" s="246"/>
      <c r="BA656"/>
      <c r="BB656"/>
    </row>
    <row r="657" spans="1:54" s="191" customFormat="1" ht="13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>
        <f t="shared" si="68"/>
        <v>0</v>
      </c>
      <c r="S657" s="201"/>
      <c r="T657" s="202"/>
      <c r="U657" s="246"/>
      <c r="V657" s="246"/>
      <c r="W657" s="246"/>
      <c r="BA657"/>
      <c r="BB657"/>
    </row>
    <row r="658" spans="1:54" s="191" customFormat="1" ht="13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>
        <f t="shared" si="68"/>
        <v>0</v>
      </c>
      <c r="S658" s="201"/>
      <c r="T658" s="202"/>
      <c r="U658" s="246"/>
      <c r="V658" s="246"/>
      <c r="W658" s="246"/>
      <c r="BA658"/>
      <c r="BB658"/>
    </row>
    <row r="659" spans="1:54" s="191" customFormat="1" ht="13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>
        <f t="shared" si="68"/>
        <v>0</v>
      </c>
      <c r="S659" s="201"/>
      <c r="T659" s="202"/>
      <c r="U659" s="246"/>
      <c r="V659" s="246"/>
      <c r="W659" s="246"/>
      <c r="BA659"/>
      <c r="BB659"/>
    </row>
    <row r="660" spans="1:54" s="191" customFormat="1" ht="13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>
        <f t="shared" si="68"/>
        <v>0</v>
      </c>
      <c r="S660" s="201"/>
      <c r="T660" s="202"/>
      <c r="U660" s="246"/>
      <c r="V660" s="246"/>
      <c r="W660" s="246"/>
      <c r="BA660"/>
      <c r="BB660"/>
    </row>
    <row r="661" spans="1:54" s="191" customFormat="1" ht="13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>
        <f t="shared" si="68"/>
        <v>0</v>
      </c>
      <c r="S661" s="201"/>
      <c r="T661" s="202"/>
      <c r="U661" s="246"/>
      <c r="V661" s="246"/>
      <c r="W661" s="246"/>
      <c r="BA661"/>
      <c r="BB661"/>
    </row>
    <row r="662" spans="1:54" s="191" customFormat="1" ht="13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>
        <f t="shared" si="68"/>
        <v>0</v>
      </c>
      <c r="S662" s="201"/>
      <c r="T662" s="202"/>
      <c r="U662" s="246"/>
      <c r="V662" s="246"/>
      <c r="W662" s="246"/>
      <c r="BA662"/>
      <c r="BB662"/>
    </row>
    <row r="663" spans="1:54" s="191" customFormat="1" ht="13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>
        <f t="shared" si="68"/>
        <v>0</v>
      </c>
      <c r="S663" s="201"/>
      <c r="T663" s="202"/>
      <c r="U663" s="246"/>
      <c r="V663" s="246"/>
      <c r="W663" s="246"/>
      <c r="BA663"/>
      <c r="BB663"/>
    </row>
    <row r="664" spans="1:54" s="191" customFormat="1" ht="13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>
        <f t="shared" si="68"/>
        <v>0</v>
      </c>
      <c r="S664" s="201"/>
      <c r="T664" s="202"/>
      <c r="U664" s="246"/>
      <c r="V664" s="246"/>
      <c r="W664" s="246"/>
      <c r="BA664"/>
      <c r="BB664"/>
    </row>
    <row r="665" spans="1:54" s="191" customFormat="1" ht="13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>
        <f t="shared" si="68"/>
        <v>0</v>
      </c>
      <c r="S665" s="201"/>
      <c r="T665" s="202"/>
      <c r="U665" s="246"/>
      <c r="V665" s="246"/>
      <c r="W665" s="246"/>
      <c r="BA665"/>
      <c r="BB665"/>
    </row>
    <row r="666" spans="1:54" s="191" customFormat="1" ht="13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>
        <f t="shared" si="68"/>
        <v>0</v>
      </c>
      <c r="S666" s="201"/>
      <c r="T666" s="202"/>
      <c r="U666" s="246"/>
      <c r="V666" s="246"/>
      <c r="W666" s="246"/>
      <c r="BA666"/>
      <c r="BB666"/>
    </row>
    <row r="667" spans="1:54" s="191" customFormat="1" ht="13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>
        <f t="shared" si="68"/>
        <v>0</v>
      </c>
      <c r="S667" s="201"/>
      <c r="T667" s="202"/>
      <c r="U667" s="246"/>
      <c r="V667" s="246"/>
      <c r="W667" s="246"/>
      <c r="BA667"/>
      <c r="BB667"/>
    </row>
    <row r="668" spans="1:54" s="191" customFormat="1" ht="13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>
        <f t="shared" si="68"/>
        <v>0</v>
      </c>
      <c r="S668" s="201"/>
      <c r="T668" s="202"/>
      <c r="U668" s="246"/>
      <c r="V668" s="246"/>
      <c r="W668" s="246"/>
      <c r="BA668"/>
      <c r="BB668"/>
    </row>
    <row r="669" spans="1:54" s="191" customFormat="1" ht="13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>
        <f t="shared" si="68"/>
        <v>0</v>
      </c>
      <c r="S669" s="201"/>
      <c r="T669" s="202"/>
      <c r="U669" s="246"/>
      <c r="V669" s="246"/>
      <c r="W669" s="246"/>
      <c r="BA669"/>
      <c r="BB669"/>
    </row>
    <row r="670" spans="1:54" s="191" customFormat="1" ht="13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>
        <f t="shared" si="68"/>
        <v>0</v>
      </c>
      <c r="S670" s="201"/>
      <c r="T670" s="202"/>
      <c r="U670" s="246"/>
      <c r="V670" s="246"/>
      <c r="W670" s="246"/>
      <c r="BA670"/>
      <c r="BB670"/>
    </row>
    <row r="671" spans="1:54" s="191" customFormat="1" ht="13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>
        <f t="shared" si="68"/>
        <v>0</v>
      </c>
      <c r="S671" s="201"/>
      <c r="T671" s="202"/>
      <c r="U671" s="246"/>
      <c r="V671" s="246"/>
      <c r="W671" s="246"/>
      <c r="BA671"/>
      <c r="BB671"/>
    </row>
    <row r="672" spans="1:54" s="191" customFormat="1" ht="13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>
        <f t="shared" si="68"/>
        <v>0</v>
      </c>
      <c r="S672" s="201"/>
      <c r="T672" s="202"/>
      <c r="U672" s="246"/>
      <c r="V672" s="246"/>
      <c r="W672" s="246"/>
      <c r="BA672"/>
      <c r="BB672"/>
    </row>
    <row r="673" spans="1:54" s="191" customFormat="1" ht="13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>
        <f t="shared" si="68"/>
        <v>0</v>
      </c>
      <c r="S673" s="201"/>
      <c r="T673" s="202"/>
      <c r="U673" s="246"/>
      <c r="V673" s="246"/>
      <c r="W673" s="246"/>
      <c r="BA673"/>
      <c r="BB673"/>
    </row>
    <row r="674" spans="1:54" s="191" customFormat="1" ht="13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>
        <f t="shared" si="68"/>
        <v>0</v>
      </c>
      <c r="S674" s="201"/>
      <c r="T674" s="202"/>
      <c r="U674" s="246"/>
      <c r="V674" s="246"/>
      <c r="W674" s="246"/>
      <c r="BA674"/>
      <c r="BB674"/>
    </row>
    <row r="675" spans="1:54" s="191" customFormat="1" ht="13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>
        <f t="shared" si="68"/>
        <v>0</v>
      </c>
      <c r="S675" s="201"/>
      <c r="T675" s="202"/>
      <c r="U675" s="246"/>
      <c r="V675" s="246"/>
      <c r="W675" s="246"/>
      <c r="BA675"/>
      <c r="BB675"/>
    </row>
    <row r="676" spans="1:54" s="191" customFormat="1" ht="13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>
        <f t="shared" si="68"/>
        <v>0</v>
      </c>
      <c r="S676" s="201"/>
      <c r="T676" s="202"/>
      <c r="U676" s="246"/>
      <c r="V676" s="246"/>
      <c r="W676" s="246"/>
      <c r="BA676"/>
      <c r="BB676"/>
    </row>
    <row r="677" spans="1:54" s="191" customFormat="1" ht="13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>
        <f t="shared" si="68"/>
        <v>0</v>
      </c>
      <c r="S677" s="201"/>
      <c r="T677" s="202"/>
      <c r="U677" s="246"/>
      <c r="V677" s="246"/>
      <c r="W677" s="246"/>
      <c r="BA677"/>
      <c r="BB677"/>
    </row>
    <row r="678" spans="1:54" s="191" customFormat="1" ht="13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>
        <f t="shared" si="68"/>
        <v>0</v>
      </c>
      <c r="S678" s="201"/>
      <c r="T678" s="202"/>
      <c r="U678" s="246"/>
      <c r="V678" s="246"/>
      <c r="W678" s="246"/>
      <c r="BA678"/>
      <c r="BB678"/>
    </row>
    <row r="679" spans="1:54" s="191" customFormat="1" ht="13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>
        <f t="shared" si="68"/>
        <v>0</v>
      </c>
      <c r="S679" s="201"/>
      <c r="T679" s="202"/>
      <c r="U679" s="246"/>
      <c r="V679" s="246"/>
      <c r="W679" s="246"/>
      <c r="BA679"/>
      <c r="BB679"/>
    </row>
    <row r="680" spans="1:54" s="191" customFormat="1" ht="13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>
        <f t="shared" si="68"/>
        <v>0</v>
      </c>
      <c r="S680" s="201"/>
      <c r="T680" s="202"/>
      <c r="U680" s="246"/>
      <c r="V680" s="246"/>
      <c r="W680" s="246"/>
      <c r="BA680"/>
      <c r="BB680"/>
    </row>
    <row r="681" spans="1:54" s="191" customFormat="1" ht="13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>
        <f t="shared" si="68"/>
        <v>0</v>
      </c>
      <c r="S681" s="201"/>
      <c r="T681" s="202"/>
      <c r="U681" s="246"/>
      <c r="V681" s="246"/>
      <c r="W681" s="246"/>
      <c r="BA681"/>
      <c r="BB681"/>
    </row>
    <row r="682" spans="1:54" s="191" customFormat="1" ht="13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>
        <f t="shared" si="68"/>
        <v>0</v>
      </c>
      <c r="S682" s="201"/>
      <c r="T682" s="202"/>
      <c r="U682" s="246"/>
      <c r="V682" s="246"/>
      <c r="W682" s="246"/>
      <c r="BA682"/>
      <c r="BB682"/>
    </row>
    <row r="683" spans="1:54" s="191" customFormat="1" ht="13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>
        <f t="shared" si="68"/>
        <v>0</v>
      </c>
      <c r="S683" s="201"/>
      <c r="T683" s="202"/>
      <c r="U683" s="246"/>
      <c r="V683" s="246"/>
      <c r="W683" s="246"/>
      <c r="BA683"/>
      <c r="BB683"/>
    </row>
    <row r="684" spans="1:54" s="191" customFormat="1" ht="13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>
        <f t="shared" si="68"/>
        <v>0</v>
      </c>
      <c r="S684" s="201"/>
      <c r="T684" s="202"/>
      <c r="U684" s="246"/>
      <c r="V684" s="246"/>
      <c r="W684" s="246"/>
      <c r="BA684"/>
      <c r="BB684"/>
    </row>
    <row r="685" spans="1:54" s="191" customFormat="1" ht="13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>
        <f t="shared" si="68"/>
        <v>0</v>
      </c>
      <c r="S685" s="201"/>
      <c r="T685" s="202"/>
      <c r="U685" s="246"/>
      <c r="V685" s="246"/>
      <c r="W685" s="246"/>
      <c r="BA685"/>
      <c r="BB685"/>
    </row>
    <row r="686" spans="1:54" s="191" customFormat="1" ht="13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>
        <f t="shared" si="68"/>
        <v>0</v>
      </c>
      <c r="S686" s="201"/>
      <c r="T686" s="202"/>
      <c r="U686" s="246"/>
      <c r="V686" s="246"/>
      <c r="W686" s="246"/>
      <c r="BA686"/>
      <c r="BB686"/>
    </row>
    <row r="687" spans="1:54" s="191" customFormat="1" ht="13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>
        <f t="shared" si="68"/>
        <v>0</v>
      </c>
      <c r="S687" s="201"/>
      <c r="T687" s="202"/>
      <c r="U687" s="246"/>
      <c r="V687" s="246"/>
      <c r="W687" s="246"/>
      <c r="BA687"/>
      <c r="BB687"/>
    </row>
    <row r="688" spans="1:54" s="191" customFormat="1" ht="13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>
        <f t="shared" si="68"/>
        <v>0</v>
      </c>
      <c r="S688" s="201"/>
      <c r="T688" s="202"/>
      <c r="U688" s="246"/>
      <c r="V688" s="246"/>
      <c r="W688" s="246"/>
      <c r="BA688"/>
      <c r="BB688"/>
    </row>
    <row r="689" spans="1:54" s="191" customFormat="1" ht="13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>
        <f t="shared" si="68"/>
        <v>0</v>
      </c>
      <c r="S689" s="201"/>
      <c r="T689" s="202"/>
      <c r="U689" s="246"/>
      <c r="V689" s="246"/>
      <c r="W689" s="246"/>
      <c r="BA689"/>
      <c r="BB689"/>
    </row>
    <row r="690" spans="1:54" s="191" customFormat="1" ht="13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>
        <f t="shared" si="68"/>
        <v>0</v>
      </c>
      <c r="S690" s="201"/>
      <c r="T690" s="202"/>
      <c r="U690" s="246"/>
      <c r="V690" s="246"/>
      <c r="W690" s="246"/>
      <c r="BA690"/>
      <c r="BB690"/>
    </row>
    <row r="691" spans="1:54" s="191" customFormat="1" ht="13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>
        <f t="shared" si="68"/>
        <v>0</v>
      </c>
      <c r="S691" s="201"/>
      <c r="T691" s="202"/>
      <c r="U691" s="246"/>
      <c r="V691" s="246"/>
      <c r="W691" s="246"/>
      <c r="BA691"/>
      <c r="BB691"/>
    </row>
    <row r="692" spans="1:54" s="191" customFormat="1" ht="13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>
        <f t="shared" si="68"/>
        <v>0</v>
      </c>
      <c r="S692" s="201"/>
      <c r="T692" s="202"/>
      <c r="U692" s="246"/>
      <c r="V692" s="246"/>
      <c r="W692" s="246"/>
      <c r="BA692"/>
      <c r="BB692"/>
    </row>
    <row r="693" spans="1:54" s="191" customFormat="1" ht="13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>
        <f t="shared" si="68"/>
        <v>0</v>
      </c>
      <c r="S693" s="201"/>
      <c r="T693" s="202"/>
      <c r="U693" s="246"/>
      <c r="V693" s="246"/>
      <c r="W693" s="246"/>
      <c r="BA693"/>
      <c r="BB693"/>
    </row>
    <row r="694" spans="1:54" s="191" customFormat="1" ht="13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>
        <f t="shared" si="68"/>
        <v>0</v>
      </c>
      <c r="S694" s="201"/>
      <c r="T694" s="202"/>
      <c r="U694" s="246"/>
      <c r="V694" s="246"/>
      <c r="W694" s="246"/>
      <c r="BA694"/>
      <c r="BB694"/>
    </row>
    <row r="695" spans="1:54" s="191" customFormat="1" ht="13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>
        <f t="shared" si="68"/>
        <v>0</v>
      </c>
      <c r="S695" s="201"/>
      <c r="T695" s="202"/>
      <c r="U695" s="246"/>
      <c r="V695" s="246"/>
      <c r="W695" s="246"/>
      <c r="BA695"/>
      <c r="BB695"/>
    </row>
    <row r="696" spans="1:54" s="191" customFormat="1" ht="13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>
        <f t="shared" si="68"/>
        <v>0</v>
      </c>
      <c r="S696" s="201"/>
      <c r="T696" s="202"/>
      <c r="U696" s="246"/>
      <c r="V696" s="246"/>
      <c r="W696" s="246"/>
      <c r="BA696"/>
      <c r="BB696"/>
    </row>
    <row r="697" spans="1:54" s="191" customFormat="1" ht="13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>
        <f t="shared" si="68"/>
        <v>0</v>
      </c>
      <c r="S697" s="201"/>
      <c r="T697" s="202"/>
      <c r="U697" s="246"/>
      <c r="V697" s="246"/>
      <c r="W697" s="246"/>
      <c r="BA697"/>
      <c r="BB697"/>
    </row>
    <row r="698" spans="1:54" s="191" customFormat="1" ht="13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>
        <f t="shared" si="68"/>
        <v>0</v>
      </c>
      <c r="S698" s="201"/>
      <c r="T698" s="202"/>
      <c r="U698" s="246"/>
      <c r="V698" s="246"/>
      <c r="W698" s="246"/>
      <c r="BA698"/>
      <c r="BB698"/>
    </row>
    <row r="699" spans="1:54" s="191" customFormat="1" ht="13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>
        <f t="shared" si="68"/>
        <v>0</v>
      </c>
      <c r="S699" s="201"/>
      <c r="T699" s="202"/>
      <c r="U699" s="246"/>
      <c r="V699" s="246"/>
      <c r="W699" s="246"/>
      <c r="BA699"/>
      <c r="BB699"/>
    </row>
    <row r="700" spans="1:54" s="191" customFormat="1" ht="13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>
        <f t="shared" si="68"/>
        <v>0</v>
      </c>
      <c r="S700" s="201"/>
      <c r="T700" s="202"/>
      <c r="U700" s="246"/>
      <c r="V700" s="246"/>
      <c r="W700" s="246"/>
      <c r="BA700"/>
      <c r="BB700"/>
    </row>
    <row r="701" spans="1:54" s="191" customFormat="1" ht="13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>
        <f t="shared" si="68"/>
        <v>0</v>
      </c>
      <c r="S701" s="201"/>
      <c r="T701" s="202"/>
      <c r="U701" s="246"/>
      <c r="V701" s="246"/>
      <c r="W701" s="246"/>
      <c r="BA701"/>
      <c r="BB701"/>
    </row>
    <row r="702" spans="1:54" s="191" customFormat="1" ht="13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>
        <f t="shared" si="68"/>
        <v>0</v>
      </c>
      <c r="S702" s="201"/>
      <c r="T702" s="202"/>
      <c r="U702" s="246"/>
      <c r="V702" s="246"/>
      <c r="W702" s="246"/>
      <c r="BA702"/>
      <c r="BB702"/>
    </row>
    <row r="703" spans="1:54" s="191" customFormat="1" ht="13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>
        <f t="shared" si="68"/>
        <v>0</v>
      </c>
      <c r="S703" s="201"/>
      <c r="T703" s="202"/>
      <c r="U703" s="246"/>
      <c r="V703" s="246"/>
      <c r="W703" s="246"/>
      <c r="BA703"/>
      <c r="BB703"/>
    </row>
    <row r="704" spans="1:54" s="191" customFormat="1" ht="13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>
        <f t="shared" si="68"/>
        <v>0</v>
      </c>
      <c r="S704" s="201"/>
      <c r="T704" s="202"/>
      <c r="U704" s="246"/>
      <c r="V704" s="246"/>
      <c r="W704" s="246"/>
      <c r="BA704"/>
      <c r="BB704"/>
    </row>
    <row r="705" spans="1:54" s="191" customFormat="1" ht="13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>
        <f t="shared" si="68"/>
        <v>0</v>
      </c>
      <c r="S705" s="201"/>
      <c r="T705" s="202"/>
      <c r="U705" s="246"/>
      <c r="V705" s="246"/>
      <c r="W705" s="246"/>
      <c r="BA705"/>
      <c r="BB705"/>
    </row>
    <row r="706" spans="1:54" s="191" customFormat="1" ht="13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>
        <f t="shared" si="68"/>
        <v>0</v>
      </c>
      <c r="S706" s="201"/>
      <c r="T706" s="202"/>
      <c r="U706" s="246"/>
      <c r="V706" s="246"/>
      <c r="W706" s="246"/>
      <c r="BA706"/>
      <c r="BB706"/>
    </row>
    <row r="707" spans="1:54" s="191" customFormat="1" ht="13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>
        <f t="shared" ref="R707:R770" si="69">SUM(F707:Q707)</f>
        <v>0</v>
      </c>
      <c r="S707" s="201"/>
      <c r="T707" s="202"/>
      <c r="U707" s="246"/>
      <c r="V707" s="246"/>
      <c r="W707" s="246"/>
      <c r="BA707"/>
      <c r="BB707"/>
    </row>
    <row r="708" spans="1:54" s="191" customFormat="1" ht="13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>
        <f t="shared" si="69"/>
        <v>0</v>
      </c>
      <c r="S708" s="201"/>
      <c r="T708" s="202"/>
      <c r="U708" s="246"/>
      <c r="V708" s="246"/>
      <c r="W708" s="246"/>
      <c r="BA708"/>
      <c r="BB708"/>
    </row>
    <row r="709" spans="1:54" s="191" customFormat="1" ht="13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>
        <f t="shared" si="69"/>
        <v>0</v>
      </c>
      <c r="S709" s="201"/>
      <c r="T709" s="202"/>
      <c r="U709" s="246"/>
      <c r="V709" s="246"/>
      <c r="W709" s="246"/>
      <c r="BA709"/>
      <c r="BB709"/>
    </row>
    <row r="710" spans="1:54" s="191" customFormat="1" ht="13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>
        <f t="shared" si="69"/>
        <v>0</v>
      </c>
      <c r="S710" s="201"/>
      <c r="T710" s="202"/>
      <c r="U710" s="246"/>
      <c r="V710" s="246"/>
      <c r="W710" s="246"/>
      <c r="BA710"/>
      <c r="BB710"/>
    </row>
    <row r="711" spans="1:54" s="191" customFormat="1" ht="13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>
        <f t="shared" si="69"/>
        <v>0</v>
      </c>
      <c r="S711" s="201"/>
      <c r="T711" s="202"/>
      <c r="U711" s="246"/>
      <c r="V711" s="246"/>
      <c r="W711" s="246"/>
      <c r="BA711"/>
      <c r="BB711"/>
    </row>
    <row r="712" spans="1:54" s="191" customFormat="1" ht="13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>
        <f t="shared" si="69"/>
        <v>0</v>
      </c>
      <c r="S712" s="201"/>
      <c r="T712" s="202"/>
      <c r="U712" s="246"/>
      <c r="V712" s="246"/>
      <c r="W712" s="246"/>
      <c r="BA712"/>
      <c r="BB712"/>
    </row>
    <row r="713" spans="1:54" s="191" customFormat="1" ht="13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>
        <f t="shared" si="69"/>
        <v>0</v>
      </c>
      <c r="S713" s="201"/>
      <c r="T713" s="202"/>
      <c r="U713" s="246"/>
      <c r="V713" s="246"/>
      <c r="W713" s="246"/>
      <c r="BA713"/>
      <c r="BB713"/>
    </row>
    <row r="714" spans="1:54" s="191" customFormat="1" ht="13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>
        <f t="shared" si="69"/>
        <v>0</v>
      </c>
      <c r="S714" s="201"/>
      <c r="T714" s="202"/>
      <c r="U714" s="246"/>
      <c r="V714" s="246"/>
      <c r="W714" s="246"/>
      <c r="BA714"/>
      <c r="BB714"/>
    </row>
    <row r="715" spans="1:54" s="191" customFormat="1" ht="13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>
        <f t="shared" si="69"/>
        <v>0</v>
      </c>
      <c r="S715" s="201"/>
      <c r="T715" s="202"/>
      <c r="U715" s="246"/>
      <c r="V715" s="246"/>
      <c r="W715" s="246"/>
      <c r="BA715"/>
      <c r="BB715"/>
    </row>
    <row r="716" spans="1:54" s="191" customFormat="1" ht="13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>
        <f t="shared" si="69"/>
        <v>0</v>
      </c>
      <c r="S716" s="201"/>
      <c r="T716" s="202"/>
      <c r="U716" s="246"/>
      <c r="V716" s="246"/>
      <c r="W716" s="246"/>
      <c r="BA716"/>
      <c r="BB716"/>
    </row>
    <row r="717" spans="1:54" s="191" customFormat="1" ht="13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>
        <f t="shared" si="69"/>
        <v>0</v>
      </c>
      <c r="S717" s="201"/>
      <c r="T717" s="202"/>
      <c r="U717" s="246"/>
      <c r="V717" s="246"/>
      <c r="W717" s="246"/>
      <c r="BA717"/>
      <c r="BB717"/>
    </row>
    <row r="718" spans="1:54" s="191" customFormat="1" ht="13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>
        <f t="shared" si="69"/>
        <v>0</v>
      </c>
      <c r="S718" s="201"/>
      <c r="T718" s="202"/>
      <c r="U718" s="246"/>
      <c r="V718" s="246"/>
      <c r="W718" s="246"/>
      <c r="BA718"/>
      <c r="BB718"/>
    </row>
    <row r="719" spans="1:54" s="191" customFormat="1" ht="13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>
        <f t="shared" si="69"/>
        <v>0</v>
      </c>
      <c r="S719" s="201"/>
      <c r="T719" s="202"/>
      <c r="U719" s="246"/>
      <c r="V719" s="246"/>
      <c r="W719" s="246"/>
      <c r="BA719"/>
      <c r="BB719"/>
    </row>
    <row r="720" spans="1:54" s="191" customFormat="1" ht="13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>
        <f t="shared" si="69"/>
        <v>0</v>
      </c>
      <c r="S720" s="201"/>
      <c r="T720" s="202"/>
      <c r="U720" s="246"/>
      <c r="V720" s="246"/>
      <c r="W720" s="246"/>
      <c r="BA720"/>
      <c r="BB720"/>
    </row>
    <row r="721" spans="1:54" s="191" customFormat="1" ht="13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>
        <f t="shared" si="69"/>
        <v>0</v>
      </c>
      <c r="S721" s="201"/>
      <c r="T721" s="202"/>
      <c r="U721" s="246"/>
      <c r="V721" s="246"/>
      <c r="W721" s="246"/>
      <c r="BA721"/>
      <c r="BB721"/>
    </row>
    <row r="722" spans="1:54" s="191" customFormat="1" ht="13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>
        <f t="shared" si="69"/>
        <v>0</v>
      </c>
      <c r="S722" s="201"/>
      <c r="T722" s="202"/>
      <c r="U722" s="246"/>
      <c r="V722" s="246"/>
      <c r="W722" s="246"/>
      <c r="BA722"/>
      <c r="BB722"/>
    </row>
    <row r="723" spans="1:54" s="191" customFormat="1" ht="13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>
        <f t="shared" si="69"/>
        <v>0</v>
      </c>
      <c r="S723" s="201"/>
      <c r="T723" s="202"/>
      <c r="U723" s="246"/>
      <c r="V723" s="246"/>
      <c r="W723" s="246"/>
      <c r="BA723"/>
      <c r="BB723"/>
    </row>
    <row r="724" spans="1:54" s="191" customFormat="1" ht="13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>
        <f t="shared" si="69"/>
        <v>0</v>
      </c>
      <c r="S724" s="201"/>
      <c r="T724" s="202"/>
      <c r="U724" s="246"/>
      <c r="V724" s="246"/>
      <c r="W724" s="246"/>
      <c r="BA724"/>
      <c r="BB724"/>
    </row>
    <row r="725" spans="1:54" s="191" customFormat="1" ht="13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>
        <f t="shared" si="69"/>
        <v>0</v>
      </c>
      <c r="S725" s="201"/>
      <c r="T725" s="202"/>
      <c r="U725" s="246"/>
      <c r="V725" s="246"/>
      <c r="W725" s="246"/>
      <c r="BA725"/>
      <c r="BB725"/>
    </row>
    <row r="726" spans="1:54" s="191" customFormat="1" ht="13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>
        <f t="shared" si="69"/>
        <v>0</v>
      </c>
      <c r="S726" s="201"/>
      <c r="T726" s="202"/>
      <c r="U726" s="246"/>
      <c r="V726" s="246"/>
      <c r="W726" s="246"/>
      <c r="BA726"/>
      <c r="BB726"/>
    </row>
    <row r="727" spans="1:54" s="191" customFormat="1" ht="13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>
        <f t="shared" si="69"/>
        <v>0</v>
      </c>
      <c r="S727" s="201"/>
      <c r="T727" s="202"/>
      <c r="U727" s="246"/>
      <c r="V727" s="246"/>
      <c r="W727" s="246"/>
      <c r="BA727"/>
      <c r="BB727"/>
    </row>
    <row r="728" spans="1:54" s="191" customFormat="1" ht="13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>
        <f t="shared" si="69"/>
        <v>0</v>
      </c>
      <c r="S728" s="201"/>
      <c r="T728" s="202"/>
      <c r="U728" s="246"/>
      <c r="V728" s="246"/>
      <c r="W728" s="246"/>
      <c r="BA728"/>
      <c r="BB728"/>
    </row>
    <row r="729" spans="1:54" s="191" customFormat="1" ht="13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>
        <f t="shared" si="69"/>
        <v>0</v>
      </c>
      <c r="S729" s="201"/>
      <c r="T729" s="202"/>
      <c r="U729" s="246"/>
      <c r="V729" s="246"/>
      <c r="W729" s="246"/>
      <c r="BA729"/>
      <c r="BB729"/>
    </row>
    <row r="730" spans="1:54" s="191" customFormat="1" ht="13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>
        <f t="shared" si="69"/>
        <v>0</v>
      </c>
      <c r="S730" s="201"/>
      <c r="T730" s="202"/>
      <c r="U730" s="246"/>
      <c r="V730" s="246"/>
      <c r="W730" s="246"/>
      <c r="BA730"/>
      <c r="BB730"/>
    </row>
    <row r="731" spans="1:54" s="191" customFormat="1" ht="13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>
        <f t="shared" si="69"/>
        <v>0</v>
      </c>
      <c r="S731" s="201"/>
      <c r="T731" s="202"/>
      <c r="U731" s="246"/>
      <c r="V731" s="246"/>
      <c r="W731" s="246"/>
      <c r="BA731"/>
      <c r="BB731"/>
    </row>
    <row r="732" spans="1:54" s="191" customFormat="1" ht="13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>
        <f t="shared" si="69"/>
        <v>0</v>
      </c>
      <c r="S732" s="201"/>
      <c r="T732" s="202"/>
      <c r="U732" s="246"/>
      <c r="V732" s="246"/>
      <c r="W732" s="246"/>
      <c r="BA732"/>
      <c r="BB732"/>
    </row>
    <row r="733" spans="1:54" s="191" customFormat="1" ht="13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>
        <f t="shared" si="69"/>
        <v>0</v>
      </c>
      <c r="S733" s="201"/>
      <c r="T733" s="202"/>
      <c r="U733" s="246"/>
      <c r="V733" s="246"/>
      <c r="W733" s="246"/>
      <c r="BA733"/>
      <c r="BB733"/>
    </row>
    <row r="734" spans="1:54" s="191" customFormat="1" ht="13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>
        <f t="shared" si="69"/>
        <v>0</v>
      </c>
      <c r="S734" s="201"/>
      <c r="T734" s="202"/>
      <c r="U734" s="246"/>
      <c r="V734" s="246"/>
      <c r="W734" s="246"/>
      <c r="BA734"/>
      <c r="BB734"/>
    </row>
    <row r="735" spans="1:54" s="191" customFormat="1" ht="13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>
        <f t="shared" si="69"/>
        <v>0</v>
      </c>
      <c r="S735" s="201"/>
      <c r="T735" s="202"/>
      <c r="U735" s="246"/>
      <c r="V735" s="246"/>
      <c r="W735" s="246"/>
      <c r="BA735"/>
      <c r="BB735"/>
    </row>
    <row r="736" spans="1:54" s="191" customFormat="1" ht="13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>
        <f t="shared" si="69"/>
        <v>0</v>
      </c>
      <c r="S736" s="201"/>
      <c r="T736" s="202"/>
      <c r="U736" s="246"/>
      <c r="V736" s="246"/>
      <c r="W736" s="246"/>
      <c r="BA736"/>
      <c r="BB736"/>
    </row>
    <row r="737" spans="1:54" s="191" customFormat="1" ht="13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>
        <f t="shared" si="69"/>
        <v>0</v>
      </c>
      <c r="S737" s="201"/>
      <c r="T737" s="202"/>
      <c r="U737" s="246"/>
      <c r="V737" s="246"/>
      <c r="W737" s="246"/>
      <c r="BA737"/>
      <c r="BB737"/>
    </row>
    <row r="738" spans="1:54" s="191" customFormat="1" ht="13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>
        <f t="shared" si="69"/>
        <v>0</v>
      </c>
      <c r="S738" s="201"/>
      <c r="T738" s="202"/>
      <c r="U738" s="246"/>
      <c r="V738" s="246"/>
      <c r="W738" s="246"/>
      <c r="BA738"/>
      <c r="BB738"/>
    </row>
    <row r="739" spans="1:54" s="191" customFormat="1" ht="13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>
        <f t="shared" si="69"/>
        <v>0</v>
      </c>
      <c r="S739" s="201"/>
      <c r="T739" s="202"/>
      <c r="U739" s="246"/>
      <c r="V739" s="246"/>
      <c r="W739" s="246"/>
      <c r="BA739"/>
      <c r="BB739"/>
    </row>
    <row r="740" spans="1:54" s="191" customFormat="1" ht="13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>
        <f t="shared" si="69"/>
        <v>0</v>
      </c>
      <c r="S740" s="201"/>
      <c r="T740" s="202"/>
      <c r="U740" s="246"/>
      <c r="V740" s="246"/>
      <c r="W740" s="246"/>
      <c r="BA740"/>
      <c r="BB740"/>
    </row>
    <row r="741" spans="1:54" s="191" customFormat="1" ht="13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>
        <f t="shared" si="69"/>
        <v>0</v>
      </c>
      <c r="S741" s="201"/>
      <c r="T741" s="202"/>
      <c r="U741" s="246"/>
      <c r="V741" s="246"/>
      <c r="W741" s="246"/>
      <c r="BA741"/>
      <c r="BB741"/>
    </row>
    <row r="742" spans="1:54" s="191" customFormat="1" ht="13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>
        <f t="shared" si="69"/>
        <v>0</v>
      </c>
      <c r="S742" s="201"/>
      <c r="T742" s="202"/>
      <c r="U742" s="246"/>
      <c r="V742" s="246"/>
      <c r="W742" s="246"/>
      <c r="BA742"/>
      <c r="BB742"/>
    </row>
    <row r="743" spans="1:54" s="191" customFormat="1" ht="13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>
        <f t="shared" si="69"/>
        <v>0</v>
      </c>
      <c r="S743" s="201"/>
      <c r="T743" s="202"/>
      <c r="U743" s="246"/>
      <c r="V743" s="246"/>
      <c r="W743" s="246"/>
      <c r="BA743"/>
      <c r="BB743"/>
    </row>
    <row r="744" spans="1:54" s="191" customFormat="1" ht="13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>
        <f t="shared" si="69"/>
        <v>0</v>
      </c>
      <c r="S744" s="201"/>
      <c r="T744" s="202"/>
      <c r="U744" s="246"/>
      <c r="V744" s="246"/>
      <c r="W744" s="246"/>
      <c r="BA744"/>
      <c r="BB744"/>
    </row>
    <row r="745" spans="1:54" s="191" customFormat="1" ht="13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>
        <f t="shared" si="69"/>
        <v>0</v>
      </c>
      <c r="S745" s="201"/>
      <c r="T745" s="202"/>
      <c r="U745" s="246"/>
      <c r="V745" s="246"/>
      <c r="W745" s="246"/>
      <c r="BA745"/>
      <c r="BB745"/>
    </row>
    <row r="746" spans="1:54" s="191" customFormat="1" ht="13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>
        <f t="shared" si="69"/>
        <v>0</v>
      </c>
      <c r="S746" s="201"/>
      <c r="T746" s="202"/>
      <c r="U746" s="246"/>
      <c r="V746" s="246"/>
      <c r="W746" s="246"/>
      <c r="BA746"/>
      <c r="BB746"/>
    </row>
    <row r="747" spans="1:54" s="191" customFormat="1" ht="13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>
        <f t="shared" si="69"/>
        <v>0</v>
      </c>
      <c r="S747" s="201"/>
      <c r="T747" s="202"/>
      <c r="U747" s="246"/>
      <c r="V747" s="246"/>
      <c r="W747" s="246"/>
      <c r="BA747"/>
      <c r="BB747"/>
    </row>
    <row r="748" spans="1:54" s="191" customFormat="1" ht="13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>
        <f t="shared" si="69"/>
        <v>0</v>
      </c>
      <c r="S748" s="201"/>
      <c r="T748" s="202"/>
      <c r="U748" s="246"/>
      <c r="V748" s="246"/>
      <c r="W748" s="246"/>
      <c r="BA748"/>
      <c r="BB748"/>
    </row>
    <row r="749" spans="1:54" s="191" customFormat="1" ht="13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>
        <f t="shared" si="69"/>
        <v>0</v>
      </c>
      <c r="S749" s="201"/>
      <c r="T749" s="202"/>
      <c r="U749" s="246"/>
      <c r="V749" s="246"/>
      <c r="W749" s="246"/>
      <c r="BA749"/>
      <c r="BB749"/>
    </row>
    <row r="750" spans="1:54" s="191" customFormat="1" ht="13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>
        <f t="shared" si="69"/>
        <v>0</v>
      </c>
      <c r="S750" s="201"/>
      <c r="T750" s="202"/>
      <c r="U750" s="246"/>
      <c r="V750" s="246"/>
      <c r="W750" s="246"/>
      <c r="BA750"/>
      <c r="BB750"/>
    </row>
    <row r="751" spans="1:54" s="191" customFormat="1" ht="13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>
        <f t="shared" si="69"/>
        <v>0</v>
      </c>
      <c r="S751" s="201"/>
      <c r="T751" s="202"/>
      <c r="U751" s="246"/>
      <c r="V751" s="246"/>
      <c r="W751" s="246"/>
      <c r="BA751"/>
      <c r="BB751"/>
    </row>
    <row r="752" spans="1:54" s="191" customFormat="1" ht="13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>
        <f t="shared" si="69"/>
        <v>0</v>
      </c>
      <c r="S752" s="201"/>
      <c r="T752" s="202"/>
      <c r="U752" s="246"/>
      <c r="V752" s="246"/>
      <c r="W752" s="246"/>
      <c r="BA752"/>
      <c r="BB752"/>
    </row>
    <row r="753" spans="1:54" s="191" customFormat="1" ht="13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>
        <f t="shared" si="69"/>
        <v>0</v>
      </c>
      <c r="S753" s="201"/>
      <c r="T753" s="202"/>
      <c r="U753" s="246"/>
      <c r="V753" s="246"/>
      <c r="W753" s="246"/>
      <c r="BA753"/>
      <c r="BB753"/>
    </row>
    <row r="754" spans="1:54" s="191" customFormat="1" ht="13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>
        <f t="shared" si="69"/>
        <v>0</v>
      </c>
      <c r="S754" s="201"/>
      <c r="T754" s="202"/>
      <c r="U754" s="246"/>
      <c r="V754" s="246"/>
      <c r="W754" s="246"/>
      <c r="BA754"/>
      <c r="BB754"/>
    </row>
    <row r="755" spans="1:54" s="191" customFormat="1" ht="13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>
        <f t="shared" si="69"/>
        <v>0</v>
      </c>
      <c r="S755" s="201"/>
      <c r="T755" s="202"/>
      <c r="U755" s="246"/>
      <c r="V755" s="246"/>
      <c r="W755" s="246"/>
      <c r="BA755"/>
      <c r="BB755"/>
    </row>
    <row r="756" spans="1:54" s="191" customFormat="1" ht="13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>
        <f t="shared" si="69"/>
        <v>0</v>
      </c>
      <c r="S756" s="201"/>
      <c r="T756" s="202"/>
      <c r="U756" s="246"/>
      <c r="V756" s="246"/>
      <c r="W756" s="246"/>
      <c r="BA756"/>
      <c r="BB756"/>
    </row>
    <row r="757" spans="1:54" s="191" customFormat="1" ht="13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>
        <f t="shared" si="69"/>
        <v>0</v>
      </c>
      <c r="S757" s="201"/>
      <c r="T757" s="202"/>
      <c r="U757" s="246"/>
      <c r="V757" s="246"/>
      <c r="W757" s="246"/>
      <c r="BA757"/>
      <c r="BB757"/>
    </row>
    <row r="758" spans="1:54" s="191" customFormat="1" ht="13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>
        <f t="shared" si="69"/>
        <v>0</v>
      </c>
      <c r="S758" s="201"/>
      <c r="T758" s="202"/>
      <c r="U758" s="246"/>
      <c r="V758" s="246"/>
      <c r="W758" s="246"/>
      <c r="BA758"/>
      <c r="BB758"/>
    </row>
    <row r="759" spans="1:54" s="191" customFormat="1" ht="13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>
        <f t="shared" si="69"/>
        <v>0</v>
      </c>
      <c r="S759" s="201"/>
      <c r="T759" s="202"/>
      <c r="U759" s="246"/>
      <c r="V759" s="246"/>
      <c r="W759" s="246"/>
      <c r="BA759"/>
      <c r="BB759"/>
    </row>
    <row r="760" spans="1:54" s="191" customFormat="1" ht="13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>
        <f t="shared" si="69"/>
        <v>0</v>
      </c>
      <c r="S760" s="201"/>
      <c r="T760" s="202"/>
      <c r="U760" s="246"/>
      <c r="V760" s="246"/>
      <c r="W760" s="246"/>
      <c r="BA760"/>
      <c r="BB760"/>
    </row>
    <row r="761" spans="1:54" s="191" customFormat="1" ht="13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>
        <f t="shared" si="69"/>
        <v>0</v>
      </c>
      <c r="S761" s="201"/>
      <c r="T761" s="202"/>
      <c r="U761" s="246"/>
      <c r="V761" s="246"/>
      <c r="W761" s="246"/>
      <c r="BA761"/>
      <c r="BB761"/>
    </row>
    <row r="762" spans="1:54" s="191" customFormat="1" ht="13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>
        <f t="shared" si="69"/>
        <v>0</v>
      </c>
      <c r="S762" s="201"/>
      <c r="T762" s="202"/>
      <c r="U762" s="246"/>
      <c r="V762" s="246"/>
      <c r="W762" s="246"/>
      <c r="BA762"/>
      <c r="BB762"/>
    </row>
    <row r="763" spans="1:54" s="191" customFormat="1" ht="13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>
        <f t="shared" si="69"/>
        <v>0</v>
      </c>
      <c r="S763" s="201"/>
      <c r="T763" s="202"/>
      <c r="U763" s="246"/>
      <c r="V763" s="246"/>
      <c r="W763" s="246"/>
      <c r="BA763"/>
      <c r="BB763"/>
    </row>
    <row r="764" spans="1:54" s="191" customFormat="1" ht="13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>
        <f t="shared" si="69"/>
        <v>0</v>
      </c>
      <c r="S764" s="201"/>
      <c r="T764" s="202"/>
      <c r="U764" s="246"/>
      <c r="V764" s="246"/>
      <c r="W764" s="246"/>
      <c r="BA764"/>
      <c r="BB764"/>
    </row>
    <row r="765" spans="1:54" s="191" customFormat="1" ht="13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>
        <f t="shared" si="69"/>
        <v>0</v>
      </c>
      <c r="S765" s="201"/>
      <c r="T765" s="202"/>
      <c r="U765" s="246"/>
      <c r="V765" s="246"/>
      <c r="W765" s="246"/>
      <c r="BA765"/>
      <c r="BB765"/>
    </row>
    <row r="766" spans="1:54" s="191" customFormat="1" ht="13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>
        <f t="shared" si="69"/>
        <v>0</v>
      </c>
      <c r="S766" s="201"/>
      <c r="T766" s="202"/>
      <c r="U766" s="246"/>
      <c r="V766" s="246"/>
      <c r="W766" s="246"/>
      <c r="BA766"/>
      <c r="BB766"/>
    </row>
    <row r="767" spans="1:54" s="191" customFormat="1" ht="13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>
        <f t="shared" si="69"/>
        <v>0</v>
      </c>
      <c r="S767" s="201"/>
      <c r="T767" s="202"/>
      <c r="U767" s="246"/>
      <c r="V767" s="246"/>
      <c r="W767" s="246"/>
      <c r="BA767"/>
      <c r="BB767"/>
    </row>
    <row r="768" spans="1:54" s="191" customFormat="1" ht="13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>
        <f t="shared" si="69"/>
        <v>0</v>
      </c>
      <c r="S768" s="201"/>
      <c r="T768" s="202"/>
      <c r="U768" s="246"/>
      <c r="V768" s="246"/>
      <c r="W768" s="246"/>
      <c r="BA768"/>
      <c r="BB768"/>
    </row>
    <row r="769" spans="1:54" s="191" customFormat="1" ht="13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>
        <f t="shared" si="69"/>
        <v>0</v>
      </c>
      <c r="S769" s="201"/>
      <c r="T769" s="202"/>
      <c r="U769" s="246"/>
      <c r="V769" s="246"/>
      <c r="W769" s="246"/>
      <c r="BA769"/>
      <c r="BB769"/>
    </row>
    <row r="770" spans="1:54" s="191" customFormat="1" ht="13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>
        <f t="shared" si="69"/>
        <v>0</v>
      </c>
      <c r="S770" s="201"/>
      <c r="T770" s="202"/>
      <c r="U770" s="246"/>
      <c r="V770" s="246"/>
      <c r="W770" s="246"/>
      <c r="BA770"/>
      <c r="BB770"/>
    </row>
    <row r="771" spans="1:54" s="191" customFormat="1" ht="13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>
        <f t="shared" ref="R771:R811" si="70">SUM(F771:Q771)</f>
        <v>0</v>
      </c>
      <c r="S771" s="201"/>
      <c r="T771" s="202"/>
      <c r="U771" s="246"/>
      <c r="V771" s="246"/>
      <c r="W771" s="246"/>
      <c r="BA771"/>
      <c r="BB771"/>
    </row>
    <row r="772" spans="1:54" s="191" customFormat="1" ht="13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>
        <f t="shared" si="70"/>
        <v>0</v>
      </c>
      <c r="S772" s="201"/>
      <c r="T772" s="202"/>
      <c r="U772" s="246"/>
      <c r="V772" s="246"/>
      <c r="W772" s="246"/>
      <c r="BA772"/>
      <c r="BB772"/>
    </row>
    <row r="773" spans="1:54" s="191" customFormat="1" ht="13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>
        <f t="shared" si="70"/>
        <v>0</v>
      </c>
      <c r="S773" s="201"/>
      <c r="T773" s="202"/>
      <c r="U773" s="246"/>
      <c r="V773" s="246"/>
      <c r="W773" s="246"/>
      <c r="BA773"/>
      <c r="BB773"/>
    </row>
    <row r="774" spans="1:54" s="191" customFormat="1" ht="13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>
        <f t="shared" si="70"/>
        <v>0</v>
      </c>
      <c r="S774" s="201"/>
      <c r="T774" s="202"/>
      <c r="U774" s="246"/>
      <c r="V774" s="246"/>
      <c r="W774" s="246"/>
      <c r="BA774"/>
      <c r="BB774"/>
    </row>
    <row r="775" spans="1:54" s="191" customFormat="1" ht="13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>
        <f t="shared" si="70"/>
        <v>0</v>
      </c>
      <c r="S775" s="201"/>
      <c r="T775" s="202"/>
      <c r="U775" s="246"/>
      <c r="V775" s="246"/>
      <c r="W775" s="246"/>
      <c r="BA775"/>
      <c r="BB775"/>
    </row>
    <row r="776" spans="1:54" s="191" customFormat="1" ht="13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>
        <f t="shared" si="70"/>
        <v>0</v>
      </c>
      <c r="S776" s="201"/>
      <c r="T776" s="202"/>
      <c r="U776" s="246"/>
      <c r="V776" s="246"/>
      <c r="W776" s="246"/>
      <c r="BA776"/>
      <c r="BB776"/>
    </row>
    <row r="777" spans="1:54" s="191" customFormat="1" ht="13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>
        <f t="shared" si="70"/>
        <v>0</v>
      </c>
      <c r="S777" s="201"/>
      <c r="T777" s="202"/>
      <c r="U777" s="246"/>
      <c r="V777" s="246"/>
      <c r="W777" s="246"/>
      <c r="BA777"/>
      <c r="BB777"/>
    </row>
    <row r="778" spans="1:54" s="191" customFormat="1" ht="13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>
        <f t="shared" si="70"/>
        <v>0</v>
      </c>
      <c r="S778" s="201"/>
      <c r="T778" s="202"/>
      <c r="U778" s="246"/>
      <c r="V778" s="246"/>
      <c r="W778" s="246"/>
      <c r="BA778"/>
      <c r="BB778"/>
    </row>
    <row r="779" spans="1:54" s="191" customFormat="1" ht="13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>
        <f t="shared" si="70"/>
        <v>0</v>
      </c>
      <c r="S779" s="201"/>
      <c r="T779" s="202"/>
      <c r="U779" s="246"/>
      <c r="V779" s="246"/>
      <c r="W779" s="246"/>
      <c r="BA779"/>
      <c r="BB779"/>
    </row>
    <row r="780" spans="1:54" s="191" customFormat="1" ht="13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>
        <f t="shared" si="70"/>
        <v>0</v>
      </c>
      <c r="S780" s="201"/>
      <c r="T780" s="202"/>
      <c r="U780" s="246"/>
      <c r="V780" s="246"/>
      <c r="W780" s="246"/>
      <c r="BA780"/>
      <c r="BB780"/>
    </row>
    <row r="781" spans="1:54" s="191" customFormat="1" ht="13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>
        <f t="shared" si="70"/>
        <v>0</v>
      </c>
      <c r="S781" s="201"/>
      <c r="T781" s="202"/>
      <c r="U781" s="246"/>
      <c r="V781" s="246"/>
      <c r="W781" s="246"/>
      <c r="BA781"/>
      <c r="BB781"/>
    </row>
    <row r="782" spans="1:54" s="191" customFormat="1" ht="13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>
        <f t="shared" si="70"/>
        <v>0</v>
      </c>
      <c r="S782" s="201"/>
      <c r="T782" s="202"/>
      <c r="U782" s="246"/>
      <c r="V782" s="246"/>
      <c r="W782" s="246"/>
      <c r="BA782"/>
      <c r="BB782"/>
    </row>
    <row r="783" spans="1:54" s="191" customFormat="1" ht="13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>
        <f t="shared" si="70"/>
        <v>0</v>
      </c>
      <c r="S783" s="201"/>
      <c r="T783" s="202"/>
      <c r="U783" s="246"/>
      <c r="V783" s="246"/>
      <c r="W783" s="246"/>
      <c r="BA783"/>
      <c r="BB783"/>
    </row>
    <row r="784" spans="1:54" s="191" customFormat="1" ht="13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>
        <f t="shared" si="70"/>
        <v>0</v>
      </c>
      <c r="S784" s="201"/>
      <c r="T784" s="202"/>
      <c r="U784" s="246"/>
      <c r="V784" s="246"/>
      <c r="W784" s="246"/>
      <c r="BA784"/>
      <c r="BB784"/>
    </row>
    <row r="785" spans="1:54" s="191" customFormat="1" ht="13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>
        <f t="shared" si="70"/>
        <v>0</v>
      </c>
      <c r="S785" s="201"/>
      <c r="T785" s="202"/>
      <c r="U785" s="246"/>
      <c r="V785" s="246"/>
      <c r="W785" s="246"/>
      <c r="BA785"/>
      <c r="BB785"/>
    </row>
    <row r="786" spans="1:54" s="191" customFormat="1" ht="13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>
        <f t="shared" si="70"/>
        <v>0</v>
      </c>
      <c r="S786" s="201"/>
      <c r="T786" s="202"/>
      <c r="U786" s="246"/>
      <c r="V786" s="246"/>
      <c r="W786" s="246"/>
      <c r="BA786"/>
      <c r="BB786"/>
    </row>
    <row r="787" spans="1:54" s="191" customFormat="1" ht="13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>
        <f t="shared" si="70"/>
        <v>0</v>
      </c>
      <c r="S787" s="201"/>
      <c r="T787" s="202"/>
      <c r="U787" s="246"/>
      <c r="V787" s="246"/>
      <c r="W787" s="246"/>
      <c r="BA787"/>
      <c r="BB787"/>
    </row>
    <row r="788" spans="1:54" s="191" customFormat="1" ht="13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>
        <f t="shared" si="70"/>
        <v>0</v>
      </c>
      <c r="S788" s="201"/>
      <c r="T788" s="202"/>
      <c r="U788" s="246"/>
      <c r="V788" s="246"/>
      <c r="W788" s="246"/>
      <c r="BA788"/>
      <c r="BB788"/>
    </row>
    <row r="789" spans="1:54" s="191" customFormat="1" ht="13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>
        <f t="shared" si="70"/>
        <v>0</v>
      </c>
      <c r="S789" s="201"/>
      <c r="T789" s="202"/>
      <c r="U789" s="246"/>
      <c r="V789" s="246"/>
      <c r="W789" s="246"/>
      <c r="BA789"/>
      <c r="BB789"/>
    </row>
    <row r="790" spans="1:54" s="191" customFormat="1" ht="13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>
        <f t="shared" si="70"/>
        <v>0</v>
      </c>
      <c r="S790" s="201"/>
      <c r="T790" s="202"/>
      <c r="U790" s="246"/>
      <c r="V790" s="246"/>
      <c r="W790" s="246"/>
      <c r="BA790"/>
      <c r="BB790"/>
    </row>
    <row r="791" spans="1:54" s="191" customFormat="1" ht="13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>
        <f t="shared" si="70"/>
        <v>0</v>
      </c>
      <c r="S791" s="201"/>
      <c r="T791" s="202"/>
      <c r="U791" s="246"/>
      <c r="V791" s="246"/>
      <c r="W791" s="246"/>
      <c r="BA791"/>
      <c r="BB791"/>
    </row>
    <row r="792" spans="1:54" s="191" customFormat="1" ht="13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>
        <f t="shared" si="70"/>
        <v>0</v>
      </c>
      <c r="S792" s="201"/>
      <c r="T792" s="202"/>
      <c r="U792" s="246"/>
      <c r="V792" s="246"/>
      <c r="W792" s="246"/>
      <c r="BA792"/>
      <c r="BB792"/>
    </row>
    <row r="793" spans="1:54" s="191" customFormat="1" ht="13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>
        <f t="shared" si="70"/>
        <v>0</v>
      </c>
      <c r="S793" s="201"/>
      <c r="T793" s="202"/>
      <c r="U793" s="246"/>
      <c r="V793" s="246"/>
      <c r="W793" s="246"/>
      <c r="BA793"/>
      <c r="BB793"/>
    </row>
    <row r="794" spans="1:54" s="191" customFormat="1" ht="13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>
        <f t="shared" si="70"/>
        <v>0</v>
      </c>
      <c r="S794" s="201"/>
      <c r="T794" s="202"/>
      <c r="U794" s="246"/>
      <c r="V794" s="246"/>
      <c r="W794" s="246"/>
      <c r="BA794"/>
      <c r="BB794"/>
    </row>
    <row r="795" spans="1:54" s="191" customFormat="1" ht="13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>
        <f t="shared" si="70"/>
        <v>0</v>
      </c>
      <c r="S795" s="201"/>
      <c r="T795" s="202"/>
      <c r="U795" s="246"/>
      <c r="V795" s="246"/>
      <c r="W795" s="246"/>
      <c r="BA795"/>
      <c r="BB795"/>
    </row>
    <row r="796" spans="1:54" s="191" customFormat="1" ht="13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>
        <f t="shared" si="70"/>
        <v>0</v>
      </c>
      <c r="S796" s="201"/>
      <c r="T796" s="202"/>
      <c r="U796" s="246"/>
      <c r="V796" s="246"/>
      <c r="W796" s="246"/>
      <c r="BA796"/>
      <c r="BB796"/>
    </row>
    <row r="797" spans="1:54" s="191" customFormat="1" ht="13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>
        <f t="shared" si="70"/>
        <v>0</v>
      </c>
      <c r="S797" s="201"/>
      <c r="T797" s="202"/>
      <c r="U797" s="246"/>
      <c r="V797" s="246"/>
      <c r="W797" s="246"/>
      <c r="BA797"/>
      <c r="BB797"/>
    </row>
    <row r="798" spans="1:54" s="191" customFormat="1" ht="13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>
        <f t="shared" si="70"/>
        <v>0</v>
      </c>
      <c r="S798" s="201"/>
      <c r="T798" s="202"/>
      <c r="U798" s="246"/>
      <c r="V798" s="246"/>
      <c r="W798" s="246"/>
      <c r="BA798"/>
      <c r="BB798"/>
    </row>
    <row r="799" spans="1:54" s="191" customFormat="1" ht="13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>
        <f t="shared" si="70"/>
        <v>0</v>
      </c>
      <c r="S799" s="201"/>
      <c r="T799" s="202"/>
      <c r="U799" s="246"/>
      <c r="V799" s="246"/>
      <c r="W799" s="246"/>
      <c r="BA799"/>
      <c r="BB799"/>
    </row>
    <row r="800" spans="1:54" s="191" customFormat="1" ht="13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>
        <f t="shared" si="70"/>
        <v>0</v>
      </c>
      <c r="S800" s="201"/>
      <c r="T800" s="202"/>
      <c r="U800" s="246"/>
      <c r="V800" s="246"/>
      <c r="W800" s="246"/>
      <c r="BA800"/>
      <c r="BB800"/>
    </row>
    <row r="801" spans="1:54" s="191" customFormat="1" ht="13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>
        <f t="shared" si="70"/>
        <v>0</v>
      </c>
      <c r="S801" s="201"/>
      <c r="T801" s="202"/>
      <c r="U801" s="246"/>
      <c r="V801" s="246"/>
      <c r="W801" s="246"/>
      <c r="BA801"/>
      <c r="BB801"/>
    </row>
    <row r="802" spans="1:54" s="191" customFormat="1" ht="13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>
        <f t="shared" si="70"/>
        <v>0</v>
      </c>
      <c r="S802" s="201"/>
      <c r="T802" s="202"/>
      <c r="U802" s="246"/>
      <c r="V802" s="246"/>
      <c r="W802" s="246"/>
      <c r="BA802"/>
      <c r="BB802"/>
    </row>
    <row r="803" spans="1:54" s="191" customFormat="1" ht="13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>
        <f t="shared" si="70"/>
        <v>0</v>
      </c>
      <c r="S803" s="201"/>
      <c r="T803" s="202"/>
      <c r="U803" s="246"/>
      <c r="V803" s="246"/>
      <c r="W803" s="246"/>
      <c r="BA803"/>
      <c r="BB803"/>
    </row>
    <row r="804" spans="1:54" s="191" customFormat="1" ht="13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>
        <f t="shared" si="70"/>
        <v>0</v>
      </c>
      <c r="S804" s="201"/>
      <c r="T804" s="202"/>
      <c r="U804" s="246"/>
      <c r="V804" s="246"/>
      <c r="W804" s="246"/>
      <c r="BA804"/>
      <c r="BB804"/>
    </row>
    <row r="805" spans="1:54" s="191" customFormat="1" ht="13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>
        <f t="shared" si="70"/>
        <v>0</v>
      </c>
      <c r="S805" s="201"/>
      <c r="T805" s="202"/>
      <c r="U805" s="246"/>
      <c r="V805" s="246"/>
      <c r="W805" s="246"/>
      <c r="BA805"/>
      <c r="BB805"/>
    </row>
    <row r="806" spans="1:54" s="191" customFormat="1" ht="13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>
        <f t="shared" si="70"/>
        <v>0</v>
      </c>
      <c r="S806" s="201"/>
      <c r="T806" s="202"/>
      <c r="U806" s="246"/>
      <c r="V806" s="246"/>
      <c r="W806" s="246"/>
      <c r="BA806"/>
      <c r="BB806"/>
    </row>
    <row r="807" spans="1:54" s="191" customFormat="1" ht="13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>
        <f t="shared" si="70"/>
        <v>0</v>
      </c>
      <c r="S807" s="201"/>
      <c r="T807" s="202"/>
      <c r="U807" s="246"/>
      <c r="V807" s="246"/>
      <c r="W807" s="246"/>
      <c r="BA807"/>
      <c r="BB807"/>
    </row>
    <row r="808" spans="1:54" s="191" customFormat="1" ht="13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>
        <f t="shared" si="70"/>
        <v>0</v>
      </c>
      <c r="S808" s="201"/>
      <c r="T808" s="202"/>
      <c r="U808" s="246"/>
      <c r="V808" s="246"/>
      <c r="W808" s="246"/>
      <c r="BA808"/>
      <c r="BB808"/>
    </row>
    <row r="809" spans="1:54" s="191" customFormat="1" ht="13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>
        <f t="shared" si="70"/>
        <v>0</v>
      </c>
      <c r="S809" s="201"/>
      <c r="T809" s="202"/>
      <c r="U809" s="246"/>
      <c r="V809" s="246"/>
      <c r="W809" s="246"/>
      <c r="BA809"/>
      <c r="BB809"/>
    </row>
    <row r="810" spans="1:54" s="191" customFormat="1" ht="13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>
        <f t="shared" si="70"/>
        <v>0</v>
      </c>
      <c r="S810" s="201"/>
      <c r="T810" s="202"/>
      <c r="U810" s="246"/>
      <c r="V810" s="246"/>
      <c r="W810" s="246"/>
      <c r="BA810"/>
      <c r="BB810"/>
    </row>
    <row r="811" spans="1:54" s="191" customFormat="1" ht="13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>
        <f t="shared" si="70"/>
        <v>0</v>
      </c>
      <c r="S811" s="201"/>
      <c r="T811" s="202"/>
      <c r="U811" s="246"/>
      <c r="V811" s="246"/>
      <c r="W811" s="246"/>
      <c r="BA811"/>
      <c r="BB811"/>
    </row>
    <row r="812" spans="1:54" s="191" customFormat="1" ht="13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</row>
    <row r="971" spans="1:54" s="191" customFormat="1" ht="13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</row>
    <row r="972" spans="1:54" s="191" customFormat="1" ht="13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</row>
    <row r="973" spans="1:54" s="191" customFormat="1" ht="13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</row>
    <row r="974" spans="1:54" s="191" customFormat="1" ht="13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</row>
    <row r="975" spans="1:54" s="191" customFormat="1" ht="13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</row>
    <row r="976" spans="1:54" s="191" customFormat="1" ht="13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</row>
    <row r="977" spans="1:54" s="191" customFormat="1" ht="13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</row>
    <row r="978" spans="1:54" s="191" customFormat="1" ht="13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</row>
    <row r="979" spans="1:54" s="191" customFormat="1" ht="13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</row>
    <row r="980" spans="1:54" s="191" customFormat="1" ht="13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</row>
    <row r="981" spans="1:54" s="191" customFormat="1" ht="13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</row>
    <row r="982" spans="1:54" s="191" customFormat="1" ht="13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</row>
    <row r="983" spans="1:54" s="191" customFormat="1" ht="13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1"/>
      <c r="T983" s="202"/>
      <c r="U983" s="246"/>
      <c r="V983" s="246"/>
      <c r="W983" s="246"/>
      <c r="BA983"/>
      <c r="BB983"/>
    </row>
    <row r="984" spans="1:54" s="191" customFormat="1" ht="13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1"/>
      <c r="T984" s="202"/>
      <c r="U984" s="246"/>
      <c r="V984" s="246"/>
      <c r="W984" s="246"/>
      <c r="BA984"/>
      <c r="BB984"/>
    </row>
    <row r="985" spans="1:54" s="191" customFormat="1" ht="13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1"/>
      <c r="T985" s="202"/>
      <c r="U985" s="246"/>
      <c r="V985" s="246"/>
      <c r="W985" s="246"/>
      <c r="BA985"/>
      <c r="BB985"/>
    </row>
    <row r="986" spans="1:54" s="191" customFormat="1" ht="13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1"/>
      <c r="T986" s="202"/>
      <c r="U986" s="246"/>
      <c r="V986" s="246"/>
      <c r="W986" s="246"/>
      <c r="BA986"/>
      <c r="BB986"/>
    </row>
    <row r="987" spans="1:54" s="191" customFormat="1" ht="13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1"/>
      <c r="T987" s="202"/>
      <c r="U987" s="246"/>
      <c r="V987" s="246"/>
      <c r="W987" s="246"/>
      <c r="BA987"/>
      <c r="BB987"/>
    </row>
    <row r="988" spans="1:54" s="191" customFormat="1" ht="13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1"/>
      <c r="T988" s="202"/>
      <c r="U988" s="246"/>
      <c r="V988" s="246"/>
      <c r="W988" s="246"/>
      <c r="BA988"/>
      <c r="BB988"/>
    </row>
    <row r="989" spans="1:54" s="191" customFormat="1" ht="13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1"/>
      <c r="T989" s="202"/>
      <c r="U989" s="246"/>
      <c r="V989" s="246"/>
      <c r="W989" s="246"/>
      <c r="BA989"/>
      <c r="BB989"/>
    </row>
    <row r="990" spans="1:54" s="191" customFormat="1" ht="13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1"/>
      <c r="T990" s="202"/>
      <c r="U990" s="246"/>
      <c r="V990" s="246"/>
      <c r="W990" s="246"/>
      <c r="BA990"/>
      <c r="BB990"/>
    </row>
    <row r="991" spans="1:54" s="191" customFormat="1" ht="13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1"/>
      <c r="T991" s="202"/>
      <c r="U991" s="246"/>
      <c r="V991" s="246"/>
      <c r="W991" s="246"/>
      <c r="BA991"/>
      <c r="BB991"/>
    </row>
    <row r="992" spans="1:54" s="191" customFormat="1" ht="13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1"/>
      <c r="T992" s="202"/>
      <c r="U992" s="246"/>
      <c r="V992" s="246"/>
      <c r="W992" s="246"/>
      <c r="BA992"/>
      <c r="BB992"/>
    </row>
    <row r="993" spans="1:54" s="191" customFormat="1" ht="13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1"/>
      <c r="T993" s="202"/>
      <c r="U993" s="246"/>
      <c r="V993" s="246"/>
      <c r="W993" s="246"/>
      <c r="BA993"/>
      <c r="BB993"/>
    </row>
    <row r="994" spans="1:54" s="191" customFormat="1" ht="13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1"/>
      <c r="T994" s="202"/>
      <c r="U994" s="246"/>
      <c r="V994" s="246"/>
      <c r="W994" s="246"/>
      <c r="BA994"/>
      <c r="BB994"/>
    </row>
    <row r="995" spans="1:54" s="191" customFormat="1" ht="13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1"/>
      <c r="T995" s="202"/>
      <c r="U995" s="246"/>
      <c r="V995" s="246"/>
      <c r="W995" s="246"/>
      <c r="BA995"/>
      <c r="BB995"/>
    </row>
    <row r="996" spans="1:54" s="191" customFormat="1" ht="13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1"/>
      <c r="T996" s="202"/>
      <c r="U996" s="246"/>
      <c r="V996" s="246"/>
      <c r="W996" s="246"/>
      <c r="BA996"/>
      <c r="BB996"/>
    </row>
    <row r="997" spans="1:54" s="191" customFormat="1" ht="13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1"/>
      <c r="T997" s="202"/>
      <c r="U997" s="246"/>
      <c r="V997" s="246"/>
      <c r="W997" s="246"/>
      <c r="BA997"/>
      <c r="BB997"/>
    </row>
    <row r="998" spans="1:54" s="191" customFormat="1" ht="13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1"/>
      <c r="T998" s="202"/>
      <c r="U998" s="246"/>
      <c r="V998" s="246"/>
      <c r="W998" s="246"/>
      <c r="BA998"/>
      <c r="BB998"/>
    </row>
    <row r="999" spans="1:54" s="191" customFormat="1" ht="13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9" t="str">
        <f>IF(C999="","",VLOOKUP($B999,勘定科目!$A:$E,4,0))</f>
        <v/>
      </c>
      <c r="E999" s="245"/>
      <c r="F999" s="240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00"/>
      <c r="S999" s="201"/>
      <c r="T999" s="202"/>
      <c r="U999" s="246"/>
      <c r="V999" s="246"/>
      <c r="W999" s="246"/>
      <c r="BA999"/>
      <c r="BB999"/>
    </row>
    <row r="1000" spans="1:54" s="191" customFormat="1" ht="13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9" t="str">
        <f>IF(C1000="","",VLOOKUP($B1000,勘定科目!$A:$E,4,0))</f>
        <v/>
      </c>
      <c r="E1000" s="245"/>
      <c r="F1000" s="240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00"/>
      <c r="S1000" s="201"/>
      <c r="T1000" s="202"/>
      <c r="U1000" s="246"/>
      <c r="V1000" s="246"/>
      <c r="W1000" s="246"/>
      <c r="BA1000"/>
      <c r="BB1000"/>
    </row>
    <row r="1001" spans="1:54" s="191" customFormat="1" ht="13">
      <c r="A1001" s="182"/>
      <c r="B1001" s="178"/>
      <c r="C1001" s="183" t="str">
        <f>IFERROR(IF(VLOOKUP($B1001,勘定科目!$A:$H,HLOOKUP($E$5,勘定科目!$F$1:$H$2,2,0),0)="","",VLOOKUP($B1001,勘定科目!$A:$E,2,0)),"")</f>
        <v/>
      </c>
      <c r="D1001" s="239" t="str">
        <f>IF(C1001="","",VLOOKUP($B1001,勘定科目!$A:$E,4,0))</f>
        <v/>
      </c>
      <c r="E1001" s="245"/>
      <c r="F1001" s="240"/>
      <c r="G1001" s="241"/>
      <c r="H1001" s="241"/>
      <c r="I1001" s="241"/>
      <c r="J1001" s="241"/>
      <c r="K1001" s="241"/>
      <c r="L1001" s="241"/>
      <c r="M1001" s="241"/>
      <c r="N1001" s="241"/>
      <c r="O1001" s="241"/>
      <c r="P1001" s="241"/>
      <c r="Q1001" s="241"/>
      <c r="R1001" s="200"/>
      <c r="S1001" s="201"/>
      <c r="T1001" s="202"/>
      <c r="U1001" s="246"/>
      <c r="V1001" s="246"/>
      <c r="W1001" s="246"/>
      <c r="BA1001"/>
      <c r="BB1001"/>
    </row>
    <row r="1002" spans="1:54" s="191" customFormat="1" ht="13">
      <c r="A1002" s="182"/>
      <c r="B1002" s="178"/>
      <c r="C1002" s="183" t="str">
        <f>IFERROR(IF(VLOOKUP($B1002,勘定科目!$A:$H,HLOOKUP($E$5,勘定科目!$F$1:$H$2,2,0),0)="","",VLOOKUP($B1002,勘定科目!$A:$E,2,0)),"")</f>
        <v/>
      </c>
      <c r="D1002" s="239" t="str">
        <f>IF(C1002="","",VLOOKUP($B1002,勘定科目!$A:$E,4,0))</f>
        <v/>
      </c>
      <c r="E1002" s="245"/>
      <c r="F1002" s="240"/>
      <c r="G1002" s="241"/>
      <c r="H1002" s="241"/>
      <c r="I1002" s="241"/>
      <c r="J1002" s="241"/>
      <c r="K1002" s="241"/>
      <c r="L1002" s="241"/>
      <c r="M1002" s="241"/>
      <c r="N1002" s="241"/>
      <c r="O1002" s="241"/>
      <c r="P1002" s="241"/>
      <c r="Q1002" s="241"/>
      <c r="R1002" s="200"/>
      <c r="S1002" s="201"/>
      <c r="T1002" s="202"/>
      <c r="U1002" s="246"/>
      <c r="V1002" s="246"/>
      <c r="W1002" s="246"/>
      <c r="BA1002"/>
      <c r="BB1002"/>
    </row>
    <row r="1003" spans="1:54" s="191" customFormat="1" ht="13">
      <c r="A1003" s="182"/>
      <c r="B1003" s="178"/>
      <c r="C1003" s="183" t="str">
        <f>IFERROR(IF(VLOOKUP($B1003,勘定科目!$A:$H,HLOOKUP($E$5,勘定科目!$F$1:$H$2,2,0),0)="","",VLOOKUP($B1003,勘定科目!$A:$E,2,0)),"")</f>
        <v/>
      </c>
      <c r="D1003" s="239" t="str">
        <f>IF(C1003="","",VLOOKUP($B1003,勘定科目!$A:$E,4,0))</f>
        <v/>
      </c>
      <c r="E1003" s="245"/>
      <c r="F1003" s="240"/>
      <c r="G1003" s="241"/>
      <c r="H1003" s="241"/>
      <c r="I1003" s="241"/>
      <c r="J1003" s="241"/>
      <c r="K1003" s="241"/>
      <c r="L1003" s="241"/>
      <c r="M1003" s="241"/>
      <c r="N1003" s="241"/>
      <c r="O1003" s="241"/>
      <c r="P1003" s="241"/>
      <c r="Q1003" s="241"/>
      <c r="R1003" s="200"/>
      <c r="S1003" s="201"/>
      <c r="T1003" s="202"/>
      <c r="U1003" s="246"/>
      <c r="V1003" s="246"/>
      <c r="W1003" s="246"/>
      <c r="BA1003"/>
      <c r="BB1003"/>
    </row>
    <row r="1004" spans="1:54" s="191" customFormat="1" ht="13">
      <c r="A1004" s="182"/>
      <c r="B1004" s="178"/>
      <c r="C1004" s="183" t="str">
        <f>IFERROR(IF(VLOOKUP($B1004,勘定科目!$A:$H,HLOOKUP($E$5,勘定科目!$F$1:$H$2,2,0),0)="","",VLOOKUP($B1004,勘定科目!$A:$E,2,0)),"")</f>
        <v/>
      </c>
      <c r="D1004" s="239" t="str">
        <f>IF(C1004="","",VLOOKUP($B1004,勘定科目!$A:$E,4,0))</f>
        <v/>
      </c>
      <c r="E1004" s="245"/>
      <c r="F1004" s="240"/>
      <c r="G1004" s="241"/>
      <c r="H1004" s="241"/>
      <c r="I1004" s="241"/>
      <c r="J1004" s="241"/>
      <c r="K1004" s="241"/>
      <c r="L1004" s="241"/>
      <c r="M1004" s="241"/>
      <c r="N1004" s="241"/>
      <c r="O1004" s="241"/>
      <c r="P1004" s="241"/>
      <c r="Q1004" s="241"/>
      <c r="R1004" s="200"/>
      <c r="S1004" s="201"/>
      <c r="T1004" s="202"/>
      <c r="U1004" s="246"/>
      <c r="V1004" s="246"/>
      <c r="W1004" s="246"/>
      <c r="BA1004"/>
      <c r="BB1004"/>
    </row>
    <row r="1005" spans="1:54" s="191" customFormat="1" ht="13">
      <c r="A1005" s="182"/>
      <c r="B1005" s="178"/>
      <c r="C1005" s="183" t="str">
        <f>IFERROR(IF(VLOOKUP($B1005,勘定科目!$A:$H,HLOOKUP($E$5,勘定科目!$F$1:$H$2,2,0),0)="","",VLOOKUP($B1005,勘定科目!$A:$E,2,0)),"")</f>
        <v/>
      </c>
      <c r="D1005" s="239" t="str">
        <f>IF(C1005="","",VLOOKUP($B1005,勘定科目!$A:$E,4,0))</f>
        <v/>
      </c>
      <c r="E1005" s="245"/>
      <c r="F1005" s="240"/>
      <c r="G1005" s="241"/>
      <c r="H1005" s="241"/>
      <c r="I1005" s="241"/>
      <c r="J1005" s="241"/>
      <c r="K1005" s="241"/>
      <c r="L1005" s="241"/>
      <c r="M1005" s="241"/>
      <c r="N1005" s="241"/>
      <c r="O1005" s="241"/>
      <c r="P1005" s="241"/>
      <c r="Q1005" s="241"/>
      <c r="R1005" s="200"/>
      <c r="S1005" s="201"/>
      <c r="T1005" s="202"/>
      <c r="U1005" s="246"/>
      <c r="V1005" s="246"/>
      <c r="W1005" s="246"/>
      <c r="BA1005"/>
      <c r="BB1005"/>
    </row>
    <row r="1006" spans="1:54" s="191" customFormat="1" ht="13">
      <c r="A1006" s="182"/>
      <c r="B1006" s="178"/>
      <c r="C1006" s="183" t="str">
        <f>IFERROR(IF(VLOOKUP($B1006,勘定科目!$A:$H,HLOOKUP($E$5,勘定科目!$F$1:$H$2,2,0),0)="","",VLOOKUP($B1006,勘定科目!$A:$E,2,0)),"")</f>
        <v/>
      </c>
      <c r="D1006" s="239" t="str">
        <f>IF(C1006="","",VLOOKUP($B1006,勘定科目!$A:$E,4,0))</f>
        <v/>
      </c>
      <c r="E1006" s="245"/>
      <c r="F1006" s="240"/>
      <c r="G1006" s="241"/>
      <c r="H1006" s="241"/>
      <c r="I1006" s="241"/>
      <c r="J1006" s="241"/>
      <c r="K1006" s="241"/>
      <c r="L1006" s="241"/>
      <c r="M1006" s="241"/>
      <c r="N1006" s="241"/>
      <c r="O1006" s="241"/>
      <c r="P1006" s="241"/>
      <c r="Q1006" s="241"/>
      <c r="R1006" s="200"/>
      <c r="S1006" s="201"/>
      <c r="T1006" s="202"/>
      <c r="U1006" s="246"/>
      <c r="V1006" s="246"/>
      <c r="W1006" s="246"/>
      <c r="BA1006"/>
      <c r="BB1006"/>
    </row>
    <row r="1007" spans="1:54" s="191" customFormat="1" ht="13">
      <c r="A1007" s="182"/>
      <c r="B1007" s="178"/>
      <c r="C1007" s="183" t="str">
        <f>IFERROR(IF(VLOOKUP($B1007,勘定科目!$A:$H,HLOOKUP($E$5,勘定科目!$F$1:$H$2,2,0),0)="","",VLOOKUP($B1007,勘定科目!$A:$E,2,0)),"")</f>
        <v/>
      </c>
      <c r="D1007" s="239" t="str">
        <f>IF(C1007="","",VLOOKUP($B1007,勘定科目!$A:$E,4,0))</f>
        <v/>
      </c>
      <c r="E1007" s="245"/>
      <c r="F1007" s="240"/>
      <c r="G1007" s="241"/>
      <c r="H1007" s="241"/>
      <c r="I1007" s="241"/>
      <c r="J1007" s="241"/>
      <c r="K1007" s="241"/>
      <c r="L1007" s="241"/>
      <c r="M1007" s="241"/>
      <c r="N1007" s="241"/>
      <c r="O1007" s="241"/>
      <c r="P1007" s="241"/>
      <c r="Q1007" s="241"/>
      <c r="R1007" s="200"/>
      <c r="S1007" s="201"/>
      <c r="T1007" s="202"/>
      <c r="U1007" s="246"/>
      <c r="V1007" s="246"/>
      <c r="W1007" s="246"/>
      <c r="BA1007"/>
      <c r="BB1007"/>
    </row>
    <row r="1008" spans="1:54" s="191" customFormat="1" ht="13">
      <c r="A1008" s="182"/>
      <c r="B1008" s="178"/>
      <c r="C1008" s="183" t="str">
        <f>IFERROR(IF(VLOOKUP($B1008,勘定科目!$A:$H,HLOOKUP($E$5,勘定科目!$F$1:$H$2,2,0),0)="","",VLOOKUP($B1008,勘定科目!$A:$E,2,0)),"")</f>
        <v/>
      </c>
      <c r="D1008" s="239" t="str">
        <f>IF(C1008="","",VLOOKUP($B1008,勘定科目!$A:$E,4,0))</f>
        <v/>
      </c>
      <c r="E1008" s="245"/>
      <c r="F1008" s="240"/>
      <c r="G1008" s="241"/>
      <c r="H1008" s="241"/>
      <c r="I1008" s="241"/>
      <c r="J1008" s="241"/>
      <c r="K1008" s="241"/>
      <c r="L1008" s="241"/>
      <c r="M1008" s="241"/>
      <c r="N1008" s="241"/>
      <c r="O1008" s="241"/>
      <c r="P1008" s="241"/>
      <c r="Q1008" s="241"/>
      <c r="R1008" s="200"/>
      <c r="S1008" s="201"/>
      <c r="T1008" s="202"/>
      <c r="U1008" s="246"/>
      <c r="V1008" s="246"/>
      <c r="W1008" s="246"/>
      <c r="BA1008"/>
      <c r="BB1008"/>
    </row>
    <row r="1009" spans="1:54" s="191" customFormat="1" ht="13">
      <c r="A1009" s="182"/>
      <c r="B1009" s="178"/>
      <c r="C1009" s="183" t="str">
        <f>IFERROR(IF(VLOOKUP($B1009,勘定科目!$A:$H,HLOOKUP($E$5,勘定科目!$F$1:$H$2,2,0),0)="","",VLOOKUP($B1009,勘定科目!$A:$E,2,0)),"")</f>
        <v/>
      </c>
      <c r="D1009" s="239" t="str">
        <f>IF(C1009="","",VLOOKUP($B1009,勘定科目!$A:$E,4,0))</f>
        <v/>
      </c>
      <c r="E1009" s="245"/>
      <c r="F1009" s="240"/>
      <c r="G1009" s="241"/>
      <c r="H1009" s="241"/>
      <c r="I1009" s="241"/>
      <c r="J1009" s="241"/>
      <c r="K1009" s="241"/>
      <c r="L1009" s="241"/>
      <c r="M1009" s="241"/>
      <c r="N1009" s="241"/>
      <c r="O1009" s="241"/>
      <c r="P1009" s="241"/>
      <c r="Q1009" s="241"/>
      <c r="R1009" s="200"/>
      <c r="S1009" s="201"/>
      <c r="T1009" s="202"/>
      <c r="U1009" s="246"/>
      <c r="V1009" s="246"/>
      <c r="W1009" s="246"/>
      <c r="BA1009"/>
      <c r="BB1009"/>
    </row>
    <row r="1010" spans="1:54" s="191" customFormat="1" ht="13">
      <c r="A1010" s="182"/>
      <c r="B1010" s="178"/>
      <c r="C1010" s="183" t="str">
        <f>IFERROR(IF(VLOOKUP($B1010,勘定科目!$A:$H,HLOOKUP($E$5,勘定科目!$F$1:$H$2,2,0),0)="","",VLOOKUP($B1010,勘定科目!$A:$E,2,0)),"")</f>
        <v/>
      </c>
      <c r="D1010" s="239" t="str">
        <f>IF(C1010="","",VLOOKUP($B1010,勘定科目!$A:$E,4,0))</f>
        <v/>
      </c>
      <c r="E1010" s="245"/>
      <c r="F1010" s="240"/>
      <c r="G1010" s="241"/>
      <c r="H1010" s="241"/>
      <c r="I1010" s="241"/>
      <c r="J1010" s="241"/>
      <c r="K1010" s="241"/>
      <c r="L1010" s="241"/>
      <c r="M1010" s="241"/>
      <c r="N1010" s="241"/>
      <c r="O1010" s="241"/>
      <c r="P1010" s="241"/>
      <c r="Q1010" s="241"/>
      <c r="R1010" s="200"/>
      <c r="S1010" s="201"/>
      <c r="T1010" s="202"/>
      <c r="U1010" s="246"/>
      <c r="V1010" s="246"/>
      <c r="W1010" s="246"/>
      <c r="BA1010"/>
      <c r="BB1010"/>
    </row>
    <row r="1011" spans="1:54" s="191" customFormat="1" ht="13">
      <c r="A1011" s="182"/>
      <c r="B1011" s="178"/>
      <c r="C1011" s="183" t="str">
        <f>IFERROR(IF(VLOOKUP($B1011,勘定科目!$A:$H,HLOOKUP($E$5,勘定科目!$F$1:$H$2,2,0),0)="","",VLOOKUP($B1011,勘定科目!$A:$E,2,0)),"")</f>
        <v/>
      </c>
      <c r="D1011" s="239" t="str">
        <f>IF(C1011="","",VLOOKUP($B1011,勘定科目!$A:$E,4,0))</f>
        <v/>
      </c>
      <c r="E1011" s="245"/>
      <c r="F1011" s="240"/>
      <c r="G1011" s="241"/>
      <c r="H1011" s="241"/>
      <c r="I1011" s="241"/>
      <c r="J1011" s="241"/>
      <c r="K1011" s="241"/>
      <c r="L1011" s="241"/>
      <c r="M1011" s="241"/>
      <c r="N1011" s="241"/>
      <c r="O1011" s="241"/>
      <c r="P1011" s="241"/>
      <c r="Q1011" s="241"/>
      <c r="R1011" s="200"/>
      <c r="S1011" s="201"/>
      <c r="T1011" s="202"/>
      <c r="U1011" s="246"/>
      <c r="V1011" s="246"/>
      <c r="W1011" s="246"/>
      <c r="BA1011"/>
      <c r="BB1011"/>
    </row>
    <row r="1012" spans="1:54" s="191" customFormat="1" ht="13">
      <c r="A1012" s="182"/>
      <c r="B1012" s="178"/>
      <c r="C1012" s="183" t="str">
        <f>IFERROR(IF(VLOOKUP($B1012,勘定科目!$A:$H,HLOOKUP($E$5,勘定科目!$F$1:$H$2,2,0),0)="","",VLOOKUP($B1012,勘定科目!$A:$E,2,0)),"")</f>
        <v/>
      </c>
      <c r="D1012" s="239" t="str">
        <f>IF(C1012="","",VLOOKUP($B1012,勘定科目!$A:$E,4,0))</f>
        <v/>
      </c>
      <c r="E1012" s="245"/>
      <c r="F1012" s="240"/>
      <c r="G1012" s="241"/>
      <c r="H1012" s="241"/>
      <c r="I1012" s="241"/>
      <c r="J1012" s="241"/>
      <c r="K1012" s="241"/>
      <c r="L1012" s="241"/>
      <c r="M1012" s="241"/>
      <c r="N1012" s="241"/>
      <c r="O1012" s="241"/>
      <c r="P1012" s="241"/>
      <c r="Q1012" s="241"/>
      <c r="R1012" s="200"/>
      <c r="S1012" s="201"/>
      <c r="T1012" s="202"/>
      <c r="U1012" s="246"/>
      <c r="V1012" s="246"/>
      <c r="W1012" s="246"/>
      <c r="BA1012"/>
      <c r="BB1012"/>
    </row>
  </sheetData>
  <autoFilter ref="A7:T811" xr:uid="{47FC5632-5B44-4416-BBB8-DD125762B249}"/>
  <mergeCells count="2">
    <mergeCell ref="V71:V79"/>
    <mergeCell ref="V81:V89"/>
  </mergeCells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811" xr:uid="{1DB20C08-AFB3-420A-9040-538B1FDA1D66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DBCFF-4049-483D-B235-3BE7E0D96292}">
  <sheetPr codeName="Sheet4">
    <pageSetUpPr fitToPage="1"/>
  </sheetPr>
  <dimension ref="B1:S55"/>
  <sheetViews>
    <sheetView zoomScaleNormal="100" workbookViewId="0">
      <pane xSplit="3" ySplit="3" topLeftCell="K4" activePane="bottomRight" state="frozen"/>
      <selection pane="topRight" activeCell="D1" sqref="D1"/>
      <selection pane="bottomLeft" activeCell="A4" sqref="A4"/>
      <selection pane="bottomRight" activeCell="K18" sqref="K18"/>
    </sheetView>
  </sheetViews>
  <sheetFormatPr defaultColWidth="9" defaultRowHeight="13"/>
  <cols>
    <col min="1" max="1" width="3.08984375" style="48" customWidth="1"/>
    <col min="2" max="2" width="12.453125" style="48" customWidth="1"/>
    <col min="3" max="3" width="25.08984375" style="48" customWidth="1"/>
    <col min="4" max="4" width="46.453125" style="48" bestFit="1" customWidth="1"/>
    <col min="5" max="18" width="14.08984375" style="48" customWidth="1"/>
    <col min="19" max="19" width="12.7265625" style="57" customWidth="1"/>
    <col min="20" max="16384" width="9" style="48"/>
  </cols>
  <sheetData>
    <row r="1" spans="2:19" ht="16.5">
      <c r="B1" s="53" t="s">
        <v>328</v>
      </c>
      <c r="D1" s="54" t="str">
        <f>'内訳ﾘｽﾄ(4～3月)'!C5</f>
        <v>製品保証課</v>
      </c>
      <c r="E1" s="279" t="s">
        <v>329</v>
      </c>
      <c r="F1" s="127">
        <v>25390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9" customFormat="1" ht="26">
      <c r="B3" s="284" t="s">
        <v>330</v>
      </c>
      <c r="C3" s="284" t="s">
        <v>146</v>
      </c>
      <c r="D3" s="285" t="s">
        <v>147</v>
      </c>
      <c r="E3" s="286">
        <v>4</v>
      </c>
      <c r="F3" s="286">
        <v>5</v>
      </c>
      <c r="G3" s="286">
        <v>6</v>
      </c>
      <c r="H3" s="286">
        <v>7</v>
      </c>
      <c r="I3" s="286">
        <v>8</v>
      </c>
      <c r="J3" s="286">
        <v>9</v>
      </c>
      <c r="K3" s="286">
        <v>10</v>
      </c>
      <c r="L3" s="286">
        <v>11</v>
      </c>
      <c r="M3" s="286">
        <v>12</v>
      </c>
      <c r="N3" s="286">
        <v>1</v>
      </c>
      <c r="O3" s="286">
        <v>2</v>
      </c>
      <c r="P3" s="286">
        <v>3</v>
      </c>
      <c r="Q3" s="287" t="s">
        <v>643</v>
      </c>
      <c r="R3" s="290" t="s">
        <v>644</v>
      </c>
      <c r="S3" s="288" t="s">
        <v>417</v>
      </c>
    </row>
    <row r="4" spans="2:19">
      <c r="B4" s="278">
        <v>1412000019</v>
      </c>
      <c r="C4" s="278" t="s">
        <v>822</v>
      </c>
      <c r="D4" s="309" t="s">
        <v>823</v>
      </c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>
        <f>2500*F1</f>
        <v>63475000</v>
      </c>
      <c r="P4" s="280"/>
      <c r="Q4" s="283">
        <v>36</v>
      </c>
      <c r="R4" s="283">
        <f>SUM(E4:P4)</f>
        <v>63475000</v>
      </c>
      <c r="S4" s="276"/>
    </row>
    <row r="5" spans="2:19">
      <c r="B5" s="65"/>
      <c r="C5" s="65"/>
      <c r="D5" s="66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3"/>
      <c r="R5" s="283">
        <f t="shared" ref="R5:R50" si="0">SUM(E5:P5)</f>
        <v>0</v>
      </c>
      <c r="S5" s="276"/>
    </row>
    <row r="6" spans="2:19">
      <c r="B6" s="65"/>
      <c r="C6" s="65"/>
      <c r="D6" s="66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3"/>
      <c r="R6" s="283">
        <f t="shared" si="0"/>
        <v>0</v>
      </c>
      <c r="S6" s="276"/>
    </row>
    <row r="7" spans="2:19" ht="14">
      <c r="B7" s="65"/>
      <c r="C7" s="67"/>
      <c r="D7" s="66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283">
        <f t="shared" si="0"/>
        <v>0</v>
      </c>
      <c r="S7" s="276"/>
    </row>
    <row r="8" spans="2:19">
      <c r="B8" s="65"/>
      <c r="C8" s="68"/>
      <c r="D8" s="65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3"/>
      <c r="R8" s="283">
        <f t="shared" si="0"/>
        <v>0</v>
      </c>
      <c r="S8" s="276"/>
    </row>
    <row r="9" spans="2:19">
      <c r="B9" s="65"/>
      <c r="C9" s="65"/>
      <c r="D9" s="65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3"/>
      <c r="R9" s="283">
        <f t="shared" si="0"/>
        <v>0</v>
      </c>
      <c r="S9" s="276"/>
    </row>
    <row r="10" spans="2:19">
      <c r="B10" s="65"/>
      <c r="C10" s="65"/>
      <c r="D10" s="65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3"/>
      <c r="R10" s="283">
        <f t="shared" si="0"/>
        <v>0</v>
      </c>
      <c r="S10" s="276"/>
    </row>
    <row r="11" spans="2:19">
      <c r="B11" s="65"/>
      <c r="C11" s="65"/>
      <c r="D11" s="65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3"/>
      <c r="R11" s="283">
        <f t="shared" si="0"/>
        <v>0</v>
      </c>
      <c r="S11" s="276"/>
    </row>
    <row r="12" spans="2:19">
      <c r="B12" s="65"/>
      <c r="C12" s="65"/>
      <c r="D12" s="65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3"/>
      <c r="R12" s="283">
        <f t="shared" si="0"/>
        <v>0</v>
      </c>
      <c r="S12" s="276"/>
    </row>
    <row r="13" spans="2:19">
      <c r="B13" s="65"/>
      <c r="C13" s="65"/>
      <c r="D13" s="65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3"/>
      <c r="R13" s="283">
        <f t="shared" si="0"/>
        <v>0</v>
      </c>
      <c r="S13" s="276"/>
    </row>
    <row r="14" spans="2:19">
      <c r="B14" s="65"/>
      <c r="C14" s="65"/>
      <c r="D14" s="65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3"/>
      <c r="R14" s="283">
        <f t="shared" si="0"/>
        <v>0</v>
      </c>
      <c r="S14" s="276"/>
    </row>
    <row r="15" spans="2:19">
      <c r="B15" s="65"/>
      <c r="C15" s="65"/>
      <c r="D15" s="65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3"/>
      <c r="R15" s="283">
        <f t="shared" si="0"/>
        <v>0</v>
      </c>
      <c r="S15" s="276"/>
    </row>
    <row r="16" spans="2:19">
      <c r="B16" s="65"/>
      <c r="C16" s="65"/>
      <c r="D16" s="65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3"/>
      <c r="R16" s="283">
        <f t="shared" si="0"/>
        <v>0</v>
      </c>
      <c r="S16" s="276"/>
    </row>
    <row r="17" spans="2:19">
      <c r="B17" s="65"/>
      <c r="C17" s="65"/>
      <c r="D17" s="65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3"/>
      <c r="R17" s="283">
        <f t="shared" si="0"/>
        <v>0</v>
      </c>
      <c r="S17" s="276"/>
    </row>
    <row r="18" spans="2:19">
      <c r="B18" s="65"/>
      <c r="C18" s="65"/>
      <c r="D18" s="65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3"/>
      <c r="R18" s="283">
        <f t="shared" si="0"/>
        <v>0</v>
      </c>
      <c r="S18" s="276"/>
    </row>
    <row r="19" spans="2:19">
      <c r="B19" s="65"/>
      <c r="C19" s="65"/>
      <c r="D19" s="65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3"/>
      <c r="R19" s="283">
        <f t="shared" si="0"/>
        <v>0</v>
      </c>
      <c r="S19" s="276"/>
    </row>
    <row r="20" spans="2:19">
      <c r="B20" s="65"/>
      <c r="C20" s="65"/>
      <c r="D20" s="65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3"/>
      <c r="R20" s="283">
        <f t="shared" si="0"/>
        <v>0</v>
      </c>
      <c r="S20" s="276"/>
    </row>
    <row r="21" spans="2:19">
      <c r="B21" s="65"/>
      <c r="C21" s="65"/>
      <c r="D21" s="65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3"/>
      <c r="R21" s="283">
        <f t="shared" si="0"/>
        <v>0</v>
      </c>
      <c r="S21" s="276"/>
    </row>
    <row r="22" spans="2:19">
      <c r="B22" s="65"/>
      <c r="C22" s="65"/>
      <c r="D22" s="65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3"/>
      <c r="R22" s="283">
        <f t="shared" si="0"/>
        <v>0</v>
      </c>
      <c r="S22" s="276"/>
    </row>
    <row r="23" spans="2:19">
      <c r="B23" s="65"/>
      <c r="C23" s="65"/>
      <c r="D23" s="65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3"/>
      <c r="R23" s="283">
        <f t="shared" si="0"/>
        <v>0</v>
      </c>
      <c r="S23" s="276"/>
    </row>
    <row r="24" spans="2:19">
      <c r="B24" s="65"/>
      <c r="C24" s="65"/>
      <c r="D24" s="65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3"/>
      <c r="R24" s="283">
        <f t="shared" si="0"/>
        <v>0</v>
      </c>
      <c r="S24" s="276"/>
    </row>
    <row r="25" spans="2:19">
      <c r="B25" s="65"/>
      <c r="C25" s="65"/>
      <c r="D25" s="65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3"/>
      <c r="R25" s="283">
        <f t="shared" si="0"/>
        <v>0</v>
      </c>
      <c r="S25" s="276"/>
    </row>
    <row r="26" spans="2:19">
      <c r="B26" s="65"/>
      <c r="C26" s="65"/>
      <c r="D26" s="65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3"/>
      <c r="R26" s="283">
        <f t="shared" si="0"/>
        <v>0</v>
      </c>
      <c r="S26" s="276"/>
    </row>
    <row r="27" spans="2:19">
      <c r="B27" s="65"/>
      <c r="C27" s="65"/>
      <c r="D27" s="65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3"/>
      <c r="R27" s="283">
        <f t="shared" si="0"/>
        <v>0</v>
      </c>
      <c r="S27" s="276"/>
    </row>
    <row r="28" spans="2:19">
      <c r="B28" s="65"/>
      <c r="C28" s="65"/>
      <c r="D28" s="65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3"/>
      <c r="R28" s="283">
        <f t="shared" si="0"/>
        <v>0</v>
      </c>
      <c r="S28" s="276"/>
    </row>
    <row r="29" spans="2:19">
      <c r="B29" s="65"/>
      <c r="C29" s="65"/>
      <c r="D29" s="65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3"/>
      <c r="R29" s="283">
        <f t="shared" si="0"/>
        <v>0</v>
      </c>
      <c r="S29" s="276"/>
    </row>
    <row r="30" spans="2:19">
      <c r="B30" s="65"/>
      <c r="C30" s="65"/>
      <c r="D30" s="65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3"/>
      <c r="R30" s="283">
        <f t="shared" si="0"/>
        <v>0</v>
      </c>
      <c r="S30" s="276"/>
    </row>
    <row r="31" spans="2:19">
      <c r="B31" s="65"/>
      <c r="C31" s="65"/>
      <c r="D31" s="65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3"/>
      <c r="R31" s="283">
        <f t="shared" si="0"/>
        <v>0</v>
      </c>
      <c r="S31" s="276"/>
    </row>
    <row r="32" spans="2:19">
      <c r="B32" s="65"/>
      <c r="C32" s="65"/>
      <c r="D32" s="65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3"/>
      <c r="R32" s="283">
        <f t="shared" si="0"/>
        <v>0</v>
      </c>
      <c r="S32" s="276"/>
    </row>
    <row r="33" spans="2:19">
      <c r="B33" s="65"/>
      <c r="C33" s="65"/>
      <c r="D33" s="65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3"/>
      <c r="R33" s="283">
        <f t="shared" si="0"/>
        <v>0</v>
      </c>
      <c r="S33" s="276"/>
    </row>
    <row r="34" spans="2:19">
      <c r="B34" s="65"/>
      <c r="C34" s="65"/>
      <c r="D34" s="65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3"/>
      <c r="R34" s="283">
        <f t="shared" si="0"/>
        <v>0</v>
      </c>
      <c r="S34" s="276"/>
    </row>
    <row r="35" spans="2:19">
      <c r="B35" s="65"/>
      <c r="C35" s="65"/>
      <c r="D35" s="65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3"/>
      <c r="R35" s="283">
        <f t="shared" si="0"/>
        <v>0</v>
      </c>
      <c r="S35" s="276"/>
    </row>
    <row r="36" spans="2:19">
      <c r="B36" s="65"/>
      <c r="C36" s="65"/>
      <c r="D36" s="65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3"/>
      <c r="R36" s="283">
        <f t="shared" si="0"/>
        <v>0</v>
      </c>
      <c r="S36" s="276"/>
    </row>
    <row r="37" spans="2:19">
      <c r="B37" s="65"/>
      <c r="C37" s="65"/>
      <c r="D37" s="65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3"/>
      <c r="R37" s="283">
        <f t="shared" si="0"/>
        <v>0</v>
      </c>
      <c r="S37" s="276"/>
    </row>
    <row r="38" spans="2:19">
      <c r="B38" s="65"/>
      <c r="C38" s="65"/>
      <c r="D38" s="65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3"/>
      <c r="R38" s="283">
        <f t="shared" si="0"/>
        <v>0</v>
      </c>
      <c r="S38" s="276"/>
    </row>
    <row r="39" spans="2:19">
      <c r="B39" s="65"/>
      <c r="C39" s="65"/>
      <c r="D39" s="65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3"/>
      <c r="R39" s="283">
        <f t="shared" si="0"/>
        <v>0</v>
      </c>
      <c r="S39" s="276"/>
    </row>
    <row r="40" spans="2:19">
      <c r="B40" s="65"/>
      <c r="C40" s="65"/>
      <c r="D40" s="65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3"/>
      <c r="R40" s="283">
        <f t="shared" si="0"/>
        <v>0</v>
      </c>
      <c r="S40" s="276"/>
    </row>
    <row r="41" spans="2:19">
      <c r="B41" s="65"/>
      <c r="C41" s="65"/>
      <c r="D41" s="65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3"/>
      <c r="R41" s="283">
        <f t="shared" si="0"/>
        <v>0</v>
      </c>
      <c r="S41" s="276"/>
    </row>
    <row r="42" spans="2:19">
      <c r="B42" s="65"/>
      <c r="C42" s="65"/>
      <c r="D42" s="65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3"/>
      <c r="R42" s="283">
        <f t="shared" si="0"/>
        <v>0</v>
      </c>
      <c r="S42" s="276"/>
    </row>
    <row r="43" spans="2:19">
      <c r="B43" s="65"/>
      <c r="C43" s="65"/>
      <c r="D43" s="65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3"/>
      <c r="R43" s="283">
        <f t="shared" si="0"/>
        <v>0</v>
      </c>
      <c r="S43" s="276"/>
    </row>
    <row r="44" spans="2:19">
      <c r="B44" s="65"/>
      <c r="C44" s="65"/>
      <c r="D44" s="65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3"/>
      <c r="R44" s="283">
        <f t="shared" si="0"/>
        <v>0</v>
      </c>
      <c r="S44" s="276"/>
    </row>
    <row r="45" spans="2:19">
      <c r="B45" s="65"/>
      <c r="C45" s="65"/>
      <c r="D45" s="65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3"/>
      <c r="R45" s="283">
        <f t="shared" si="0"/>
        <v>0</v>
      </c>
      <c r="S45" s="276"/>
    </row>
    <row r="46" spans="2:19">
      <c r="B46" s="65"/>
      <c r="C46" s="65"/>
      <c r="D46" s="65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3"/>
      <c r="R46" s="283">
        <f t="shared" si="0"/>
        <v>0</v>
      </c>
      <c r="S46" s="276"/>
    </row>
    <row r="47" spans="2:19">
      <c r="B47" s="65"/>
      <c r="C47" s="65"/>
      <c r="D47" s="65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3"/>
      <c r="R47" s="283">
        <f t="shared" si="0"/>
        <v>0</v>
      </c>
      <c r="S47" s="276"/>
    </row>
    <row r="48" spans="2:19">
      <c r="B48" s="65"/>
      <c r="C48" s="65"/>
      <c r="D48" s="6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3"/>
      <c r="R48" s="283">
        <f t="shared" si="0"/>
        <v>0</v>
      </c>
      <c r="S48" s="276"/>
    </row>
    <row r="49" spans="2:19">
      <c r="B49" s="65"/>
      <c r="C49" s="65"/>
      <c r="D49" s="65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3"/>
      <c r="R49" s="283">
        <f t="shared" si="0"/>
        <v>0</v>
      </c>
      <c r="S49" s="276"/>
    </row>
    <row r="50" spans="2:19">
      <c r="B50" s="56"/>
      <c r="C50" s="56"/>
      <c r="D50" s="56" t="s">
        <v>148</v>
      </c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>
        <f t="shared" si="0"/>
        <v>0</v>
      </c>
      <c r="S50" s="277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FA340875-23C8-49EA-89A0-91930EA2B7BA}"/>
  <phoneticPr fontId="3"/>
  <dataValidations count="1">
    <dataValidation type="list" allowBlank="1" showInputMessage="1" showErrorMessage="1" sqref="S4:S49" xr:uid="{F0928B9F-9B69-47BB-A14D-95CD0938059C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CDF4-3D10-453B-84D7-FC2FC08DC8AE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"/>
  <cols>
    <col min="1" max="1" width="15.36328125" style="106" bestFit="1" customWidth="1"/>
    <col min="2" max="2" width="34.7265625" style="107" bestFit="1" customWidth="1"/>
    <col min="3" max="3" width="32.6328125" style="107" bestFit="1" customWidth="1"/>
    <col min="4" max="4" width="18" style="107" bestFit="1" customWidth="1"/>
    <col min="5" max="5" width="32.6328125" style="107" bestFit="1" customWidth="1"/>
    <col min="6" max="7" width="8.36328125" style="107" bestFit="1" customWidth="1"/>
    <col min="8" max="8" width="9" style="106"/>
    <col min="9" max="9" width="41.26953125" style="107" bestFit="1" customWidth="1"/>
    <col min="10" max="16384" width="9" style="107"/>
  </cols>
  <sheetData>
    <row r="1" spans="1:9" s="84" customFormat="1" ht="11.5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7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7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7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8">
        <v>9114120006</v>
      </c>
      <c r="B230" s="299" t="s">
        <v>142</v>
      </c>
      <c r="C230"/>
      <c r="D230" s="299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1082771F-0E2D-4AFD-89C0-7A0899D34F82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21C9C-FA44-4786-95C1-1F3938BB24FD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"/>
  <cols>
    <col min="1" max="1" width="11.6328125" style="294" bestFit="1" customWidth="1"/>
    <col min="2" max="2" width="19" style="291" bestFit="1" customWidth="1"/>
    <col min="3" max="3" width="3.90625" style="292" bestFit="1" customWidth="1"/>
    <col min="4" max="4" width="10.26953125" style="291" bestFit="1" customWidth="1"/>
    <col min="5" max="5" width="9" style="291"/>
    <col min="6" max="6" width="10.90625" style="291" bestFit="1" customWidth="1"/>
    <col min="7" max="7" width="19.453125" style="291" bestFit="1" customWidth="1"/>
    <col min="8" max="8" width="9" style="291"/>
    <col min="9" max="9" width="13.453125" style="291" customWidth="1"/>
    <col min="10" max="16384" width="9" style="291"/>
  </cols>
  <sheetData>
    <row r="1" spans="1:7">
      <c r="B1" s="291" t="s">
        <v>93</v>
      </c>
      <c r="D1" s="291" t="s">
        <v>82</v>
      </c>
      <c r="E1" s="291" t="s">
        <v>83</v>
      </c>
    </row>
    <row r="2" spans="1:7">
      <c r="A2" s="294">
        <v>1412000004</v>
      </c>
      <c r="B2" s="293" t="s">
        <v>665</v>
      </c>
      <c r="C2" s="292" t="s">
        <v>593</v>
      </c>
      <c r="D2" s="291" t="s">
        <v>159</v>
      </c>
      <c r="E2" s="291" t="s">
        <v>159</v>
      </c>
      <c r="G2" s="291" t="s">
        <v>640</v>
      </c>
    </row>
    <row r="3" spans="1:7">
      <c r="A3" s="295">
        <v>1412000005</v>
      </c>
      <c r="B3" s="293" t="s">
        <v>666</v>
      </c>
      <c r="C3" s="292" t="s">
        <v>594</v>
      </c>
      <c r="D3" s="291" t="s">
        <v>159</v>
      </c>
      <c r="E3" s="291" t="s">
        <v>159</v>
      </c>
    </row>
    <row r="4" spans="1:7">
      <c r="A4" s="295">
        <v>1412000062</v>
      </c>
      <c r="B4" s="293" t="s">
        <v>646</v>
      </c>
      <c r="C4" s="292" t="s">
        <v>596</v>
      </c>
      <c r="D4" s="291" t="s">
        <v>444</v>
      </c>
      <c r="E4" s="291" t="s">
        <v>159</v>
      </c>
    </row>
    <row r="5" spans="1:7">
      <c r="A5" s="295">
        <v>1412000034</v>
      </c>
      <c r="B5" s="293" t="s">
        <v>422</v>
      </c>
      <c r="C5" s="292" t="s">
        <v>599</v>
      </c>
      <c r="D5" s="291" t="s">
        <v>159</v>
      </c>
      <c r="E5" s="291" t="s">
        <v>159</v>
      </c>
    </row>
    <row r="6" spans="1:7">
      <c r="A6" s="295">
        <v>1412000048</v>
      </c>
      <c r="B6" s="293" t="s">
        <v>421</v>
      </c>
      <c r="C6" s="292" t="s">
        <v>600</v>
      </c>
      <c r="D6" s="291" t="s">
        <v>444</v>
      </c>
      <c r="E6" s="291" t="s">
        <v>159</v>
      </c>
    </row>
    <row r="7" spans="1:7">
      <c r="A7" s="294">
        <v>1412000055</v>
      </c>
      <c r="B7" s="291" t="s">
        <v>659</v>
      </c>
      <c r="C7" s="292" t="s">
        <v>601</v>
      </c>
      <c r="D7" s="291" t="s">
        <v>444</v>
      </c>
      <c r="E7" s="291" t="s">
        <v>159</v>
      </c>
    </row>
    <row r="8" spans="1:7">
      <c r="A8" s="295">
        <v>1412000050</v>
      </c>
      <c r="B8" s="293" t="s">
        <v>619</v>
      </c>
      <c r="C8" s="292" t="s">
        <v>620</v>
      </c>
      <c r="D8" s="291" t="s">
        <v>159</v>
      </c>
      <c r="E8" s="291" t="s">
        <v>159</v>
      </c>
    </row>
    <row r="9" spans="1:7">
      <c r="A9" s="294">
        <v>1412000077</v>
      </c>
      <c r="B9" s="293" t="s">
        <v>621</v>
      </c>
      <c r="C9" s="292" t="s">
        <v>622</v>
      </c>
      <c r="D9" s="291" t="s">
        <v>159</v>
      </c>
      <c r="E9" s="291" t="s">
        <v>159</v>
      </c>
    </row>
    <row r="10" spans="1:7">
      <c r="A10" s="295">
        <v>1412000053</v>
      </c>
      <c r="B10" s="293" t="s">
        <v>582</v>
      </c>
      <c r="C10" s="292" t="s">
        <v>597</v>
      </c>
      <c r="D10" s="291" t="s">
        <v>444</v>
      </c>
      <c r="E10" s="291" t="s">
        <v>159</v>
      </c>
    </row>
    <row r="11" spans="1:7">
      <c r="A11" s="295">
        <v>1412000008</v>
      </c>
      <c r="B11" s="293" t="s">
        <v>432</v>
      </c>
      <c r="C11" s="292" t="s">
        <v>606</v>
      </c>
      <c r="D11" s="291" t="s">
        <v>444</v>
      </c>
      <c r="E11" s="291" t="s">
        <v>159</v>
      </c>
    </row>
    <row r="12" spans="1:7">
      <c r="A12" s="295">
        <v>1412000010</v>
      </c>
      <c r="B12" s="293" t="s">
        <v>430</v>
      </c>
      <c r="C12" s="292" t="s">
        <v>607</v>
      </c>
      <c r="D12" s="291" t="s">
        <v>576</v>
      </c>
      <c r="E12" s="291" t="s">
        <v>159</v>
      </c>
    </row>
    <row r="13" spans="1:7">
      <c r="A13" s="295">
        <v>1412000054</v>
      </c>
      <c r="B13" s="293" t="s">
        <v>423</v>
      </c>
      <c r="C13" s="292" t="s">
        <v>608</v>
      </c>
      <c r="D13" s="291" t="s">
        <v>576</v>
      </c>
      <c r="E13" s="291" t="s">
        <v>159</v>
      </c>
    </row>
    <row r="14" spans="1:7">
      <c r="A14" s="295">
        <v>1412000036</v>
      </c>
      <c r="B14" s="293" t="s">
        <v>645</v>
      </c>
      <c r="C14" s="292" t="s">
        <v>611</v>
      </c>
      <c r="D14" s="291" t="s">
        <v>444</v>
      </c>
      <c r="E14" s="291" t="s">
        <v>159</v>
      </c>
    </row>
    <row r="15" spans="1:7">
      <c r="A15" s="295">
        <v>1412000006</v>
      </c>
      <c r="B15" s="293" t="s">
        <v>424</v>
      </c>
      <c r="C15" s="292" t="s">
        <v>614</v>
      </c>
      <c r="D15" s="291" t="s">
        <v>576</v>
      </c>
      <c r="E15" s="291" t="s">
        <v>159</v>
      </c>
    </row>
    <row r="16" spans="1:7">
      <c r="A16" s="295">
        <v>1412000039</v>
      </c>
      <c r="B16" s="293" t="s">
        <v>425</v>
      </c>
      <c r="C16" s="292" t="s">
        <v>615</v>
      </c>
      <c r="D16" s="291" t="s">
        <v>576</v>
      </c>
      <c r="E16" s="291" t="s">
        <v>159</v>
      </c>
    </row>
    <row r="17" spans="1:5">
      <c r="A17" s="295">
        <v>1412000040</v>
      </c>
      <c r="B17" s="293" t="s">
        <v>443</v>
      </c>
      <c r="C17" s="292" t="s">
        <v>616</v>
      </c>
      <c r="D17" s="291" t="s">
        <v>576</v>
      </c>
      <c r="E17" s="291" t="s">
        <v>159</v>
      </c>
    </row>
    <row r="18" spans="1:5">
      <c r="A18" s="294">
        <v>1412000013</v>
      </c>
      <c r="B18" s="293" t="s">
        <v>667</v>
      </c>
      <c r="C18" s="292" t="s">
        <v>609</v>
      </c>
      <c r="D18" s="291" t="s">
        <v>576</v>
      </c>
      <c r="E18" s="291" t="s">
        <v>159</v>
      </c>
    </row>
    <row r="19" spans="1:5">
      <c r="A19" s="294">
        <v>1412000080</v>
      </c>
      <c r="B19" s="293" t="s">
        <v>440</v>
      </c>
      <c r="C19" s="292" t="s">
        <v>605</v>
      </c>
      <c r="D19" s="291" t="s">
        <v>576</v>
      </c>
      <c r="E19" s="291" t="s">
        <v>159</v>
      </c>
    </row>
    <row r="20" spans="1:5">
      <c r="A20" s="294">
        <v>1412000044</v>
      </c>
      <c r="B20" s="293" t="s">
        <v>442</v>
      </c>
      <c r="C20" s="292" t="s">
        <v>604</v>
      </c>
      <c r="D20" s="291" t="s">
        <v>444</v>
      </c>
      <c r="E20" s="291" t="s">
        <v>159</v>
      </c>
    </row>
    <row r="21" spans="1:5">
      <c r="A21" s="295">
        <v>1412000056</v>
      </c>
      <c r="B21" s="293" t="s">
        <v>441</v>
      </c>
      <c r="C21" s="292" t="s">
        <v>603</v>
      </c>
      <c r="D21" s="291" t="s">
        <v>159</v>
      </c>
      <c r="E21" s="291" t="s">
        <v>159</v>
      </c>
    </row>
    <row r="22" spans="1:5">
      <c r="A22" s="295">
        <v>1412000018</v>
      </c>
      <c r="B22" s="293" t="s">
        <v>428</v>
      </c>
      <c r="C22" s="292" t="s">
        <v>626</v>
      </c>
      <c r="D22" s="291" t="s">
        <v>577</v>
      </c>
      <c r="E22" s="291" t="s">
        <v>159</v>
      </c>
    </row>
    <row r="23" spans="1:5">
      <c r="A23" s="295">
        <v>1412000019</v>
      </c>
      <c r="B23" s="293" t="s">
        <v>588</v>
      </c>
      <c r="C23" s="292" t="s">
        <v>627</v>
      </c>
      <c r="D23" s="291" t="s">
        <v>577</v>
      </c>
      <c r="E23" s="291" t="s">
        <v>159</v>
      </c>
    </row>
    <row r="24" spans="1:5">
      <c r="A24" s="295">
        <v>1412000058</v>
      </c>
      <c r="B24" s="293" t="s">
        <v>433</v>
      </c>
      <c r="C24" s="292" t="s">
        <v>628</v>
      </c>
      <c r="D24" s="291" t="s">
        <v>577</v>
      </c>
      <c r="E24" s="291" t="s">
        <v>159</v>
      </c>
    </row>
    <row r="25" spans="1:5">
      <c r="A25" s="295">
        <v>1412000042</v>
      </c>
      <c r="B25" s="293" t="s">
        <v>434</v>
      </c>
      <c r="C25" s="292" t="s">
        <v>629</v>
      </c>
      <c r="D25" s="291" t="s">
        <v>577</v>
      </c>
      <c r="E25" s="291" t="s">
        <v>159</v>
      </c>
    </row>
    <row r="26" spans="1:5">
      <c r="A26" s="295">
        <v>1412000021</v>
      </c>
      <c r="B26" s="293" t="s">
        <v>435</v>
      </c>
      <c r="C26" s="292" t="s">
        <v>630</v>
      </c>
      <c r="D26" s="291" t="s">
        <v>577</v>
      </c>
      <c r="E26" s="291" t="s">
        <v>159</v>
      </c>
    </row>
    <row r="27" spans="1:5">
      <c r="A27" s="295">
        <v>1412000022</v>
      </c>
      <c r="B27" s="293" t="s">
        <v>439</v>
      </c>
      <c r="C27" s="292" t="s">
        <v>632</v>
      </c>
      <c r="D27" s="291" t="s">
        <v>577</v>
      </c>
      <c r="E27" s="291" t="s">
        <v>159</v>
      </c>
    </row>
    <row r="28" spans="1:5">
      <c r="A28" s="295">
        <v>1412000024</v>
      </c>
      <c r="B28" s="293" t="s">
        <v>437</v>
      </c>
      <c r="C28" s="292" t="s">
        <v>633</v>
      </c>
      <c r="D28" s="291" t="s">
        <v>578</v>
      </c>
      <c r="E28" s="291" t="s">
        <v>160</v>
      </c>
    </row>
    <row r="29" spans="1:5">
      <c r="A29" s="295">
        <v>1412000025</v>
      </c>
      <c r="B29" s="293" t="s">
        <v>426</v>
      </c>
      <c r="C29" s="292" t="s">
        <v>634</v>
      </c>
      <c r="D29" s="291" t="s">
        <v>578</v>
      </c>
      <c r="E29" s="291" t="s">
        <v>160</v>
      </c>
    </row>
    <row r="30" spans="1:5">
      <c r="A30" s="295">
        <v>1412000026</v>
      </c>
      <c r="B30" s="293" t="s">
        <v>431</v>
      </c>
      <c r="C30" s="292" t="s">
        <v>635</v>
      </c>
      <c r="D30" s="291" t="s">
        <v>578</v>
      </c>
      <c r="E30" s="291" t="s">
        <v>160</v>
      </c>
    </row>
    <row r="31" spans="1:5">
      <c r="A31" s="295">
        <v>1412000028</v>
      </c>
      <c r="B31" s="293" t="s">
        <v>427</v>
      </c>
      <c r="C31" s="292" t="s">
        <v>636</v>
      </c>
      <c r="D31" s="291" t="s">
        <v>578</v>
      </c>
      <c r="E31" s="291" t="s">
        <v>160</v>
      </c>
    </row>
    <row r="32" spans="1:5">
      <c r="A32" s="295">
        <v>1412000029</v>
      </c>
      <c r="B32" s="293" t="s">
        <v>436</v>
      </c>
      <c r="C32" s="292" t="s">
        <v>637</v>
      </c>
      <c r="D32" s="291" t="s">
        <v>578</v>
      </c>
      <c r="E32" s="291" t="s">
        <v>160</v>
      </c>
    </row>
    <row r="33" spans="1:5">
      <c r="A33" s="295">
        <v>1412000030</v>
      </c>
      <c r="B33" s="293" t="s">
        <v>438</v>
      </c>
      <c r="C33" s="292" t="s">
        <v>638</v>
      </c>
      <c r="D33" s="291" t="s">
        <v>578</v>
      </c>
      <c r="E33" s="291" t="s">
        <v>161</v>
      </c>
    </row>
    <row r="34" spans="1:5">
      <c r="A34" s="295">
        <v>1412000086</v>
      </c>
      <c r="B34" s="293" t="s">
        <v>429</v>
      </c>
      <c r="C34" s="292" t="s">
        <v>639</v>
      </c>
      <c r="D34" s="291" t="s">
        <v>578</v>
      </c>
      <c r="E34" s="291" t="s">
        <v>160</v>
      </c>
    </row>
    <row r="35" spans="1:5">
      <c r="A35" s="295">
        <v>1412000063</v>
      </c>
      <c r="B35" s="293" t="s">
        <v>668</v>
      </c>
      <c r="C35" s="292" t="s">
        <v>602</v>
      </c>
      <c r="D35" s="291" t="s">
        <v>444</v>
      </c>
      <c r="E35" s="291" t="s">
        <v>159</v>
      </c>
    </row>
    <row r="36" spans="1:5">
      <c r="A36" s="295">
        <v>1412000066</v>
      </c>
      <c r="B36" s="293" t="s">
        <v>420</v>
      </c>
      <c r="C36" s="292" t="s">
        <v>595</v>
      </c>
      <c r="D36" s="291" t="s">
        <v>159</v>
      </c>
      <c r="E36" s="291" t="s">
        <v>159</v>
      </c>
    </row>
    <row r="37" spans="1:5">
      <c r="A37" s="295">
        <v>1412000035</v>
      </c>
      <c r="B37" s="293" t="s">
        <v>587</v>
      </c>
      <c r="C37" s="292" t="s">
        <v>610</v>
      </c>
      <c r="D37" s="291" t="s">
        <v>576</v>
      </c>
      <c r="E37" s="291" t="s">
        <v>159</v>
      </c>
    </row>
    <row r="38" spans="1:5">
      <c r="A38" s="295">
        <v>1412000016</v>
      </c>
      <c r="B38" s="293" t="s">
        <v>584</v>
      </c>
      <c r="C38" s="292" t="s">
        <v>617</v>
      </c>
      <c r="D38" s="291" t="s">
        <v>576</v>
      </c>
      <c r="E38" s="291" t="s">
        <v>159</v>
      </c>
    </row>
    <row r="39" spans="1:5">
      <c r="A39" s="295">
        <v>1412000069</v>
      </c>
      <c r="B39" s="293" t="s">
        <v>585</v>
      </c>
      <c r="C39" s="292" t="s">
        <v>618</v>
      </c>
      <c r="D39" s="291" t="s">
        <v>576</v>
      </c>
      <c r="E39" s="291" t="s">
        <v>159</v>
      </c>
    </row>
    <row r="40" spans="1:5">
      <c r="A40" s="295">
        <v>1412000070</v>
      </c>
      <c r="B40" s="293" t="s">
        <v>589</v>
      </c>
      <c r="C40" s="292" t="s">
        <v>631</v>
      </c>
      <c r="D40" s="291" t="s">
        <v>577</v>
      </c>
      <c r="E40" s="291" t="s">
        <v>159</v>
      </c>
    </row>
    <row r="41" spans="1:5">
      <c r="A41" s="295">
        <v>1412000072</v>
      </c>
      <c r="B41" s="293" t="s">
        <v>647</v>
      </c>
      <c r="C41" s="292" t="s">
        <v>612</v>
      </c>
      <c r="D41" s="291" t="s">
        <v>444</v>
      </c>
      <c r="E41" s="291" t="s">
        <v>161</v>
      </c>
    </row>
    <row r="42" spans="1:5">
      <c r="A42" s="295">
        <v>1412000073</v>
      </c>
      <c r="B42" s="293" t="s">
        <v>586</v>
      </c>
      <c r="C42" s="292" t="s">
        <v>613</v>
      </c>
      <c r="D42" s="291" t="s">
        <v>444</v>
      </c>
      <c r="E42" s="291" t="s">
        <v>159</v>
      </c>
    </row>
    <row r="43" spans="1:5">
      <c r="A43" s="294">
        <v>1412000075</v>
      </c>
      <c r="B43" s="293" t="s">
        <v>583</v>
      </c>
      <c r="C43" s="292" t="s">
        <v>598</v>
      </c>
      <c r="D43" s="291" t="s">
        <v>444</v>
      </c>
      <c r="E43" s="291" t="s">
        <v>159</v>
      </c>
    </row>
    <row r="44" spans="1:5">
      <c r="A44" s="294">
        <v>1412000057</v>
      </c>
      <c r="B44" s="293" t="s">
        <v>623</v>
      </c>
      <c r="C44" s="292" t="s">
        <v>624</v>
      </c>
      <c r="D44" s="291" t="s">
        <v>159</v>
      </c>
      <c r="E44" s="291" t="s">
        <v>159</v>
      </c>
    </row>
    <row r="45" spans="1:5">
      <c r="A45" s="295">
        <v>1412000078</v>
      </c>
      <c r="B45" s="293" t="s">
        <v>669</v>
      </c>
      <c r="C45" s="292" t="s">
        <v>625</v>
      </c>
      <c r="D45" s="291" t="s">
        <v>159</v>
      </c>
      <c r="E45" s="291" t="s">
        <v>159</v>
      </c>
    </row>
    <row r="46" spans="1:5">
      <c r="A46" s="294">
        <v>1412000081</v>
      </c>
      <c r="B46" s="293" t="s">
        <v>648</v>
      </c>
      <c r="C46" s="292" t="s">
        <v>641</v>
      </c>
      <c r="D46" s="291" t="s">
        <v>159</v>
      </c>
      <c r="E46" s="291" t="s">
        <v>159</v>
      </c>
    </row>
    <row r="47" spans="1:5">
      <c r="A47" s="294">
        <v>1412000083</v>
      </c>
      <c r="B47" s="293" t="s">
        <v>649</v>
      </c>
      <c r="C47" s="292" t="s">
        <v>651</v>
      </c>
      <c r="D47" s="291" t="s">
        <v>159</v>
      </c>
      <c r="E47" s="291" t="s">
        <v>159</v>
      </c>
    </row>
    <row r="48" spans="1:5">
      <c r="A48" s="294">
        <v>1412000084</v>
      </c>
      <c r="B48" s="291" t="s">
        <v>650</v>
      </c>
      <c r="C48" s="292" t="s">
        <v>655</v>
      </c>
      <c r="D48" s="291" t="s">
        <v>576</v>
      </c>
      <c r="E48" s="291" t="s">
        <v>159</v>
      </c>
    </row>
    <row r="49" spans="1:5">
      <c r="A49" s="294">
        <v>1412000087</v>
      </c>
      <c r="B49" s="293" t="s">
        <v>652</v>
      </c>
      <c r="C49" s="292" t="s">
        <v>656</v>
      </c>
      <c r="D49" s="291" t="s">
        <v>444</v>
      </c>
      <c r="E49" s="291" t="s">
        <v>159</v>
      </c>
    </row>
    <row r="50" spans="1:5">
      <c r="A50" s="294">
        <v>1412000088</v>
      </c>
      <c r="B50" s="291" t="s">
        <v>653</v>
      </c>
      <c r="C50" s="292" t="s">
        <v>657</v>
      </c>
      <c r="D50" s="291" t="s">
        <v>444</v>
      </c>
      <c r="E50" s="291" t="s">
        <v>159</v>
      </c>
    </row>
    <row r="51" spans="1:5">
      <c r="A51" s="294">
        <v>1412000089</v>
      </c>
      <c r="B51" s="291" t="s">
        <v>654</v>
      </c>
      <c r="C51" s="292" t="s">
        <v>658</v>
      </c>
      <c r="D51" s="291" t="s">
        <v>576</v>
      </c>
      <c r="E51" s="291" t="s">
        <v>159</v>
      </c>
    </row>
    <row r="52" spans="1:5">
      <c r="A52" s="294">
        <v>1412000091</v>
      </c>
      <c r="B52" s="291" t="s">
        <v>661</v>
      </c>
      <c r="C52" s="296" t="s">
        <v>660</v>
      </c>
      <c r="D52" s="291" t="s">
        <v>578</v>
      </c>
      <c r="E52" s="291" t="s">
        <v>160</v>
      </c>
    </row>
    <row r="53" spans="1:5">
      <c r="A53" s="294">
        <v>1412000092</v>
      </c>
      <c r="B53" s="291" t="s">
        <v>662</v>
      </c>
      <c r="C53" s="296" t="s">
        <v>663</v>
      </c>
      <c r="D53" s="291" t="s">
        <v>576</v>
      </c>
      <c r="E53" s="291" t="s">
        <v>159</v>
      </c>
    </row>
    <row r="54" spans="1:5">
      <c r="A54" s="294">
        <v>1412000093</v>
      </c>
      <c r="B54" s="291" t="s">
        <v>670</v>
      </c>
      <c r="C54" s="296" t="s">
        <v>664</v>
      </c>
      <c r="D54" s="291" t="s">
        <v>578</v>
      </c>
      <c r="E54" s="291" t="s">
        <v>160</v>
      </c>
    </row>
    <row r="55" spans="1:5">
      <c r="A55" s="294">
        <v>1412000094</v>
      </c>
      <c r="B55" s="291" t="s">
        <v>671</v>
      </c>
      <c r="C55" s="296" t="s">
        <v>682</v>
      </c>
      <c r="D55" s="291" t="s">
        <v>444</v>
      </c>
      <c r="E55" s="291" t="s">
        <v>159</v>
      </c>
    </row>
    <row r="56" spans="1:5">
      <c r="A56" s="294">
        <v>1412000096</v>
      </c>
      <c r="B56" s="293" t="s">
        <v>672</v>
      </c>
      <c r="C56" s="296" t="s">
        <v>683</v>
      </c>
      <c r="D56" s="291" t="s">
        <v>159</v>
      </c>
      <c r="E56" s="291" t="s">
        <v>159</v>
      </c>
    </row>
    <row r="57" spans="1:5">
      <c r="A57" s="294">
        <v>1412000098</v>
      </c>
      <c r="B57" s="291" t="s">
        <v>680</v>
      </c>
      <c r="C57" s="296" t="s">
        <v>684</v>
      </c>
      <c r="D57" s="291" t="s">
        <v>159</v>
      </c>
      <c r="E57" s="291" t="s">
        <v>159</v>
      </c>
    </row>
    <row r="58" spans="1:5">
      <c r="A58" s="294">
        <v>1412000099</v>
      </c>
      <c r="B58" s="291" t="s">
        <v>681</v>
      </c>
      <c r="C58" s="296" t="s">
        <v>685</v>
      </c>
      <c r="D58" s="291" t="s">
        <v>159</v>
      </c>
      <c r="E58" s="291" t="s">
        <v>159</v>
      </c>
    </row>
  </sheetData>
  <autoFilter ref="A1:K479" xr:uid="{93A30356-7703-49E0-B610-2FD2963AAEAE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75217-119D-4394-BAC7-571F7118C30F}">
  <sheetPr codeName="Sheet7"/>
  <dimension ref="A2:B14"/>
  <sheetViews>
    <sheetView workbookViewId="0">
      <selection activeCell="J13" sqref="J13"/>
    </sheetView>
  </sheetViews>
  <sheetFormatPr defaultRowHeight="13"/>
  <cols>
    <col min="2" max="2" width="9" style="248"/>
  </cols>
  <sheetData>
    <row r="2" spans="1:2">
      <c r="A2" s="123" t="s">
        <v>674</v>
      </c>
      <c r="B2" s="248" t="s">
        <v>401</v>
      </c>
    </row>
    <row r="3" spans="1:2" ht="14.5">
      <c r="A3" s="92">
        <v>4</v>
      </c>
      <c r="B3" s="249">
        <v>20</v>
      </c>
    </row>
    <row r="4" spans="1:2" ht="14.5">
      <c r="A4" s="92">
        <v>5</v>
      </c>
      <c r="B4" s="249">
        <v>19</v>
      </c>
    </row>
    <row r="5" spans="1:2" ht="14.5">
      <c r="A5" s="92">
        <v>6</v>
      </c>
      <c r="B5" s="249">
        <v>21</v>
      </c>
    </row>
    <row r="6" spans="1:2" ht="14.5">
      <c r="A6" s="92">
        <v>7</v>
      </c>
      <c r="B6" s="249">
        <v>23</v>
      </c>
    </row>
    <row r="7" spans="1:2" ht="14.5">
      <c r="A7" s="92">
        <v>8</v>
      </c>
      <c r="B7" s="249">
        <v>20</v>
      </c>
    </row>
    <row r="8" spans="1:2" ht="14.5">
      <c r="A8" s="92">
        <v>9</v>
      </c>
      <c r="B8" s="249">
        <v>19</v>
      </c>
    </row>
    <row r="9" spans="1:2" ht="14.5">
      <c r="A9" s="92">
        <v>10</v>
      </c>
      <c r="B9" s="249">
        <v>23</v>
      </c>
    </row>
    <row r="10" spans="1:2" ht="14.5">
      <c r="A10" s="92">
        <v>11</v>
      </c>
      <c r="B10" s="249">
        <v>20</v>
      </c>
    </row>
    <row r="11" spans="1:2" ht="14.5">
      <c r="A11" s="92">
        <v>12</v>
      </c>
      <c r="B11" s="249">
        <v>22</v>
      </c>
    </row>
    <row r="12" spans="1:2" ht="14.5">
      <c r="A12" s="92">
        <v>1</v>
      </c>
      <c r="B12" s="249">
        <v>20</v>
      </c>
    </row>
    <row r="13" spans="1:2" ht="14.5">
      <c r="A13" s="92">
        <v>2</v>
      </c>
      <c r="B13" s="249">
        <v>15</v>
      </c>
    </row>
    <row r="14" spans="1:2" ht="14.5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Nguyễn Thị Thu Thủy(Nguyen Thi Thu Thuy)</cp:lastModifiedBy>
  <cp:lastPrinted>2017-10-06T02:39:42Z</cp:lastPrinted>
  <dcterms:created xsi:type="dcterms:W3CDTF">2002-04-10T08:05:47Z</dcterms:created>
  <dcterms:modified xsi:type="dcterms:W3CDTF">2025-01-08T02:37:14Z</dcterms:modified>
</cp:coreProperties>
</file>