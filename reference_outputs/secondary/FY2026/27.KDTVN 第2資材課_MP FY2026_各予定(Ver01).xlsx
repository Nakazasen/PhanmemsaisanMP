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Purchasing(資材部)\Master plan FY2026\MP\2. Chi phí (7.Jan.2025)\"/>
    </mc:Choice>
  </mc:AlternateContent>
  <xr:revisionPtr revIDLastSave="0" documentId="13_ncr:1_{3E3ABECC-1BBF-401D-A508-12F20B0FDAEC}" xr6:coauthVersionLast="47" xr6:coauthVersionMax="47" xr10:uidLastSave="{00000000-0000-0000-0000-000000000000}"/>
  <bookViews>
    <workbookView xWindow="-120" yWindow="-120" windowWidth="21840" windowHeight="1314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'内訳ﾘｽﾄ(4～3月)'!$A$7:$V$798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0" l="1"/>
  <c r="P55" i="10" l="1"/>
  <c r="I54" i="10"/>
  <c r="L54" i="10"/>
  <c r="J54" i="10"/>
  <c r="H54" i="10"/>
  <c r="F54" i="10"/>
  <c r="G72" i="10"/>
  <c r="I69" i="10"/>
  <c r="N66" i="10"/>
  <c r="L67" i="10" l="1"/>
  <c r="J58" i="10" l="1"/>
  <c r="P60" i="10"/>
  <c r="K68" i="10"/>
  <c r="G61" i="10"/>
  <c r="F85" i="10"/>
  <c r="F84" i="10"/>
  <c r="M62" i="10"/>
  <c r="F55" i="10"/>
  <c r="M63" i="10" l="1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87" i="10"/>
  <c r="D987" i="10" s="1"/>
  <c r="D5" i="10"/>
  <c r="H2" i="36"/>
  <c r="G2" i="36"/>
  <c r="F2" i="36"/>
  <c r="C297" i="10" s="1"/>
  <c r="D297" i="10" s="1"/>
  <c r="N98" i="5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J99" i="32" s="1"/>
  <c r="I97" i="5"/>
  <c r="I97" i="32" s="1"/>
  <c r="H97" i="5"/>
  <c r="H97" i="32" s="1"/>
  <c r="G97" i="5"/>
  <c r="G97" i="32" s="1"/>
  <c r="F97" i="5"/>
  <c r="F99" i="5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K92" i="32" s="1"/>
  <c r="J92" i="5"/>
  <c r="J92" i="32" s="1"/>
  <c r="J94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M87" i="32" s="1"/>
  <c r="L87" i="5"/>
  <c r="K87" i="5"/>
  <c r="K87" i="32" s="1"/>
  <c r="J87" i="5"/>
  <c r="I87" i="5"/>
  <c r="I87" i="32" s="1"/>
  <c r="H87" i="5"/>
  <c r="H87" i="32" s="1"/>
  <c r="G87" i="5"/>
  <c r="G87" i="32" s="1"/>
  <c r="F87" i="5"/>
  <c r="F89" i="5" s="1"/>
  <c r="E87" i="5"/>
  <c r="E87" i="32" s="1"/>
  <c r="D87" i="5"/>
  <c r="D87" i="32" s="1"/>
  <c r="C87" i="5"/>
  <c r="C87" i="32" s="1"/>
  <c r="N74" i="5"/>
  <c r="M74" i="5"/>
  <c r="M74" i="32" s="1"/>
  <c r="L74" i="5"/>
  <c r="L77" i="5" s="1"/>
  <c r="L77" i="32" s="1"/>
  <c r="K74" i="5"/>
  <c r="K74" i="32" s="1"/>
  <c r="J74" i="5"/>
  <c r="J77" i="5" s="1"/>
  <c r="J77" i="32" s="1"/>
  <c r="I74" i="5"/>
  <c r="I77" i="5" s="1"/>
  <c r="I77" i="32" s="1"/>
  <c r="H74" i="5"/>
  <c r="G74" i="5"/>
  <c r="G77" i="5" s="1"/>
  <c r="G77" i="32" s="1"/>
  <c r="F74" i="5"/>
  <c r="F77" i="5" s="1"/>
  <c r="F77" i="32" s="1"/>
  <c r="E74" i="5"/>
  <c r="E74" i="32" s="1"/>
  <c r="D74" i="5"/>
  <c r="D74" i="32" s="1"/>
  <c r="C74" i="5"/>
  <c r="C74" i="32" s="1"/>
  <c r="N68" i="5"/>
  <c r="N71" i="5" s="1"/>
  <c r="N71" i="32" s="1"/>
  <c r="M68" i="5"/>
  <c r="M71" i="5" s="1"/>
  <c r="L68" i="5"/>
  <c r="L68" i="32" s="1"/>
  <c r="K68" i="5"/>
  <c r="K71" i="5" s="1"/>
  <c r="K71" i="32" s="1"/>
  <c r="J68" i="5"/>
  <c r="J68" i="32" s="1"/>
  <c r="I68" i="5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J99" i="5"/>
  <c r="N89" i="5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/>
  <c r="P29" i="10"/>
  <c r="P5" i="10" s="1"/>
  <c r="O29" i="10"/>
  <c r="O5" i="10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R28" i="10" s="1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N74" i="32"/>
  <c r="H74" i="32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F97" i="32"/>
  <c r="L88" i="32"/>
  <c r="J87" i="32"/>
  <c r="F87" i="32"/>
  <c r="I68" i="32"/>
  <c r="M68" i="32"/>
  <c r="G74" i="32"/>
  <c r="F98" i="32"/>
  <c r="N98" i="32"/>
  <c r="E89" i="5"/>
  <c r="I89" i="5"/>
  <c r="M89" i="5"/>
  <c r="K69" i="5"/>
  <c r="K69" i="32" s="1"/>
  <c r="L70" i="5"/>
  <c r="L70" i="32" s="1"/>
  <c r="C70" i="5"/>
  <c r="C70" i="32" s="1"/>
  <c r="C623" i="10"/>
  <c r="D623" i="10" s="1"/>
  <c r="C333" i="10"/>
  <c r="D333" i="10" s="1"/>
  <c r="C740" i="10"/>
  <c r="D740" i="10" s="1"/>
  <c r="C749" i="10"/>
  <c r="D749" i="10" s="1"/>
  <c r="K70" i="5"/>
  <c r="K70" i="32" s="1"/>
  <c r="C147" i="10"/>
  <c r="D147" i="10" s="1"/>
  <c r="C353" i="10"/>
  <c r="D353" i="10" s="1"/>
  <c r="O72" i="5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H75" i="32" s="1"/>
  <c r="L76" i="5"/>
  <c r="L76" i="32" s="1"/>
  <c r="M78" i="5"/>
  <c r="M78" i="32" s="1"/>
  <c r="I75" i="5"/>
  <c r="F70" i="5"/>
  <c r="F70" i="32" s="1"/>
  <c r="I71" i="5"/>
  <c r="I71" i="32" s="1"/>
  <c r="J75" i="5"/>
  <c r="J75" i="32" s="1"/>
  <c r="N78" i="5"/>
  <c r="N78" i="32" s="1"/>
  <c r="L78" i="5"/>
  <c r="L78" i="32" s="1"/>
  <c r="J71" i="5"/>
  <c r="J71" i="32" s="1"/>
  <c r="J70" i="5"/>
  <c r="J70" i="32" s="1"/>
  <c r="M76" i="5"/>
  <c r="M76" i="32" s="1"/>
  <c r="E72" i="5"/>
  <c r="E72" i="32" s="1"/>
  <c r="G72" i="5"/>
  <c r="G72" i="32" s="1"/>
  <c r="L72" i="5"/>
  <c r="L72" i="32" s="1"/>
  <c r="E71" i="5"/>
  <c r="E71" i="32" s="1"/>
  <c r="H70" i="5"/>
  <c r="H70" i="32" s="1"/>
  <c r="H76" i="5"/>
  <c r="H76" i="32" s="1"/>
  <c r="G75" i="5"/>
  <c r="G75" i="32" s="1"/>
  <c r="I69" i="5"/>
  <c r="I69" i="32" s="1"/>
  <c r="F75" i="5"/>
  <c r="F75" i="32" s="1"/>
  <c r="D70" i="5"/>
  <c r="D70" i="32" s="1"/>
  <c r="N77" i="5"/>
  <c r="N77" i="32" s="1"/>
  <c r="E69" i="5"/>
  <c r="E69" i="32" s="1"/>
  <c r="F69" i="5"/>
  <c r="F69" i="32" s="1"/>
  <c r="N70" i="5"/>
  <c r="N70" i="32" s="1"/>
  <c r="M69" i="5"/>
  <c r="M69" i="32" s="1"/>
  <c r="K76" i="5"/>
  <c r="K76" i="32" s="1"/>
  <c r="D78" i="5"/>
  <c r="D78" i="32" s="1"/>
  <c r="C72" i="5"/>
  <c r="C72" i="32" s="1"/>
  <c r="F72" i="5"/>
  <c r="F72" i="32" s="1"/>
  <c r="L69" i="5"/>
  <c r="L69" i="32" s="1"/>
  <c r="J69" i="5"/>
  <c r="J69" i="32" s="1"/>
  <c r="I70" i="5"/>
  <c r="I70" i="32" s="1"/>
  <c r="I72" i="5"/>
  <c r="I72" i="32" s="1"/>
  <c r="D72" i="5"/>
  <c r="D72" i="32" s="1"/>
  <c r="L71" i="5"/>
  <c r="L71" i="32" s="1"/>
  <c r="E70" i="5"/>
  <c r="E70" i="32" s="1"/>
  <c r="O75" i="5"/>
  <c r="C78" i="5"/>
  <c r="C78" i="32" s="1"/>
  <c r="N75" i="5"/>
  <c r="G76" i="5"/>
  <c r="G76" i="32" s="1"/>
  <c r="H72" i="5"/>
  <c r="H72" i="32" s="1"/>
  <c r="L75" i="5"/>
  <c r="L75" i="32" s="1"/>
  <c r="C75" i="5"/>
  <c r="C75" i="32" s="1"/>
  <c r="D76" i="5"/>
  <c r="D76" i="32" s="1"/>
  <c r="I78" i="5"/>
  <c r="I78" i="32" s="1"/>
  <c r="D75" i="5"/>
  <c r="D75" i="32" s="1"/>
  <c r="D69" i="5"/>
  <c r="D69" i="32" s="1"/>
  <c r="O78" i="5"/>
  <c r="N69" i="5"/>
  <c r="N69" i="32" s="1"/>
  <c r="J78" i="5"/>
  <c r="J78" i="32" s="1"/>
  <c r="O69" i="5"/>
  <c r="M70" i="5"/>
  <c r="M70" i="32" s="1"/>
  <c r="J76" i="5"/>
  <c r="G70" i="5"/>
  <c r="G70" i="32" s="1"/>
  <c r="K75" i="5"/>
  <c r="K75" i="32" s="1"/>
  <c r="E75" i="5"/>
  <c r="E75" i="32" s="1"/>
  <c r="D71" i="5"/>
  <c r="D71" i="32" s="1"/>
  <c r="E78" i="5"/>
  <c r="E78" i="32" s="1"/>
  <c r="G78" i="5"/>
  <c r="G78" i="32" s="1"/>
  <c r="G69" i="5"/>
  <c r="C76" i="5"/>
  <c r="C76" i="32" s="1"/>
  <c r="C69" i="5"/>
  <c r="C69" i="32" s="1"/>
  <c r="H77" i="5"/>
  <c r="H77" i="32" s="1"/>
  <c r="O70" i="5"/>
  <c r="F76" i="5"/>
  <c r="F76" i="32" s="1"/>
  <c r="E76" i="5"/>
  <c r="E76" i="32" s="1"/>
  <c r="K78" i="5"/>
  <c r="K78" i="32" s="1"/>
  <c r="J72" i="5"/>
  <c r="J72" i="32" s="1"/>
  <c r="M75" i="5"/>
  <c r="M75" i="32" s="1"/>
  <c r="H69" i="5"/>
  <c r="D77" i="5"/>
  <c r="D77" i="32" s="1"/>
  <c r="F78" i="5"/>
  <c r="F78" i="32" s="1"/>
  <c r="O76" i="5"/>
  <c r="C162" i="10"/>
  <c r="D162" i="10" s="1"/>
  <c r="C146" i="10"/>
  <c r="D146" i="10" s="1"/>
  <c r="C899" i="10"/>
  <c r="D899" i="10" s="1"/>
  <c r="O92" i="5" l="1"/>
  <c r="R26" i="10"/>
  <c r="R27" i="10"/>
  <c r="C71" i="5"/>
  <c r="C71" i="32" s="1"/>
  <c r="M77" i="5"/>
  <c r="M77" i="32" s="1"/>
  <c r="N68" i="32"/>
  <c r="O68" i="5"/>
  <c r="O71" i="5" s="1"/>
  <c r="J74" i="32"/>
  <c r="D89" i="5"/>
  <c r="K89" i="5"/>
  <c r="G71" i="5"/>
  <c r="G71" i="32" s="1"/>
  <c r="K68" i="32"/>
  <c r="O68" i="32" s="1"/>
  <c r="R29" i="10"/>
  <c r="E89" i="32"/>
  <c r="G89" i="32"/>
  <c r="O97" i="5"/>
  <c r="O99" i="5" s="1"/>
  <c r="R5" i="10"/>
  <c r="H89" i="32"/>
  <c r="K89" i="32"/>
  <c r="O89" i="5"/>
  <c r="D89" i="32"/>
  <c r="L89" i="5"/>
  <c r="G89" i="5"/>
  <c r="F89" i="32"/>
  <c r="I89" i="32"/>
  <c r="M89" i="32"/>
  <c r="C89" i="5"/>
  <c r="N89" i="32"/>
  <c r="J89" i="32"/>
  <c r="O74" i="5"/>
  <c r="O77" i="5" s="1"/>
  <c r="C77" i="5"/>
  <c r="C77" i="32" s="1"/>
  <c r="I74" i="32"/>
  <c r="H71" i="5"/>
  <c r="H71" i="32" s="1"/>
  <c r="O93" i="5"/>
  <c r="O88" i="32"/>
  <c r="C89" i="32"/>
  <c r="C110" i="10"/>
  <c r="D110" i="10" s="1"/>
  <c r="C863" i="10"/>
  <c r="D863" i="10" s="1"/>
  <c r="C991" i="10"/>
  <c r="D991" i="10" s="1"/>
  <c r="C179" i="10"/>
  <c r="D179" i="10" s="1"/>
  <c r="O98" i="5"/>
  <c r="L87" i="32"/>
  <c r="L89" i="32" s="1"/>
  <c r="C878" i="10"/>
  <c r="D878" i="10" s="1"/>
  <c r="C118" i="10"/>
  <c r="D118" i="10" s="1"/>
  <c r="C448" i="10"/>
  <c r="D448" i="10" s="1"/>
  <c r="C223" i="10"/>
  <c r="D223" i="10" s="1"/>
  <c r="J89" i="5"/>
  <c r="C588" i="10"/>
  <c r="D588" i="10" s="1"/>
  <c r="C49" i="10"/>
  <c r="D49" i="10" s="1"/>
  <c r="C841" i="10"/>
  <c r="D841" i="10" s="1"/>
  <c r="C507" i="10"/>
  <c r="D507" i="10" s="1"/>
  <c r="C488" i="10"/>
  <c r="D488" i="10" s="1"/>
  <c r="F71" i="5"/>
  <c r="F71" i="32" s="1"/>
  <c r="F73" i="32" s="1"/>
  <c r="C346" i="10"/>
  <c r="D346" i="10" s="1"/>
  <c r="C556" i="10"/>
  <c r="D556" i="10" s="1"/>
  <c r="C678" i="10"/>
  <c r="D678" i="10" s="1"/>
  <c r="C755" i="10"/>
  <c r="D755" i="10" s="1"/>
  <c r="F74" i="32"/>
  <c r="F79" i="32" s="1"/>
  <c r="L74" i="32"/>
  <c r="L79" i="32" s="1"/>
  <c r="H89" i="5"/>
  <c r="C825" i="10"/>
  <c r="D825" i="10" s="1"/>
  <c r="C760" i="10"/>
  <c r="D760" i="10" s="1"/>
  <c r="C382" i="10"/>
  <c r="D382" i="10" s="1"/>
  <c r="C122" i="10"/>
  <c r="D122" i="10" s="1"/>
  <c r="E77" i="5"/>
  <c r="E77" i="32" s="1"/>
  <c r="C979" i="10"/>
  <c r="D979" i="10" s="1"/>
  <c r="C792" i="10"/>
  <c r="D792" i="10" s="1"/>
  <c r="C561" i="10"/>
  <c r="D561" i="10" s="1"/>
  <c r="C356" i="10"/>
  <c r="D356" i="10" s="1"/>
  <c r="C117" i="10"/>
  <c r="D117" i="10" s="1"/>
  <c r="C667" i="10"/>
  <c r="D667" i="10" s="1"/>
  <c r="C901" i="10"/>
  <c r="D901" i="10" s="1"/>
  <c r="C947" i="10"/>
  <c r="D947" i="10" s="1"/>
  <c r="C190" i="10"/>
  <c r="D190" i="10" s="1"/>
  <c r="C65" i="10"/>
  <c r="D65" i="10" s="1"/>
  <c r="C525" i="10"/>
  <c r="D525" i="10" s="1"/>
  <c r="C334" i="10"/>
  <c r="D334" i="10" s="1"/>
  <c r="C248" i="10"/>
  <c r="D248" i="10" s="1"/>
  <c r="C851" i="10"/>
  <c r="D851" i="10" s="1"/>
  <c r="C711" i="10"/>
  <c r="D711" i="10" s="1"/>
  <c r="C686" i="10"/>
  <c r="D686" i="10" s="1"/>
  <c r="C264" i="10"/>
  <c r="D264" i="10" s="1"/>
  <c r="C803" i="10"/>
  <c r="D803" i="10" s="1"/>
  <c r="C491" i="10"/>
  <c r="D491" i="10" s="1"/>
  <c r="C91" i="10"/>
  <c r="D91" i="10" s="1"/>
  <c r="C701" i="10"/>
  <c r="D701" i="10" s="1"/>
  <c r="C408" i="10"/>
  <c r="D408" i="10" s="1"/>
  <c r="D1" i="21"/>
  <c r="C509" i="10"/>
  <c r="D509" i="10" s="1"/>
  <c r="C470" i="10"/>
  <c r="D470" i="10" s="1"/>
  <c r="C109" i="10"/>
  <c r="D109" i="10" s="1"/>
  <c r="C905" i="10"/>
  <c r="D905" i="10" s="1"/>
  <c r="C169" i="10"/>
  <c r="D169" i="10" s="1"/>
  <c r="C484" i="10"/>
  <c r="D484" i="10" s="1"/>
  <c r="C589" i="10"/>
  <c r="D589" i="10" s="1"/>
  <c r="C866" i="10"/>
  <c r="D866" i="10" s="1"/>
  <c r="C106" i="10"/>
  <c r="D106" i="10" s="1"/>
  <c r="C847" i="10"/>
  <c r="D847" i="10" s="1"/>
  <c r="N79" i="5"/>
  <c r="L79" i="5"/>
  <c r="C236" i="10"/>
  <c r="D236" i="10" s="1"/>
  <c r="C313" i="10"/>
  <c r="D313" i="10" s="1"/>
  <c r="C68" i="10"/>
  <c r="D68" i="10" s="1"/>
  <c r="C31" i="10"/>
  <c r="D31" i="10" s="1"/>
  <c r="C985" i="10"/>
  <c r="D985" i="10" s="1"/>
  <c r="C204" i="10"/>
  <c r="D204" i="10" s="1"/>
  <c r="C116" i="10"/>
  <c r="D116" i="10" s="1"/>
  <c r="C417" i="10"/>
  <c r="D417" i="10" s="1"/>
  <c r="C620" i="10"/>
  <c r="D620" i="10" s="1"/>
  <c r="C503" i="10"/>
  <c r="D503" i="10" s="1"/>
  <c r="C305" i="10"/>
  <c r="D305" i="10" s="1"/>
  <c r="C601" i="10"/>
  <c r="D601" i="10" s="1"/>
  <c r="C390" i="10"/>
  <c r="D390" i="10" s="1"/>
  <c r="C337" i="10"/>
  <c r="D337" i="10" s="1"/>
  <c r="C174" i="10"/>
  <c r="D174" i="10" s="1"/>
  <c r="C461" i="10"/>
  <c r="D461" i="10" s="1"/>
  <c r="C576" i="10"/>
  <c r="D576" i="10" s="1"/>
  <c r="C668" i="10"/>
  <c r="D668" i="10" s="1"/>
  <c r="C427" i="10"/>
  <c r="D427" i="10" s="1"/>
  <c r="C196" i="10"/>
  <c r="D196" i="10" s="1"/>
  <c r="C658" i="10"/>
  <c r="D658" i="10" s="1"/>
  <c r="C183" i="10"/>
  <c r="D183" i="10" s="1"/>
  <c r="C723" i="10"/>
  <c r="D723" i="10" s="1"/>
  <c r="C782" i="10"/>
  <c r="D782" i="10" s="1"/>
  <c r="C672" i="10"/>
  <c r="D672" i="10" s="1"/>
  <c r="C80" i="10"/>
  <c r="D80" i="10" s="1"/>
  <c r="C960" i="10"/>
  <c r="D960" i="10" s="1"/>
  <c r="C501" i="10"/>
  <c r="D501" i="10" s="1"/>
  <c r="C852" i="10"/>
  <c r="D852" i="10" s="1"/>
  <c r="C466" i="10"/>
  <c r="D466" i="10" s="1"/>
  <c r="C715" i="10"/>
  <c r="D715" i="10" s="1"/>
  <c r="C85" i="10"/>
  <c r="D85" i="10" s="1"/>
  <c r="C705" i="10"/>
  <c r="D705" i="10" s="1"/>
  <c r="C463" i="10"/>
  <c r="D463" i="10" s="1"/>
  <c r="C473" i="10"/>
  <c r="D473" i="10" s="1"/>
  <c r="C372" i="10"/>
  <c r="D372" i="10" s="1"/>
  <c r="C580" i="10"/>
  <c r="D580" i="10" s="1"/>
  <c r="C897" i="10"/>
  <c r="D897" i="10" s="1"/>
  <c r="C303" i="10"/>
  <c r="D303" i="10" s="1"/>
  <c r="C729" i="10"/>
  <c r="D729" i="10" s="1"/>
  <c r="C289" i="10"/>
  <c r="D289" i="10" s="1"/>
  <c r="C971" i="10"/>
  <c r="D971" i="10" s="1"/>
  <c r="C88" i="10"/>
  <c r="D88" i="10" s="1"/>
  <c r="C722" i="10"/>
  <c r="D722" i="10" s="1"/>
  <c r="C946" i="10"/>
  <c r="D946" i="10" s="1"/>
  <c r="G99" i="5"/>
  <c r="C99" i="5"/>
  <c r="O73" i="5"/>
  <c r="H73" i="5"/>
  <c r="K79" i="32"/>
  <c r="M79" i="5"/>
  <c r="C868" i="10"/>
  <c r="D868" i="10" s="1"/>
  <c r="C934" i="10"/>
  <c r="D934" i="10" s="1"/>
  <c r="C543" i="10"/>
  <c r="D543" i="10" s="1"/>
  <c r="C392" i="10"/>
  <c r="D392" i="10" s="1"/>
  <c r="C59" i="10"/>
  <c r="D59" i="10" s="1"/>
  <c r="C435" i="10"/>
  <c r="D435" i="10" s="1"/>
  <c r="C326" i="10"/>
  <c r="D326" i="10" s="1"/>
  <c r="C27" i="10"/>
  <c r="D27" i="10" s="1"/>
  <c r="C870" i="10"/>
  <c r="D870" i="10" s="1"/>
  <c r="I73" i="32"/>
  <c r="C949" i="10"/>
  <c r="D949" i="10" s="1"/>
  <c r="C460" i="10"/>
  <c r="D460" i="10" s="1"/>
  <c r="C291" i="10"/>
  <c r="D291" i="10" s="1"/>
  <c r="C429" i="10"/>
  <c r="D429" i="10" s="1"/>
  <c r="C205" i="10"/>
  <c r="D205" i="10" s="1"/>
  <c r="C300" i="10"/>
  <c r="D300" i="10" s="1"/>
  <c r="C896" i="10"/>
  <c r="D896" i="10" s="1"/>
  <c r="C983" i="10"/>
  <c r="D983" i="10" s="1"/>
  <c r="C274" i="10"/>
  <c r="D274" i="10" s="1"/>
  <c r="C155" i="10"/>
  <c r="D155" i="10" s="1"/>
  <c r="C791" i="10"/>
  <c r="D791" i="10" s="1"/>
  <c r="C186" i="10"/>
  <c r="D186" i="10" s="1"/>
  <c r="C892" i="10"/>
  <c r="D892" i="10" s="1"/>
  <c r="C915" i="10"/>
  <c r="D915" i="10" s="1"/>
  <c r="C790" i="10"/>
  <c r="D790" i="10" s="1"/>
  <c r="C703" i="10"/>
  <c r="D703" i="10" s="1"/>
  <c r="C54" i="10"/>
  <c r="D54" i="10" s="1"/>
  <c r="C312" i="10"/>
  <c r="D312" i="10" s="1"/>
  <c r="C364" i="10"/>
  <c r="D364" i="10" s="1"/>
  <c r="C251" i="10"/>
  <c r="D251" i="10" s="1"/>
  <c r="C355" i="10"/>
  <c r="D355" i="10" s="1"/>
  <c r="C653" i="10"/>
  <c r="D653" i="10" s="1"/>
  <c r="C787" i="10"/>
  <c r="D787" i="10" s="1"/>
  <c r="C213" i="10"/>
  <c r="D213" i="10" s="1"/>
  <c r="C458" i="10"/>
  <c r="D458" i="10" s="1"/>
  <c r="C629" i="10"/>
  <c r="D629" i="10" s="1"/>
  <c r="C359" i="10"/>
  <c r="D359" i="10" s="1"/>
  <c r="C566" i="10"/>
  <c r="D566" i="10" s="1"/>
  <c r="C211" i="10"/>
  <c r="D211" i="10" s="1"/>
  <c r="C970" i="10"/>
  <c r="D970" i="10" s="1"/>
  <c r="C637" i="10"/>
  <c r="D637" i="10" s="1"/>
  <c r="C381" i="10"/>
  <c r="D381" i="10" s="1"/>
  <c r="C489" i="10"/>
  <c r="D489" i="10" s="1"/>
  <c r="C959" i="10"/>
  <c r="D959" i="10" s="1"/>
  <c r="C550" i="10"/>
  <c r="D550" i="10" s="1"/>
  <c r="C358" i="10"/>
  <c r="D358" i="10" s="1"/>
  <c r="C250" i="10"/>
  <c r="D250" i="10" s="1"/>
  <c r="C602" i="10"/>
  <c r="D602" i="10" s="1"/>
  <c r="C692" i="10"/>
  <c r="D692" i="10" s="1"/>
  <c r="C195" i="10"/>
  <c r="D195" i="10" s="1"/>
  <c r="C172" i="10"/>
  <c r="D172" i="10" s="1"/>
  <c r="C386" i="10"/>
  <c r="D386" i="10" s="1"/>
  <c r="C47" i="10"/>
  <c r="D47" i="10" s="1"/>
  <c r="L73" i="32"/>
  <c r="C988" i="10"/>
  <c r="D988" i="10" s="1"/>
  <c r="C354" i="10"/>
  <c r="D354" i="10" s="1"/>
  <c r="C731" i="10"/>
  <c r="D731" i="10" s="1"/>
  <c r="C880" i="10"/>
  <c r="D880" i="10" s="1"/>
  <c r="C807" i="10"/>
  <c r="D807" i="10" s="1"/>
  <c r="C340" i="10"/>
  <c r="D340" i="10" s="1"/>
  <c r="C198" i="10"/>
  <c r="D198" i="10" s="1"/>
  <c r="C951" i="10"/>
  <c r="D951" i="10" s="1"/>
  <c r="C966" i="10"/>
  <c r="D966" i="10" s="1"/>
  <c r="C43" i="10"/>
  <c r="D43" i="10" s="1"/>
  <c r="C206" i="10"/>
  <c r="D206" i="10" s="1"/>
  <c r="F79" i="5"/>
  <c r="I79" i="5"/>
  <c r="C881" i="10"/>
  <c r="D881" i="10" s="1"/>
  <c r="C593" i="10"/>
  <c r="D593" i="10" s="1"/>
  <c r="C375" i="10"/>
  <c r="D375" i="10" s="1"/>
  <c r="C249" i="10"/>
  <c r="D249" i="10" s="1"/>
  <c r="C496" i="10"/>
  <c r="D496" i="10" s="1"/>
  <c r="C40" i="10"/>
  <c r="D40" i="10" s="1"/>
  <c r="C635" i="10"/>
  <c r="D635" i="10" s="1"/>
  <c r="C222" i="10"/>
  <c r="D222" i="10" s="1"/>
  <c r="C704" i="10"/>
  <c r="D704" i="10" s="1"/>
  <c r="C855" i="10"/>
  <c r="D855" i="10" s="1"/>
  <c r="C100" i="10"/>
  <c r="D100" i="10" s="1"/>
  <c r="C192" i="10"/>
  <c r="D192" i="10" s="1"/>
  <c r="C935" i="10"/>
  <c r="D935" i="10" s="1"/>
  <c r="C164" i="10"/>
  <c r="D164" i="10" s="1"/>
  <c r="C794" i="10"/>
  <c r="D794" i="10" s="1"/>
  <c r="C330" i="10"/>
  <c r="D330" i="10" s="1"/>
  <c r="C759" i="10"/>
  <c r="D759" i="10" s="1"/>
  <c r="C661" i="10"/>
  <c r="D661" i="10" s="1"/>
  <c r="C38" i="10"/>
  <c r="D38" i="10" s="1"/>
  <c r="C453" i="10"/>
  <c r="D453" i="10" s="1"/>
  <c r="C522" i="10"/>
  <c r="D522" i="10" s="1"/>
  <c r="C293" i="10"/>
  <c r="D293" i="10" s="1"/>
  <c r="C409" i="10"/>
  <c r="D409" i="10" s="1"/>
  <c r="C478" i="10"/>
  <c r="D478" i="10" s="1"/>
  <c r="C154" i="10"/>
  <c r="D154" i="10" s="1"/>
  <c r="C233" i="10"/>
  <c r="D233" i="10" s="1"/>
  <c r="C739" i="10"/>
  <c r="D739" i="10" s="1"/>
  <c r="C265" i="10"/>
  <c r="D265" i="10" s="1"/>
  <c r="C428" i="10"/>
  <c r="D428" i="10" s="1"/>
  <c r="C585" i="10"/>
  <c r="D585" i="10" s="1"/>
  <c r="C910" i="10"/>
  <c r="D910" i="10" s="1"/>
  <c r="C220" i="10"/>
  <c r="D220" i="10" s="1"/>
  <c r="C247" i="10"/>
  <c r="D247" i="10" s="1"/>
  <c r="C411" i="10"/>
  <c r="D411" i="10" s="1"/>
  <c r="C553" i="10"/>
  <c r="D553" i="10" s="1"/>
  <c r="C804" i="10"/>
  <c r="D804" i="10" s="1"/>
  <c r="C559" i="10"/>
  <c r="D559" i="10" s="1"/>
  <c r="C58" i="10"/>
  <c r="D58" i="10" s="1"/>
  <c r="C812" i="10"/>
  <c r="D812" i="10" s="1"/>
  <c r="C224" i="10"/>
  <c r="D224" i="10" s="1"/>
  <c r="C210" i="10"/>
  <c r="D210" i="10" s="1"/>
  <c r="C761" i="10"/>
  <c r="D761" i="10" s="1"/>
  <c r="C370" i="10"/>
  <c r="D370" i="10" s="1"/>
  <c r="C717" i="10"/>
  <c r="D717" i="10" s="1"/>
  <c r="I75" i="32"/>
  <c r="E73" i="5"/>
  <c r="G98" i="32"/>
  <c r="G99" i="32" s="1"/>
  <c r="C873" i="10"/>
  <c r="D873" i="10" s="1"/>
  <c r="C120" i="10"/>
  <c r="D120" i="10" s="1"/>
  <c r="C403" i="10"/>
  <c r="D403" i="10" s="1"/>
  <c r="C609" i="10"/>
  <c r="D609" i="10" s="1"/>
  <c r="C129" i="10"/>
  <c r="D129" i="10" s="1"/>
  <c r="C622" i="10"/>
  <c r="D622" i="10" s="1"/>
  <c r="C426" i="10"/>
  <c r="D426" i="10" s="1"/>
  <c r="C689" i="10"/>
  <c r="D689" i="10" s="1"/>
  <c r="C51" i="10"/>
  <c r="D51" i="10" s="1"/>
  <c r="C456" i="10"/>
  <c r="D456" i="10" s="1"/>
  <c r="C67" i="10"/>
  <c r="D67" i="10" s="1"/>
  <c r="C810" i="10"/>
  <c r="D810" i="10" s="1"/>
  <c r="C962" i="10"/>
  <c r="D962" i="10" s="1"/>
  <c r="C48" i="10"/>
  <c r="D48" i="10" s="1"/>
  <c r="C671" i="10"/>
  <c r="D671" i="10" s="1"/>
  <c r="C665" i="10"/>
  <c r="D665" i="10" s="1"/>
  <c r="C178" i="10"/>
  <c r="D178" i="10" s="1"/>
  <c r="C115" i="10"/>
  <c r="D115" i="10" s="1"/>
  <c r="C350" i="10"/>
  <c r="D350" i="10" s="1"/>
  <c r="C546" i="10"/>
  <c r="D546" i="10" s="1"/>
  <c r="C656" i="10"/>
  <c r="D656" i="10" s="1"/>
  <c r="C533" i="10"/>
  <c r="D533" i="10" s="1"/>
  <c r="C720" i="10"/>
  <c r="D720" i="10" s="1"/>
  <c r="C902" i="10"/>
  <c r="D902" i="10" s="1"/>
  <c r="C159" i="10"/>
  <c r="D159" i="10" s="1"/>
  <c r="C476" i="10"/>
  <c r="D476" i="10" s="1"/>
  <c r="C800" i="10"/>
  <c r="D800" i="10" s="1"/>
  <c r="C747" i="10"/>
  <c r="D747" i="10" s="1"/>
  <c r="C280" i="10"/>
  <c r="D280" i="10" s="1"/>
  <c r="C396" i="10"/>
  <c r="D396" i="10" s="1"/>
  <c r="C281" i="10"/>
  <c r="D281" i="10" s="1"/>
  <c r="C407" i="10"/>
  <c r="D407" i="10" s="1"/>
  <c r="C574" i="10"/>
  <c r="D574" i="10" s="1"/>
  <c r="C663" i="10"/>
  <c r="D663" i="10" s="1"/>
  <c r="C741" i="10"/>
  <c r="D741" i="10" s="1"/>
  <c r="C822" i="10"/>
  <c r="D822" i="10" s="1"/>
  <c r="C984" i="10"/>
  <c r="D984" i="10" s="1"/>
  <c r="C531" i="10"/>
  <c r="D531" i="10" s="1"/>
  <c r="C136" i="10"/>
  <c r="D136" i="10" s="1"/>
  <c r="C854" i="10"/>
  <c r="D854" i="10" s="1"/>
  <c r="C153" i="10"/>
  <c r="D153" i="10" s="1"/>
  <c r="C107" i="10"/>
  <c r="D107" i="10" s="1"/>
  <c r="C999" i="10"/>
  <c r="D999" i="10" s="1"/>
  <c r="C950" i="10"/>
  <c r="D950" i="10" s="1"/>
  <c r="C972" i="10"/>
  <c r="D972" i="10" s="1"/>
  <c r="C414" i="10"/>
  <c r="D414" i="10" s="1"/>
  <c r="C97" i="10"/>
  <c r="D97" i="10" s="1"/>
  <c r="C193" i="10"/>
  <c r="D193" i="10" s="1"/>
  <c r="C462" i="10"/>
  <c r="D462" i="10" s="1"/>
  <c r="C599" i="10"/>
  <c r="D599" i="10" s="1"/>
  <c r="C339" i="10"/>
  <c r="D339" i="10" s="1"/>
  <c r="C702" i="10"/>
  <c r="D702" i="10" s="1"/>
  <c r="C785" i="10"/>
  <c r="D785" i="10" s="1"/>
  <c r="C618" i="10"/>
  <c r="D618" i="10" s="1"/>
  <c r="C642" i="10"/>
  <c r="D642" i="10" s="1"/>
  <c r="C670" i="10"/>
  <c r="D670" i="10" s="1"/>
  <c r="C757" i="10"/>
  <c r="D757" i="10" s="1"/>
  <c r="C806" i="10"/>
  <c r="D806" i="10" s="1"/>
  <c r="C360" i="10"/>
  <c r="D360" i="10" s="1"/>
  <c r="C964" i="10"/>
  <c r="D964" i="10" s="1"/>
  <c r="C913" i="10"/>
  <c r="D913" i="10" s="1"/>
  <c r="C920" i="10"/>
  <c r="D920" i="10" s="1"/>
  <c r="C995" i="10"/>
  <c r="D995" i="10" s="1"/>
  <c r="C378" i="10"/>
  <c r="D378" i="10" s="1"/>
  <c r="C41" i="10"/>
  <c r="D41" i="10" s="1"/>
  <c r="C144" i="10"/>
  <c r="D144" i="10" s="1"/>
  <c r="C939" i="10"/>
  <c r="D939" i="10" s="1"/>
  <c r="C895" i="10"/>
  <c r="D895" i="10" s="1"/>
  <c r="C788" i="10"/>
  <c r="D788" i="10" s="1"/>
  <c r="C208" i="10"/>
  <c r="D208" i="10" s="1"/>
  <c r="C165" i="10"/>
  <c r="D165" i="10" s="1"/>
  <c r="C133" i="10"/>
  <c r="D133" i="10" s="1"/>
  <c r="C77" i="10"/>
  <c r="D77" i="10" s="1"/>
  <c r="C260" i="10"/>
  <c r="D260" i="10" s="1"/>
  <c r="C493" i="10"/>
  <c r="D493" i="10" s="1"/>
  <c r="C948" i="10"/>
  <c r="D948" i="10" s="1"/>
  <c r="C167" i="10"/>
  <c r="D167" i="10" s="1"/>
  <c r="C654" i="10"/>
  <c r="D654" i="10" s="1"/>
  <c r="C534" i="10"/>
  <c r="D534" i="10" s="1"/>
  <c r="C745" i="10"/>
  <c r="D745" i="10" s="1"/>
  <c r="C695" i="10"/>
  <c r="D695" i="10" s="1"/>
  <c r="C877" i="10"/>
  <c r="D877" i="10" s="1"/>
  <c r="C301" i="10"/>
  <c r="D301" i="10" s="1"/>
  <c r="C969" i="10"/>
  <c r="D969" i="10" s="1"/>
  <c r="C780" i="10"/>
  <c r="D780" i="10" s="1"/>
  <c r="C922" i="10"/>
  <c r="D922" i="10" s="1"/>
  <c r="C875" i="10"/>
  <c r="D875" i="10" s="1"/>
  <c r="C151" i="10"/>
  <c r="D151" i="10" s="1"/>
  <c r="C958" i="10"/>
  <c r="D958" i="10" s="1"/>
  <c r="C457" i="10"/>
  <c r="D457" i="10" s="1"/>
  <c r="C638" i="10"/>
  <c r="D638" i="10" s="1"/>
  <c r="C660" i="10"/>
  <c r="D660" i="10" s="1"/>
  <c r="C586" i="10"/>
  <c r="D586" i="10" s="1"/>
  <c r="C538" i="10"/>
  <c r="D538" i="10" s="1"/>
  <c r="C277" i="10"/>
  <c r="D277" i="10" s="1"/>
  <c r="C698" i="10"/>
  <c r="D698" i="10" s="1"/>
  <c r="C234" i="10"/>
  <c r="D234" i="10" s="1"/>
  <c r="C406" i="10"/>
  <c r="D406" i="10" s="1"/>
  <c r="C858" i="10"/>
  <c r="D858" i="10" s="1"/>
  <c r="C127" i="10"/>
  <c r="D127" i="10" s="1"/>
  <c r="C769" i="10"/>
  <c r="D769" i="10" s="1"/>
  <c r="C79" i="10"/>
  <c r="D79" i="10" s="1"/>
  <c r="C64" i="10"/>
  <c r="D64" i="10" s="1"/>
  <c r="C551" i="10"/>
  <c r="D551" i="10" s="1"/>
  <c r="C321" i="10"/>
  <c r="D321" i="10" s="1"/>
  <c r="C480" i="10"/>
  <c r="D480" i="10" s="1"/>
  <c r="C713" i="10"/>
  <c r="D713" i="10" s="1"/>
  <c r="C614" i="10"/>
  <c r="D614" i="10" s="1"/>
  <c r="C685" i="10"/>
  <c r="D685" i="10" s="1"/>
  <c r="C762" i="10"/>
  <c r="D762" i="10" s="1"/>
  <c r="C517" i="10"/>
  <c r="D517" i="10" s="1"/>
  <c r="C728" i="10"/>
  <c r="D728" i="10" s="1"/>
  <c r="C871" i="10"/>
  <c r="D871" i="10" s="1"/>
  <c r="C322" i="10"/>
  <c r="D322" i="10" s="1"/>
  <c r="C925" i="10"/>
  <c r="D925" i="10" s="1"/>
  <c r="C808" i="10"/>
  <c r="D808" i="10" s="1"/>
  <c r="C137" i="10"/>
  <c r="D137" i="10" s="1"/>
  <c r="C61" i="10"/>
  <c r="D61" i="10" s="1"/>
  <c r="C419" i="10"/>
  <c r="D419" i="10" s="1"/>
  <c r="C869" i="10"/>
  <c r="D869" i="10" s="1"/>
  <c r="C55" i="10"/>
  <c r="D55" i="10" s="1"/>
  <c r="C479" i="10"/>
  <c r="D479" i="10" s="1"/>
  <c r="C76" i="10"/>
  <c r="D76" i="10" s="1"/>
  <c r="C235" i="10"/>
  <c r="D235" i="10" s="1"/>
  <c r="C257" i="10"/>
  <c r="D257" i="10" s="1"/>
  <c r="C383" i="10"/>
  <c r="D383" i="10" s="1"/>
  <c r="C529" i="10"/>
  <c r="D529" i="10" s="1"/>
  <c r="C789" i="10"/>
  <c r="D789" i="10" s="1"/>
  <c r="C856" i="10"/>
  <c r="D856" i="10" s="1"/>
  <c r="C240" i="10"/>
  <c r="D240" i="10" s="1"/>
  <c r="C828" i="10"/>
  <c r="D828" i="10" s="1"/>
  <c r="C724" i="10"/>
  <c r="D724" i="10" s="1"/>
  <c r="C380" i="10"/>
  <c r="D380" i="10" s="1"/>
  <c r="C207" i="10"/>
  <c r="D207" i="10" s="1"/>
  <c r="C318" i="10"/>
  <c r="D318" i="10" s="1"/>
  <c r="C687" i="10"/>
  <c r="D687" i="10" s="1"/>
  <c r="C145" i="10"/>
  <c r="D145" i="10" s="1"/>
  <c r="C272" i="10"/>
  <c r="D272" i="10" s="1"/>
  <c r="C772" i="10"/>
  <c r="D772" i="10" s="1"/>
  <c r="C679" i="10"/>
  <c r="D679" i="10" s="1"/>
  <c r="C834" i="10"/>
  <c r="D834" i="10" s="1"/>
  <c r="C32" i="10"/>
  <c r="D32" i="10" s="1"/>
  <c r="C591" i="10"/>
  <c r="D591" i="10" s="1"/>
  <c r="C630" i="10"/>
  <c r="D630" i="10" s="1"/>
  <c r="C783" i="10"/>
  <c r="D783" i="10" s="1"/>
  <c r="C921" i="10"/>
  <c r="D921" i="10" s="1"/>
  <c r="C175" i="10"/>
  <c r="D175" i="10" s="1"/>
  <c r="C821" i="10"/>
  <c r="D821" i="10" s="1"/>
  <c r="C121" i="10"/>
  <c r="D121" i="10" s="1"/>
  <c r="C511" i="10"/>
  <c r="D511" i="10" s="1"/>
  <c r="C716" i="10"/>
  <c r="D716" i="10" s="1"/>
  <c r="C611" i="10"/>
  <c r="D611" i="10" s="1"/>
  <c r="C719" i="10"/>
  <c r="D719" i="10" s="1"/>
  <c r="C775" i="10"/>
  <c r="D775" i="10" s="1"/>
  <c r="C430" i="10"/>
  <c r="D430" i="10" s="1"/>
  <c r="C837" i="10"/>
  <c r="D837" i="10" s="1"/>
  <c r="C965" i="10"/>
  <c r="D965" i="10" s="1"/>
  <c r="C784" i="10"/>
  <c r="D784" i="10" s="1"/>
  <c r="C294" i="10"/>
  <c r="D294" i="10" s="1"/>
  <c r="C112" i="10"/>
  <c r="D112" i="10" s="1"/>
  <c r="C850" i="10"/>
  <c r="D850" i="10" s="1"/>
  <c r="C904" i="10"/>
  <c r="D904" i="10" s="1"/>
  <c r="C180" i="10"/>
  <c r="D180" i="10" s="1"/>
  <c r="C125" i="10"/>
  <c r="D125" i="10" s="1"/>
  <c r="C45" i="10"/>
  <c r="D45" i="10" s="1"/>
  <c r="C445" i="10"/>
  <c r="D445" i="10" s="1"/>
  <c r="C694" i="10"/>
  <c r="D694" i="10" s="1"/>
  <c r="C890" i="10"/>
  <c r="D890" i="10" s="1"/>
  <c r="C886" i="10"/>
  <c r="D886" i="10" s="1"/>
  <c r="C748" i="10"/>
  <c r="D748" i="10" s="1"/>
  <c r="C940" i="10"/>
  <c r="D940" i="10" s="1"/>
  <c r="C171" i="10"/>
  <c r="D171" i="10" s="1"/>
  <c r="C400" i="10"/>
  <c r="D400" i="10" s="1"/>
  <c r="C563" i="10"/>
  <c r="D563" i="10" s="1"/>
  <c r="C42" i="10"/>
  <c r="D42" i="10" s="1"/>
  <c r="C243" i="10"/>
  <c r="D243" i="10" s="1"/>
  <c r="C490" i="10"/>
  <c r="D490" i="10" s="1"/>
  <c r="C485" i="10"/>
  <c r="D485" i="10" s="1"/>
  <c r="C267" i="10"/>
  <c r="D267" i="10" s="1"/>
  <c r="C351" i="10"/>
  <c r="D351" i="10" s="1"/>
  <c r="C413" i="10"/>
  <c r="D413" i="10" s="1"/>
  <c r="C631" i="10"/>
  <c r="D631" i="10" s="1"/>
  <c r="C590" i="10"/>
  <c r="D590" i="10" s="1"/>
  <c r="C557" i="10"/>
  <c r="D557" i="10" s="1"/>
  <c r="C862" i="10"/>
  <c r="D862" i="10" s="1"/>
  <c r="C539" i="10"/>
  <c r="D539" i="10" s="1"/>
  <c r="C262" i="10"/>
  <c r="D262" i="10" s="1"/>
  <c r="C643" i="10"/>
  <c r="D643" i="10" s="1"/>
  <c r="C402" i="10"/>
  <c r="D402" i="10" s="1"/>
  <c r="C598" i="10"/>
  <c r="D598" i="10" s="1"/>
  <c r="C521" i="10"/>
  <c r="D521" i="10" s="1"/>
  <c r="C753" i="10"/>
  <c r="D753" i="10" s="1"/>
  <c r="C594" i="10"/>
  <c r="D594" i="10" s="1"/>
  <c r="C512" i="10"/>
  <c r="D512" i="10" s="1"/>
  <c r="C439" i="10"/>
  <c r="D439" i="10" s="1"/>
  <c r="C405" i="10"/>
  <c r="D405" i="10" s="1"/>
  <c r="C373" i="10"/>
  <c r="D373" i="10" s="1"/>
  <c r="C349" i="10"/>
  <c r="D349" i="10" s="1"/>
  <c r="C317" i="10"/>
  <c r="D317" i="10" s="1"/>
  <c r="C287" i="10"/>
  <c r="D287" i="10" s="1"/>
  <c r="C255" i="10"/>
  <c r="D255" i="10" s="1"/>
  <c r="C697" i="10"/>
  <c r="D697" i="10" s="1"/>
  <c r="C560" i="10"/>
  <c r="D560" i="10" s="1"/>
  <c r="C443" i="10"/>
  <c r="D443" i="10" s="1"/>
  <c r="C721" i="10"/>
  <c r="D721" i="10" s="1"/>
  <c r="C506" i="10"/>
  <c r="D506" i="10" s="1"/>
  <c r="C833" i="10"/>
  <c r="D833" i="10" s="1"/>
  <c r="C829" i="10"/>
  <c r="D829" i="10" s="1"/>
  <c r="C226" i="10"/>
  <c r="D226" i="10" s="1"/>
  <c r="C422" i="10"/>
  <c r="D422" i="10" s="1"/>
  <c r="C816" i="10"/>
  <c r="D816" i="10" s="1"/>
  <c r="C592" i="10"/>
  <c r="D592" i="10" s="1"/>
  <c r="C633" i="10"/>
  <c r="D633" i="10" s="1"/>
  <c r="C545" i="10"/>
  <c r="D545" i="10" s="1"/>
  <c r="C763" i="10"/>
  <c r="D763" i="10" s="1"/>
  <c r="C548" i="10"/>
  <c r="D548" i="10" s="1"/>
  <c r="C447" i="10"/>
  <c r="D447" i="10" s="1"/>
  <c r="C391" i="10"/>
  <c r="D391" i="10" s="1"/>
  <c r="C347" i="10"/>
  <c r="D347" i="10" s="1"/>
  <c r="C275" i="10"/>
  <c r="D275" i="10" s="1"/>
  <c r="C710" i="10"/>
  <c r="D710" i="10" s="1"/>
  <c r="C565" i="10"/>
  <c r="D565" i="10" s="1"/>
  <c r="C412" i="10"/>
  <c r="D412" i="10" s="1"/>
  <c r="C547" i="10"/>
  <c r="D547" i="10" s="1"/>
  <c r="C320" i="10"/>
  <c r="D320" i="10" s="1"/>
  <c r="C241" i="10"/>
  <c r="D241" i="10" s="1"/>
  <c r="C181" i="10"/>
  <c r="D181" i="10" s="1"/>
  <c r="C36" i="10"/>
  <c r="D36" i="10" s="1"/>
  <c r="C60" i="10"/>
  <c r="D60" i="10" s="1"/>
  <c r="C967" i="10"/>
  <c r="D967" i="10" s="1"/>
  <c r="C662" i="10"/>
  <c r="D662" i="10" s="1"/>
  <c r="C577" i="10"/>
  <c r="D577" i="10" s="1"/>
  <c r="C518" i="10"/>
  <c r="D518" i="10" s="1"/>
  <c r="C742" i="10"/>
  <c r="D742" i="10" s="1"/>
  <c r="C544" i="10"/>
  <c r="D544" i="10" s="1"/>
  <c r="C399" i="10"/>
  <c r="D399" i="10" s="1"/>
  <c r="C367" i="10"/>
  <c r="D367" i="10" s="1"/>
  <c r="C335" i="10"/>
  <c r="D335" i="10" s="1"/>
  <c r="C283" i="10"/>
  <c r="D283" i="10" s="1"/>
  <c r="C793" i="10"/>
  <c r="D793" i="10" s="1"/>
  <c r="C584" i="10"/>
  <c r="D584" i="10" s="1"/>
  <c r="C432" i="10"/>
  <c r="D432" i="10" s="1"/>
  <c r="C472" i="10"/>
  <c r="D472" i="10" s="1"/>
  <c r="C344" i="10"/>
  <c r="D344" i="10" s="1"/>
  <c r="C239" i="10"/>
  <c r="D239" i="10" s="1"/>
  <c r="C185" i="10"/>
  <c r="D185" i="10" s="1"/>
  <c r="C46" i="10"/>
  <c r="D46" i="10" s="1"/>
  <c r="C78" i="10"/>
  <c r="D78" i="10" s="1"/>
  <c r="C101" i="10"/>
  <c r="D101" i="10" s="1"/>
  <c r="C628" i="10"/>
  <c r="D628" i="10" s="1"/>
  <c r="C652" i="10"/>
  <c r="D652" i="10" s="1"/>
  <c r="C693" i="10"/>
  <c r="D693" i="10" s="1"/>
  <c r="C770" i="10"/>
  <c r="D770" i="10" s="1"/>
  <c r="C811" i="10"/>
  <c r="D811" i="10" s="1"/>
  <c r="C482" i="10"/>
  <c r="D482" i="10" s="1"/>
  <c r="C35" i="10"/>
  <c r="D35" i="10" s="1"/>
  <c r="C836" i="10"/>
  <c r="D836" i="10" s="1"/>
  <c r="C842" i="10"/>
  <c r="D842" i="10" s="1"/>
  <c r="C809" i="10"/>
  <c r="D809" i="10" s="1"/>
  <c r="C416" i="10"/>
  <c r="D416" i="10" s="1"/>
  <c r="C57" i="10"/>
  <c r="D57" i="10" s="1"/>
  <c r="C931" i="10"/>
  <c r="D931" i="10" s="1"/>
  <c r="C887" i="10"/>
  <c r="D887" i="10" s="1"/>
  <c r="C744" i="10"/>
  <c r="D744" i="10" s="1"/>
  <c r="C980" i="10"/>
  <c r="D980" i="10" s="1"/>
  <c r="C176" i="10"/>
  <c r="D176" i="10" s="1"/>
  <c r="C139" i="10"/>
  <c r="D139" i="10" s="1"/>
  <c r="C232" i="10"/>
  <c r="D232" i="10" s="1"/>
  <c r="C366" i="10"/>
  <c r="D366" i="10" s="1"/>
  <c r="C568" i="10"/>
  <c r="D568" i="10" s="1"/>
  <c r="C813" i="10"/>
  <c r="D813" i="10" s="1"/>
  <c r="C941" i="10"/>
  <c r="D941" i="10" s="1"/>
  <c r="C768" i="10"/>
  <c r="D768" i="10" s="1"/>
  <c r="C848" i="10"/>
  <c r="D848" i="10" s="1"/>
  <c r="C66" i="10"/>
  <c r="D66" i="10" s="1"/>
  <c r="C238" i="10"/>
  <c r="D238" i="10" s="1"/>
  <c r="C756" i="10"/>
  <c r="D756" i="10" s="1"/>
  <c r="C751" i="10"/>
  <c r="D751" i="10" s="1"/>
  <c r="C292" i="10"/>
  <c r="D292" i="10" s="1"/>
  <c r="C436" i="10"/>
  <c r="D436" i="10" s="1"/>
  <c r="C867" i="10"/>
  <c r="D867" i="10" s="1"/>
  <c r="C486" i="10"/>
  <c r="D486" i="10" s="1"/>
  <c r="C608" i="10"/>
  <c r="D608" i="10" s="1"/>
  <c r="C827" i="10"/>
  <c r="D827" i="10" s="1"/>
  <c r="C884" i="10"/>
  <c r="D884" i="10" s="1"/>
  <c r="C830" i="10"/>
  <c r="D830" i="10" s="1"/>
  <c r="C221" i="10"/>
  <c r="D221" i="10" s="1"/>
  <c r="C737" i="10"/>
  <c r="D737" i="10" s="1"/>
  <c r="C494" i="10"/>
  <c r="D494" i="10" s="1"/>
  <c r="C646" i="10"/>
  <c r="D646" i="10" s="1"/>
  <c r="C994" i="10"/>
  <c r="D994" i="10" s="1"/>
  <c r="C104" i="10"/>
  <c r="D104" i="10" s="1"/>
  <c r="C712" i="10"/>
  <c r="D712" i="10" s="1"/>
  <c r="C651" i="10"/>
  <c r="D651" i="10" s="1"/>
  <c r="C844" i="10"/>
  <c r="D844" i="10" s="1"/>
  <c r="C581" i="10"/>
  <c r="D581" i="10" s="1"/>
  <c r="C328" i="10"/>
  <c r="D328" i="10" s="1"/>
  <c r="C299" i="10"/>
  <c r="D299" i="10" s="1"/>
  <c r="C845" i="10"/>
  <c r="D845" i="10" s="1"/>
  <c r="C469" i="10"/>
  <c r="D469" i="10" s="1"/>
  <c r="C632" i="10"/>
  <c r="D632" i="10" s="1"/>
  <c r="C707" i="10"/>
  <c r="D707" i="10" s="1"/>
  <c r="C648" i="10"/>
  <c r="D648" i="10" s="1"/>
  <c r="C34" i="10"/>
  <c r="D34" i="10" s="1"/>
  <c r="C754" i="10"/>
  <c r="D754" i="10" s="1"/>
  <c r="C215" i="10"/>
  <c r="D215" i="10" s="1"/>
  <c r="C535" i="10"/>
  <c r="D535" i="10" s="1"/>
  <c r="C893" i="10"/>
  <c r="D893" i="10" s="1"/>
  <c r="C218" i="10"/>
  <c r="D218" i="10" s="1"/>
  <c r="C997" i="10"/>
  <c r="D997" i="10" s="1"/>
  <c r="C278" i="10"/>
  <c r="D278" i="10" s="1"/>
  <c r="C314" i="10"/>
  <c r="D314" i="10" s="1"/>
  <c r="C450" i="10"/>
  <c r="D450" i="10" s="1"/>
  <c r="C626" i="10"/>
  <c r="D626" i="10" s="1"/>
  <c r="C677" i="10"/>
  <c r="D677" i="10" s="1"/>
  <c r="C746" i="10"/>
  <c r="D746" i="10" s="1"/>
  <c r="C500" i="10"/>
  <c r="D500" i="10" s="1"/>
  <c r="C708" i="10"/>
  <c r="D708" i="10" s="1"/>
  <c r="C861" i="10"/>
  <c r="D861" i="10" s="1"/>
  <c r="C441" i="10"/>
  <c r="D441" i="10" s="1"/>
  <c r="C128" i="10"/>
  <c r="D128" i="10" s="1"/>
  <c r="C835" i="10"/>
  <c r="D835" i="10" s="1"/>
  <c r="C840" i="10"/>
  <c r="D840" i="10" s="1"/>
  <c r="C157" i="10"/>
  <c r="D157" i="10" s="1"/>
  <c r="C111" i="10"/>
  <c r="D111" i="10" s="1"/>
  <c r="C342" i="10"/>
  <c r="D342" i="10" s="1"/>
  <c r="C977" i="10"/>
  <c r="D977" i="10" s="1"/>
  <c r="C975" i="10"/>
  <c r="D975" i="10" s="1"/>
  <c r="C684" i="10"/>
  <c r="D684" i="10" s="1"/>
  <c r="C102" i="10"/>
  <c r="D102" i="10" s="1"/>
  <c r="C286" i="10"/>
  <c r="D286" i="10" s="1"/>
  <c r="C504" i="10"/>
  <c r="D504" i="10" s="1"/>
  <c r="C81" i="10"/>
  <c r="D81" i="10" s="1"/>
  <c r="C177" i="10"/>
  <c r="D177" i="10" s="1"/>
  <c r="C438" i="10"/>
  <c r="D438" i="10" s="1"/>
  <c r="C570" i="10"/>
  <c r="D570" i="10" s="1"/>
  <c r="C309" i="10"/>
  <c r="D309" i="10" s="1"/>
  <c r="C393" i="10"/>
  <c r="D393" i="10" s="1"/>
  <c r="C771" i="10"/>
  <c r="D771" i="10" s="1"/>
  <c r="C766" i="10"/>
  <c r="D766" i="10" s="1"/>
  <c r="C681" i="10"/>
  <c r="D681" i="10" s="1"/>
  <c r="C860" i="10"/>
  <c r="D860" i="10" s="1"/>
  <c r="C474" i="10"/>
  <c r="D474" i="10" s="1"/>
  <c r="C814" i="10"/>
  <c r="D814" i="10" s="1"/>
  <c r="C639" i="10"/>
  <c r="D639" i="10" s="1"/>
  <c r="C537" i="10"/>
  <c r="D537" i="10" s="1"/>
  <c r="C683" i="10"/>
  <c r="D683" i="10" s="1"/>
  <c r="C555" i="10"/>
  <c r="D555" i="10" s="1"/>
  <c r="C455" i="10"/>
  <c r="D455" i="10" s="1"/>
  <c r="C397" i="10"/>
  <c r="D397" i="10" s="1"/>
  <c r="C357" i="10"/>
  <c r="D357" i="10" s="1"/>
  <c r="C325" i="10"/>
  <c r="D325" i="10" s="1"/>
  <c r="C279" i="10"/>
  <c r="D279" i="10" s="1"/>
  <c r="C579" i="10"/>
  <c r="D579" i="10" s="1"/>
  <c r="C418" i="10"/>
  <c r="D418" i="10" s="1"/>
  <c r="C613" i="10"/>
  <c r="D613" i="10" s="1"/>
  <c r="C276" i="10"/>
  <c r="D276" i="10" s="1"/>
  <c r="C182" i="10"/>
  <c r="D182" i="10" s="1"/>
  <c r="C394" i="10"/>
  <c r="D394" i="10" s="1"/>
  <c r="C726" i="10"/>
  <c r="D726" i="10" s="1"/>
  <c r="C92" i="10"/>
  <c r="D92" i="10" s="1"/>
  <c r="C519" i="10"/>
  <c r="D519" i="10" s="1"/>
  <c r="C108" i="10"/>
  <c r="D108" i="10" s="1"/>
  <c r="C244" i="10"/>
  <c r="D244" i="10" s="1"/>
  <c r="C187" i="10"/>
  <c r="D187" i="10" s="1"/>
  <c r="C363" i="10"/>
  <c r="D363" i="10" s="1"/>
  <c r="C706" i="10"/>
  <c r="D706" i="10" s="1"/>
  <c r="C956" i="10"/>
  <c r="D956" i="10" s="1"/>
  <c r="C936" i="10"/>
  <c r="D936" i="10" s="1"/>
  <c r="C954" i="10"/>
  <c r="D954" i="10" s="1"/>
  <c r="C50" i="10"/>
  <c r="D50" i="10" s="1"/>
  <c r="C431" i="10"/>
  <c r="D431" i="10" s="1"/>
  <c r="C634" i="10"/>
  <c r="D634" i="10" s="1"/>
  <c r="C690" i="10"/>
  <c r="D690" i="10" s="1"/>
  <c r="C767" i="10"/>
  <c r="D767" i="10" s="1"/>
  <c r="C266" i="10"/>
  <c r="D266" i="10" s="1"/>
  <c r="C961" i="10"/>
  <c r="D961" i="10" s="1"/>
  <c r="C912" i="10"/>
  <c r="D912" i="10" s="1"/>
  <c r="C160" i="10"/>
  <c r="D160" i="10" s="1"/>
  <c r="C943" i="10"/>
  <c r="D943" i="10" s="1"/>
  <c r="C968" i="10"/>
  <c r="D968" i="10" s="1"/>
  <c r="C149" i="10"/>
  <c r="D149" i="10" s="1"/>
  <c r="C552" i="10"/>
  <c r="D552" i="10" s="1"/>
  <c r="C805" i="10"/>
  <c r="D805" i="10" s="1"/>
  <c r="C843" i="10"/>
  <c r="D843" i="10" s="1"/>
  <c r="C71" i="10"/>
  <c r="D71" i="10" s="1"/>
  <c r="C332" i="10"/>
  <c r="D332" i="10" s="1"/>
  <c r="C596" i="10"/>
  <c r="D596" i="10" s="1"/>
  <c r="C72" i="10"/>
  <c r="D72" i="10" s="1"/>
  <c r="C227" i="10"/>
  <c r="D227" i="10" s="1"/>
  <c r="C567" i="10"/>
  <c r="D567" i="10" s="1"/>
  <c r="C649" i="10"/>
  <c r="D649" i="10" s="1"/>
  <c r="C329" i="10"/>
  <c r="D329" i="10" s="1"/>
  <c r="C452" i="10"/>
  <c r="D452" i="10" s="1"/>
  <c r="C510" i="10"/>
  <c r="D510" i="10" s="1"/>
  <c r="C270" i="10"/>
  <c r="D270" i="10" s="1"/>
  <c r="C963" i="10"/>
  <c r="D963" i="10" s="1"/>
  <c r="C853" i="10"/>
  <c r="D853" i="10" s="1"/>
  <c r="C752" i="10"/>
  <c r="D752" i="10" s="1"/>
  <c r="C989" i="10"/>
  <c r="D989" i="10" s="1"/>
  <c r="C774" i="10"/>
  <c r="D774" i="10" s="1"/>
  <c r="C617" i="10"/>
  <c r="D617" i="10" s="1"/>
  <c r="C505" i="10"/>
  <c r="D505" i="10" s="1"/>
  <c r="C641" i="10"/>
  <c r="D641" i="10" s="1"/>
  <c r="C530" i="10"/>
  <c r="D530" i="10" s="1"/>
  <c r="C423" i="10"/>
  <c r="D423" i="10" s="1"/>
  <c r="C389" i="10"/>
  <c r="D389" i="10" s="1"/>
  <c r="C311" i="10"/>
  <c r="D311" i="10" s="1"/>
  <c r="C271" i="10"/>
  <c r="D271" i="10" s="1"/>
  <c r="C777" i="10"/>
  <c r="D777" i="10" s="1"/>
  <c r="C536" i="10"/>
  <c r="D536" i="10" s="1"/>
  <c r="C388" i="10"/>
  <c r="D388" i="10" s="1"/>
  <c r="C732" i="10"/>
  <c r="D732" i="10" s="1"/>
  <c r="C134" i="10"/>
  <c r="D134" i="10" s="1"/>
  <c r="C524" i="10"/>
  <c r="D524" i="10" s="1"/>
  <c r="C952" i="10"/>
  <c r="D952" i="10" s="1"/>
  <c r="C96" i="10"/>
  <c r="D96" i="10" s="1"/>
  <c r="C691" i="10"/>
  <c r="D691" i="10" s="1"/>
  <c r="C526" i="10"/>
  <c r="D526" i="10" s="1"/>
  <c r="C625" i="10"/>
  <c r="D625" i="10" s="1"/>
  <c r="C468" i="10"/>
  <c r="D468" i="10" s="1"/>
  <c r="C379" i="10"/>
  <c r="D379" i="10" s="1"/>
  <c r="C327" i="10"/>
  <c r="D327" i="10" s="1"/>
  <c r="C285" i="10"/>
  <c r="D285" i="10" s="1"/>
  <c r="C475" i="10"/>
  <c r="D475" i="10" s="1"/>
  <c r="C597" i="10"/>
  <c r="D597" i="10" s="1"/>
  <c r="C434" i="10"/>
  <c r="D434" i="10" s="1"/>
  <c r="C288" i="10"/>
  <c r="D288" i="10" s="1"/>
  <c r="C217" i="10"/>
  <c r="D217" i="10" s="1"/>
  <c r="C44" i="10"/>
  <c r="D44" i="10" s="1"/>
  <c r="C797" i="10"/>
  <c r="D797" i="10" s="1"/>
  <c r="C158" i="10"/>
  <c r="D158" i="10" s="1"/>
  <c r="C516" i="10"/>
  <c r="D516" i="10" s="1"/>
  <c r="D79" i="5"/>
  <c r="C150" i="10"/>
  <c r="D150" i="10" s="1"/>
  <c r="C932" i="10"/>
  <c r="D932" i="10" s="1"/>
  <c r="C290" i="10"/>
  <c r="D290" i="10" s="1"/>
  <c r="C914" i="10"/>
  <c r="D914" i="10" s="1"/>
  <c r="C284" i="10"/>
  <c r="D284" i="10" s="1"/>
  <c r="C990" i="10"/>
  <c r="D990" i="10" s="1"/>
  <c r="C974" i="10"/>
  <c r="D974" i="10" s="1"/>
  <c r="E79" i="5"/>
  <c r="E67" i="5" s="1"/>
  <c r="C986" i="10"/>
  <c r="D986" i="10" s="1"/>
  <c r="C779" i="10"/>
  <c r="D779" i="10" s="1"/>
  <c r="C558" i="10"/>
  <c r="D558" i="10" s="1"/>
  <c r="C647" i="10"/>
  <c r="D647" i="10" s="1"/>
  <c r="C415" i="10"/>
  <c r="D415" i="10" s="1"/>
  <c r="C269" i="10"/>
  <c r="D269" i="10" s="1"/>
  <c r="C575" i="10"/>
  <c r="D575" i="10" s="1"/>
  <c r="C798" i="10"/>
  <c r="D798" i="10" s="1"/>
  <c r="C362" i="10"/>
  <c r="D362" i="10" s="1"/>
  <c r="C229" i="10"/>
  <c r="D229" i="10" s="1"/>
  <c r="C89" i="10"/>
  <c r="D89" i="10" s="1"/>
  <c r="C571" i="10"/>
  <c r="D571" i="10" s="1"/>
  <c r="C433" i="10"/>
  <c r="D433" i="10" s="1"/>
  <c r="C63" i="10"/>
  <c r="D63" i="10" s="1"/>
  <c r="C832" i="10"/>
  <c r="D832" i="10" s="1"/>
  <c r="C937" i="10"/>
  <c r="D937" i="10" s="1"/>
  <c r="C718" i="10"/>
  <c r="D718" i="10" s="1"/>
  <c r="C451" i="10"/>
  <c r="D451" i="10" s="1"/>
  <c r="C199" i="10"/>
  <c r="D199" i="10" s="1"/>
  <c r="C123" i="10"/>
  <c r="D123" i="10" s="1"/>
  <c r="C163" i="10"/>
  <c r="D163" i="10" s="1"/>
  <c r="C918" i="10"/>
  <c r="D918" i="10" s="1"/>
  <c r="C838" i="10"/>
  <c r="D838" i="10" s="1"/>
  <c r="C883" i="10"/>
  <c r="D883" i="10" s="1"/>
  <c r="C148" i="10"/>
  <c r="D148" i="10" s="1"/>
  <c r="C258" i="10"/>
  <c r="D258" i="10" s="1"/>
  <c r="C564" i="10"/>
  <c r="D564" i="10" s="1"/>
  <c r="C909" i="10"/>
  <c r="D909" i="10" s="1"/>
  <c r="C953" i="10"/>
  <c r="D953" i="10" s="1"/>
  <c r="C98" i="10"/>
  <c r="D98" i="10" s="1"/>
  <c r="C583" i="10"/>
  <c r="D583" i="10" s="1"/>
  <c r="C778" i="10"/>
  <c r="D778" i="10" s="1"/>
  <c r="C738" i="10"/>
  <c r="D738" i="10" s="1"/>
  <c r="C682" i="10"/>
  <c r="D682" i="10" s="1"/>
  <c r="C644" i="10"/>
  <c r="D644" i="10" s="1"/>
  <c r="C612" i="10"/>
  <c r="D612" i="10" s="1"/>
  <c r="C70" i="10"/>
  <c r="D70" i="10" s="1"/>
  <c r="C30" i="10"/>
  <c r="D30" i="10" s="1"/>
  <c r="C231" i="10"/>
  <c r="D231" i="10" s="1"/>
  <c r="C376" i="10"/>
  <c r="D376" i="10" s="1"/>
  <c r="C540" i="10"/>
  <c r="D540" i="10" s="1"/>
  <c r="C404" i="10"/>
  <c r="D404" i="10" s="1"/>
  <c r="C261" i="10"/>
  <c r="D261" i="10" s="1"/>
  <c r="C323" i="10"/>
  <c r="D323" i="10" s="1"/>
  <c r="C377" i="10"/>
  <c r="D377" i="10" s="1"/>
  <c r="C420" i="10"/>
  <c r="D420" i="10" s="1"/>
  <c r="C573" i="10"/>
  <c r="D573" i="10" s="1"/>
  <c r="C497" i="10"/>
  <c r="D497" i="10" s="1"/>
  <c r="C627" i="10"/>
  <c r="D627" i="10" s="1"/>
  <c r="C191" i="10"/>
  <c r="D191" i="10" s="1"/>
  <c r="C197" i="10"/>
  <c r="D197" i="10" s="1"/>
  <c r="C483" i="10"/>
  <c r="D483" i="10" s="1"/>
  <c r="C446" i="10"/>
  <c r="D446" i="10" s="1"/>
  <c r="C819" i="10"/>
  <c r="D819" i="10" s="1"/>
  <c r="C307" i="10"/>
  <c r="D307" i="10" s="1"/>
  <c r="C369" i="10"/>
  <c r="D369" i="10" s="1"/>
  <c r="C495" i="10"/>
  <c r="D495" i="10" s="1"/>
  <c r="C481" i="10"/>
  <c r="D481" i="10" s="1"/>
  <c r="C606" i="10"/>
  <c r="D606" i="10" s="1"/>
  <c r="C885" i="10"/>
  <c r="D885" i="10" s="1"/>
  <c r="C818" i="10"/>
  <c r="D818" i="10" s="1"/>
  <c r="C688" i="10"/>
  <c r="D688" i="10" s="1"/>
  <c r="C499" i="10"/>
  <c r="D499" i="10" s="1"/>
  <c r="C263" i="10"/>
  <c r="D263" i="10" s="1"/>
  <c r="C341" i="10"/>
  <c r="D341" i="10" s="1"/>
  <c r="C582" i="10"/>
  <c r="D582" i="10" s="1"/>
  <c r="C888" i="10"/>
  <c r="D888" i="10" s="1"/>
  <c r="C796" i="10"/>
  <c r="D796" i="10" s="1"/>
  <c r="C889" i="10"/>
  <c r="D889" i="10" s="1"/>
  <c r="C498" i="10"/>
  <c r="D498" i="10" s="1"/>
  <c r="C245" i="10"/>
  <c r="D245" i="10" s="1"/>
  <c r="C296" i="10"/>
  <c r="D296" i="10" s="1"/>
  <c r="C103" i="10"/>
  <c r="D103" i="10" s="1"/>
  <c r="C39" i="10"/>
  <c r="D39" i="10" s="1"/>
  <c r="C929" i="10"/>
  <c r="D929" i="10" s="1"/>
  <c r="C141" i="10"/>
  <c r="D141" i="10" s="1"/>
  <c r="C802" i="10"/>
  <c r="D802" i="10" s="1"/>
  <c r="C228" i="10"/>
  <c r="D228" i="10" s="1"/>
  <c r="C857" i="10"/>
  <c r="D857" i="10" s="1"/>
  <c r="C786" i="10"/>
  <c r="D786" i="10" s="1"/>
  <c r="C650" i="10"/>
  <c r="D650" i="10" s="1"/>
  <c r="C230" i="10"/>
  <c r="D230" i="10" s="1"/>
  <c r="C170" i="10"/>
  <c r="D170" i="10" s="1"/>
  <c r="C903" i="10"/>
  <c r="D903" i="10" s="1"/>
  <c r="C113" i="10"/>
  <c r="D113" i="10" s="1"/>
  <c r="C993" i="10"/>
  <c r="D993" i="10" s="1"/>
  <c r="C801" i="10"/>
  <c r="D801" i="10" s="1"/>
  <c r="C669" i="10"/>
  <c r="D669" i="10" s="1"/>
  <c r="K73" i="32"/>
  <c r="E79" i="32"/>
  <c r="E92" i="32"/>
  <c r="E94" i="32" s="1"/>
  <c r="E94" i="5"/>
  <c r="M99" i="5"/>
  <c r="M97" i="32"/>
  <c r="M99" i="32" s="1"/>
  <c r="C79" i="5"/>
  <c r="C348" i="10"/>
  <c r="D348" i="10" s="1"/>
  <c r="C874" i="10"/>
  <c r="D874" i="10" s="1"/>
  <c r="C923" i="10"/>
  <c r="D923" i="10" s="1"/>
  <c r="C882" i="10"/>
  <c r="D882" i="10" s="1"/>
  <c r="C944" i="10"/>
  <c r="D944" i="10" s="1"/>
  <c r="C28" i="10"/>
  <c r="D28" i="10" s="1"/>
  <c r="C978" i="10"/>
  <c r="D978" i="10" s="1"/>
  <c r="C926" i="10"/>
  <c r="D926" i="10" s="1"/>
  <c r="C815" i="10"/>
  <c r="D815" i="10" s="1"/>
  <c r="C734" i="10"/>
  <c r="D734" i="10" s="1"/>
  <c r="C214" i="10"/>
  <c r="D214" i="10" s="1"/>
  <c r="C839" i="10"/>
  <c r="D839" i="10" s="1"/>
  <c r="C33" i="10"/>
  <c r="D33" i="10" s="1"/>
  <c r="C996" i="10"/>
  <c r="D996" i="10" s="1"/>
  <c r="C607" i="10"/>
  <c r="D607" i="10" s="1"/>
  <c r="C298" i="10"/>
  <c r="D298" i="10" s="1"/>
  <c r="C242" i="10"/>
  <c r="D242" i="10" s="1"/>
  <c r="C945" i="10"/>
  <c r="D945" i="10" s="1"/>
  <c r="C799" i="10"/>
  <c r="D799" i="10" s="1"/>
  <c r="C90" i="10"/>
  <c r="D90" i="10" s="1"/>
  <c r="C849" i="10"/>
  <c r="D849" i="10" s="1"/>
  <c r="C138" i="10"/>
  <c r="D138" i="10" s="1"/>
  <c r="C492" i="10"/>
  <c r="D492" i="10" s="1"/>
  <c r="C919" i="10"/>
  <c r="D919" i="10" s="1"/>
  <c r="C75" i="10"/>
  <c r="D75" i="10" s="1"/>
  <c r="C166" i="10"/>
  <c r="D166" i="10" s="1"/>
  <c r="C955" i="10"/>
  <c r="D955" i="10" s="1"/>
  <c r="C930" i="10"/>
  <c r="D930" i="10" s="1"/>
  <c r="C437" i="10"/>
  <c r="D437" i="10" s="1"/>
  <c r="C938" i="10"/>
  <c r="D938" i="10" s="1"/>
  <c r="C824" i="10"/>
  <c r="D824" i="10" s="1"/>
  <c r="C374" i="10"/>
  <c r="D374" i="10" s="1"/>
  <c r="C655" i="10"/>
  <c r="D655" i="10" s="1"/>
  <c r="C513" i="10"/>
  <c r="D513" i="10" s="1"/>
  <c r="C562" i="10"/>
  <c r="D562" i="10" s="1"/>
  <c r="C395" i="10"/>
  <c r="D395" i="10" s="1"/>
  <c r="C331" i="10"/>
  <c r="D331" i="10" s="1"/>
  <c r="C508" i="10"/>
  <c r="D508" i="10" s="1"/>
  <c r="C572" i="10"/>
  <c r="D572" i="10" s="1"/>
  <c r="C304" i="10"/>
  <c r="D304" i="10" s="1"/>
  <c r="C173" i="10"/>
  <c r="D173" i="10" s="1"/>
  <c r="C56" i="10"/>
  <c r="D56" i="10" s="1"/>
  <c r="C99" i="10"/>
  <c r="D99" i="10" s="1"/>
  <c r="C520" i="10"/>
  <c r="D520" i="10" s="1"/>
  <c r="C410" i="10"/>
  <c r="D410" i="10" s="1"/>
  <c r="C254" i="10"/>
  <c r="D254" i="10" s="1"/>
  <c r="C94" i="10"/>
  <c r="D94" i="10" s="1"/>
  <c r="C894" i="10"/>
  <c r="D894" i="10" s="1"/>
  <c r="C898" i="10"/>
  <c r="D898" i="10" s="1"/>
  <c r="C615" i="10"/>
  <c r="D615" i="10" s="1"/>
  <c r="C310" i="10"/>
  <c r="D310" i="10" s="1"/>
  <c r="C69" i="10"/>
  <c r="D69" i="10" s="1"/>
  <c r="C131" i="10"/>
  <c r="D131" i="10" s="1"/>
  <c r="C132" i="10"/>
  <c r="D132" i="10" s="1"/>
  <c r="C368" i="10"/>
  <c r="D368" i="10" s="1"/>
  <c r="C764" i="10"/>
  <c r="D764" i="10" s="1"/>
  <c r="C957" i="10"/>
  <c r="D957" i="10" s="1"/>
  <c r="C664" i="10"/>
  <c r="D664" i="10" s="1"/>
  <c r="C252" i="10"/>
  <c r="D252" i="10" s="1"/>
  <c r="C730" i="10"/>
  <c r="D730" i="10" s="1"/>
  <c r="C674" i="10"/>
  <c r="D674" i="10" s="1"/>
  <c r="C636" i="10"/>
  <c r="D636" i="10" s="1"/>
  <c r="C93" i="10"/>
  <c r="D93" i="10" s="1"/>
  <c r="C62" i="10"/>
  <c r="D62" i="10" s="1"/>
  <c r="C201" i="10"/>
  <c r="D201" i="10" s="1"/>
  <c r="C256" i="10"/>
  <c r="D256" i="10" s="1"/>
  <c r="C424" i="10"/>
  <c r="D424" i="10" s="1"/>
  <c r="C578" i="10"/>
  <c r="D578" i="10" s="1"/>
  <c r="C464" i="10"/>
  <c r="D464" i="10" s="1"/>
  <c r="C619" i="10"/>
  <c r="D619" i="10" s="1"/>
  <c r="C273" i="10"/>
  <c r="D273" i="10" s="1"/>
  <c r="C345" i="10"/>
  <c r="D345" i="10" s="1"/>
  <c r="C387" i="10"/>
  <c r="D387" i="10" s="1"/>
  <c r="C444" i="10"/>
  <c r="D444" i="10" s="1"/>
  <c r="C605" i="10"/>
  <c r="D605" i="10" s="1"/>
  <c r="C542" i="10"/>
  <c r="D542" i="10" s="1"/>
  <c r="C750" i="10"/>
  <c r="D750" i="10" s="1"/>
  <c r="C384" i="10"/>
  <c r="D384" i="10" s="1"/>
  <c r="C52" i="10"/>
  <c r="D52" i="10" s="1"/>
  <c r="C225" i="10"/>
  <c r="D225" i="10" s="1"/>
  <c r="C352" i="10"/>
  <c r="D352" i="10" s="1"/>
  <c r="C515" i="10"/>
  <c r="D515" i="10" s="1"/>
  <c r="C532" i="10"/>
  <c r="D532" i="10" s="1"/>
  <c r="C253" i="10"/>
  <c r="D253" i="10" s="1"/>
  <c r="C315" i="10"/>
  <c r="D315" i="10" s="1"/>
  <c r="C401" i="10"/>
  <c r="D401" i="10" s="1"/>
  <c r="C523" i="10"/>
  <c r="D523" i="10" s="1"/>
  <c r="C502" i="10"/>
  <c r="D502" i="10" s="1"/>
  <c r="C758" i="10"/>
  <c r="D758" i="10" s="1"/>
  <c r="C142" i="10"/>
  <c r="D142" i="10" s="1"/>
  <c r="C449" i="10"/>
  <c r="D449" i="10" s="1"/>
  <c r="C130" i="10"/>
  <c r="D130" i="10" s="1"/>
  <c r="C604" i="10"/>
  <c r="D604" i="10" s="1"/>
  <c r="C603" i="10"/>
  <c r="D603" i="10" s="1"/>
  <c r="C295" i="10"/>
  <c r="D295" i="10" s="1"/>
  <c r="C365" i="10"/>
  <c r="D365" i="10" s="1"/>
  <c r="C471" i="10"/>
  <c r="D471" i="10" s="1"/>
  <c r="C26" i="10"/>
  <c r="D26" i="10" s="1"/>
  <c r="C675" i="10"/>
  <c r="D675" i="10" s="1"/>
  <c r="C126" i="10"/>
  <c r="D126" i="10" s="1"/>
  <c r="C114" i="10"/>
  <c r="D114" i="10" s="1"/>
  <c r="C645" i="10"/>
  <c r="D645" i="10" s="1"/>
  <c r="C371" i="10"/>
  <c r="D371" i="10" s="1"/>
  <c r="C425" i="10"/>
  <c r="D425" i="10" s="1"/>
  <c r="C209" i="10"/>
  <c r="D209" i="10" s="1"/>
  <c r="C465" i="10"/>
  <c r="D465" i="10" s="1"/>
  <c r="C876" i="10"/>
  <c r="D876" i="10" s="1"/>
  <c r="C933" i="10"/>
  <c r="D933" i="10" s="1"/>
  <c r="C306" i="10"/>
  <c r="D306" i="10" s="1"/>
  <c r="C891" i="10"/>
  <c r="D891" i="10" s="1"/>
  <c r="C514" i="10"/>
  <c r="D514" i="10" s="1"/>
  <c r="C82" i="10"/>
  <c r="D82" i="10" s="1"/>
  <c r="C727" i="10"/>
  <c r="D727" i="10" s="1"/>
  <c r="C610" i="10"/>
  <c r="D610" i="10" s="1"/>
  <c r="C527" i="10"/>
  <c r="D527" i="10" s="1"/>
  <c r="C865" i="10"/>
  <c r="D865" i="10" s="1"/>
  <c r="C700" i="10"/>
  <c r="D700" i="10" s="1"/>
  <c r="C124" i="10"/>
  <c r="D124" i="10" s="1"/>
  <c r="C872" i="10"/>
  <c r="D872" i="10" s="1"/>
  <c r="C268" i="10"/>
  <c r="D268" i="10" s="1"/>
  <c r="C385" i="10"/>
  <c r="D385" i="10" s="1"/>
  <c r="G94" i="32"/>
  <c r="K94" i="32"/>
  <c r="D99" i="5"/>
  <c r="C99" i="32"/>
  <c r="C73" i="32"/>
  <c r="K94" i="5"/>
  <c r="M94" i="5"/>
  <c r="E99" i="5"/>
  <c r="G79" i="5"/>
  <c r="N75" i="32"/>
  <c r="N73" i="5"/>
  <c r="D79" i="32"/>
  <c r="I73" i="5"/>
  <c r="D94" i="5"/>
  <c r="D73" i="32"/>
  <c r="C73" i="5"/>
  <c r="E73" i="32"/>
  <c r="G94" i="5"/>
  <c r="K99" i="5"/>
  <c r="F93" i="32"/>
  <c r="F94" i="32" s="1"/>
  <c r="F94" i="5"/>
  <c r="N99" i="5"/>
  <c r="N97" i="32"/>
  <c r="N99" i="32" s="1"/>
  <c r="H98" i="32"/>
  <c r="H99" i="5"/>
  <c r="J73" i="5"/>
  <c r="H69" i="32"/>
  <c r="H73" i="32" s="1"/>
  <c r="O78" i="32"/>
  <c r="L94" i="5"/>
  <c r="L92" i="32"/>
  <c r="L94" i="32" s="1"/>
  <c r="C93" i="32"/>
  <c r="C94" i="32" s="1"/>
  <c r="C94" i="5"/>
  <c r="C79" i="32"/>
  <c r="H79" i="5"/>
  <c r="M79" i="32"/>
  <c r="I92" i="32"/>
  <c r="I94" i="32" s="1"/>
  <c r="I94" i="5"/>
  <c r="G79" i="32"/>
  <c r="D73" i="5"/>
  <c r="H79" i="32"/>
  <c r="L73" i="5"/>
  <c r="K79" i="5"/>
  <c r="O77" i="32"/>
  <c r="D94" i="32"/>
  <c r="L97" i="32"/>
  <c r="L99" i="5"/>
  <c r="I98" i="32"/>
  <c r="I99" i="32" s="1"/>
  <c r="I99" i="5"/>
  <c r="C982" i="10"/>
  <c r="D982" i="10" s="1"/>
  <c r="C336" i="10"/>
  <c r="D336" i="10" s="1"/>
  <c r="C733" i="10"/>
  <c r="D733" i="10" s="1"/>
  <c r="C743" i="10"/>
  <c r="D743" i="10" s="1"/>
  <c r="C440" i="10"/>
  <c r="D440" i="10" s="1"/>
  <c r="C981" i="10"/>
  <c r="D981" i="10" s="1"/>
  <c r="C992" i="10"/>
  <c r="D992" i="10" s="1"/>
  <c r="C666" i="10"/>
  <c r="D666" i="10" s="1"/>
  <c r="C86" i="10"/>
  <c r="D86" i="10" s="1"/>
  <c r="C773" i="10"/>
  <c r="D773" i="10" s="1"/>
  <c r="C454" i="10"/>
  <c r="D454" i="10" s="1"/>
  <c r="C168" i="10"/>
  <c r="D168" i="10" s="1"/>
  <c r="C736" i="10"/>
  <c r="D736" i="10" s="1"/>
  <c r="C541" i="10"/>
  <c r="D541" i="10" s="1"/>
  <c r="C709" i="10"/>
  <c r="D709" i="10" s="1"/>
  <c r="C927" i="10"/>
  <c r="D927" i="10" s="1"/>
  <c r="C161" i="10"/>
  <c r="D161" i="10" s="1"/>
  <c r="C657" i="10"/>
  <c r="D657" i="10" s="1"/>
  <c r="C319" i="10"/>
  <c r="D319" i="10" s="1"/>
  <c r="C680" i="10"/>
  <c r="D680" i="10" s="1"/>
  <c r="C442" i="10"/>
  <c r="D442" i="10" s="1"/>
  <c r="C152" i="10"/>
  <c r="D152" i="10" s="1"/>
  <c r="C820" i="10"/>
  <c r="D820" i="10" s="1"/>
  <c r="C119" i="10"/>
  <c r="D119" i="10" s="1"/>
  <c r="C29" i="10"/>
  <c r="D29" i="10" s="1"/>
  <c r="C487" i="10"/>
  <c r="D487" i="10" s="1"/>
  <c r="C237" i="10"/>
  <c r="D237" i="10" s="1"/>
  <c r="C259" i="10"/>
  <c r="D259" i="10" s="1"/>
  <c r="C621" i="10"/>
  <c r="D621" i="10" s="1"/>
  <c r="C725" i="10"/>
  <c r="D725" i="10" s="1"/>
  <c r="C316" i="10"/>
  <c r="D316" i="10" s="1"/>
  <c r="C823" i="10"/>
  <c r="D823" i="10" s="1"/>
  <c r="C846" i="10"/>
  <c r="D846" i="10" s="1"/>
  <c r="C37" i="10"/>
  <c r="D37" i="10" s="1"/>
  <c r="C826" i="10"/>
  <c r="D826" i="10" s="1"/>
  <c r="C908" i="10"/>
  <c r="D908" i="10" s="1"/>
  <c r="C87" i="10"/>
  <c r="D87" i="10" s="1"/>
  <c r="C361" i="10"/>
  <c r="D361" i="10" s="1"/>
  <c r="C699" i="10"/>
  <c r="D699" i="10" s="1"/>
  <c r="C624" i="10"/>
  <c r="D624" i="10" s="1"/>
  <c r="C673" i="10"/>
  <c r="D673" i="10" s="1"/>
  <c r="C781" i="10"/>
  <c r="D781" i="10" s="1"/>
  <c r="C398" i="10"/>
  <c r="D398" i="10" s="1"/>
  <c r="C879" i="10"/>
  <c r="D879" i="10" s="1"/>
  <c r="C549" i="10"/>
  <c r="D549" i="10" s="1"/>
  <c r="C156" i="10"/>
  <c r="D156" i="10" s="1"/>
  <c r="C973" i="10"/>
  <c r="D973" i="10" s="1"/>
  <c r="C212" i="10"/>
  <c r="D212" i="10" s="1"/>
  <c r="C143" i="10"/>
  <c r="D143" i="10" s="1"/>
  <c r="C246" i="10"/>
  <c r="D246" i="10" s="1"/>
  <c r="C595" i="10"/>
  <c r="D595" i="10" s="1"/>
  <c r="C916" i="10"/>
  <c r="D916" i="10" s="1"/>
  <c r="C928" i="10"/>
  <c r="D928" i="10" s="1"/>
  <c r="C459" i="10"/>
  <c r="D459" i="10" s="1"/>
  <c r="C83" i="10"/>
  <c r="D83" i="10" s="1"/>
  <c r="C907" i="10"/>
  <c r="D907" i="10" s="1"/>
  <c r="C216" i="10"/>
  <c r="D216" i="10" s="1"/>
  <c r="C421" i="10"/>
  <c r="D421" i="10" s="1"/>
  <c r="C140" i="10"/>
  <c r="D140" i="10" s="1"/>
  <c r="C600" i="10"/>
  <c r="D600" i="10" s="1"/>
  <c r="C135" i="10"/>
  <c r="D135" i="10" s="1"/>
  <c r="C74" i="10"/>
  <c r="D74" i="10" s="1"/>
  <c r="C906" i="10"/>
  <c r="D906" i="10" s="1"/>
  <c r="C569" i="10"/>
  <c r="D569" i="10" s="1"/>
  <c r="C302" i="10"/>
  <c r="D302" i="10" s="1"/>
  <c r="C194" i="10"/>
  <c r="D194" i="10" s="1"/>
  <c r="C105" i="10"/>
  <c r="D105" i="10" s="1"/>
  <c r="C189" i="10"/>
  <c r="D189" i="10" s="1"/>
  <c r="C696" i="10"/>
  <c r="D696" i="10" s="1"/>
  <c r="C795" i="10"/>
  <c r="D795" i="10" s="1"/>
  <c r="C308" i="10"/>
  <c r="D308" i="10" s="1"/>
  <c r="C911" i="10"/>
  <c r="D911" i="10" s="1"/>
  <c r="C219" i="10"/>
  <c r="D219" i="10" s="1"/>
  <c r="C587" i="10"/>
  <c r="D587" i="10" s="1"/>
  <c r="C714" i="10"/>
  <c r="D714" i="10" s="1"/>
  <c r="C831" i="10"/>
  <c r="D831" i="10" s="1"/>
  <c r="C917" i="10"/>
  <c r="D917" i="10" s="1"/>
  <c r="C200" i="10"/>
  <c r="D200" i="10" s="1"/>
  <c r="C53" i="10"/>
  <c r="D53" i="10" s="1"/>
  <c r="C864" i="10"/>
  <c r="D864" i="10" s="1"/>
  <c r="C95" i="10"/>
  <c r="D95" i="10" s="1"/>
  <c r="C467" i="10"/>
  <c r="D467" i="10" s="1"/>
  <c r="C343" i="10"/>
  <c r="D343" i="10" s="1"/>
  <c r="C616" i="10"/>
  <c r="D616" i="10" s="1"/>
  <c r="C765" i="10"/>
  <c r="D765" i="10" s="1"/>
  <c r="C900" i="10"/>
  <c r="D900" i="10" s="1"/>
  <c r="C659" i="10"/>
  <c r="D659" i="10" s="1"/>
  <c r="C188" i="10"/>
  <c r="D188" i="10" s="1"/>
  <c r="C324" i="10"/>
  <c r="D324" i="10" s="1"/>
  <c r="C998" i="10"/>
  <c r="D998" i="10" s="1"/>
  <c r="C203" i="10"/>
  <c r="D203" i="10" s="1"/>
  <c r="C528" i="10"/>
  <c r="D528" i="10" s="1"/>
  <c r="C477" i="10"/>
  <c r="D477" i="10" s="1"/>
  <c r="C859" i="10"/>
  <c r="D859" i="10" s="1"/>
  <c r="C640" i="10"/>
  <c r="D640" i="10" s="1"/>
  <c r="C735" i="10"/>
  <c r="D735" i="10" s="1"/>
  <c r="C817" i="10"/>
  <c r="D817" i="10" s="1"/>
  <c r="C942" i="10"/>
  <c r="D942" i="10" s="1"/>
  <c r="C976" i="10"/>
  <c r="D976" i="10" s="1"/>
  <c r="C73" i="10"/>
  <c r="D73" i="10" s="1"/>
  <c r="C202" i="10"/>
  <c r="D202" i="10" s="1"/>
  <c r="C776" i="10"/>
  <c r="D776" i="10" s="1"/>
  <c r="C184" i="10"/>
  <c r="D184" i="10" s="1"/>
  <c r="C84" i="10"/>
  <c r="D84" i="10" s="1"/>
  <c r="C338" i="10"/>
  <c r="D338" i="10" s="1"/>
  <c r="C924" i="10"/>
  <c r="D924" i="10" s="1"/>
  <c r="C676" i="10"/>
  <c r="D676" i="10" s="1"/>
  <c r="C282" i="10"/>
  <c r="D282" i="10" s="1"/>
  <c r="C554" i="10"/>
  <c r="D554" i="10" s="1"/>
  <c r="E99" i="32"/>
  <c r="H92" i="32"/>
  <c r="H94" i="32" s="1"/>
  <c r="H94" i="5"/>
  <c r="N92" i="32"/>
  <c r="N94" i="32" s="1"/>
  <c r="N94" i="5"/>
  <c r="D99" i="32"/>
  <c r="M94" i="32"/>
  <c r="K99" i="32"/>
  <c r="J76" i="32"/>
  <c r="J79" i="5"/>
  <c r="J73" i="32"/>
  <c r="G69" i="32"/>
  <c r="G73" i="5"/>
  <c r="M71" i="32"/>
  <c r="M73" i="32" s="1"/>
  <c r="M73" i="5"/>
  <c r="O72" i="32"/>
  <c r="N73" i="32"/>
  <c r="O70" i="32"/>
  <c r="K73" i="5"/>
  <c r="K67" i="5" s="1"/>
  <c r="F99" i="32"/>
  <c r="J94" i="5"/>
  <c r="J79" i="32" l="1"/>
  <c r="O94" i="5"/>
  <c r="L67" i="5"/>
  <c r="O87" i="32"/>
  <c r="O89" i="32" s="1"/>
  <c r="O74" i="32"/>
  <c r="I79" i="32"/>
  <c r="K67" i="32"/>
  <c r="F73" i="5"/>
  <c r="F67" i="5" s="1"/>
  <c r="F67" i="32"/>
  <c r="N67" i="5"/>
  <c r="L67" i="32"/>
  <c r="D67" i="5"/>
  <c r="C67" i="32"/>
  <c r="I67" i="32"/>
  <c r="H67" i="5"/>
  <c r="J67" i="5"/>
  <c r="E67" i="32"/>
  <c r="F58" i="5"/>
  <c r="F58" i="32" s="1"/>
  <c r="M67" i="32"/>
  <c r="C67" i="5"/>
  <c r="I67" i="5"/>
  <c r="M67" i="5"/>
  <c r="L23" i="5"/>
  <c r="L23" i="32" s="1"/>
  <c r="C45" i="5"/>
  <c r="C45" i="32" s="1"/>
  <c r="O76" i="32"/>
  <c r="C33" i="5"/>
  <c r="C33" i="32" s="1"/>
  <c r="D22" i="5"/>
  <c r="D22" i="32" s="1"/>
  <c r="M14" i="5"/>
  <c r="M14" i="32" s="1"/>
  <c r="E39" i="5"/>
  <c r="E39" i="32" s="1"/>
  <c r="E42" i="5"/>
  <c r="E42" i="32" s="1"/>
  <c r="N57" i="5"/>
  <c r="N57" i="32" s="1"/>
  <c r="D7" i="5"/>
  <c r="D7" i="32" s="1"/>
  <c r="I14" i="5"/>
  <c r="I14" i="32" s="1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5"/>
  <c r="G65" i="32" s="1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67" i="5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5"/>
  <c r="M65" i="32" s="1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E6" i="32" s="1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D67" i="32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J14" i="32" s="1"/>
  <c r="O50" i="5"/>
  <c r="H42" i="5"/>
  <c r="H42" i="32" s="1"/>
  <c r="O9" i="5"/>
  <c r="O16" i="5"/>
  <c r="L10" i="5"/>
  <c r="L10" i="32" s="1"/>
  <c r="M42" i="5"/>
  <c r="M42" i="32" s="1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E53" i="5"/>
  <c r="E53" i="32" s="1"/>
  <c r="L14" i="5"/>
  <c r="O65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5"/>
  <c r="E61" i="32" s="1"/>
  <c r="C61" i="5"/>
  <c r="C61" i="32" s="1"/>
  <c r="G61" i="5"/>
  <c r="G61" i="32" s="1"/>
  <c r="I61" i="5"/>
  <c r="I61" i="32" s="1"/>
  <c r="J61" i="5"/>
  <c r="J61" i="32" s="1"/>
  <c r="M61" i="5"/>
  <c r="M61" i="32" s="1"/>
  <c r="L61" i="5"/>
  <c r="L61" i="32" s="1"/>
  <c r="F61" i="5"/>
  <c r="F61" i="32" s="1"/>
  <c r="O61" i="5"/>
  <c r="K61" i="5"/>
  <c r="K61" i="32" s="1"/>
  <c r="D61" i="5"/>
  <c r="D61" i="32" s="1"/>
  <c r="H61" i="5"/>
  <c r="H61" i="32" s="1"/>
  <c r="N61" i="5"/>
  <c r="N61" i="32" s="1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L8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O79" i="5" s="1"/>
  <c r="O67" i="5" s="1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67" i="32"/>
  <c r="J31" i="5"/>
  <c r="J31" i="32" s="1"/>
  <c r="J43" i="5"/>
  <c r="J43" i="32" s="1"/>
  <c r="K17" i="5"/>
  <c r="K17" i="32" s="1"/>
  <c r="D27" i="5"/>
  <c r="D27" i="32" s="1"/>
  <c r="N79" i="32"/>
  <c r="N67" i="32" s="1"/>
  <c r="O75" i="32"/>
  <c r="O79" i="32" s="1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H64" i="5" s="1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O64" i="5" s="1"/>
  <c r="M24" i="5"/>
  <c r="M24" i="32" s="1"/>
  <c r="L99" i="32"/>
  <c r="O97" i="32"/>
  <c r="O93" i="32"/>
  <c r="H67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G73" i="32"/>
  <c r="G67" i="32" s="1"/>
  <c r="O69" i="32"/>
  <c r="L14" i="32"/>
  <c r="D8" i="5" l="1"/>
  <c r="D5" i="5" s="1"/>
  <c r="D12" i="5" s="1"/>
  <c r="D81" i="5" s="1"/>
  <c r="L8" i="5"/>
  <c r="H8" i="32"/>
  <c r="H5" i="32" s="1"/>
  <c r="H12" i="32" s="1"/>
  <c r="H81" i="32" s="1"/>
  <c r="K8" i="5"/>
  <c r="K5" i="5" s="1"/>
  <c r="K12" i="5" s="1"/>
  <c r="K81" i="5" s="1"/>
  <c r="I8" i="5"/>
  <c r="I5" i="5" s="1"/>
  <c r="I12" i="5" s="1"/>
  <c r="I81" i="5" s="1"/>
  <c r="D6" i="32"/>
  <c r="D8" i="32" s="1"/>
  <c r="D5" i="32" s="1"/>
  <c r="D12" i="32" s="1"/>
  <c r="D81" i="32" s="1"/>
  <c r="O8" i="5"/>
  <c r="O5" i="5" s="1"/>
  <c r="O12" i="5" s="1"/>
  <c r="O81" i="5" s="1"/>
  <c r="K6" i="32"/>
  <c r="K8" i="32" s="1"/>
  <c r="K5" i="32" s="1"/>
  <c r="K12" i="32" s="1"/>
  <c r="K81" i="32" s="1"/>
  <c r="O63" i="5"/>
  <c r="N63" i="5"/>
  <c r="N63" i="32" s="1"/>
  <c r="N8" i="32"/>
  <c r="N5" i="32" s="1"/>
  <c r="N12" i="32" s="1"/>
  <c r="N81" i="32" s="1"/>
  <c r="K63" i="5"/>
  <c r="K63" i="32" s="1"/>
  <c r="N8" i="5"/>
  <c r="N5" i="5" s="1"/>
  <c r="N12" i="5" s="1"/>
  <c r="N81" i="5" s="1"/>
  <c r="M63" i="5"/>
  <c r="M63" i="32" s="1"/>
  <c r="E63" i="5"/>
  <c r="E63" i="32" s="1"/>
  <c r="G63" i="5"/>
  <c r="G63" i="32" s="1"/>
  <c r="D63" i="5"/>
  <c r="D63" i="32" s="1"/>
  <c r="F63" i="5"/>
  <c r="F63" i="32" s="1"/>
  <c r="O26" i="32"/>
  <c r="C63" i="5"/>
  <c r="C63" i="32" s="1"/>
  <c r="J63" i="5"/>
  <c r="J63" i="32" s="1"/>
  <c r="I63" i="5"/>
  <c r="I63" i="32" s="1"/>
  <c r="H63" i="5"/>
  <c r="H63" i="32" s="1"/>
  <c r="L63" i="5"/>
  <c r="L63" i="32" s="1"/>
  <c r="L5" i="5"/>
  <c r="L12" i="5" s="1"/>
  <c r="L81" i="5" s="1"/>
  <c r="O73" i="32"/>
  <c r="O67" i="32" s="1"/>
  <c r="L5" i="32"/>
  <c r="L12" i="32" s="1"/>
  <c r="L81" i="32" s="1"/>
  <c r="H8" i="5"/>
  <c r="H5" i="5" s="1"/>
  <c r="H12" i="5" s="1"/>
  <c r="H81" i="5" s="1"/>
  <c r="J8" i="5"/>
  <c r="J5" i="5" s="1"/>
  <c r="J12" i="5" s="1"/>
  <c r="J81" i="5" s="1"/>
  <c r="E8" i="5"/>
  <c r="E5" i="5" s="1"/>
  <c r="E12" i="5" s="1"/>
  <c r="E81" i="5" s="1"/>
  <c r="I8" i="32"/>
  <c r="I5" i="32" s="1"/>
  <c r="I12" i="32" s="1"/>
  <c r="I81" i="32" s="1"/>
  <c r="E8" i="32"/>
  <c r="E5" i="32" s="1"/>
  <c r="E12" i="32" s="1"/>
  <c r="E81" i="32" s="1"/>
  <c r="O34" i="32"/>
  <c r="M8" i="5"/>
  <c r="M5" i="5" s="1"/>
  <c r="M12" i="5" s="1"/>
  <c r="M81" i="5" s="1"/>
  <c r="G8" i="32"/>
  <c r="G5" i="32" s="1"/>
  <c r="G12" i="32" s="1"/>
  <c r="G81" i="32" s="1"/>
  <c r="F8" i="32"/>
  <c r="F5" i="32" s="1"/>
  <c r="F12" i="32" s="1"/>
  <c r="F81" i="32" s="1"/>
  <c r="K62" i="5"/>
  <c r="K62" i="32" s="1"/>
  <c r="M6" i="32"/>
  <c r="M8" i="32" s="1"/>
  <c r="M5" i="32" s="1"/>
  <c r="M12" i="32" s="1"/>
  <c r="M81" i="32" s="1"/>
  <c r="G8" i="5"/>
  <c r="G5" i="5" s="1"/>
  <c r="G12" i="5" s="1"/>
  <c r="G81" i="5" s="1"/>
  <c r="F8" i="5"/>
  <c r="F5" i="5" s="1"/>
  <c r="F12" i="5" s="1"/>
  <c r="F81" i="5" s="1"/>
  <c r="E62" i="5"/>
  <c r="E62" i="32" s="1"/>
  <c r="E14" i="32"/>
  <c r="O62" i="5"/>
  <c r="N62" i="5"/>
  <c r="N62" i="32" s="1"/>
  <c r="J62" i="5"/>
  <c r="J62" i="32" s="1"/>
  <c r="C62" i="5"/>
  <c r="C62" i="32" s="1"/>
  <c r="M62" i="5"/>
  <c r="M62" i="32" s="1"/>
  <c r="O16" i="32"/>
  <c r="L62" i="5"/>
  <c r="L62" i="32" s="1"/>
  <c r="H62" i="5"/>
  <c r="H62" i="32" s="1"/>
  <c r="F62" i="5"/>
  <c r="F62" i="32" s="1"/>
  <c r="G62" i="5"/>
  <c r="G62" i="32" s="1"/>
  <c r="I62" i="5"/>
  <c r="I62" i="32" s="1"/>
  <c r="D62" i="5"/>
  <c r="D62" i="32" s="1"/>
  <c r="O46" i="32"/>
  <c r="O18" i="32"/>
  <c r="O50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20" i="32"/>
  <c r="O43" i="32"/>
  <c r="O7" i="32"/>
  <c r="O25" i="32"/>
  <c r="O37" i="32"/>
  <c r="O17" i="32"/>
  <c r="O31" i="32"/>
  <c r="O55" i="32"/>
  <c r="O9" i="32"/>
  <c r="O36" i="32"/>
  <c r="O61" i="32"/>
  <c r="O57" i="32"/>
  <c r="O22" i="32"/>
  <c r="O45" i="32"/>
  <c r="O15" i="32"/>
  <c r="O58" i="32"/>
  <c r="O29" i="32"/>
  <c r="O27" i="32"/>
  <c r="O99" i="32"/>
  <c r="O28" i="32"/>
  <c r="J8" i="32"/>
  <c r="J5" i="32" s="1"/>
  <c r="J12" i="32" s="1"/>
  <c r="J81" i="32" s="1"/>
  <c r="J64" i="5"/>
  <c r="O59" i="32"/>
  <c r="H14" i="32"/>
  <c r="C8" i="5"/>
  <c r="C5" i="5" s="1"/>
  <c r="C12" i="5" s="1"/>
  <c r="C81" i="5" s="1"/>
  <c r="O94" i="32"/>
  <c r="O24" i="32"/>
  <c r="O21" i="32"/>
  <c r="O19" i="32"/>
  <c r="O10" i="32"/>
  <c r="O60" i="32"/>
  <c r="G64" i="5"/>
  <c r="G64" i="32" s="1"/>
  <c r="C64" i="5"/>
  <c r="C64" i="32" s="1"/>
  <c r="L64" i="5"/>
  <c r="L64" i="32" s="1"/>
  <c r="K64" i="5"/>
  <c r="I64" i="5"/>
  <c r="I64" i="32" s="1"/>
  <c r="O42" i="32"/>
  <c r="O44" i="32"/>
  <c r="O30" i="32"/>
  <c r="O49" i="32"/>
  <c r="O38" i="32"/>
  <c r="F64" i="5"/>
  <c r="N64" i="5"/>
  <c r="N64" i="32" s="1"/>
  <c r="M64" i="5"/>
  <c r="M64" i="32" s="1"/>
  <c r="E64" i="5"/>
  <c r="E64" i="32" s="1"/>
  <c r="O48" i="32"/>
  <c r="D64" i="5"/>
  <c r="D64" i="32" s="1"/>
  <c r="O47" i="32"/>
  <c r="C8" i="32"/>
  <c r="C5" i="32" s="1"/>
  <c r="C12" i="32" s="1"/>
  <c r="H64" i="32"/>
  <c r="I3" i="10" a="1"/>
  <c r="I3" i="10" s="1"/>
  <c r="C13" i="32" l="1"/>
  <c r="C66" i="32" s="1"/>
  <c r="C80" i="32" s="1"/>
  <c r="N3" i="10" a="1"/>
  <c r="N3" i="10" s="1"/>
  <c r="M3" i="10" a="1"/>
  <c r="M3" i="10" s="1"/>
  <c r="O13" i="5"/>
  <c r="O66" i="5" s="1"/>
  <c r="O80" i="5" s="1"/>
  <c r="I13" i="5"/>
  <c r="I66" i="5" s="1"/>
  <c r="I80" i="5" s="1"/>
  <c r="F13" i="5"/>
  <c r="F66" i="5" s="1"/>
  <c r="F80" i="5" s="1"/>
  <c r="O63" i="32"/>
  <c r="O6" i="32"/>
  <c r="O8" i="32" s="1"/>
  <c r="O5" i="32" s="1"/>
  <c r="O12" i="32" s="1"/>
  <c r="O81" i="32" s="1"/>
  <c r="K13" i="5"/>
  <c r="K66" i="5" s="1"/>
  <c r="K80" i="5" s="1"/>
  <c r="J13" i="5"/>
  <c r="J66" i="5" s="1"/>
  <c r="J80" i="5" s="1"/>
  <c r="O62" i="32"/>
  <c r="N13" i="32"/>
  <c r="N66" i="32" s="1"/>
  <c r="N80" i="32" s="1"/>
  <c r="G13" i="32"/>
  <c r="G66" i="32" s="1"/>
  <c r="G80" i="32" s="1"/>
  <c r="G13" i="5"/>
  <c r="L3" i="10" a="1"/>
  <c r="L3" i="10" s="1"/>
  <c r="L13" i="32"/>
  <c r="L66" i="32" s="1"/>
  <c r="L80" i="32" s="1"/>
  <c r="O14" i="32"/>
  <c r="J64" i="32"/>
  <c r="J13" i="32" s="1"/>
  <c r="J66" i="32" s="1"/>
  <c r="J80" i="32" s="1"/>
  <c r="L13" i="5"/>
  <c r="L66" i="5" s="1"/>
  <c r="L80" i="5" s="1"/>
  <c r="I13" i="32"/>
  <c r="I66" i="32" s="1"/>
  <c r="I80" i="32" s="1"/>
  <c r="N13" i="5"/>
  <c r="N66" i="5" s="1"/>
  <c r="N80" i="5" s="1"/>
  <c r="E13" i="32"/>
  <c r="E66" i="32" s="1"/>
  <c r="E80" i="32" s="1"/>
  <c r="E13" i="5"/>
  <c r="E66" i="5" s="1"/>
  <c r="E80" i="5" s="1"/>
  <c r="K3" i="10" a="1"/>
  <c r="K3" i="10" s="1"/>
  <c r="C13" i="5"/>
  <c r="C66" i="5" s="1"/>
  <c r="C80" i="5" s="1"/>
  <c r="F3" i="10" a="1"/>
  <c r="F3" i="10" s="1"/>
  <c r="H13" i="5"/>
  <c r="H66" i="5" s="1"/>
  <c r="H80" i="5" s="1"/>
  <c r="D13" i="32"/>
  <c r="D66" i="32" s="1"/>
  <c r="D80" i="32" s="1"/>
  <c r="D13" i="5"/>
  <c r="D66" i="5" s="1"/>
  <c r="D80" i="5" s="1"/>
  <c r="M13" i="32"/>
  <c r="M66" i="32" s="1"/>
  <c r="M80" i="32" s="1"/>
  <c r="F64" i="32"/>
  <c r="F13" i="32" s="1"/>
  <c r="F66" i="32" s="1"/>
  <c r="F80" i="32" s="1"/>
  <c r="H13" i="32"/>
  <c r="H66" i="32" s="1"/>
  <c r="H80" i="32" s="1"/>
  <c r="Q3" i="10" a="1"/>
  <c r="Q3" i="10" s="1"/>
  <c r="M13" i="5"/>
  <c r="K64" i="32"/>
  <c r="K13" i="32" s="1"/>
  <c r="K66" i="32" s="1"/>
  <c r="K80" i="32" s="1"/>
  <c r="H3" i="10" a="1"/>
  <c r="H3" i="10" s="1"/>
  <c r="G3" i="10" a="1"/>
  <c r="G3" i="10" s="1"/>
  <c r="O3" i="10" a="1"/>
  <c r="O3" i="10" s="1"/>
  <c r="C81" i="32"/>
  <c r="O64" i="32" l="1"/>
  <c r="O13" i="32" s="1"/>
  <c r="O66" i="32" s="1"/>
  <c r="O80" i="32" s="1"/>
  <c r="G66" i="5"/>
  <c r="G80" i="5" s="1"/>
  <c r="J3" i="10" a="1"/>
  <c r="J3" i="10" s="1"/>
  <c r="M66" i="5"/>
  <c r="M80" i="5" s="1"/>
  <c r="P3" i="10" a="1"/>
  <c r="P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<sst xmlns="http://schemas.openxmlformats.org/spreadsheetml/2006/main" count="1689" uniqueCount="751">
  <si>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</si>
  <si>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</si>
  <si>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</si>
  <si>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</si>
  <si>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</si>
  <si>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</si>
  <si>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</si>
  <si>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</si>
  <si>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</si>
  <si>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</si>
  <si>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</si>
  <si>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</si>
  <si>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</si>
  <si>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</si>
  <si>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</si>
  <si>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</si>
  <si>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</si>
  <si>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</si>
  <si>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</si>
  <si>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</si>
  <si>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</si>
  <si>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</si>
  <si>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</si>
  <si>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</si>
  <si>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</si>
  <si>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</si>
  <si>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</si>
  <si>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</si>
  <si>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</si>
  <si>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</si>
  <si>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</si>
  <si>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</si>
  <si>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</si>
  <si>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</si>
  <si>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</si>
  <si>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</si>
  <si>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</si>
  <si>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</si>
  <si>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</si>
  <si>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</si>
  <si>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</si>
  <si>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</si>
  <si>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</si>
  <si>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</si>
  <si>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</si>
  <si>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</si>
  <si>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</si>
  <si>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</si>
  <si>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</si>
  <si>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</si>
  <si>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</si>
  <si>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</si>
  <si>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</si>
  <si>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</si>
  <si>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</si>
  <si>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</si>
  <si>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</si>
  <si>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</si>
  <si>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</si>
  <si>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</si>
  <si>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</si>
  <si>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</si>
  <si>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</si>
  <si>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</si>
  <si>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</si>
  <si>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</si>
  <si>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</si>
  <si>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</si>
  <si>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</si>
  <si>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</si>
  <si>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</si>
  <si>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</si>
  <si>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</si>
  <si>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</si>
  <si>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</si>
  <si>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</si>
  <si>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</si>
  <si>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</si>
  <si>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</si>
  <si>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</si>
  <si>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</si>
  <si>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</si>
  <si>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</si>
  <si>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</si>
  <si>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</si>
  <si>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</si>
  <si>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</si>
  <si>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</si>
  <si>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</si>
  <si>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</si>
  <si>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</si>
  <si>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</si>
  <si>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</si>
  <si>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</si>
  <si>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</si>
  <si>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</si>
  <si>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</si>
  <si>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</si>
  <si>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</si>
  <si>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</si>
  <si>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</si>
  <si>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</si>
  <si>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</si>
  <si>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</si>
  <si>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</si>
  <si>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</si>
  <si>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</si>
  <si>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</si>
  <si>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</si>
  <si>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</si>
  <si>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</si>
  <si>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</si>
  <si>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</si>
  <si>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</si>
  <si>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</si>
  <si>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</si>
  <si>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</si>
  <si>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</si>
  <si>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</si>
  <si>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</si>
  <si>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</si>
  <si>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</si>
  <si>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</si>
  <si>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</si>
  <si>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</si>
  <si>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</si>
  <si>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</si>
  <si>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</si>
  <si>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</si>
  <si>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</si>
  <si>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</si>
  <si>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</si>
  <si>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</si>
  <si>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</si>
  <si>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</si>
  <si>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</si>
  <si>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</si>
  <si>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</si>
  <si>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</si>
  <si>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</si>
  <si>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</si>
  <si>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</si>
  <si>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</si>
  <si>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</si>
  <si>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</si>
  <si>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</si>
  <si>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</si>
  <si>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</si>
  <si>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</si>
  <si>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</si>
  <si>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</si>
  <si>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</si>
  <si>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</si>
  <si>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</si>
  <si>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</si>
  <si>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</si>
  <si>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</si>
  <si>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</si>
  <si>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</si>
  <si>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</si>
  <si>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</si>
  <si>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</si>
  <si>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</si>
  <si>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</si>
  <si>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</si>
  <si>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</si>
  <si>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</si>
  <si>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</si>
  <si>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</si>
  <si>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</si>
  <si>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</si>
  <si>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</si>
  <si>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</si>
  <si>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</si>
  <si>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</si>
  <si>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</si>
  <si>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</si>
  <si>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</si>
  <si>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</si>
  <si>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</si>
  <si>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</si>
  <si>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</si>
  <si>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</si>
  <si>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</si>
  <si>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</si>
  <si>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</si>
  <si>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</si>
  <si>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</si>
  <si>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</si>
  <si>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</si>
  <si>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</si>
  <si>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</si>
  <si>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</si>
  <si>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</si>
  <si>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</si>
  <si>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</si>
  <si>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</si>
  <si>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</si>
  <si>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</si>
  <si>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</si>
  <si>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</si>
  <si>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</si>
  <si>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</si>
  <si>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</si>
  <si>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</si>
  <si>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</si>
  <si>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</si>
  <si>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</si>
  <si>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</si>
  <si>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</si>
  <si>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</si>
  <si>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</si>
  <si>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</si>
  <si>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</si>
  <si>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</si>
  <si>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</si>
  <si>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</si>
  <si>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</si>
  <si>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</si>
  <si>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</si>
  <si>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</si>
  <si>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</si>
  <si>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</si>
  <si>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</si>
  <si>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</si>
  <si>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</si>
  <si>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</si>
  <si>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</si>
  <si>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</si>
  <si>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</si>
  <si>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</si>
  <si>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</si>
  <si>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</si>
  <si>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</si>
  <si>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</si>
  <si>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</si>
  <si>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</si>
  <si>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</si>
  <si>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</si>
  <si>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</si>
  <si>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</si>
  <si>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</si>
  <si>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</si>
  <si>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</si>
  <si>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</si>
  <si>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</si>
  <si>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</si>
  <si>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</si>
  <si>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</si>
  <si>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</si>
  <si>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</si>
  <si>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</si>
  <si>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</si>
  <si>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</si>
  <si>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</si>
  <si>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</si>
  <si>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</si>
  <si>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</si>
  <si>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</si>
  <si>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</si>
  <si>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</si>
  <si>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</si>
  <si>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</si>
  <si>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</si>
  <si>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</si>
  <si>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</si>
  <si>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</si>
  <si>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</si>
  <si>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</si>
  <si>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</si>
  <si>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</si>
  <si>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</si>
  <si>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</si>
  <si>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</si>
  <si>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</si>
  <si>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</si>
  <si>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</si>
  <si>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</si>
  <si>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</si>
  <si>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</si>
  <si>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</si>
  <si>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</si>
  <si>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</si>
  <si>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</si>
  <si>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</si>
  <si>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</si>
  <si>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</si>
  <si>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</si>
  <si>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</si>
  <si>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</si>
  <si>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</si>
  <si>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</si>
  <si>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</si>
  <si>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</si>
  <si>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</si>
  <si>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</si>
  <si>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</si>
  <si>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</si>
  <si>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</si>
  <si>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</si>
  <si>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</si>
  <si>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</si>
  <si>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</si>
  <si>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</si>
  <si>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</si>
  <si>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</si>
  <si>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</si>
  <si>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</si>
  <si>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</si>
  <si>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</si>
  <si>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</si>
  <si>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</si>
  <si>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</si>
  <si>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</si>
  <si>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</si>
  <si>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</si>
  <si>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</si>
  <si>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</si>
  <si>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</si>
  <si>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</si>
  <si>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</si>
  <si>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</si>
  <si>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</si>
  <si>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</si>
  <si>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</si>
  <si>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</si>
  <si>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</si>
  <si>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</si>
  <si>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</si>
  <si>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</si>
  <si>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</si>
  <si>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</si>
  <si>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</si>
  <si>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</si>
  <si>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</si>
  <si>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</si>
  <si>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</si>
  <si>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</si>
  <si>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</si>
  <si>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</si>
  <si>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</si>
  <si>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</si>
  <si>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</si>
  <si>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</si>
  <si>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</si>
  <si>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</si>
  <si>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</si>
  <si>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</si>
  <si>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</si>
  <si>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</si>
  <si>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</si>
  <si>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</si>
  <si>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</si>
  <si>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</si>
  <si>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</si>
  <si>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</si>
  <si>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</si>
  <si>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</si>
  <si>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</si>
  <si>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</si>
  <si>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</si>
  <si>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</si>
  <si>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</si>
  <si>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</si>
  <si>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</si>
  <si>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</si>
  <si>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</si>
  <si>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</si>
  <si>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</si>
  <si>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</si>
  <si>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</si>
  <si>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</si>
  <si>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</si>
  <si>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</si>
  <si>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</si>
  <si>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</si>
  <si>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</si>
  <si>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</si>
  <si>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</si>
  <si>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</si>
  <si>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</si>
  <si>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</si>
  <si>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</si>
  <si>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</si>
  <si>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</si>
  <si>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</si>
  <si>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</si>
  <si>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</si>
  <si>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</si>
  <si>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</si>
  <si>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</si>
  <si>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</si>
  <si>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</si>
  <si>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</si>
  <si>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</si>
  <si>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</si>
  <si>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</si>
  <si>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</si>
  <si>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</si>
  <si>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</si>
  <si>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</si>
  <si>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</si>
  <si>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</si>
  <si>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</si>
  <si>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</si>
  <si>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</si>
  <si>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</si>
  <si>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</si>
  <si>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</si>
  <si>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</si>
  <si>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</si>
  <si>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</si>
  <si>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</si>
  <si>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</si>
  <si>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</si>
  <si>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</si>
  <si>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</si>
  <si>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</si>
  <si>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</si>
  <si>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</si>
  <si>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</si>
  <si>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</si>
  <si>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</si>
  <si>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</si>
  <si>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</si>
  <si>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</si>
  <si>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</si>
  <si>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</si>
  <si>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</si>
  <si>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</si>
  <si>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</si>
  <si>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</si>
  <si>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</si>
  <si>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</si>
  <si>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</si>
  <si>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</si>
  <si>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</si>
  <si>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</si>
  <si>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</si>
  <si>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</si>
  <si>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</si>
  <si>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</si>
  <si>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</si>
  <si>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</si>
  <si>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</si>
  <si>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</si>
  <si>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</si>
  <si>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</si>
  <si>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</si>
  <si>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</si>
  <si>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</si>
  <si>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</si>
  <si>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</si>
  <si>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</si>
  <si>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</si>
  <si>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</si>
  <si>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</si>
  <si>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</si>
  <si>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</si>
  <si>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</si>
  <si>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</si>
  <si>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</si>
  <si>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</si>
  <si>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</si>
  <si>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</si>
  <si>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</si>
  <si>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</si>
  <si>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</si>
  <si>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</si>
  <si>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</si>
  <si>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</si>
  <si>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</si>
  <si>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</si>
  <si>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</si>
  <si>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</si>
  <si>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</si>
  <si>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</si>
  <si>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</si>
  <si>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</si>
  <si>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</si>
  <si>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</si>
  <si>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</si>
  <si>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</si>
  <si>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</si>
  <si>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</si>
  <si>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</si>
  <si>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</si>
  <si>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</si>
  <si>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</si>
  <si>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</si>
  <si>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</si>
  <si>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</si>
  <si>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</si>
  <si>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</si>
  <si>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</si>
  <si>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</si>
  <si>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</si>
  <si>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</si>
  <si>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</si>
  <si>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</si>
  <si>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</si>
  <si>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</si>
  <si>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</si>
  <si>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</si>
  <si>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</si>
  <si>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</si>
  <si>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</si>
  <si>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</si>
  <si>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</si>
  <si>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</si>
  <si>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</si>
  <si>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</si>
  <si>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</si>
  <si>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</si>
  <si>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</si>
  <si>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</si>
  <si>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</si>
  <si>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</si>
  <si>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</si>
  <si>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</si>
  <si>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</si>
  <si>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</si>
  <si>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</si>
  <si>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</si>
  <si>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</si>
  <si>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</si>
  <si>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</si>
  <si>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</si>
  <si>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</si>
  <si>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</si>
  <si>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</si>
  <si>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</si>
  <si>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</si>
  <si>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</si>
  <si>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</si>
  <si>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</si>
  <si>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</si>
  <si>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</si>
  <si>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</si>
  <si>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</si>
  <si>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</si>
  <si>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</si>
  <si>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</si>
  <si>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</si>
  <si>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</si>
  <si>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</si>
  <si>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</si>
  <si>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</si>
  <si>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</si>
  <si>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</si>
  <si>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</si>
  <si>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</si>
  <si>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</si>
  <si>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</si>
  <si>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</si>
  <si>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</si>
  <si>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</si>
  <si>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</si>
  <si>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</si>
  <si>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</si>
  <si>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</si>
  <si>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</si>
  <si>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</si>
  <si>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</si>
  <si>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</si>
  <si>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</si>
  <si>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</si>
  <si>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</si>
  <si>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</si>
  <si>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</si>
  <si>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</si>
  <si>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</si>
  <si>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</si>
  <si>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</si>
  <si>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</si>
  <si>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</si>
  <si>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</si>
  <si>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</si>
  <si>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</si>
  <si>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</si>
  <si>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</si>
  <si>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</si>
  <si>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</si>
  <si>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</si>
  <si>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</si>
  <si>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</si>
  <si>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</si>
  <si>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</si>
  <si>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</si>
  <si>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</si>
  <si>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</si>
  <si>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</si>
  <si>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</si>
  <si>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</si>
  <si>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</si>
  <si>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</si>
  <si>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</si>
  <si>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</si>
  <si>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</si>
  <si>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</si>
  <si>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</si>
  <si>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</si>
  <si>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</si>
  <si>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</si>
  <si>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</si>
  <si>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</si>
  <si>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</si>
  <si>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</si>
  <si>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</si>
  <si>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</si>
  <si>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</si>
  <si>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</si>
  <si>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</si>
  <si>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</si>
  <si>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</si>
  <si>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</si>
  <si>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</si>
  <si>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</si>
  <si>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</si>
  <si>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</si>
  <si>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</si>
  <si>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</si>
  <si>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</si>
  <si>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</si>
  <si>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</si>
  <si>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</si>
  <si>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</si>
  <si>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</si>
  <si>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</si>
  <si>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</si>
  <si>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</si>
  <si>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</si>
  <si>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</si>
  <si>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</si>
  <si>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</si>
  <si>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</si>
  <si>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</si>
  <si>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</si>
  <si>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</si>
  <si>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</si>
  <si>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</si>
  <si>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</si>
  <si>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</si>
  <si>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</si>
  <si>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</si>
  <si>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</si>
  <si>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</si>
  <si>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</si>
  <si>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</si>
  <si>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</si>
  <si>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</si>
  <si>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</si>
  <si>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</si>
  <si>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</si>
  <si>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</si>
  <si>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</si>
  <si>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</si>
  <si>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</si>
  <si>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</si>
  <si>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</si>
  <si>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</si>
  <si>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</si>
  <si>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</si>
  <si>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</si>
  <si>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</si>
  <si>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</si>
  <si>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</si>
  <si>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</si>
  <si>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</si>
  <si>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</si>
  <si>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</si>
  <si>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</si>
  <si>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</si>
  <si>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</si>
  <si>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</si>
  <si>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</si>
  <si>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</si>
  <si>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</si>
  <si>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</si>
  <si>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</si>
  <si>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</si>
  <si>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</si>
  <si>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</si>
  <si>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</si>
  <si>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</si>
  <si>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</si>
  <si>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</si>
  <si>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</si>
  <si>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</si>
  <si>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</si>
  <si>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</si>
  <si>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</si>
  <si>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</si>
  <si>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お年玉 Tiền lì xì</t>
  </si>
  <si>
    <t>システム使用料 SAP/R3, Mail</t>
  </si>
  <si>
    <t>建屋償却費 Building</t>
  </si>
  <si>
    <t>土地使用権償却費 Land</t>
  </si>
  <si>
    <t>固定資産金利（Interest） /建物 Building Interest</t>
  </si>
  <si>
    <t>固定資産金利（Interest） /土地 Land Interest</t>
  </si>
  <si>
    <t>電気代（製）Tiền điện</t>
  </si>
  <si>
    <t>水道代 Tiền nước</t>
  </si>
  <si>
    <t>食堂燃料費（製）Gas</t>
  </si>
  <si>
    <t>手先い費 Nước rửa tay</t>
  </si>
  <si>
    <t>アルコール消毒 Cồn khử trùng</t>
  </si>
  <si>
    <t>トイレットペーパ Giấy vệ sinh</t>
  </si>
  <si>
    <t>清掃費用 Chi phí làm sạch</t>
  </si>
  <si>
    <t xml:space="preserve">出向社員通勤送迎費用 Xe đưa đón người Nhật </t>
  </si>
  <si>
    <t xml:space="preserve">ローカル社員送迎費 Xe đưa đón người Việt </t>
  </si>
  <si>
    <t>残業taxi ( tiền taxi tăng ca của người nhật+ người Việt)</t>
  </si>
  <si>
    <t>tiền taxi đi lại trong nước + công tác phí(Phân bổ chi phí từ ngày 16 tháng trước đến ngày 15 tháng hiện tại vào tháng tiếp theo)</t>
  </si>
  <si>
    <t>電話代 Tiền điện thoại</t>
  </si>
  <si>
    <t>マスク Khẩu trang 前月16日から当月15日までの出勤日( dự tính t5 tính từ ngày 16/04 đến 15/5)対象：bus使用者だけ（chỉ tính ng sử dụng xe bus)</t>
  </si>
  <si>
    <t>忘年会 Tiệc tất niên</t>
  </si>
  <si>
    <t>郵送代（製） (chi phí chuyển phát nhanh nước ngoài</t>
  </si>
  <si>
    <t xml:space="preserve"> (chi phí chuyển phát nhanh trong nước)</t>
  </si>
  <si>
    <t>健康診断（ローカル）/ Khám sức khỏe</t>
  </si>
  <si>
    <t>フィロソフィ論文参加賞/Giải tham gia luận văn philosophy</t>
  </si>
  <si>
    <t>文房具: Văn phòng phẩm</t>
  </si>
  <si>
    <t>新入社員  社員証（新入社員用・再発行時、写真含む. Thẻ từ chấm công + Ảnh</t>
  </si>
  <si>
    <t xml:space="preserve">新入社員  フィロソフィ手帳 Sổ tay philosophy </t>
  </si>
  <si>
    <t>新入社員  社員証用ケース Vỏ thẻ + móc thẻ</t>
  </si>
  <si>
    <t>新入社員　PC : Desktop + Office</t>
  </si>
  <si>
    <t>新入社員　机と椅子 bàn ghế</t>
  </si>
  <si>
    <t>新入社員採用時健診 Khám sức khỏe người mới  phân bổ vào tháng tiếp theo</t>
  </si>
  <si>
    <t>新入社員  制服ズボン Quần  VND</t>
  </si>
  <si>
    <t>新入社員  帽子（白） Mũ trắng VND</t>
  </si>
  <si>
    <t>新入社員  シューズ（ 女性: VND） Giày vải</t>
  </si>
  <si>
    <t xml:space="preserve">Tiền cơm trưa 24700/suất 食事費 前月16～当月15日; </t>
  </si>
  <si>
    <t>Tiền sinh nhật 誕生日会　FY2025: 157,000 vnd/人: Ichigotani san(2) ,Mai anh (3) ,Linh&amp; Hà (8),Tuấn Anh (9)</t>
  </si>
  <si>
    <t>Lệ phí thi Toeic</t>
  </si>
  <si>
    <t>FY2026総務課より滞在カードや労働許可書を申請する
thẻ tạm trú, giấy phép lao động cho người nước ngoài FY2026</t>
  </si>
  <si>
    <t>10年勤続記念品Quà kỷ niệm cho CNV 10 năm gắn bó 382000</t>
  </si>
  <si>
    <t>10年勤続記念コンパTiệc kỷ niệm 10 năm gắn bó 549000</t>
  </si>
  <si>
    <t>新入社員  制服（夏） Đồng phục ngắn tay (Hè) 165000</t>
  </si>
  <si>
    <t>新入社員  制服（冬） Đồng phục dài tay (Đông) 175000 , nv vào từ T5-T10 thì tiền đồng phục dài tay tính vào T10</t>
  </si>
  <si>
    <t>FY2026決起コンパ Tiệc khuấy động năm tài chính 200,000VND</t>
  </si>
  <si>
    <t>社員旅行 / Tourist company 1890000</t>
  </si>
  <si>
    <t>京セラフェスティバルLễ hội Kyocera 126000</t>
  </si>
  <si>
    <t>mua sim, đt</t>
  </si>
  <si>
    <t>sửa máy tính (cần làm báo cáo công trình)</t>
  </si>
  <si>
    <t>phát ruy băng (người mới)</t>
  </si>
  <si>
    <t>mừng kết hôn, sinh con</t>
  </si>
  <si>
    <t>chi phí logistics nhận hàng nước ngoài</t>
  </si>
  <si>
    <t>運動会 Đại hội thể thao (t11) 107000</t>
  </si>
  <si>
    <t>ポケットカレンダー Lịch bỏ túi t11</t>
  </si>
  <si>
    <t>月餅 Bánh Trung Thu (56k)</t>
  </si>
  <si>
    <t>EDI 本社振替 EDI Gate (FY2026 chỉ có tháng 4)</t>
  </si>
  <si>
    <t xml:space="preserve">新入社員  ペン Bút 新入社員  ノート Số </t>
  </si>
  <si>
    <t>MP FY2025</t>
  </si>
  <si>
    <t>Actual FY2025</t>
  </si>
  <si>
    <t>name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</si>
</sst>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7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86" fillId="0" borderId="34" xfId="0" applyNumberFormat="1" applyFont="1" applyFill="1" applyBorder="1" applyAlignment="1" applyProtection="1">
      <alignment horizontal="center"/>
      <protection locked="0"/>
    </xf>
    <xf numFmtId="40" fontId="5" fillId="34" borderId="39" xfId="0" applyNumberFormat="1" applyFont="1" applyFill="1" applyBorder="1" applyAlignment="1" applyProtection="1">
      <alignment wrapText="1"/>
      <protection locked="0"/>
    </xf>
    <xf numFmtId="40" fontId="73" fillId="32" borderId="39" xfId="66" applyFont="1" applyFill="1" applyBorder="1" applyAlignment="1" applyProtection="1">
      <alignment horizontal="right" vertical="center"/>
      <protection locked="0"/>
    </xf>
    <xf numFmtId="40" fontId="73" fillId="34" borderId="39" xfId="66" applyFont="1" applyFill="1" applyBorder="1" applyAlignment="1" applyProtection="1">
      <alignment horizontal="right" vertical="center" wrapText="1"/>
      <protection locked="0"/>
    </xf>
    <xf numFmtId="38" fontId="8" fillId="25" borderId="0" xfId="67" applyFont="1" applyFill="1" applyBorder="1" applyAlignment="1">
      <alignment horizontal="center" vertical="center"/>
    </xf>
    <xf numFmtId="40" fontId="5" fillId="0" borderId="0" xfId="67" applyNumberFormat="1" applyFont="1" applyBorder="1" applyAlignment="1">
      <alignment horizontal="right"/>
    </xf>
    <xf numFmtId="40" fontId="73" fillId="34" borderId="43" xfId="9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入力" xfId="161" xr:uid="{C2DFFBC4-C404-48B1-90A3-87FE342B7747}"/>
    <cellStyle name="入力 2" xfId="162" xr:uid="{A412DD7B-43F2-4473-A9DA-F8B3E3E98E41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悪い" xfId="126" xr:uid="{F69DD0D1-F5B9-43E1-8FEA-49BE292D9603}"/>
    <cellStyle name="悪い 2" xfId="127" xr:uid="{C07ACB36-C2BF-453A-9358-185F014B625E}"/>
    <cellStyle name="未定義" xfId="172" xr:uid="{733415D2-06C5-4E20-BD43-A9C469219456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良い" xfId="173" xr:uid="{2D3E2A06-6074-41F4-99C2-5D3C62694F78}"/>
    <cellStyle name="良い 2" xfId="174" xr:uid="{D9973607-A1A0-40E7-8692-32D6D593E18F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計算" xfId="130" xr:uid="{6F5C4C80-375F-4666-BF76-EEC04DC98C7E}"/>
    <cellStyle name="計算 2" xfId="131" xr:uid="{E8B34AE7-261B-4AB3-89B5-740B093C2CE1}"/>
    <cellStyle name="説明文" xfId="157" xr:uid="{BED0F12A-990A-42B1-8C98-78C437B3C0DF}"/>
    <cellStyle name="説明文 2" xfId="158" xr:uid="{E5858331-FB1E-4F78-9C33-1305E180D272}"/>
    <cellStyle name="警告文" xfId="132" xr:uid="{290E5CB7-DF2A-46B2-97C0-33601A355B30}"/>
    <cellStyle name="警告文 2" xfId="133" xr:uid="{15C1B7D8-F7FD-4606-BDE8-8DA46C2F32F4}"/>
    <cellStyle name="通貨 2" xfId="159" xr:uid="{31611A0E-4F07-4498-B4E0-FD7077369C25}"/>
    <cellStyle name="通貨 3" xfId="160" xr:uid="{9BB8D89F-F2F2-4F71-956E-F5CF14CB7534}"/>
    <cellStyle name="集計" xfId="152" xr:uid="{7FB6E6C0-34AB-449C-B42F-2B94261B1E38}"/>
    <cellStyle name="集計 2" xfId="153" xr:uid="{BFCDBC1E-CB3A-4179-9FDF-31D927DEE8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第2資材課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3.999999999996362E-2</v>
      </c>
      <c r="D13" s="133">
        <f t="shared" ref="D13:O13" si="3">SUM(D14:D65)</f>
        <v>4.0000000000190994E-2</v>
      </c>
      <c r="E13" s="133">
        <f t="shared" si="3"/>
        <v>3.999999999996362E-2</v>
      </c>
      <c r="F13" s="133">
        <f t="shared" si="3"/>
        <v>4.9999999999954525E-2</v>
      </c>
      <c r="G13" s="133">
        <f t="shared" si="3"/>
        <v>2.9999999999972715E-2</v>
      </c>
      <c r="H13" s="133">
        <f t="shared" si="3"/>
        <v>5.0000000000068212E-2</v>
      </c>
      <c r="I13" s="133">
        <f t="shared" si="3"/>
        <v>3.999999999996362E-2</v>
      </c>
      <c r="J13" s="133">
        <f t="shared" si="3"/>
        <v>4.0000000000077307E-2</v>
      </c>
      <c r="K13" s="133">
        <f t="shared" si="3"/>
        <v>3.0000000000086402E-2</v>
      </c>
      <c r="L13" s="133">
        <f t="shared" si="3"/>
        <v>5.0000000000068212E-2</v>
      </c>
      <c r="M13" s="133">
        <f t="shared" si="3"/>
        <v>4.0000000000077307E-2</v>
      </c>
      <c r="N13" s="133">
        <f t="shared" si="3"/>
        <v>4.9999999999954525E-2</v>
      </c>
      <c r="O13" s="133">
        <f t="shared" si="3"/>
        <v>0.50000000000727596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101.06</v>
      </c>
      <c r="D20" s="136">
        <f>ROUNDUP('採算表(VND)'!D20/$N$1,2)</f>
        <v>100.52000000000001</v>
      </c>
      <c r="E20" s="136">
        <f>ROUNDUP('採算表(VND)'!E20/$N$1,2)</f>
        <v>100.54</v>
      </c>
      <c r="F20" s="136">
        <f>ROUNDUP('採算表(VND)'!F20/$N$1,2)</f>
        <v>100.45</v>
      </c>
      <c r="G20" s="136">
        <f>ROUNDUP('採算表(VND)'!G20/$N$1,2)</f>
        <v>100.41000000000001</v>
      </c>
      <c r="H20" s="136">
        <f>ROUNDUP('採算表(VND)'!H20/$N$1,2)</f>
        <v>98.86</v>
      </c>
      <c r="I20" s="136">
        <f>ROUNDUP('採算表(VND)'!I20/$N$1,2)</f>
        <v>98.4</v>
      </c>
      <c r="J20" s="136">
        <f>ROUNDUP('採算表(VND)'!J20/$N$1,2)</f>
        <v>98.39</v>
      </c>
      <c r="K20" s="136">
        <f>ROUNDUP('採算表(VND)'!K20/$N$1,2)</f>
        <v>98.39</v>
      </c>
      <c r="L20" s="136">
        <f>ROUNDUP('採算表(VND)'!L20/$N$1,2)</f>
        <v>98.37</v>
      </c>
      <c r="M20" s="136">
        <f>ROUNDUP('採算表(VND)'!M20/$N$1,2)</f>
        <v>98.320000000000007</v>
      </c>
      <c r="N20" s="136">
        <f>ROUNDUP('採算表(VND)'!N20/$N$1,2)</f>
        <v>98.37</v>
      </c>
      <c r="O20" s="136">
        <f t="shared" si="4"/>
        <v>1192.08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3.8499999999999996</v>
      </c>
      <c r="D25" s="136">
        <f>ROUNDUP('採算表(VND)'!D25/$N$1,2)</f>
        <v>3.7199999999999998</v>
      </c>
      <c r="E25" s="136">
        <f>ROUNDUP('採算表(VND)'!E25/$N$1,2)</f>
        <v>4.05</v>
      </c>
      <c r="F25" s="136">
        <f>ROUNDUP('採算表(VND)'!F25/$N$1,2)</f>
        <v>4.3899999999999997</v>
      </c>
      <c r="G25" s="136">
        <f>ROUNDUP('採算表(VND)'!G25/$N$1,2)</f>
        <v>3.84</v>
      </c>
      <c r="H25" s="136">
        <f>ROUNDUP('採算表(VND)'!H25/$N$1,2)</f>
        <v>3.67</v>
      </c>
      <c r="I25" s="136">
        <f>ROUNDUP('採算表(VND)'!I25/$N$1,2)</f>
        <v>4.38</v>
      </c>
      <c r="J25" s="136">
        <f>ROUNDUP('採算表(VND)'!J25/$N$1,2)</f>
        <v>3.8499999999999996</v>
      </c>
      <c r="K25" s="136">
        <f>ROUNDUP('採算表(VND)'!K25/$N$1,2)</f>
        <v>4.21</v>
      </c>
      <c r="L25" s="136">
        <f>ROUNDUP('採算表(VND)'!L25/$N$1,2)</f>
        <v>3.8499999999999996</v>
      </c>
      <c r="M25" s="136">
        <f>ROUNDUP('採算表(VND)'!M25/$N$1,2)</f>
        <v>2.96</v>
      </c>
      <c r="N25" s="136">
        <f>ROUNDUP('採算表(VND)'!N25/$N$1,2)</f>
        <v>3.8499999999999996</v>
      </c>
      <c r="O25" s="136">
        <f t="shared" si="4"/>
        <v>46.62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659.71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659.71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37.419999999999995</v>
      </c>
      <c r="D28" s="136">
        <f>ROUNDUP('採算表(VND)'!D28/$N$1,2)</f>
        <v>0</v>
      </c>
      <c r="E28" s="136">
        <f>ROUNDUP('採算表(VND)'!E28/$N$1,2)</f>
        <v>17.330000000000002</v>
      </c>
      <c r="F28" s="136">
        <f>ROUNDUP('採算表(VND)'!F28/$N$1,2)</f>
        <v>61.75</v>
      </c>
      <c r="G28" s="136">
        <f>ROUNDUP('採算表(VND)'!G28/$N$1,2)</f>
        <v>173.29999999999998</v>
      </c>
      <c r="H28" s="136">
        <f>ROUNDUP('採算表(VND)'!H28/$N$1,2)</f>
        <v>0</v>
      </c>
      <c r="I28" s="136">
        <f>ROUNDUP('採算表(VND)'!I28/$N$1,2)</f>
        <v>34.659999999999997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324.45999999999992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29.270000000000003</v>
      </c>
      <c r="D30" s="136">
        <f>ROUNDUP('採算表(VND)'!D30/$N$1,2)</f>
        <v>30.05</v>
      </c>
      <c r="E30" s="136">
        <f>ROUNDUP('採算表(VND)'!E30/$N$1,2)</f>
        <v>36.1</v>
      </c>
      <c r="F30" s="136">
        <f>ROUNDUP('採算表(VND)'!F30/$N$1,2)</f>
        <v>41.12</v>
      </c>
      <c r="G30" s="136">
        <f>ROUNDUP('採算表(VND)'!G30/$N$1,2)</f>
        <v>39.919999999999995</v>
      </c>
      <c r="H30" s="136">
        <f>ROUNDUP('採算表(VND)'!H30/$N$1,2)</f>
        <v>35.979999999999997</v>
      </c>
      <c r="I30" s="136">
        <f>ROUNDUP('採算表(VND)'!I30/$N$1,2)</f>
        <v>34.699999999999996</v>
      </c>
      <c r="J30" s="136">
        <f>ROUNDUP('採算表(VND)'!J30/$N$1,2)</f>
        <v>34.14</v>
      </c>
      <c r="K30" s="136">
        <f>ROUNDUP('採算表(VND)'!K30/$N$1,2)</f>
        <v>33.94</v>
      </c>
      <c r="L30" s="136">
        <f>ROUNDUP('採算表(VND)'!L30/$N$1,2)</f>
        <v>29.650000000000002</v>
      </c>
      <c r="M30" s="136">
        <f>ROUNDUP('採算表(VND)'!M30/$N$1,2)</f>
        <v>26.39</v>
      </c>
      <c r="N30" s="136">
        <f>ROUNDUP('採算表(VND)'!N30/$N$1,2)</f>
        <v>25.16</v>
      </c>
      <c r="O30" s="136">
        <f t="shared" si="4"/>
        <v>396.41999999999996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11.08</v>
      </c>
      <c r="D39" s="136">
        <f>ROUNDUP('採算表(VND)'!D39/$N$1,2)</f>
        <v>11.12</v>
      </c>
      <c r="E39" s="136">
        <f>ROUNDUP('採算表(VND)'!E39/$N$1,2)</f>
        <v>11.47</v>
      </c>
      <c r="F39" s="136">
        <f>ROUNDUP('採算表(VND)'!F39/$N$1,2)</f>
        <v>10.5</v>
      </c>
      <c r="G39" s="136">
        <f>ROUNDUP('採算表(VND)'!G39/$N$1,2)</f>
        <v>10.220000000000001</v>
      </c>
      <c r="H39" s="136">
        <f>ROUNDUP('採算表(VND)'!H39/$N$1,2)</f>
        <v>9.77</v>
      </c>
      <c r="I39" s="136">
        <f>ROUNDUP('採算表(VND)'!I39/$N$1,2)</f>
        <v>9.35</v>
      </c>
      <c r="J39" s="136">
        <f>ROUNDUP('採算表(VND)'!J39/$N$1,2)</f>
        <v>9.23</v>
      </c>
      <c r="K39" s="136">
        <f>ROUNDUP('採算表(VND)'!K39/$N$1,2)</f>
        <v>9.26</v>
      </c>
      <c r="L39" s="136">
        <f>ROUNDUP('採算表(VND)'!L39/$N$1,2)</f>
        <v>8.86</v>
      </c>
      <c r="M39" s="136">
        <f>ROUNDUP('採算表(VND)'!M39/$N$1,2)</f>
        <v>8.39</v>
      </c>
      <c r="N39" s="136">
        <f>ROUNDUP('採算表(VND)'!N39/$N$1,2)</f>
        <v>8.7799999999999994</v>
      </c>
      <c r="O39" s="136">
        <f t="shared" si="4"/>
        <v>118.03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44.65</v>
      </c>
      <c r="D41" s="136">
        <f>ROUNDUP('採算表(VND)'!D41/$N$1,2)</f>
        <v>44.65</v>
      </c>
      <c r="E41" s="136">
        <f>ROUNDUP('採算表(VND)'!E41/$N$1,2)</f>
        <v>44.65</v>
      </c>
      <c r="F41" s="136">
        <f>ROUNDUP('採算表(VND)'!F41/$N$1,2)</f>
        <v>44.65</v>
      </c>
      <c r="G41" s="136">
        <f>ROUNDUP('採算表(VND)'!G41/$N$1,2)</f>
        <v>44.65</v>
      </c>
      <c r="H41" s="136">
        <f>ROUNDUP('採算表(VND)'!H41/$N$1,2)</f>
        <v>44.65</v>
      </c>
      <c r="I41" s="136">
        <f>ROUNDUP('採算表(VND)'!I41/$N$1,2)</f>
        <v>44.65</v>
      </c>
      <c r="J41" s="136">
        <f>ROUNDUP('採算表(VND)'!J41/$N$1,2)</f>
        <v>44.65</v>
      </c>
      <c r="K41" s="136">
        <f>ROUNDUP('採算表(VND)'!K41/$N$1,2)</f>
        <v>44.65</v>
      </c>
      <c r="L41" s="136">
        <f>ROUNDUP('採算表(VND)'!L41/$N$1,2)</f>
        <v>44.65</v>
      </c>
      <c r="M41" s="136">
        <f>ROUNDUP('採算表(VND)'!M41/$N$1,2)</f>
        <v>52.449999999999996</v>
      </c>
      <c r="N41" s="136">
        <f>ROUNDUP('採算表(VND)'!N41/$N$1,2)</f>
        <v>44.65</v>
      </c>
      <c r="O41" s="136">
        <f t="shared" si="4"/>
        <v>543.59999999999991</v>
      </c>
    </row>
    <row r="42" spans="1:15" ht="11.25" customHeight="1">
      <c r="A42" s="38"/>
      <c r="B42" s="37" t="s">
        <v>98</v>
      </c>
      <c r="C42" s="136">
        <f>ROUNDUP('採算表(VND)'!C42/$N$1,2)</f>
        <v>7387.75</v>
      </c>
      <c r="D42" s="136">
        <f>ROUNDUP('採算表(VND)'!D42/$N$1,2)</f>
        <v>467.52</v>
      </c>
      <c r="E42" s="136">
        <f>ROUNDUP('採算表(VND)'!E42/$N$1,2)</f>
        <v>467.52</v>
      </c>
      <c r="F42" s="136">
        <f>ROUNDUP('採算表(VND)'!F42/$N$1,2)</f>
        <v>467.52</v>
      </c>
      <c r="G42" s="136">
        <f>ROUNDUP('採算表(VND)'!G42/$N$1,2)</f>
        <v>467.52</v>
      </c>
      <c r="H42" s="136">
        <f>ROUNDUP('採算表(VND)'!H42/$N$1,2)</f>
        <v>467.52</v>
      </c>
      <c r="I42" s="136">
        <f>ROUNDUP('採算表(VND)'!I42/$N$1,2)</f>
        <v>467.52</v>
      </c>
      <c r="J42" s="136">
        <f>ROUNDUP('採算表(VND)'!J42/$N$1,2)</f>
        <v>467.67</v>
      </c>
      <c r="K42" s="136">
        <f>ROUNDUP('採算表(VND)'!K42/$N$1,2)</f>
        <v>467.52</v>
      </c>
      <c r="L42" s="136">
        <f>ROUNDUP('採算表(VND)'!L42/$N$1,2)</f>
        <v>467.52</v>
      </c>
      <c r="M42" s="136">
        <f>ROUNDUP('採算表(VND)'!M42/$N$1,2)</f>
        <v>467.52</v>
      </c>
      <c r="N42" s="136">
        <f>ROUNDUP('採算表(VND)'!N42/$N$1,2)</f>
        <v>467.52</v>
      </c>
      <c r="O42" s="136">
        <f t="shared" si="4"/>
        <v>12530.620000000004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163.38</v>
      </c>
      <c r="D44" s="136">
        <f>ROUNDUP('採算表(VND)'!D44/$N$1,2)</f>
        <v>441.65</v>
      </c>
      <c r="E44" s="136">
        <f>ROUNDUP('採算表(VND)'!E44/$N$1,2)</f>
        <v>29.180000000000003</v>
      </c>
      <c r="F44" s="136">
        <f>ROUNDUP('採算表(VND)'!F44/$N$1,2)</f>
        <v>44.94</v>
      </c>
      <c r="G44" s="136">
        <f>ROUNDUP('採算表(VND)'!G44/$N$1,2)</f>
        <v>44.669999999999995</v>
      </c>
      <c r="H44" s="136">
        <f>ROUNDUP('採算表(VND)'!H44/$N$1,2)</f>
        <v>61.3</v>
      </c>
      <c r="I44" s="136">
        <f>ROUNDUP('採算表(VND)'!I44/$N$1,2)</f>
        <v>41.089999999999996</v>
      </c>
      <c r="J44" s="136">
        <f>ROUNDUP('採算表(VND)'!J44/$N$1,2)</f>
        <v>52.91</v>
      </c>
      <c r="K44" s="136">
        <f>ROUNDUP('採算表(VND)'!K44/$N$1,2)</f>
        <v>61.61</v>
      </c>
      <c r="L44" s="136">
        <f>ROUNDUP('採算表(VND)'!L44/$N$1,2)</f>
        <v>30.07</v>
      </c>
      <c r="M44" s="136">
        <f>ROUNDUP('採算表(VND)'!M44/$N$1,2)</f>
        <v>111.32000000000001</v>
      </c>
      <c r="N44" s="136">
        <f>ROUNDUP('採算表(VND)'!N44/$N$1,2)</f>
        <v>25.23</v>
      </c>
      <c r="O44" s="136">
        <f t="shared" si="4"/>
        <v>1107.3499999999999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72.22</v>
      </c>
      <c r="D57" s="139">
        <f>ROUNDUP('採算表(VND)'!D57/$N$1,2)</f>
        <v>68.190000000000012</v>
      </c>
      <c r="E57" s="139">
        <f>ROUNDUP('採算表(VND)'!E57/$N$1,2)</f>
        <v>68.23</v>
      </c>
      <c r="F57" s="139">
        <f>ROUNDUP('採算表(VND)'!F57/$N$1,2)</f>
        <v>68.150000000000006</v>
      </c>
      <c r="G57" s="139">
        <f>ROUNDUP('採算表(VND)'!G57/$N$1,2)</f>
        <v>68.13000000000001</v>
      </c>
      <c r="H57" s="139">
        <f>ROUNDUP('採算表(VND)'!H57/$N$1,2)</f>
        <v>67.08</v>
      </c>
      <c r="I57" s="139">
        <f>ROUNDUP('採算表(VND)'!I57/$N$1,2)</f>
        <v>66.77000000000001</v>
      </c>
      <c r="J57" s="139">
        <f>ROUNDUP('採算表(VND)'!J57/$N$1,2)</f>
        <v>66.760000000000005</v>
      </c>
      <c r="K57" s="139">
        <f>ROUNDUP('採算表(VND)'!K57/$N$1,2)</f>
        <v>66.77000000000001</v>
      </c>
      <c r="L57" s="139">
        <f>ROUNDUP('採算表(VND)'!L57/$N$1,2)</f>
        <v>66.75</v>
      </c>
      <c r="M57" s="139">
        <f>ROUNDUP('採算表(VND)'!M57/$N$1,2)</f>
        <v>66.690000000000012</v>
      </c>
      <c r="N57" s="139">
        <f>ROUNDUP('採算表(VND)'!N57/$N$1,2)</f>
        <v>66.75</v>
      </c>
      <c r="O57" s="139">
        <f t="shared" si="4"/>
        <v>812.49000000000012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-7850.64</v>
      </c>
      <c r="D63" s="139">
        <f>ROUNDUP('採算表(VND)'!D63/$N$1,2)</f>
        <v>-1827.09</v>
      </c>
      <c r="E63" s="139">
        <f>ROUNDUP('採算表(VND)'!E63/$N$1,2)</f>
        <v>-779.03</v>
      </c>
      <c r="F63" s="139">
        <f>ROUNDUP('採算表(VND)'!F63/$N$1,2)</f>
        <v>-843.42</v>
      </c>
      <c r="G63" s="139">
        <f>ROUNDUP('採算表(VND)'!G63/$N$1,2)</f>
        <v>-952.63</v>
      </c>
      <c r="H63" s="139">
        <f>ROUNDUP('採算表(VND)'!H63/$N$1,2)</f>
        <v>-788.78</v>
      </c>
      <c r="I63" s="139">
        <f>ROUNDUP('採算表(VND)'!I63/$N$1,2)</f>
        <v>-801.48</v>
      </c>
      <c r="J63" s="139">
        <f>ROUNDUP('採算表(VND)'!J63/$N$1,2)</f>
        <v>-777.56</v>
      </c>
      <c r="K63" s="139">
        <f>ROUNDUP('採算表(VND)'!K63/$N$1,2)</f>
        <v>-786.31999999999994</v>
      </c>
      <c r="L63" s="139">
        <f>ROUNDUP('採算表(VND)'!L63/$N$1,2)</f>
        <v>-749.67</v>
      </c>
      <c r="M63" s="139">
        <f>ROUNDUP('採算表(VND)'!M63/$N$1,2)</f>
        <v>-834</v>
      </c>
      <c r="N63" s="139">
        <f>ROUNDUP('採算表(VND)'!N63/$N$1,2)</f>
        <v>-740.26</v>
      </c>
      <c r="O63" s="139">
        <f t="shared" si="4"/>
        <v>-17730.879999999997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-3.999999999996362E-2</v>
      </c>
      <c r="D66" s="134">
        <f t="shared" ref="D66:O66" si="5">IF(ISBLANK(D4),"",D12-D13)</f>
        <v>-4.0000000000190994E-2</v>
      </c>
      <c r="E66" s="134">
        <f t="shared" si="5"/>
        <v>-3.999999999996362E-2</v>
      </c>
      <c r="F66" s="134">
        <f t="shared" si="5"/>
        <v>-4.9999999999954525E-2</v>
      </c>
      <c r="G66" s="134">
        <f t="shared" si="5"/>
        <v>-2.9999999999972715E-2</v>
      </c>
      <c r="H66" s="134">
        <f t="shared" si="5"/>
        <v>-5.0000000000068212E-2</v>
      </c>
      <c r="I66" s="134">
        <f t="shared" si="5"/>
        <v>-3.999999999996362E-2</v>
      </c>
      <c r="J66" s="134">
        <f t="shared" si="5"/>
        <v>-4.0000000000077307E-2</v>
      </c>
      <c r="K66" s="134">
        <f t="shared" si="5"/>
        <v>-3.0000000000086402E-2</v>
      </c>
      <c r="L66" s="134">
        <f t="shared" si="5"/>
        <v>-5.0000000000068212E-2</v>
      </c>
      <c r="M66" s="134">
        <f t="shared" si="5"/>
        <v>-4.0000000000077307E-2</v>
      </c>
      <c r="N66" s="134">
        <f t="shared" si="5"/>
        <v>-4.9999999999954525E-2</v>
      </c>
      <c r="O66" s="134">
        <f t="shared" si="5"/>
        <v>-0.50000000000727596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804.5</v>
      </c>
      <c r="D68" s="135">
        <f>'採算表(VND)'!D68</f>
        <v>763</v>
      </c>
      <c r="E68" s="135">
        <f>'採算表(VND)'!E68</f>
        <v>834</v>
      </c>
      <c r="F68" s="135">
        <f>'採算表(VND)'!F68</f>
        <v>935</v>
      </c>
      <c r="G68" s="135">
        <f>'採算表(VND)'!G68</f>
        <v>807.5</v>
      </c>
      <c r="H68" s="135">
        <f>'採算表(VND)'!H68</f>
        <v>799</v>
      </c>
      <c r="I68" s="135">
        <f>'採算表(VND)'!I68</f>
        <v>952</v>
      </c>
      <c r="J68" s="135">
        <f>'採算表(VND)'!J68</f>
        <v>824.5</v>
      </c>
      <c r="K68" s="135">
        <f>'採算表(VND)'!K68</f>
        <v>926.5</v>
      </c>
      <c r="L68" s="135">
        <f>'採算表(VND)'!L68</f>
        <v>824.5</v>
      </c>
      <c r="M68" s="135">
        <f>'採算表(VND)'!M68</f>
        <v>578</v>
      </c>
      <c r="N68" s="135">
        <f>'採算表(VND)'!N68</f>
        <v>807.5</v>
      </c>
      <c r="O68" s="135">
        <f>SUM(C68:N68)</f>
        <v>9856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-804.5</v>
      </c>
      <c r="D71" s="140">
        <f>'採算表(VND)'!D71</f>
        <v>-763</v>
      </c>
      <c r="E71" s="140">
        <f>'採算表(VND)'!E71</f>
        <v>-834</v>
      </c>
      <c r="F71" s="140">
        <f>'採算表(VND)'!F71</f>
        <v>-935</v>
      </c>
      <c r="G71" s="140">
        <f>'採算表(VND)'!G71</f>
        <v>-807.5</v>
      </c>
      <c r="H71" s="140">
        <f>'採算表(VND)'!H71</f>
        <v>-799</v>
      </c>
      <c r="I71" s="140">
        <f>'採算表(VND)'!I71</f>
        <v>-952</v>
      </c>
      <c r="J71" s="140">
        <f>'採算表(VND)'!J71</f>
        <v>-824.5</v>
      </c>
      <c r="K71" s="140">
        <f>'採算表(VND)'!K71</f>
        <v>-926.5</v>
      </c>
      <c r="L71" s="140">
        <f>'採算表(VND)'!L71</f>
        <v>-824.5</v>
      </c>
      <c r="M71" s="140">
        <f>'採算表(VND)'!M71</f>
        <v>-578</v>
      </c>
      <c r="N71" s="140">
        <f>'採算表(VND)'!N71</f>
        <v>-807.5</v>
      </c>
      <c r="O71" s="140">
        <f>SUM(C71:N71)</f>
        <v>-9856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76</v>
      </c>
      <c r="D74" s="135">
        <f>'採算表(VND)'!D74</f>
        <v>72</v>
      </c>
      <c r="E74" s="135">
        <f>'採算表(VND)'!E74</f>
        <v>78</v>
      </c>
      <c r="F74" s="135">
        <f>'採算表(VND)'!F74</f>
        <v>86</v>
      </c>
      <c r="G74" s="135">
        <f>'採算表(VND)'!G74</f>
        <v>74</v>
      </c>
      <c r="H74" s="135">
        <f>'採算表(VND)'!H74</f>
        <v>74</v>
      </c>
      <c r="I74" s="135">
        <f>'採算表(VND)'!I74</f>
        <v>88</v>
      </c>
      <c r="J74" s="135">
        <f>'採算表(VND)'!J74</f>
        <v>76</v>
      </c>
      <c r="K74" s="135">
        <f>'採算表(VND)'!K74</f>
        <v>86</v>
      </c>
      <c r="L74" s="135">
        <f>'採算表(VND)'!L74</f>
        <v>76</v>
      </c>
      <c r="M74" s="135">
        <f>'採算表(VND)'!M74</f>
        <v>48</v>
      </c>
      <c r="N74" s="135">
        <f>'採算表(VND)'!N74</f>
        <v>74</v>
      </c>
      <c r="O74" s="135">
        <f>SUM(C74:N74)</f>
        <v>908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-76</v>
      </c>
      <c r="D77" s="140">
        <f>'採算表(VND)'!D77</f>
        <v>-72</v>
      </c>
      <c r="E77" s="140">
        <f>'採算表(VND)'!E77</f>
        <v>-78</v>
      </c>
      <c r="F77" s="140">
        <f>'採算表(VND)'!F77</f>
        <v>-86</v>
      </c>
      <c r="G77" s="140">
        <f>'採算表(VND)'!G77</f>
        <v>-74</v>
      </c>
      <c r="H77" s="140">
        <f>'採算表(VND)'!H77</f>
        <v>-74</v>
      </c>
      <c r="I77" s="140">
        <f>'採算表(VND)'!I77</f>
        <v>-88</v>
      </c>
      <c r="J77" s="140">
        <f>'採算表(VND)'!J77</f>
        <v>-76</v>
      </c>
      <c r="K77" s="140">
        <f>'採算表(VND)'!K77</f>
        <v>-86</v>
      </c>
      <c r="L77" s="140">
        <f>'採算表(VND)'!L77</f>
        <v>-76</v>
      </c>
      <c r="M77" s="140">
        <f>'採算表(VND)'!M77</f>
        <v>-48</v>
      </c>
      <c r="N77" s="140">
        <f>'採算表(VND)'!N77</f>
        <v>-74</v>
      </c>
      <c r="O77" s="140">
        <f>SUM(C77:N77)</f>
        <v>-908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4</v>
      </c>
      <c r="D88" s="150">
        <f>'採算表(VND)'!D88</f>
        <v>4</v>
      </c>
      <c r="E88" s="150">
        <f>'採算表(VND)'!E88</f>
        <v>4</v>
      </c>
      <c r="F88" s="150">
        <f>'採算表(VND)'!F88</f>
        <v>4</v>
      </c>
      <c r="G88" s="150">
        <f>'採算表(VND)'!G88</f>
        <v>4</v>
      </c>
      <c r="H88" s="150">
        <f>'採算表(VND)'!H88</f>
        <v>4</v>
      </c>
      <c r="I88" s="150">
        <f>'採算表(VND)'!I88</f>
        <v>4</v>
      </c>
      <c r="J88" s="150">
        <f>'採算表(VND)'!J88</f>
        <v>4</v>
      </c>
      <c r="K88" s="150">
        <f>'採算表(VND)'!K88</f>
        <v>4</v>
      </c>
      <c r="L88" s="150">
        <f>'採算表(VND)'!L88</f>
        <v>4</v>
      </c>
      <c r="M88" s="150">
        <f>'採算表(VND)'!M88</f>
        <v>4</v>
      </c>
      <c r="N88" s="150">
        <f>'採算表(VND)'!N88</f>
        <v>4</v>
      </c>
      <c r="O88" s="150">
        <f>SUM(C88:N88)</f>
        <v>48</v>
      </c>
    </row>
    <row r="89" spans="1:15">
      <c r="A89" s="44"/>
      <c r="B89" s="60" t="s">
        <v>18</v>
      </c>
      <c r="C89" s="151">
        <f t="shared" ref="C89:O89" si="11">C87+C88</f>
        <v>5</v>
      </c>
      <c r="D89" s="151">
        <f t="shared" si="11"/>
        <v>5</v>
      </c>
      <c r="E89" s="151">
        <f t="shared" si="11"/>
        <v>5</v>
      </c>
      <c r="F89" s="151">
        <f t="shared" si="11"/>
        <v>5</v>
      </c>
      <c r="G89" s="151">
        <f t="shared" si="11"/>
        <v>5</v>
      </c>
      <c r="H89" s="151">
        <f t="shared" si="11"/>
        <v>5</v>
      </c>
      <c r="I89" s="151">
        <f t="shared" si="11"/>
        <v>5</v>
      </c>
      <c r="J89" s="151">
        <f t="shared" si="11"/>
        <v>5</v>
      </c>
      <c r="K89" s="151">
        <f t="shared" si="11"/>
        <v>5</v>
      </c>
      <c r="L89" s="151">
        <f t="shared" si="11"/>
        <v>5</v>
      </c>
      <c r="M89" s="151">
        <f t="shared" si="11"/>
        <v>5</v>
      </c>
      <c r="N89" s="151">
        <f t="shared" si="11"/>
        <v>5</v>
      </c>
      <c r="O89" s="151">
        <f t="shared" si="11"/>
        <v>60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161.5</v>
      </c>
      <c r="D92" s="133">
        <f>'採算表(VND)'!D92</f>
        <v>153</v>
      </c>
      <c r="E92" s="133">
        <f>'採算表(VND)'!E92</f>
        <v>170</v>
      </c>
      <c r="F92" s="133">
        <f>'採算表(VND)'!F92</f>
        <v>187</v>
      </c>
      <c r="G92" s="133">
        <f>'採算表(VND)'!G92</f>
        <v>161.5</v>
      </c>
      <c r="H92" s="133">
        <f>'採算表(VND)'!H92</f>
        <v>153</v>
      </c>
      <c r="I92" s="133">
        <f>'採算表(VND)'!I92</f>
        <v>187</v>
      </c>
      <c r="J92" s="133">
        <f>'採算表(VND)'!J92</f>
        <v>161.5</v>
      </c>
      <c r="K92" s="133">
        <f>'採算表(VND)'!K92</f>
        <v>178.5</v>
      </c>
      <c r="L92" s="133">
        <f>'採算表(VND)'!L92</f>
        <v>161.5</v>
      </c>
      <c r="M92" s="133">
        <f>'採算表(VND)'!M92</f>
        <v>85</v>
      </c>
      <c r="N92" s="133">
        <f>'採算表(VND)'!N92</f>
        <v>161.5</v>
      </c>
      <c r="O92" s="133">
        <f>SUM(C92:N92)</f>
        <v>1921</v>
      </c>
    </row>
    <row r="93" spans="1:15">
      <c r="B93" s="59" t="s">
        <v>325</v>
      </c>
      <c r="C93" s="133">
        <f>'採算表(VND)'!C93</f>
        <v>643</v>
      </c>
      <c r="D93" s="133">
        <f>'採算表(VND)'!D93</f>
        <v>610</v>
      </c>
      <c r="E93" s="133">
        <f>'採算表(VND)'!E93</f>
        <v>664</v>
      </c>
      <c r="F93" s="133">
        <f>'採算表(VND)'!F93</f>
        <v>748</v>
      </c>
      <c r="G93" s="133">
        <f>'採算表(VND)'!G93</f>
        <v>646</v>
      </c>
      <c r="H93" s="133">
        <f>'採算表(VND)'!H93</f>
        <v>646</v>
      </c>
      <c r="I93" s="133">
        <f>'採算表(VND)'!I93</f>
        <v>765</v>
      </c>
      <c r="J93" s="133">
        <f>'採算表(VND)'!J93</f>
        <v>663</v>
      </c>
      <c r="K93" s="133">
        <f>'採算表(VND)'!K93</f>
        <v>748</v>
      </c>
      <c r="L93" s="133">
        <f>'採算表(VND)'!L93</f>
        <v>663</v>
      </c>
      <c r="M93" s="133">
        <f>'採算表(VND)'!M93</f>
        <v>493</v>
      </c>
      <c r="N93" s="133">
        <f>'採算表(VND)'!N93</f>
        <v>646</v>
      </c>
      <c r="O93" s="133">
        <f>SUM(C93:N93)</f>
        <v>7935</v>
      </c>
    </row>
    <row r="94" spans="1:15">
      <c r="B94" s="61" t="s">
        <v>18</v>
      </c>
      <c r="C94" s="147">
        <f t="shared" ref="C94:O94" si="12">C92+C93</f>
        <v>804.5</v>
      </c>
      <c r="D94" s="147">
        <f t="shared" si="12"/>
        <v>763</v>
      </c>
      <c r="E94" s="147">
        <f t="shared" si="12"/>
        <v>834</v>
      </c>
      <c r="F94" s="147">
        <f t="shared" si="12"/>
        <v>935</v>
      </c>
      <c r="G94" s="147">
        <f t="shared" si="12"/>
        <v>807.5</v>
      </c>
      <c r="H94" s="147">
        <f t="shared" si="12"/>
        <v>799</v>
      </c>
      <c r="I94" s="147">
        <f t="shared" si="12"/>
        <v>952</v>
      </c>
      <c r="J94" s="147">
        <f t="shared" si="12"/>
        <v>824.5</v>
      </c>
      <c r="K94" s="147">
        <f t="shared" si="12"/>
        <v>926.5</v>
      </c>
      <c r="L94" s="147">
        <f t="shared" si="12"/>
        <v>824.5</v>
      </c>
      <c r="M94" s="147">
        <f t="shared" si="12"/>
        <v>578</v>
      </c>
      <c r="N94" s="147">
        <f t="shared" si="12"/>
        <v>807.5</v>
      </c>
      <c r="O94" s="147">
        <f t="shared" si="12"/>
        <v>9856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38</v>
      </c>
      <c r="D97" s="133">
        <f>'採算表(VND)'!D97</f>
        <v>36</v>
      </c>
      <c r="E97" s="133">
        <f>'採算表(VND)'!E97</f>
        <v>40</v>
      </c>
      <c r="F97" s="133">
        <f>'採算表(VND)'!F97</f>
        <v>44</v>
      </c>
      <c r="G97" s="133">
        <f>'採算表(VND)'!G97</f>
        <v>38</v>
      </c>
      <c r="H97" s="133">
        <f>'採算表(VND)'!H97</f>
        <v>36</v>
      </c>
      <c r="I97" s="133">
        <f>'採算表(VND)'!I97</f>
        <v>44</v>
      </c>
      <c r="J97" s="133">
        <f>'採算表(VND)'!J97</f>
        <v>38</v>
      </c>
      <c r="K97" s="133">
        <f>'採算表(VND)'!K97</f>
        <v>42</v>
      </c>
      <c r="L97" s="133">
        <f>'採算表(VND)'!L97</f>
        <v>38</v>
      </c>
      <c r="M97" s="133">
        <f>'採算表(VND)'!M97</f>
        <v>20</v>
      </c>
      <c r="N97" s="133">
        <f>'採算表(VND)'!N97</f>
        <v>38</v>
      </c>
      <c r="O97" s="133">
        <f>SUM(C97:N97)</f>
        <v>452</v>
      </c>
    </row>
    <row r="98" spans="2:15">
      <c r="B98" s="59" t="s">
        <v>327</v>
      </c>
      <c r="C98" s="133">
        <f>'採算表(VND)'!C98</f>
        <v>38</v>
      </c>
      <c r="D98" s="133">
        <f>'採算表(VND)'!D98</f>
        <v>36</v>
      </c>
      <c r="E98" s="133">
        <f>'採算表(VND)'!E98</f>
        <v>38</v>
      </c>
      <c r="F98" s="133">
        <f>'採算表(VND)'!F98</f>
        <v>42</v>
      </c>
      <c r="G98" s="133">
        <f>'採算表(VND)'!G98</f>
        <v>36</v>
      </c>
      <c r="H98" s="133">
        <f>'採算表(VND)'!H98</f>
        <v>38</v>
      </c>
      <c r="I98" s="133">
        <f>'採算表(VND)'!I98</f>
        <v>44</v>
      </c>
      <c r="J98" s="133">
        <f>'採算表(VND)'!J98</f>
        <v>38</v>
      </c>
      <c r="K98" s="133">
        <f>'採算表(VND)'!K98</f>
        <v>44</v>
      </c>
      <c r="L98" s="133">
        <f>'採算表(VND)'!L98</f>
        <v>38</v>
      </c>
      <c r="M98" s="133">
        <f>'採算表(VND)'!M98</f>
        <v>28</v>
      </c>
      <c r="N98" s="133">
        <f>'採算表(VND)'!N98</f>
        <v>36</v>
      </c>
      <c r="O98" s="133">
        <f>SUM(C98:N98)</f>
        <v>456</v>
      </c>
    </row>
    <row r="99" spans="2:15">
      <c r="B99" s="61" t="s">
        <v>18</v>
      </c>
      <c r="C99" s="147">
        <f t="shared" ref="C99:O99" si="13">C97+C98</f>
        <v>76</v>
      </c>
      <c r="D99" s="147">
        <f t="shared" si="13"/>
        <v>72</v>
      </c>
      <c r="E99" s="147">
        <f t="shared" si="13"/>
        <v>78</v>
      </c>
      <c r="F99" s="147">
        <f t="shared" si="13"/>
        <v>86</v>
      </c>
      <c r="G99" s="147">
        <f t="shared" si="13"/>
        <v>74</v>
      </c>
      <c r="H99" s="147">
        <f t="shared" si="13"/>
        <v>74</v>
      </c>
      <c r="I99" s="147">
        <f t="shared" si="13"/>
        <v>88</v>
      </c>
      <c r="J99" s="147">
        <f t="shared" si="13"/>
        <v>76</v>
      </c>
      <c r="K99" s="147">
        <f t="shared" si="13"/>
        <v>86</v>
      </c>
      <c r="L99" s="147">
        <f t="shared" si="13"/>
        <v>76</v>
      </c>
      <c r="M99" s="147">
        <f t="shared" si="13"/>
        <v>48</v>
      </c>
      <c r="N99" s="147">
        <f t="shared" si="13"/>
        <v>74</v>
      </c>
      <c r="O99" s="147">
        <f t="shared" si="13"/>
        <v>908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第2資材課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SUMIF('内訳ﾘｽﾄ(4～3月)'!$D$26:$D$999,'採算表(VND)'!$B6,'内訳ﾘｽﾄ(4～3月)'!F$26:F$999)</f>
        <v>0</v>
      </c>
      <c r="D6" s="153">
        <f>SUMIF('内訳ﾘｽﾄ(4～3月)'!$D$26:$D$999,'採算表(VND)'!$B6,'内訳ﾘｽﾄ(4～3月)'!G$26:G$999)</f>
        <v>0</v>
      </c>
      <c r="E6" s="153">
        <f>SUMIF('内訳ﾘｽﾄ(4～3月)'!$D$26:$D$999,'採算表(VND)'!$B6,'内訳ﾘｽﾄ(4～3月)'!H$26:H$999)</f>
        <v>0</v>
      </c>
      <c r="F6" s="153">
        <f>SUMIF('内訳ﾘｽﾄ(4～3月)'!$D$26:$D$999,'採算表(VND)'!$B6,'内訳ﾘｽﾄ(4～3月)'!I$26:I$999)</f>
        <v>0</v>
      </c>
      <c r="G6" s="153">
        <f>SUMIF('内訳ﾘｽﾄ(4～3月)'!$D$26:$D$999,'採算表(VND)'!$B6,'内訳ﾘｽﾄ(4～3月)'!J$26:J$999)</f>
        <v>0</v>
      </c>
      <c r="H6" s="153">
        <f>SUMIF('内訳ﾘｽﾄ(4～3月)'!$D$26:$D$999,'採算表(VND)'!$B6,'内訳ﾘｽﾄ(4～3月)'!K$26:K$999)</f>
        <v>0</v>
      </c>
      <c r="I6" s="153">
        <f>SUMIF('内訳ﾘｽﾄ(4～3月)'!$D$26:$D$999,'採算表(VND)'!$B6,'内訳ﾘｽﾄ(4～3月)'!L$26:L$999)</f>
        <v>0</v>
      </c>
      <c r="J6" s="153">
        <f>SUMIF('内訳ﾘｽﾄ(4～3月)'!$D$26:$D$999,'採算表(VND)'!$B6,'内訳ﾘｽﾄ(4～3月)'!M$26:M$999)</f>
        <v>0</v>
      </c>
      <c r="K6" s="153">
        <f>SUMIF('内訳ﾘｽﾄ(4～3月)'!$D$26:$D$999,'採算表(VND)'!$B6,'内訳ﾘｽﾄ(4～3月)'!N$26:N$999)</f>
        <v>0</v>
      </c>
      <c r="L6" s="153">
        <f>SUMIF('内訳ﾘｽﾄ(4～3月)'!$D$26:$D$999,'採算表(VND)'!$B6,'内訳ﾘｽﾄ(4～3月)'!O$26:O$999)</f>
        <v>0</v>
      </c>
      <c r="M6" s="153">
        <f>SUMIF('内訳ﾘｽﾄ(4～3月)'!$D$26:$D$999,'採算表(VND)'!$B6,'内訳ﾘｽﾄ(4～3月)'!P$26:P$999)</f>
        <v>0</v>
      </c>
      <c r="N6" s="153">
        <f>SUMIF('内訳ﾘｽﾄ(4～3月)'!$D$26:$D$999,'採算表(VND)'!$B6,'内訳ﾘｽﾄ(4～3月)'!Q$26:Q$999)</f>
        <v>0</v>
      </c>
      <c r="O6" s="153">
        <f>SUMIF('内訳ﾘｽﾄ(4～3月)'!$D$26:$D$798,'採算表(VND)'!$B6,'内訳ﾘｽﾄ(4～3月)'!R$26:R$798)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SUMIF('内訳ﾘｽﾄ(4～3月)'!$D$26:$D$999,'採算表(VND)'!$B7,'内訳ﾘｽﾄ(4～3月)'!F$26:F$999)</f>
        <v>0</v>
      </c>
      <c r="D7" s="154">
        <f>SUMIF('内訳ﾘｽﾄ(4～3月)'!$D$26:$D$999,'採算表(VND)'!$B7,'内訳ﾘｽﾄ(4～3月)'!G$26:G$999)</f>
        <v>0</v>
      </c>
      <c r="E7" s="154">
        <f>SUMIF('内訳ﾘｽﾄ(4～3月)'!$D$26:$D$999,'採算表(VND)'!$B7,'内訳ﾘｽﾄ(4～3月)'!H$26:H$999)</f>
        <v>0</v>
      </c>
      <c r="F7" s="154">
        <f>SUMIF('内訳ﾘｽﾄ(4～3月)'!$D$26:$D$999,'採算表(VND)'!$B7,'内訳ﾘｽﾄ(4～3月)'!I$26:I$999)</f>
        <v>0</v>
      </c>
      <c r="G7" s="154">
        <f>SUMIF('内訳ﾘｽﾄ(4～3月)'!$D$26:$D$999,'採算表(VND)'!$B7,'内訳ﾘｽﾄ(4～3月)'!J$26:J$999)</f>
        <v>0</v>
      </c>
      <c r="H7" s="154">
        <f>SUMIF('内訳ﾘｽﾄ(4～3月)'!$D$26:$D$999,'採算表(VND)'!$B7,'内訳ﾘｽﾄ(4～3月)'!K$26:K$999)</f>
        <v>0</v>
      </c>
      <c r="I7" s="154">
        <f>SUMIF('内訳ﾘｽﾄ(4～3月)'!$D$26:$D$999,'採算表(VND)'!$B7,'内訳ﾘｽﾄ(4～3月)'!L$26:L$999)</f>
        <v>0</v>
      </c>
      <c r="J7" s="154">
        <f>SUMIF('内訳ﾘｽﾄ(4～3月)'!$D$26:$D$999,'採算表(VND)'!$B7,'内訳ﾘｽﾄ(4～3月)'!M$26:M$999)</f>
        <v>0</v>
      </c>
      <c r="K7" s="154">
        <f>SUMIF('内訳ﾘｽﾄ(4～3月)'!$D$26:$D$999,'採算表(VND)'!$B7,'内訳ﾘｽﾄ(4～3月)'!N$26:N$999)</f>
        <v>0</v>
      </c>
      <c r="L7" s="154">
        <f>SUMIF('内訳ﾘｽﾄ(4～3月)'!$D$26:$D$999,'採算表(VND)'!$B7,'内訳ﾘｽﾄ(4～3月)'!O$26:O$999)</f>
        <v>0</v>
      </c>
      <c r="M7" s="154">
        <f>SUMIF('内訳ﾘｽﾄ(4～3月)'!$D$26:$D$999,'採算表(VND)'!$B7,'内訳ﾘｽﾄ(4～3月)'!P$26:P$999)</f>
        <v>0</v>
      </c>
      <c r="N7" s="154">
        <f>SUMIF('内訳ﾘｽﾄ(4～3月)'!$D$26:$D$999,'採算表(VND)'!$B7,'内訳ﾘｽﾄ(4～3月)'!Q$26:Q$999)</f>
        <v>0</v>
      </c>
      <c r="O7" s="154">
        <f>SUMIF('内訳ﾘｽﾄ(4～3月)'!$D$26:$D$798,'採算表(VND)'!$B7,'内訳ﾘｽﾄ(4～3月)'!R$26:R$798)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SUMIF('内訳ﾘｽﾄ(4～3月)'!$D$26:$D$999,'採算表(VND)'!$B9,'内訳ﾘｽﾄ(4～3月)'!F$26:F$999)</f>
        <v>0</v>
      </c>
      <c r="D9" s="150">
        <f>SUMIF('内訳ﾘｽﾄ(4～3月)'!$D$26:$D$999,'採算表(VND)'!$B9,'内訳ﾘｽﾄ(4～3月)'!G$26:G$999)</f>
        <v>0</v>
      </c>
      <c r="E9" s="150">
        <f>SUMIF('内訳ﾘｽﾄ(4～3月)'!$D$26:$D$999,'採算表(VND)'!$B9,'内訳ﾘｽﾄ(4～3月)'!H$26:H$999)</f>
        <v>0</v>
      </c>
      <c r="F9" s="150">
        <f>SUMIF('内訳ﾘｽﾄ(4～3月)'!$D$26:$D$999,'採算表(VND)'!$B9,'内訳ﾘｽﾄ(4～3月)'!I$26:I$999)</f>
        <v>0</v>
      </c>
      <c r="G9" s="150">
        <f>SUMIF('内訳ﾘｽﾄ(4～3月)'!$D$26:$D$999,'採算表(VND)'!$B9,'内訳ﾘｽﾄ(4～3月)'!J$26:J$999)</f>
        <v>0</v>
      </c>
      <c r="H9" s="150">
        <f>SUMIF('内訳ﾘｽﾄ(4～3月)'!$D$26:$D$999,'採算表(VND)'!$B9,'内訳ﾘｽﾄ(4～3月)'!K$26:K$999)</f>
        <v>0</v>
      </c>
      <c r="I9" s="150">
        <f>SUMIF('内訳ﾘｽﾄ(4～3月)'!$D$26:$D$999,'採算表(VND)'!$B9,'内訳ﾘｽﾄ(4～3月)'!L$26:L$999)</f>
        <v>0</v>
      </c>
      <c r="J9" s="150">
        <f>SUMIF('内訳ﾘｽﾄ(4～3月)'!$D$26:$D$999,'採算表(VND)'!$B9,'内訳ﾘｽﾄ(4～3月)'!M$26:M$999)</f>
        <v>0</v>
      </c>
      <c r="K9" s="150">
        <f>SUMIF('内訳ﾘｽﾄ(4～3月)'!$D$26:$D$999,'採算表(VND)'!$B9,'内訳ﾘｽﾄ(4～3月)'!N$26:N$999)</f>
        <v>0</v>
      </c>
      <c r="L9" s="150">
        <f>SUMIF('内訳ﾘｽﾄ(4～3月)'!$D$26:$D$999,'採算表(VND)'!$B9,'内訳ﾘｽﾄ(4～3月)'!O$26:O$999)</f>
        <v>0</v>
      </c>
      <c r="M9" s="150">
        <f>SUMIF('内訳ﾘｽﾄ(4～3月)'!$D$26:$D$999,'採算表(VND)'!$B9,'内訳ﾘｽﾄ(4～3月)'!P$26:P$999)</f>
        <v>0</v>
      </c>
      <c r="N9" s="150">
        <f>SUMIF('内訳ﾘｽﾄ(4～3月)'!$D$26:$D$999,'採算表(VND)'!$B9,'内訳ﾘｽﾄ(4～3月)'!Q$26:Q$999)</f>
        <v>0</v>
      </c>
      <c r="O9" s="150">
        <f>SUMIF('内訳ﾘｽﾄ(4～3月)'!$D$26:$D$798,'採算表(VND)'!$B9,'内訳ﾘｽﾄ(4～3月)'!R$26:R$798)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SUMIF('内訳ﾘｽﾄ(4～3月)'!$D$26:$D$999,'採算表(VND)'!$B10,'内訳ﾘｽﾄ(4～3月)'!F$26:F$999)</f>
        <v>0</v>
      </c>
      <c r="D10" s="150">
        <f>SUMIF('内訳ﾘｽﾄ(4～3月)'!$D$26:$D$999,'採算表(VND)'!$B10,'内訳ﾘｽﾄ(4～3月)'!G$26:G$999)</f>
        <v>0</v>
      </c>
      <c r="E10" s="150">
        <f>SUMIF('内訳ﾘｽﾄ(4～3月)'!$D$26:$D$999,'採算表(VND)'!$B10,'内訳ﾘｽﾄ(4～3月)'!H$26:H$999)</f>
        <v>0</v>
      </c>
      <c r="F10" s="150">
        <f>SUMIF('内訳ﾘｽﾄ(4～3月)'!$D$26:$D$999,'採算表(VND)'!$B10,'内訳ﾘｽﾄ(4～3月)'!I$26:I$999)</f>
        <v>0</v>
      </c>
      <c r="G10" s="150">
        <f>SUMIF('内訳ﾘｽﾄ(4～3月)'!$D$26:$D$999,'採算表(VND)'!$B10,'内訳ﾘｽﾄ(4～3月)'!J$26:J$999)</f>
        <v>0</v>
      </c>
      <c r="H10" s="150">
        <f>SUMIF('内訳ﾘｽﾄ(4～3月)'!$D$26:$D$999,'採算表(VND)'!$B10,'内訳ﾘｽﾄ(4～3月)'!K$26:K$999)</f>
        <v>0</v>
      </c>
      <c r="I10" s="150">
        <f>SUMIF('内訳ﾘｽﾄ(4～3月)'!$D$26:$D$999,'採算表(VND)'!$B10,'内訳ﾘｽﾄ(4～3月)'!L$26:L$999)</f>
        <v>0</v>
      </c>
      <c r="J10" s="150">
        <f>SUMIF('内訳ﾘｽﾄ(4～3月)'!$D$26:$D$999,'採算表(VND)'!$B10,'内訳ﾘｽﾄ(4～3月)'!M$26:M$999)</f>
        <v>0</v>
      </c>
      <c r="K10" s="150">
        <f>SUMIF('内訳ﾘｽﾄ(4～3月)'!$D$26:$D$999,'採算表(VND)'!$B10,'内訳ﾘｽﾄ(4～3月)'!N$26:N$999)</f>
        <v>0</v>
      </c>
      <c r="L10" s="150">
        <f>SUMIF('内訳ﾘｽﾄ(4～3月)'!$D$26:$D$999,'採算表(VND)'!$B10,'内訳ﾘｽﾄ(4～3月)'!O$26:O$999)</f>
        <v>0</v>
      </c>
      <c r="M10" s="150">
        <f>SUMIF('内訳ﾘｽﾄ(4～3月)'!$D$26:$D$999,'採算表(VND)'!$B10,'内訳ﾘｽﾄ(4～3月)'!P$26:P$999)</f>
        <v>0</v>
      </c>
      <c r="N10" s="150">
        <f>SUMIF('内訳ﾘｽﾄ(4～3月)'!$D$26:$D$999,'採算表(VND)'!$B10,'内訳ﾘｽﾄ(4～3月)'!Q$26:Q$999)</f>
        <v>0</v>
      </c>
      <c r="O10" s="150">
        <f>SUMIF('内訳ﾘｽﾄ(4～3月)'!$D$26:$D$798,'採算表(VND)'!$B10,'内訳ﾘｽﾄ(4～3月)'!R$26:R$798)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SUMIF('内訳ﾘｽﾄ(4～3月)'!$D$26:$D$999,$B14,'内訳ﾘｽﾄ(4～3月)'!F$26:F$999)</f>
        <v>0</v>
      </c>
      <c r="D14" s="157">
        <f>SUMIF('内訳ﾘｽﾄ(4～3月)'!$D$26:$D$999,$B14,'内訳ﾘｽﾄ(4～3月)'!G$26:G$999)</f>
        <v>0</v>
      </c>
      <c r="E14" s="157">
        <f>SUMIF('内訳ﾘｽﾄ(4～3月)'!$D$26:$D$999,$B14,'内訳ﾘｽﾄ(4～3月)'!H$26:H$999)</f>
        <v>0</v>
      </c>
      <c r="F14" s="157">
        <f>SUMIF('内訳ﾘｽﾄ(4～3月)'!$D$26:$D$999,$B14,'内訳ﾘｽﾄ(4～3月)'!I$26:I$999)</f>
        <v>0</v>
      </c>
      <c r="G14" s="157">
        <f>SUMIF('内訳ﾘｽﾄ(4～3月)'!$D$26:$D$999,$B14,'内訳ﾘｽﾄ(4～3月)'!J$26:J$999)</f>
        <v>0</v>
      </c>
      <c r="H14" s="157">
        <f>SUMIF('内訳ﾘｽﾄ(4～3月)'!$D$26:$D$999,$B14,'内訳ﾘｽﾄ(4～3月)'!K$26:K$999)</f>
        <v>0</v>
      </c>
      <c r="I14" s="157">
        <f>SUMIF('内訳ﾘｽﾄ(4～3月)'!$D$26:$D$999,$B14,'内訳ﾘｽﾄ(4～3月)'!L$26:L$999)</f>
        <v>0</v>
      </c>
      <c r="J14" s="157">
        <f>SUMIF('内訳ﾘｽﾄ(4～3月)'!$D$26:$D$999,$B14,'内訳ﾘｽﾄ(4～3月)'!M$26:M$999)</f>
        <v>0</v>
      </c>
      <c r="K14" s="157">
        <f>SUMIF('内訳ﾘｽﾄ(4～3月)'!$D$26:$D$999,$B14,'内訳ﾘｽﾄ(4～3月)'!N$26:N$999)</f>
        <v>0</v>
      </c>
      <c r="L14" s="157">
        <f>SUMIF('内訳ﾘｽﾄ(4～3月)'!$D$26:$D$999,$B14,'内訳ﾘｽﾄ(4～3月)'!O$26:O$999)</f>
        <v>0</v>
      </c>
      <c r="M14" s="157">
        <f>SUMIF('内訳ﾘｽﾄ(4～3月)'!$D$26:$D$999,$B14,'内訳ﾘｽﾄ(4～3月)'!P$26:P$999)</f>
        <v>0</v>
      </c>
      <c r="N14" s="157">
        <f>SUMIF('内訳ﾘｽﾄ(4～3月)'!$D$26:$D$999,$B14,'内訳ﾘｽﾄ(4～3月)'!Q$26:Q$999)</f>
        <v>0</v>
      </c>
      <c r="O14" s="157">
        <f>SUMIF('内訳ﾘｽﾄ(4～3月)'!$D$26:$D$798,'採算表(VND)'!$B14,'内訳ﾘｽﾄ(4～3月)'!R$26:R$798)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SUMIF('内訳ﾘｽﾄ(4～3月)'!$D$26:$D$999,$B15,'内訳ﾘｽﾄ(4～3月)'!F$26:F$999)</f>
        <v>0</v>
      </c>
      <c r="D15" s="157">
        <f>SUMIF('内訳ﾘｽﾄ(4～3月)'!$D$26:$D$999,$B15,'内訳ﾘｽﾄ(4～3月)'!G$26:G$999)</f>
        <v>0</v>
      </c>
      <c r="E15" s="157">
        <f>SUMIF('内訳ﾘｽﾄ(4～3月)'!$D$26:$D$999,$B15,'内訳ﾘｽﾄ(4～3月)'!H$26:H$999)</f>
        <v>0</v>
      </c>
      <c r="F15" s="157">
        <f>SUMIF('内訳ﾘｽﾄ(4～3月)'!$D$26:$D$999,$B15,'内訳ﾘｽﾄ(4～3月)'!I$26:I$999)</f>
        <v>0</v>
      </c>
      <c r="G15" s="157">
        <f>SUMIF('内訳ﾘｽﾄ(4～3月)'!$D$26:$D$999,$B15,'内訳ﾘｽﾄ(4～3月)'!J$26:J$999)</f>
        <v>0</v>
      </c>
      <c r="H15" s="157">
        <f>SUMIF('内訳ﾘｽﾄ(4～3月)'!$D$26:$D$999,$B15,'内訳ﾘｽﾄ(4～3月)'!K$26:K$999)</f>
        <v>0</v>
      </c>
      <c r="I15" s="157">
        <f>SUMIF('内訳ﾘｽﾄ(4～3月)'!$D$26:$D$999,$B15,'内訳ﾘｽﾄ(4～3月)'!L$26:L$999)</f>
        <v>0</v>
      </c>
      <c r="J15" s="157">
        <f>SUMIF('内訳ﾘｽﾄ(4～3月)'!$D$26:$D$999,$B15,'内訳ﾘｽﾄ(4～3月)'!M$26:M$999)</f>
        <v>0</v>
      </c>
      <c r="K15" s="157">
        <f>SUMIF('内訳ﾘｽﾄ(4～3月)'!$D$26:$D$999,$B15,'内訳ﾘｽﾄ(4～3月)'!N$26:N$999)</f>
        <v>0</v>
      </c>
      <c r="L15" s="157">
        <f>SUMIF('内訳ﾘｽﾄ(4～3月)'!$D$26:$D$999,$B15,'内訳ﾘｽﾄ(4～3月)'!O$26:O$999)</f>
        <v>0</v>
      </c>
      <c r="M15" s="157">
        <f>SUMIF('内訳ﾘｽﾄ(4～3月)'!$D$26:$D$999,$B15,'内訳ﾘｽﾄ(4～3月)'!P$26:P$999)</f>
        <v>0</v>
      </c>
      <c r="N15" s="157">
        <f>SUMIF('内訳ﾘｽﾄ(4～3月)'!$D$26:$D$999,$B15,'内訳ﾘｽﾄ(4～3月)'!Q$26:Q$999)</f>
        <v>0</v>
      </c>
      <c r="O15" s="157">
        <f>SUMIF('内訳ﾘｽﾄ(4～3月)'!$D$26:$D$798,'採算表(VND)'!$B15,'内訳ﾘｽﾄ(4～3月)'!R$26:R$798)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SUMIF('内訳ﾘｽﾄ(4～3月)'!$D$26:$D$999,$B16,'内訳ﾘｽﾄ(4～3月)'!F$26:F$999)</f>
        <v>0</v>
      </c>
      <c r="D16" s="157">
        <f>SUMIF('内訳ﾘｽﾄ(4～3月)'!$D$26:$D$999,$B16,'内訳ﾘｽﾄ(4～3月)'!G$26:G$999)</f>
        <v>0</v>
      </c>
      <c r="E16" s="157">
        <f>SUMIF('内訳ﾘｽﾄ(4～3月)'!$D$26:$D$999,$B16,'内訳ﾘｽﾄ(4～3月)'!H$26:H$999)</f>
        <v>0</v>
      </c>
      <c r="F16" s="157">
        <f>SUMIF('内訳ﾘｽﾄ(4～3月)'!$D$26:$D$999,$B16,'内訳ﾘｽﾄ(4～3月)'!I$26:I$999)</f>
        <v>0</v>
      </c>
      <c r="G16" s="157">
        <f>SUMIF('内訳ﾘｽﾄ(4～3月)'!$D$26:$D$999,$B16,'内訳ﾘｽﾄ(4～3月)'!J$26:J$999)</f>
        <v>0</v>
      </c>
      <c r="H16" s="157">
        <f>SUMIF('内訳ﾘｽﾄ(4～3月)'!$D$26:$D$999,$B16,'内訳ﾘｽﾄ(4～3月)'!K$26:K$999)</f>
        <v>0</v>
      </c>
      <c r="I16" s="157">
        <f>SUMIF('内訳ﾘｽﾄ(4～3月)'!$D$26:$D$999,$B16,'内訳ﾘｽﾄ(4～3月)'!L$26:L$999)</f>
        <v>0</v>
      </c>
      <c r="J16" s="157">
        <f>SUMIF('内訳ﾘｽﾄ(4～3月)'!$D$26:$D$999,$B16,'内訳ﾘｽﾄ(4～3月)'!M$26:M$999)</f>
        <v>0</v>
      </c>
      <c r="K16" s="157">
        <f>SUMIF('内訳ﾘｽﾄ(4～3月)'!$D$26:$D$999,$B16,'内訳ﾘｽﾄ(4～3月)'!N$26:N$999)</f>
        <v>0</v>
      </c>
      <c r="L16" s="157">
        <f>SUMIF('内訳ﾘｽﾄ(4～3月)'!$D$26:$D$999,$B16,'内訳ﾘｽﾄ(4～3月)'!O$26:O$999)</f>
        <v>0</v>
      </c>
      <c r="M16" s="157">
        <f>SUMIF('内訳ﾘｽﾄ(4～3月)'!$D$26:$D$999,$B16,'内訳ﾘｽﾄ(4～3月)'!P$26:P$999)</f>
        <v>0</v>
      </c>
      <c r="N16" s="157">
        <f>SUMIF('内訳ﾘｽﾄ(4～3月)'!$D$26:$D$999,$B16,'内訳ﾘｽﾄ(4～3月)'!Q$26:Q$999)</f>
        <v>0</v>
      </c>
      <c r="O16" s="157">
        <f>SUMIF('内訳ﾘｽﾄ(4～3月)'!$D$26:$D$798,'採算表(VND)'!$B16,'内訳ﾘｽﾄ(4～3月)'!R$26:R$798)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SUMIF('内訳ﾘｽﾄ(4～3月)'!$D$26:$D$999,$B17,'内訳ﾘｽﾄ(4～3月)'!F$26:F$999)</f>
        <v>0</v>
      </c>
      <c r="D17" s="158">
        <f>SUMIF('内訳ﾘｽﾄ(4～3月)'!$D$26:$D$999,$B17,'内訳ﾘｽﾄ(4～3月)'!G$26:G$999)</f>
        <v>0</v>
      </c>
      <c r="E17" s="158">
        <f>SUMIF('内訳ﾘｽﾄ(4～3月)'!$D$26:$D$999,$B17,'内訳ﾘｽﾄ(4～3月)'!H$26:H$999)</f>
        <v>0</v>
      </c>
      <c r="F17" s="158">
        <f>SUMIF('内訳ﾘｽﾄ(4～3月)'!$D$26:$D$999,$B17,'内訳ﾘｽﾄ(4～3月)'!I$26:I$999)</f>
        <v>0</v>
      </c>
      <c r="G17" s="158">
        <f>SUMIF('内訳ﾘｽﾄ(4～3月)'!$D$26:$D$999,$B17,'内訳ﾘｽﾄ(4～3月)'!J$26:J$999)</f>
        <v>0</v>
      </c>
      <c r="H17" s="158">
        <f>SUMIF('内訳ﾘｽﾄ(4～3月)'!$D$26:$D$999,$B17,'内訳ﾘｽﾄ(4～3月)'!K$26:K$999)</f>
        <v>0</v>
      </c>
      <c r="I17" s="158">
        <f>SUMIF('内訳ﾘｽﾄ(4～3月)'!$D$26:$D$999,$B17,'内訳ﾘｽﾄ(4～3月)'!L$26:L$999)</f>
        <v>0</v>
      </c>
      <c r="J17" s="158">
        <f>SUMIF('内訳ﾘｽﾄ(4～3月)'!$D$26:$D$999,$B17,'内訳ﾘｽﾄ(4～3月)'!M$26:M$999)</f>
        <v>0</v>
      </c>
      <c r="K17" s="158">
        <f>SUMIF('内訳ﾘｽﾄ(4～3月)'!$D$26:$D$999,$B17,'内訳ﾘｽﾄ(4～3月)'!N$26:N$999)</f>
        <v>0</v>
      </c>
      <c r="L17" s="158">
        <f>SUMIF('内訳ﾘｽﾄ(4～3月)'!$D$26:$D$999,$B17,'内訳ﾘｽﾄ(4～3月)'!O$26:O$999)</f>
        <v>0</v>
      </c>
      <c r="M17" s="158">
        <f>SUMIF('内訳ﾘｽﾄ(4～3月)'!$D$26:$D$999,$B17,'内訳ﾘｽﾄ(4～3月)'!P$26:P$999)</f>
        <v>0</v>
      </c>
      <c r="N17" s="158">
        <f>SUMIF('内訳ﾘｽﾄ(4～3月)'!$D$26:$D$999,$B17,'内訳ﾘｽﾄ(4～3月)'!Q$26:Q$999)</f>
        <v>0</v>
      </c>
      <c r="O17" s="158">
        <f>SUMIF('内訳ﾘｽﾄ(4～3月)'!$D$26:$D$798,'採算表(VND)'!$B17,'内訳ﾘｽﾄ(4～3月)'!R$26:R$798)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SUMIF('内訳ﾘｽﾄ(4～3月)'!$D$26:$D$999,$B18,'内訳ﾘｽﾄ(4～3月)'!F$26:F$999)</f>
        <v>0</v>
      </c>
      <c r="D18" s="158">
        <f>SUMIF('内訳ﾘｽﾄ(4～3月)'!$D$26:$D$999,$B18,'内訳ﾘｽﾄ(4～3月)'!G$26:G$999)</f>
        <v>0</v>
      </c>
      <c r="E18" s="158">
        <f>SUMIF('内訳ﾘｽﾄ(4～3月)'!$D$26:$D$999,$B18,'内訳ﾘｽﾄ(4～3月)'!H$26:H$999)</f>
        <v>0</v>
      </c>
      <c r="F18" s="158">
        <f>SUMIF('内訳ﾘｽﾄ(4～3月)'!$D$26:$D$999,$B18,'内訳ﾘｽﾄ(4～3月)'!I$26:I$999)</f>
        <v>0</v>
      </c>
      <c r="G18" s="158">
        <f>SUMIF('内訳ﾘｽﾄ(4～3月)'!$D$26:$D$999,$B18,'内訳ﾘｽﾄ(4～3月)'!J$26:J$999)</f>
        <v>0</v>
      </c>
      <c r="H18" s="158">
        <f>SUMIF('内訳ﾘｽﾄ(4～3月)'!$D$26:$D$999,$B18,'内訳ﾘｽﾄ(4～3月)'!K$26:K$999)</f>
        <v>0</v>
      </c>
      <c r="I18" s="158">
        <f>SUMIF('内訳ﾘｽﾄ(4～3月)'!$D$26:$D$999,$B18,'内訳ﾘｽﾄ(4～3月)'!L$26:L$999)</f>
        <v>0</v>
      </c>
      <c r="J18" s="158">
        <f>SUMIF('内訳ﾘｽﾄ(4～3月)'!$D$26:$D$999,$B18,'内訳ﾘｽﾄ(4～3月)'!M$26:M$999)</f>
        <v>0</v>
      </c>
      <c r="K18" s="158">
        <f>SUMIF('内訳ﾘｽﾄ(4～3月)'!$D$26:$D$999,$B18,'内訳ﾘｽﾄ(4～3月)'!N$26:N$999)</f>
        <v>0</v>
      </c>
      <c r="L18" s="158">
        <f>SUMIF('内訳ﾘｽﾄ(4～3月)'!$D$26:$D$999,$B18,'内訳ﾘｽﾄ(4～3月)'!O$26:O$999)</f>
        <v>0</v>
      </c>
      <c r="M18" s="158">
        <f>SUMIF('内訳ﾘｽﾄ(4～3月)'!$D$26:$D$999,$B18,'内訳ﾘｽﾄ(4～3月)'!P$26:P$999)</f>
        <v>0</v>
      </c>
      <c r="N18" s="158">
        <f>SUMIF('内訳ﾘｽﾄ(4～3月)'!$D$26:$D$999,$B18,'内訳ﾘｽﾄ(4～3月)'!Q$26:Q$999)</f>
        <v>0</v>
      </c>
      <c r="O18" s="158">
        <f>SUMIF('内訳ﾘｽﾄ(4～3月)'!$D$26:$D$798,'採算表(VND)'!$B18,'内訳ﾘｽﾄ(4～3月)'!R$26:R$798)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SUMIF('内訳ﾘｽﾄ(4～3月)'!$D$26:$D$999,$B19,'内訳ﾘｽﾄ(4～3月)'!F$26:F$999)</f>
        <v>0</v>
      </c>
      <c r="D19" s="158">
        <f>SUMIF('内訳ﾘｽﾄ(4～3月)'!$D$26:$D$999,$B19,'内訳ﾘｽﾄ(4～3月)'!G$26:G$999)</f>
        <v>0</v>
      </c>
      <c r="E19" s="158">
        <f>SUMIF('内訳ﾘｽﾄ(4～3月)'!$D$26:$D$999,$B19,'内訳ﾘｽﾄ(4～3月)'!H$26:H$999)</f>
        <v>0</v>
      </c>
      <c r="F19" s="158">
        <f>SUMIF('内訳ﾘｽﾄ(4～3月)'!$D$26:$D$999,$B19,'内訳ﾘｽﾄ(4～3月)'!I$26:I$999)</f>
        <v>0</v>
      </c>
      <c r="G19" s="158">
        <f>SUMIF('内訳ﾘｽﾄ(4～3月)'!$D$26:$D$999,$B19,'内訳ﾘｽﾄ(4～3月)'!J$26:J$999)</f>
        <v>0</v>
      </c>
      <c r="H19" s="158">
        <f>SUMIF('内訳ﾘｽﾄ(4～3月)'!$D$26:$D$999,$B19,'内訳ﾘｽﾄ(4～3月)'!K$26:K$999)</f>
        <v>0</v>
      </c>
      <c r="I19" s="158">
        <f>SUMIF('内訳ﾘｽﾄ(4～3月)'!$D$26:$D$999,$B19,'内訳ﾘｽﾄ(4～3月)'!L$26:L$999)</f>
        <v>0</v>
      </c>
      <c r="J19" s="158">
        <f>SUMIF('内訳ﾘｽﾄ(4～3月)'!$D$26:$D$999,$B19,'内訳ﾘｽﾄ(4～3月)'!M$26:M$999)</f>
        <v>0</v>
      </c>
      <c r="K19" s="158">
        <f>SUMIF('内訳ﾘｽﾄ(4～3月)'!$D$26:$D$999,$B19,'内訳ﾘｽﾄ(4～3月)'!N$26:N$999)</f>
        <v>0</v>
      </c>
      <c r="L19" s="158">
        <f>SUMIF('内訳ﾘｽﾄ(4～3月)'!$D$26:$D$999,$B19,'内訳ﾘｽﾄ(4～3月)'!O$26:O$999)</f>
        <v>0</v>
      </c>
      <c r="M19" s="158">
        <f>SUMIF('内訳ﾘｽﾄ(4～3月)'!$D$26:$D$999,$B19,'内訳ﾘｽﾄ(4～3月)'!P$26:P$999)</f>
        <v>0</v>
      </c>
      <c r="N19" s="158">
        <f>SUMIF('内訳ﾘｽﾄ(4～3月)'!$D$26:$D$999,$B19,'内訳ﾘｽﾄ(4～3月)'!Q$26:Q$999)</f>
        <v>0</v>
      </c>
      <c r="O19" s="158">
        <f>SUMIF('内訳ﾘｽﾄ(4～3月)'!$D$26:$D$798,'採算表(VND)'!$B19,'内訳ﾘｽﾄ(4～3月)'!R$26:R$798)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SUMIF('内訳ﾘｽﾄ(4～3月)'!$D$26:$D$999,$B20,'内訳ﾘｽﾄ(4～3月)'!F$26:F$999)</f>
        <v>2565913</v>
      </c>
      <c r="D20" s="158">
        <f>SUMIF('内訳ﾘｽﾄ(4～3月)'!$D$26:$D$999,$B20,'内訳ﾘｽﾄ(4～3月)'!G$26:G$999)</f>
        <v>2552202</v>
      </c>
      <c r="E20" s="158">
        <f>SUMIF('内訳ﾘｽﾄ(4～3月)'!$D$26:$D$999,$B20,'内訳ﾘｽﾄ(4～3月)'!H$26:H$999)</f>
        <v>2552710</v>
      </c>
      <c r="F20" s="158">
        <f>SUMIF('内訳ﾘｽﾄ(4～3月)'!$D$26:$D$999,$B20,'内訳ﾘｽﾄ(4～3月)'!I$26:I$999)</f>
        <v>2550172</v>
      </c>
      <c r="G20" s="158">
        <f>SUMIF('内訳ﾘｽﾄ(4～3月)'!$D$26:$D$999,$B20,'内訳ﾘｽﾄ(4～3月)'!J$26:J$999)</f>
        <v>2549157</v>
      </c>
      <c r="H20" s="158">
        <f>SUMIF('内訳ﾘｽﾄ(4～3月)'!$D$26:$D$999,$B20,'内訳ﾘｽﾄ(4～3月)'!K$26:K$999)</f>
        <v>2509802</v>
      </c>
      <c r="I20" s="158">
        <f>SUMIF('内訳ﾘｽﾄ(4～3月)'!$D$26:$D$999,$B20,'内訳ﾘｽﾄ(4～3月)'!L$26:L$999)</f>
        <v>2498376</v>
      </c>
      <c r="J20" s="158">
        <f>SUMIF('内訳ﾘｽﾄ(4～3月)'!$D$26:$D$999,$B20,'内訳ﾘｽﾄ(4～3月)'!M$26:M$999)</f>
        <v>2498122</v>
      </c>
      <c r="K20" s="158">
        <f>SUMIF('内訳ﾘｽﾄ(4～3月)'!$D$26:$D$999,$B20,'内訳ﾘｽﾄ(4～3月)'!N$26:N$999)</f>
        <v>2498122</v>
      </c>
      <c r="L20" s="158">
        <f>SUMIF('内訳ﾘｽﾄ(4～3月)'!$D$26:$D$999,$B20,'内訳ﾘｽﾄ(4～3月)'!O$26:O$999)</f>
        <v>2497361</v>
      </c>
      <c r="M20" s="158">
        <f>SUMIF('内訳ﾘｽﾄ(4～3月)'!$D$26:$D$999,$B20,'内訳ﾘｽﾄ(4～3月)'!P$26:P$999)</f>
        <v>2496091</v>
      </c>
      <c r="N20" s="158">
        <f>SUMIF('内訳ﾘｽﾄ(4～3月)'!$D$26:$D$999,$B20,'内訳ﾘｽﾄ(4～3月)'!Q$26:Q$999)</f>
        <v>2497361</v>
      </c>
      <c r="O20" s="158">
        <f>SUMIF('内訳ﾘｽﾄ(4～3月)'!$D$26:$D$798,'採算表(VND)'!$B20,'内訳ﾘｽﾄ(4～3月)'!R$26:R$798)</f>
        <v>30265389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SUMIF('内訳ﾘｽﾄ(4～3月)'!$D$26:$D$999,$B21,'内訳ﾘｽﾄ(4～3月)'!F$26:F$999)</f>
        <v>0</v>
      </c>
      <c r="D21" s="158">
        <f>SUMIF('内訳ﾘｽﾄ(4～3月)'!$D$26:$D$999,$B21,'内訳ﾘｽﾄ(4～3月)'!G$26:G$999)</f>
        <v>0</v>
      </c>
      <c r="E21" s="158">
        <f>SUMIF('内訳ﾘｽﾄ(4～3月)'!$D$26:$D$999,$B21,'内訳ﾘｽﾄ(4～3月)'!H$26:H$999)</f>
        <v>0</v>
      </c>
      <c r="F21" s="158">
        <f>SUMIF('内訳ﾘｽﾄ(4～3月)'!$D$26:$D$999,$B21,'内訳ﾘｽﾄ(4～3月)'!I$26:I$999)</f>
        <v>0</v>
      </c>
      <c r="G21" s="158">
        <f>SUMIF('内訳ﾘｽﾄ(4～3月)'!$D$26:$D$999,$B21,'内訳ﾘｽﾄ(4～3月)'!J$26:J$999)</f>
        <v>0</v>
      </c>
      <c r="H21" s="158">
        <f>SUMIF('内訳ﾘｽﾄ(4～3月)'!$D$26:$D$999,$B21,'内訳ﾘｽﾄ(4～3月)'!K$26:K$999)</f>
        <v>0</v>
      </c>
      <c r="I21" s="158">
        <f>SUMIF('内訳ﾘｽﾄ(4～3月)'!$D$26:$D$999,$B21,'内訳ﾘｽﾄ(4～3月)'!L$26:L$999)</f>
        <v>0</v>
      </c>
      <c r="J21" s="158">
        <f>SUMIF('内訳ﾘｽﾄ(4～3月)'!$D$26:$D$999,$B21,'内訳ﾘｽﾄ(4～3月)'!M$26:M$999)</f>
        <v>0</v>
      </c>
      <c r="K21" s="158">
        <f>SUMIF('内訳ﾘｽﾄ(4～3月)'!$D$26:$D$999,$B21,'内訳ﾘｽﾄ(4～3月)'!N$26:N$999)</f>
        <v>0</v>
      </c>
      <c r="L21" s="158">
        <f>SUMIF('内訳ﾘｽﾄ(4～3月)'!$D$26:$D$999,$B21,'内訳ﾘｽﾄ(4～3月)'!O$26:O$999)</f>
        <v>0</v>
      </c>
      <c r="M21" s="158">
        <f>SUMIF('内訳ﾘｽﾄ(4～3月)'!$D$26:$D$999,$B21,'内訳ﾘｽﾄ(4～3月)'!P$26:P$999)</f>
        <v>0</v>
      </c>
      <c r="N21" s="158">
        <f>SUMIF('内訳ﾘｽﾄ(4～3月)'!$D$26:$D$999,$B21,'内訳ﾘｽﾄ(4～3月)'!Q$26:Q$999)</f>
        <v>0</v>
      </c>
      <c r="O21" s="158">
        <f>SUMIF('内訳ﾘｽﾄ(4～3月)'!$D$26:$D$798,'採算表(VND)'!$B21,'内訳ﾘｽﾄ(4～3月)'!R$26:R$798)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SUMIF('内訳ﾘｽﾄ(4～3月)'!$D$26:$D$999,$B22,'内訳ﾘｽﾄ(4～3月)'!F$26:F$999)</f>
        <v>0</v>
      </c>
      <c r="D22" s="158">
        <f>SUMIF('内訳ﾘｽﾄ(4～3月)'!$D$26:$D$999,$B22,'内訳ﾘｽﾄ(4～3月)'!G$26:G$999)</f>
        <v>0</v>
      </c>
      <c r="E22" s="158">
        <f>SUMIF('内訳ﾘｽﾄ(4～3月)'!$D$26:$D$999,$B22,'内訳ﾘｽﾄ(4～3月)'!H$26:H$999)</f>
        <v>0</v>
      </c>
      <c r="F22" s="158">
        <f>SUMIF('内訳ﾘｽﾄ(4～3月)'!$D$26:$D$999,$B22,'内訳ﾘｽﾄ(4～3月)'!I$26:I$999)</f>
        <v>0</v>
      </c>
      <c r="G22" s="158">
        <f>SUMIF('内訳ﾘｽﾄ(4～3月)'!$D$26:$D$999,$B22,'内訳ﾘｽﾄ(4～3月)'!J$26:J$999)</f>
        <v>0</v>
      </c>
      <c r="H22" s="158">
        <f>SUMIF('内訳ﾘｽﾄ(4～3月)'!$D$26:$D$999,$B22,'内訳ﾘｽﾄ(4～3月)'!K$26:K$999)</f>
        <v>0</v>
      </c>
      <c r="I22" s="158">
        <f>SUMIF('内訳ﾘｽﾄ(4～3月)'!$D$26:$D$999,$B22,'内訳ﾘｽﾄ(4～3月)'!L$26:L$999)</f>
        <v>0</v>
      </c>
      <c r="J22" s="158">
        <f>SUMIF('内訳ﾘｽﾄ(4～3月)'!$D$26:$D$999,$B22,'内訳ﾘｽﾄ(4～3月)'!M$26:M$999)</f>
        <v>0</v>
      </c>
      <c r="K22" s="158">
        <f>SUMIF('内訳ﾘｽﾄ(4～3月)'!$D$26:$D$999,$B22,'内訳ﾘｽﾄ(4～3月)'!N$26:N$999)</f>
        <v>0</v>
      </c>
      <c r="L22" s="158">
        <f>SUMIF('内訳ﾘｽﾄ(4～3月)'!$D$26:$D$999,$B22,'内訳ﾘｽﾄ(4～3月)'!O$26:O$999)</f>
        <v>0</v>
      </c>
      <c r="M22" s="158">
        <f>SUMIF('内訳ﾘｽﾄ(4～3月)'!$D$26:$D$999,$B22,'内訳ﾘｽﾄ(4～3月)'!P$26:P$999)</f>
        <v>0</v>
      </c>
      <c r="N22" s="158">
        <f>SUMIF('内訳ﾘｽﾄ(4～3月)'!$D$26:$D$999,$B22,'内訳ﾘｽﾄ(4～3月)'!Q$26:Q$999)</f>
        <v>0</v>
      </c>
      <c r="O22" s="158">
        <f>SUMIF('内訳ﾘｽﾄ(4～3月)'!$D$26:$D$798,'採算表(VND)'!$B22,'内訳ﾘｽﾄ(4～3月)'!R$26:R$798)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SUMIF('内訳ﾘｽﾄ(4～3月)'!$D$26:$D$999,$B23,'内訳ﾘｽﾄ(4～3月)'!F$26:F$999)</f>
        <v>0</v>
      </c>
      <c r="D23" s="158">
        <f>SUMIF('内訳ﾘｽﾄ(4～3月)'!$D$26:$D$999,$B23,'内訳ﾘｽﾄ(4～3月)'!G$26:G$999)</f>
        <v>0</v>
      </c>
      <c r="E23" s="158">
        <f>SUMIF('内訳ﾘｽﾄ(4～3月)'!$D$26:$D$999,$B23,'内訳ﾘｽﾄ(4～3月)'!H$26:H$999)</f>
        <v>0</v>
      </c>
      <c r="F23" s="158">
        <f>SUMIF('内訳ﾘｽﾄ(4～3月)'!$D$26:$D$999,$B23,'内訳ﾘｽﾄ(4～3月)'!I$26:I$999)</f>
        <v>0</v>
      </c>
      <c r="G23" s="158">
        <f>SUMIF('内訳ﾘｽﾄ(4～3月)'!$D$26:$D$999,$B23,'内訳ﾘｽﾄ(4～3月)'!J$26:J$999)</f>
        <v>0</v>
      </c>
      <c r="H23" s="158">
        <f>SUMIF('内訳ﾘｽﾄ(4～3月)'!$D$26:$D$999,$B23,'内訳ﾘｽﾄ(4～3月)'!K$26:K$999)</f>
        <v>0</v>
      </c>
      <c r="I23" s="158">
        <f>SUMIF('内訳ﾘｽﾄ(4～3月)'!$D$26:$D$999,$B23,'内訳ﾘｽﾄ(4～3月)'!L$26:L$999)</f>
        <v>0</v>
      </c>
      <c r="J23" s="158">
        <f>SUMIF('内訳ﾘｽﾄ(4～3月)'!$D$26:$D$999,$B23,'内訳ﾘｽﾄ(4～3月)'!M$26:M$999)</f>
        <v>0</v>
      </c>
      <c r="K23" s="158">
        <f>SUMIF('内訳ﾘｽﾄ(4～3月)'!$D$26:$D$999,$B23,'内訳ﾘｽﾄ(4～3月)'!N$26:N$999)</f>
        <v>0</v>
      </c>
      <c r="L23" s="158">
        <f>SUMIF('内訳ﾘｽﾄ(4～3月)'!$D$26:$D$999,$B23,'内訳ﾘｽﾄ(4～3月)'!O$26:O$999)</f>
        <v>0</v>
      </c>
      <c r="M23" s="158">
        <f>SUMIF('内訳ﾘｽﾄ(4～3月)'!$D$26:$D$999,$B23,'内訳ﾘｽﾄ(4～3月)'!P$26:P$999)</f>
        <v>0</v>
      </c>
      <c r="N23" s="158">
        <f>SUMIF('内訳ﾘｽﾄ(4～3月)'!$D$26:$D$999,$B23,'内訳ﾘｽﾄ(4～3月)'!Q$26:Q$999)</f>
        <v>0</v>
      </c>
      <c r="O23" s="158">
        <f>SUMIF('内訳ﾘｽﾄ(4～3月)'!$D$26:$D$798,'採算表(VND)'!$B23,'内訳ﾘｽﾄ(4～3月)'!R$26:R$798)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SUMIF('内訳ﾘｽﾄ(4～3月)'!$D$26:$D$999,$B24,'内訳ﾘｽﾄ(4～3月)'!F$26:F$999)</f>
        <v>0</v>
      </c>
      <c r="D24" s="158">
        <f>SUMIF('内訳ﾘｽﾄ(4～3月)'!$D$26:$D$999,$B24,'内訳ﾘｽﾄ(4～3月)'!G$26:G$999)</f>
        <v>0</v>
      </c>
      <c r="E24" s="158">
        <f>SUMIF('内訳ﾘｽﾄ(4～3月)'!$D$26:$D$999,$B24,'内訳ﾘｽﾄ(4～3月)'!H$26:H$999)</f>
        <v>0</v>
      </c>
      <c r="F24" s="158">
        <f>SUMIF('内訳ﾘｽﾄ(4～3月)'!$D$26:$D$999,$B24,'内訳ﾘｽﾄ(4～3月)'!I$26:I$999)</f>
        <v>0</v>
      </c>
      <c r="G24" s="158">
        <f>SUMIF('内訳ﾘｽﾄ(4～3月)'!$D$26:$D$999,$B24,'内訳ﾘｽﾄ(4～3月)'!J$26:J$999)</f>
        <v>0</v>
      </c>
      <c r="H24" s="158">
        <f>SUMIF('内訳ﾘｽﾄ(4～3月)'!$D$26:$D$999,$B24,'内訳ﾘｽﾄ(4～3月)'!K$26:K$999)</f>
        <v>0</v>
      </c>
      <c r="I24" s="158">
        <f>SUMIF('内訳ﾘｽﾄ(4～3月)'!$D$26:$D$999,$B24,'内訳ﾘｽﾄ(4～3月)'!L$26:L$999)</f>
        <v>0</v>
      </c>
      <c r="J24" s="158">
        <f>SUMIF('内訳ﾘｽﾄ(4～3月)'!$D$26:$D$999,$B24,'内訳ﾘｽﾄ(4～3月)'!M$26:M$999)</f>
        <v>0</v>
      </c>
      <c r="K24" s="158">
        <f>SUMIF('内訳ﾘｽﾄ(4～3月)'!$D$26:$D$999,$B24,'内訳ﾘｽﾄ(4～3月)'!N$26:N$999)</f>
        <v>0</v>
      </c>
      <c r="L24" s="158">
        <f>SUMIF('内訳ﾘｽﾄ(4～3月)'!$D$26:$D$999,$B24,'内訳ﾘｽﾄ(4～3月)'!O$26:O$999)</f>
        <v>0</v>
      </c>
      <c r="M24" s="158">
        <f>SUMIF('内訳ﾘｽﾄ(4～3月)'!$D$26:$D$999,$B24,'内訳ﾘｽﾄ(4～3月)'!P$26:P$999)</f>
        <v>0</v>
      </c>
      <c r="N24" s="158">
        <f>SUMIF('内訳ﾘｽﾄ(4～3月)'!$D$26:$D$999,$B24,'内訳ﾘｽﾄ(4～3月)'!Q$26:Q$999)</f>
        <v>0</v>
      </c>
      <c r="O24" s="158">
        <f>SUMIF('内訳ﾘｽﾄ(4～3月)'!$D$26:$D$798,'採算表(VND)'!$B24,'内訳ﾘｽﾄ(4～3月)'!R$26:R$798)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SUMIF('内訳ﾘｽﾄ(4～3月)'!$D$26:$D$999,$B25,'内訳ﾘｽﾄ(4～3月)'!F$26:F$999)</f>
        <v>97730</v>
      </c>
      <c r="D25" s="158">
        <f>SUMIF('内訳ﾘｽﾄ(4～3月)'!$D$26:$D$999,$B25,'内訳ﾘｽﾄ(4～3月)'!G$26:G$999)</f>
        <v>94330</v>
      </c>
      <c r="E25" s="158">
        <f>SUMIF('内訳ﾘｽﾄ(4～3月)'!$D$26:$D$999,$B25,'内訳ﾘｽﾄ(4～3月)'!H$26:H$999)</f>
        <v>102790</v>
      </c>
      <c r="F25" s="158">
        <f>SUMIF('内訳ﾘｽﾄ(4～3月)'!$D$26:$D$999,$B25,'内訳ﾘｽﾄ(4～3月)'!I$26:I$999)</f>
        <v>111255</v>
      </c>
      <c r="G25" s="158">
        <f>SUMIF('内訳ﾘｽﾄ(4～3月)'!$D$26:$D$999,$B25,'内訳ﾘｽﾄ(4～3月)'!J$26:J$999)</f>
        <v>97420</v>
      </c>
      <c r="H25" s="158">
        <f>SUMIF('内訳ﾘｽﾄ(4～3月)'!$D$26:$D$999,$B25,'内訳ﾘｽﾄ(4～3月)'!K$26:K$999)</f>
        <v>92965</v>
      </c>
      <c r="I25" s="158">
        <f>SUMIF('内訳ﾘｽﾄ(4～3月)'!$D$26:$D$999,$B25,'内訳ﾘｽﾄ(4～3月)'!L$26:L$999)</f>
        <v>111205</v>
      </c>
      <c r="J25" s="158">
        <f>SUMIF('内訳ﾘｽﾄ(4～3月)'!$D$26:$D$999,$B25,'内訳ﾘｽﾄ(4～3月)'!M$26:M$999)</f>
        <v>97675</v>
      </c>
      <c r="K25" s="158">
        <f>SUMIF('内訳ﾘｽﾄ(4～3月)'!$D$26:$D$999,$B25,'内訳ﾘｽﾄ(4～3月)'!N$26:N$999)</f>
        <v>106890</v>
      </c>
      <c r="L25" s="158">
        <f>SUMIF('内訳ﾘｽﾄ(4～3月)'!$D$26:$D$999,$B25,'内訳ﾘｽﾄ(4～3月)'!O$26:O$999)</f>
        <v>97635</v>
      </c>
      <c r="M25" s="158">
        <f>SUMIF('内訳ﾘｽﾄ(4～3月)'!$D$26:$D$999,$B25,'内訳ﾘｽﾄ(4～3月)'!P$26:P$999)</f>
        <v>75045</v>
      </c>
      <c r="N25" s="158">
        <f>SUMIF('内訳ﾘｽﾄ(4～3月)'!$D$26:$D$999,$B25,'内訳ﾘｽﾄ(4～3月)'!Q$26:Q$999)</f>
        <v>97600</v>
      </c>
      <c r="O25" s="158">
        <f>SUMIF('内訳ﾘｽﾄ(4～3月)'!$D$26:$D$798,'採算表(VND)'!$B25,'内訳ﾘｽﾄ(4～3月)'!R$26:R$798)</f>
        <v>1182540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SUMIF('内訳ﾘｽﾄ(4～3月)'!$D$26:$D$999,$B26,'内訳ﾘｽﾄ(4～3月)'!F$26:F$999)</f>
        <v>0</v>
      </c>
      <c r="D26" s="158">
        <f>SUMIF('内訳ﾘｽﾄ(4～3月)'!$D$26:$D$999,$B26,'内訳ﾘｽﾄ(4～3月)'!G$26:G$999)</f>
        <v>16750000</v>
      </c>
      <c r="E26" s="158">
        <f>SUMIF('内訳ﾘｽﾄ(4～3月)'!$D$26:$D$999,$B26,'内訳ﾘｽﾄ(4～3月)'!H$26:H$999)</f>
        <v>0</v>
      </c>
      <c r="F26" s="158">
        <f>SUMIF('内訳ﾘｽﾄ(4～3月)'!$D$26:$D$999,$B26,'内訳ﾘｽﾄ(4～3月)'!I$26:I$999)</f>
        <v>0</v>
      </c>
      <c r="G26" s="158">
        <f>SUMIF('内訳ﾘｽﾄ(4～3月)'!$D$26:$D$999,$B26,'内訳ﾘｽﾄ(4～3月)'!J$26:J$999)</f>
        <v>0</v>
      </c>
      <c r="H26" s="158">
        <f>SUMIF('内訳ﾘｽﾄ(4～3月)'!$D$26:$D$999,$B26,'内訳ﾘｽﾄ(4～3月)'!K$26:K$999)</f>
        <v>0</v>
      </c>
      <c r="I26" s="158">
        <f>SUMIF('内訳ﾘｽﾄ(4～3月)'!$D$26:$D$999,$B26,'内訳ﾘｽﾄ(4～3月)'!L$26:L$999)</f>
        <v>0</v>
      </c>
      <c r="J26" s="158">
        <f>SUMIF('内訳ﾘｽﾄ(4～3月)'!$D$26:$D$999,$B26,'内訳ﾘｽﾄ(4～3月)'!M$26:M$999)</f>
        <v>0</v>
      </c>
      <c r="K26" s="158">
        <f>SUMIF('内訳ﾘｽﾄ(4～3月)'!$D$26:$D$999,$B26,'内訳ﾘｽﾄ(4～3月)'!N$26:N$999)</f>
        <v>0</v>
      </c>
      <c r="L26" s="158">
        <f>SUMIF('内訳ﾘｽﾄ(4～3月)'!$D$26:$D$999,$B26,'内訳ﾘｽﾄ(4～3月)'!O$26:O$999)</f>
        <v>0</v>
      </c>
      <c r="M26" s="158">
        <f>SUMIF('内訳ﾘｽﾄ(4～3月)'!$D$26:$D$999,$B26,'内訳ﾘｽﾄ(4～3月)'!P$26:P$999)</f>
        <v>0</v>
      </c>
      <c r="N26" s="158">
        <f>SUMIF('内訳ﾘｽﾄ(4～3月)'!$D$26:$D$999,$B26,'内訳ﾘｽﾄ(4～3月)'!Q$26:Q$999)</f>
        <v>0</v>
      </c>
      <c r="O26" s="158">
        <f>SUMIF('内訳ﾘｽﾄ(4～3月)'!$D$26:$D$798,'採算表(VND)'!$B26,'内訳ﾘｽﾄ(4～3月)'!R$26:R$798)</f>
        <v>16750000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SUMIF('内訳ﾘｽﾄ(4～3月)'!$D$26:$D$999,$B27,'内訳ﾘｽﾄ(4～3月)'!F$26:F$999)</f>
        <v>0</v>
      </c>
      <c r="D27" s="158">
        <f>SUMIF('内訳ﾘｽﾄ(4～3月)'!$D$26:$D$999,$B27,'内訳ﾘｽﾄ(4～3月)'!G$26:G$999)</f>
        <v>0</v>
      </c>
      <c r="E27" s="158">
        <f>SUMIF('内訳ﾘｽﾄ(4～3月)'!$D$26:$D$999,$B27,'内訳ﾘｽﾄ(4～3月)'!H$26:H$999)</f>
        <v>0</v>
      </c>
      <c r="F27" s="158">
        <f>SUMIF('内訳ﾘｽﾄ(4～3月)'!$D$26:$D$999,$B27,'内訳ﾘｽﾄ(4～3月)'!I$26:I$999)</f>
        <v>0</v>
      </c>
      <c r="G27" s="158">
        <f>SUMIF('内訳ﾘｽﾄ(4～3月)'!$D$26:$D$999,$B27,'内訳ﾘｽﾄ(4～3月)'!J$26:J$999)</f>
        <v>0</v>
      </c>
      <c r="H27" s="158">
        <f>SUMIF('内訳ﾘｽﾄ(4～3月)'!$D$26:$D$999,$B27,'内訳ﾘｽﾄ(4～3月)'!K$26:K$999)</f>
        <v>0</v>
      </c>
      <c r="I27" s="158">
        <f>SUMIF('内訳ﾘｽﾄ(4～3月)'!$D$26:$D$999,$B27,'内訳ﾘｽﾄ(4～3月)'!L$26:L$999)</f>
        <v>0</v>
      </c>
      <c r="J27" s="158">
        <f>SUMIF('内訳ﾘｽﾄ(4～3月)'!$D$26:$D$999,$B27,'内訳ﾘｽﾄ(4～3月)'!M$26:M$999)</f>
        <v>0</v>
      </c>
      <c r="K27" s="158">
        <f>SUMIF('内訳ﾘｽﾄ(4～3月)'!$D$26:$D$999,$B27,'内訳ﾘｽﾄ(4～3月)'!N$26:N$999)</f>
        <v>0</v>
      </c>
      <c r="L27" s="158">
        <f>SUMIF('内訳ﾘｽﾄ(4～3月)'!$D$26:$D$999,$B27,'内訳ﾘｽﾄ(4～3月)'!O$26:O$999)</f>
        <v>0</v>
      </c>
      <c r="M27" s="158">
        <f>SUMIF('内訳ﾘｽﾄ(4～3月)'!$D$26:$D$999,$B27,'内訳ﾘｽﾄ(4～3月)'!P$26:P$999)</f>
        <v>0</v>
      </c>
      <c r="N27" s="158">
        <f>SUMIF('内訳ﾘｽﾄ(4～3月)'!$D$26:$D$999,$B27,'内訳ﾘｽﾄ(4～3月)'!Q$26:Q$999)</f>
        <v>0</v>
      </c>
      <c r="O27" s="158">
        <f>SUMIF('内訳ﾘｽﾄ(4～3月)'!$D$26:$D$798,'採算表(VND)'!$B27,'内訳ﾘｽﾄ(4～3月)'!R$26:R$798)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SUMIF('内訳ﾘｽﾄ(4～3月)'!$D$26:$D$999,$B28,'内訳ﾘｽﾄ(4～3月)'!F$26:F$999)</f>
        <v>950000</v>
      </c>
      <c r="D28" s="158">
        <f>SUMIF('内訳ﾘｽﾄ(4～3月)'!$D$26:$D$999,$B28,'内訳ﾘｽﾄ(4～3月)'!G$26:G$999)</f>
        <v>0</v>
      </c>
      <c r="E28" s="158">
        <f>SUMIF('内訳ﾘｽﾄ(4～3月)'!$D$26:$D$999,$B28,'内訳ﾘｽﾄ(4～3月)'!H$26:H$999)</f>
        <v>440000</v>
      </c>
      <c r="F28" s="158">
        <f>SUMIF('内訳ﾘｽﾄ(4～3月)'!$D$26:$D$999,$B28,'内訳ﾘｽﾄ(4～3月)'!I$26:I$999)</f>
        <v>1567705</v>
      </c>
      <c r="G28" s="158">
        <f>SUMIF('内訳ﾘｽﾄ(4～3月)'!$D$26:$D$999,$B28,'内訳ﾘｽﾄ(4～3月)'!J$26:J$999)</f>
        <v>4400000</v>
      </c>
      <c r="H28" s="158">
        <f>SUMIF('内訳ﾘｽﾄ(4～3月)'!$D$26:$D$999,$B28,'内訳ﾘｽﾄ(4～3月)'!K$26:K$999)</f>
        <v>0</v>
      </c>
      <c r="I28" s="158">
        <f>SUMIF('内訳ﾘｽﾄ(4～3月)'!$D$26:$D$999,$B28,'内訳ﾘｽﾄ(4～3月)'!L$26:L$999)</f>
        <v>880000</v>
      </c>
      <c r="J28" s="158">
        <f>SUMIF('内訳ﾘｽﾄ(4～3月)'!$D$26:$D$999,$B28,'内訳ﾘｽﾄ(4～3月)'!M$26:M$999)</f>
        <v>0</v>
      </c>
      <c r="K28" s="158">
        <f>SUMIF('内訳ﾘｽﾄ(4～3月)'!$D$26:$D$999,$B28,'内訳ﾘｽﾄ(4～3月)'!N$26:N$999)</f>
        <v>0</v>
      </c>
      <c r="L28" s="158">
        <f>SUMIF('内訳ﾘｽﾄ(4～3月)'!$D$26:$D$999,$B28,'内訳ﾘｽﾄ(4～3月)'!O$26:O$999)</f>
        <v>0</v>
      </c>
      <c r="M28" s="158">
        <f>SUMIF('内訳ﾘｽﾄ(4～3月)'!$D$26:$D$999,$B28,'内訳ﾘｽﾄ(4～3月)'!P$26:P$999)</f>
        <v>0</v>
      </c>
      <c r="N28" s="158">
        <f>SUMIF('内訳ﾘｽﾄ(4～3月)'!$D$26:$D$999,$B28,'内訳ﾘｽﾄ(4～3月)'!Q$26:Q$999)</f>
        <v>0</v>
      </c>
      <c r="O28" s="158">
        <f>SUMIF('内訳ﾘｽﾄ(4～3月)'!$D$26:$D$798,'採算表(VND)'!$B28,'内訳ﾘｽﾄ(4～3月)'!R$26:R$798)</f>
        <v>8237705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SUMIF('内訳ﾘｽﾄ(4～3月)'!$D$26:$D$999,$B29,'内訳ﾘｽﾄ(4～3月)'!F$26:F$999)</f>
        <v>0</v>
      </c>
      <c r="D29" s="158">
        <f>SUMIF('内訳ﾘｽﾄ(4～3月)'!$D$26:$D$999,$B29,'内訳ﾘｽﾄ(4～3月)'!G$26:G$999)</f>
        <v>0</v>
      </c>
      <c r="E29" s="158">
        <f>SUMIF('内訳ﾘｽﾄ(4～3月)'!$D$26:$D$999,$B29,'内訳ﾘｽﾄ(4～3月)'!H$26:H$999)</f>
        <v>0</v>
      </c>
      <c r="F29" s="158">
        <f>SUMIF('内訳ﾘｽﾄ(4～3月)'!$D$26:$D$999,$B29,'内訳ﾘｽﾄ(4～3月)'!I$26:I$999)</f>
        <v>0</v>
      </c>
      <c r="G29" s="158">
        <f>SUMIF('内訳ﾘｽﾄ(4～3月)'!$D$26:$D$999,$B29,'内訳ﾘｽﾄ(4～3月)'!J$26:J$999)</f>
        <v>0</v>
      </c>
      <c r="H29" s="158">
        <f>SUMIF('内訳ﾘｽﾄ(4～3月)'!$D$26:$D$999,$B29,'内訳ﾘｽﾄ(4～3月)'!K$26:K$999)</f>
        <v>0</v>
      </c>
      <c r="I29" s="158">
        <f>SUMIF('内訳ﾘｽﾄ(4～3月)'!$D$26:$D$999,$B29,'内訳ﾘｽﾄ(4～3月)'!L$26:L$999)</f>
        <v>0</v>
      </c>
      <c r="J29" s="158">
        <f>SUMIF('内訳ﾘｽﾄ(4～3月)'!$D$26:$D$999,$B29,'内訳ﾘｽﾄ(4～3月)'!M$26:M$999)</f>
        <v>0</v>
      </c>
      <c r="K29" s="158">
        <f>SUMIF('内訳ﾘｽﾄ(4～3月)'!$D$26:$D$999,$B29,'内訳ﾘｽﾄ(4～3月)'!N$26:N$999)</f>
        <v>0</v>
      </c>
      <c r="L29" s="158">
        <f>SUMIF('内訳ﾘｽﾄ(4～3月)'!$D$26:$D$999,$B29,'内訳ﾘｽﾄ(4～3月)'!O$26:O$999)</f>
        <v>0</v>
      </c>
      <c r="M29" s="158">
        <f>SUMIF('内訳ﾘｽﾄ(4～3月)'!$D$26:$D$999,$B29,'内訳ﾘｽﾄ(4～3月)'!P$26:P$999)</f>
        <v>0</v>
      </c>
      <c r="N29" s="158">
        <f>SUMIF('内訳ﾘｽﾄ(4～3月)'!$D$26:$D$999,$B29,'内訳ﾘｽﾄ(4～3月)'!Q$26:Q$999)</f>
        <v>0</v>
      </c>
      <c r="O29" s="158">
        <f>SUMIF('内訳ﾘｽﾄ(4～3月)'!$D$26:$D$798,'採算表(VND)'!$B29,'内訳ﾘｽﾄ(4～3月)'!R$26:R$798)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SUMIF('内訳ﾘｽﾄ(4～3月)'!$D$26:$D$999,$B30,'内訳ﾘｽﾄ(4～3月)'!F$26:F$999)</f>
        <v>743103</v>
      </c>
      <c r="D30" s="158">
        <f>SUMIF('内訳ﾘｽﾄ(4～3月)'!$D$26:$D$999,$B30,'内訳ﾘｽﾄ(4～3月)'!G$26:G$999)</f>
        <v>762767</v>
      </c>
      <c r="E30" s="158">
        <f>SUMIF('内訳ﾘｽﾄ(4～3月)'!$D$26:$D$999,$B30,'内訳ﾘｽﾄ(4～3月)'!H$26:H$999)</f>
        <v>916490</v>
      </c>
      <c r="F30" s="158">
        <f>SUMIF('内訳ﾘｽﾄ(4～3月)'!$D$26:$D$999,$B30,'内訳ﾘｽﾄ(4～3月)'!I$26:I$999)</f>
        <v>1043795</v>
      </c>
      <c r="G30" s="158">
        <f>SUMIF('内訳ﾘｽﾄ(4～3月)'!$D$26:$D$999,$B30,'内訳ﾘｽﾄ(4～3月)'!J$26:J$999)</f>
        <v>1013494</v>
      </c>
      <c r="H30" s="158">
        <f>SUMIF('内訳ﾘｽﾄ(4～3月)'!$D$26:$D$999,$B30,'内訳ﾘｽﾄ(4～3月)'!K$26:K$999)</f>
        <v>913526</v>
      </c>
      <c r="I30" s="158">
        <f>SUMIF('内訳ﾘｽﾄ(4～3月)'!$D$26:$D$999,$B30,'内訳ﾘｽﾄ(4～3月)'!L$26:L$999)</f>
        <v>880827</v>
      </c>
      <c r="J30" s="158">
        <f>SUMIF('内訳ﾘｽﾄ(4～3月)'!$D$26:$D$999,$B30,'内訳ﾘｽﾄ(4～3月)'!M$26:M$999)</f>
        <v>866670</v>
      </c>
      <c r="K30" s="158">
        <f>SUMIF('内訳ﾘｽﾄ(4～3月)'!$D$26:$D$999,$B30,'内訳ﾘｽﾄ(4～3月)'!N$26:N$999)</f>
        <v>861688</v>
      </c>
      <c r="L30" s="158">
        <f>SUMIF('内訳ﾘｽﾄ(4～3月)'!$D$26:$D$999,$B30,'内訳ﾘｽﾄ(4～3月)'!O$26:O$999)</f>
        <v>752719</v>
      </c>
      <c r="M30" s="158">
        <f>SUMIF('内訳ﾘｽﾄ(4～3月)'!$D$26:$D$999,$B30,'内訳ﾘｽﾄ(4～3月)'!P$26:P$999)</f>
        <v>669995</v>
      </c>
      <c r="N30" s="158">
        <f>SUMIF('内訳ﾘｽﾄ(4～3月)'!$D$26:$D$999,$B30,'内訳ﾘｽﾄ(4～3月)'!Q$26:Q$999)</f>
        <v>638687</v>
      </c>
      <c r="O30" s="158">
        <f>SUMIF('内訳ﾘｽﾄ(4～3月)'!$D$26:$D$798,'採算表(VND)'!$B30,'内訳ﾘｽﾄ(4～3月)'!R$26:R$798)</f>
        <v>10063761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SUMIF('内訳ﾘｽﾄ(4～3月)'!$D$26:$D$999,$B31,'内訳ﾘｽﾄ(4～3月)'!F$26:F$999)</f>
        <v>0</v>
      </c>
      <c r="D31" s="158">
        <f>SUMIF('内訳ﾘｽﾄ(4～3月)'!$D$26:$D$999,$B31,'内訳ﾘｽﾄ(4～3月)'!G$26:G$999)</f>
        <v>0</v>
      </c>
      <c r="E31" s="158">
        <f>SUMIF('内訳ﾘｽﾄ(4～3月)'!$D$26:$D$999,$B31,'内訳ﾘｽﾄ(4～3月)'!H$26:H$999)</f>
        <v>0</v>
      </c>
      <c r="F31" s="158">
        <f>SUMIF('内訳ﾘｽﾄ(4～3月)'!$D$26:$D$999,$B31,'内訳ﾘｽﾄ(4～3月)'!I$26:I$999)</f>
        <v>0</v>
      </c>
      <c r="G31" s="158">
        <f>SUMIF('内訳ﾘｽﾄ(4～3月)'!$D$26:$D$999,$B31,'内訳ﾘｽﾄ(4～3月)'!J$26:J$999)</f>
        <v>0</v>
      </c>
      <c r="H31" s="158">
        <f>SUMIF('内訳ﾘｽﾄ(4～3月)'!$D$26:$D$999,$B31,'内訳ﾘｽﾄ(4～3月)'!K$26:K$999)</f>
        <v>0</v>
      </c>
      <c r="I31" s="158">
        <f>SUMIF('内訳ﾘｽﾄ(4～3月)'!$D$26:$D$999,$B31,'内訳ﾘｽﾄ(4～3月)'!L$26:L$999)</f>
        <v>0</v>
      </c>
      <c r="J31" s="158">
        <f>SUMIF('内訳ﾘｽﾄ(4～3月)'!$D$26:$D$999,$B31,'内訳ﾘｽﾄ(4～3月)'!M$26:M$999)</f>
        <v>0</v>
      </c>
      <c r="K31" s="158">
        <f>SUMIF('内訳ﾘｽﾄ(4～3月)'!$D$26:$D$999,$B31,'内訳ﾘｽﾄ(4～3月)'!N$26:N$999)</f>
        <v>0</v>
      </c>
      <c r="L31" s="158">
        <f>SUMIF('内訳ﾘｽﾄ(4～3月)'!$D$26:$D$999,$B31,'内訳ﾘｽﾄ(4～3月)'!O$26:O$999)</f>
        <v>0</v>
      </c>
      <c r="M31" s="158">
        <f>SUMIF('内訳ﾘｽﾄ(4～3月)'!$D$26:$D$999,$B31,'内訳ﾘｽﾄ(4～3月)'!P$26:P$999)</f>
        <v>0</v>
      </c>
      <c r="N31" s="158">
        <f>SUMIF('内訳ﾘｽﾄ(4～3月)'!$D$26:$D$999,$B31,'内訳ﾘｽﾄ(4～3月)'!Q$26:Q$999)</f>
        <v>0</v>
      </c>
      <c r="O31" s="158">
        <f>SUMIF('内訳ﾘｽﾄ(4～3月)'!$D$26:$D$798,'採算表(VND)'!$B31,'内訳ﾘｽﾄ(4～3月)'!R$26:R$798)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SUMIF('内訳ﾘｽﾄ(4～3月)'!$D$26:$D$999,$B32,'内訳ﾘｽﾄ(4～3月)'!F$26:F$999)</f>
        <v>0</v>
      </c>
      <c r="D32" s="158">
        <f>SUMIF('内訳ﾘｽﾄ(4～3月)'!$D$26:$D$999,$B32,'内訳ﾘｽﾄ(4～3月)'!G$26:G$999)</f>
        <v>0</v>
      </c>
      <c r="E32" s="158">
        <f>SUMIF('内訳ﾘｽﾄ(4～3月)'!$D$26:$D$999,$B32,'内訳ﾘｽﾄ(4～3月)'!H$26:H$999)</f>
        <v>0</v>
      </c>
      <c r="F32" s="158">
        <f>SUMIF('内訳ﾘｽﾄ(4～3月)'!$D$26:$D$999,$B32,'内訳ﾘｽﾄ(4～3月)'!I$26:I$999)</f>
        <v>0</v>
      </c>
      <c r="G32" s="158">
        <f>SUMIF('内訳ﾘｽﾄ(4～3月)'!$D$26:$D$999,$B32,'内訳ﾘｽﾄ(4～3月)'!J$26:J$999)</f>
        <v>0</v>
      </c>
      <c r="H32" s="158">
        <f>SUMIF('内訳ﾘｽﾄ(4～3月)'!$D$26:$D$999,$B32,'内訳ﾘｽﾄ(4～3月)'!K$26:K$999)</f>
        <v>0</v>
      </c>
      <c r="I32" s="158">
        <f>SUMIF('内訳ﾘｽﾄ(4～3月)'!$D$26:$D$999,$B32,'内訳ﾘｽﾄ(4～3月)'!L$26:L$999)</f>
        <v>0</v>
      </c>
      <c r="J32" s="158">
        <f>SUMIF('内訳ﾘｽﾄ(4～3月)'!$D$26:$D$999,$B32,'内訳ﾘｽﾄ(4～3月)'!M$26:M$999)</f>
        <v>0</v>
      </c>
      <c r="K32" s="158">
        <f>SUMIF('内訳ﾘｽﾄ(4～3月)'!$D$26:$D$999,$B32,'内訳ﾘｽﾄ(4～3月)'!N$26:N$999)</f>
        <v>0</v>
      </c>
      <c r="L32" s="158">
        <f>SUMIF('内訳ﾘｽﾄ(4～3月)'!$D$26:$D$999,$B32,'内訳ﾘｽﾄ(4～3月)'!O$26:O$999)</f>
        <v>0</v>
      </c>
      <c r="M32" s="158">
        <f>SUMIF('内訳ﾘｽﾄ(4～3月)'!$D$26:$D$999,$B32,'内訳ﾘｽﾄ(4～3月)'!P$26:P$999)</f>
        <v>0</v>
      </c>
      <c r="N32" s="158">
        <f>SUMIF('内訳ﾘｽﾄ(4～3月)'!$D$26:$D$999,$B32,'内訳ﾘｽﾄ(4～3月)'!Q$26:Q$999)</f>
        <v>0</v>
      </c>
      <c r="O32" s="158">
        <f>SUMIF('内訳ﾘｽﾄ(4～3月)'!$D$26:$D$798,'採算表(VND)'!$B32,'内訳ﾘｽﾄ(4～3月)'!R$26:R$798)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SUMIF('内訳ﾘｽﾄ(4～3月)'!$D$26:$D$999,$B33,'内訳ﾘｽﾄ(4～3月)'!F$26:F$999)</f>
        <v>0</v>
      </c>
      <c r="D33" s="158">
        <f>SUMIF('内訳ﾘｽﾄ(4～3月)'!$D$26:$D$999,$B33,'内訳ﾘｽﾄ(4～3月)'!G$26:G$999)</f>
        <v>0</v>
      </c>
      <c r="E33" s="158">
        <f>SUMIF('内訳ﾘｽﾄ(4～3月)'!$D$26:$D$999,$B33,'内訳ﾘｽﾄ(4～3月)'!H$26:H$999)</f>
        <v>0</v>
      </c>
      <c r="F33" s="158">
        <f>SUMIF('内訳ﾘｽﾄ(4～3月)'!$D$26:$D$999,$B33,'内訳ﾘｽﾄ(4～3月)'!I$26:I$999)</f>
        <v>0</v>
      </c>
      <c r="G33" s="158">
        <f>SUMIF('内訳ﾘｽﾄ(4～3月)'!$D$26:$D$999,$B33,'内訳ﾘｽﾄ(4～3月)'!J$26:J$999)</f>
        <v>0</v>
      </c>
      <c r="H33" s="158">
        <f>SUMIF('内訳ﾘｽﾄ(4～3月)'!$D$26:$D$999,$B33,'内訳ﾘｽﾄ(4～3月)'!K$26:K$999)</f>
        <v>0</v>
      </c>
      <c r="I33" s="158">
        <f>SUMIF('内訳ﾘｽﾄ(4～3月)'!$D$26:$D$999,$B33,'内訳ﾘｽﾄ(4～3月)'!L$26:L$999)</f>
        <v>0</v>
      </c>
      <c r="J33" s="158">
        <f>SUMIF('内訳ﾘｽﾄ(4～3月)'!$D$26:$D$999,$B33,'内訳ﾘｽﾄ(4～3月)'!M$26:M$999)</f>
        <v>0</v>
      </c>
      <c r="K33" s="158">
        <f>SUMIF('内訳ﾘｽﾄ(4～3月)'!$D$26:$D$999,$B33,'内訳ﾘｽﾄ(4～3月)'!N$26:N$999)</f>
        <v>0</v>
      </c>
      <c r="L33" s="158">
        <f>SUMIF('内訳ﾘｽﾄ(4～3月)'!$D$26:$D$999,$B33,'内訳ﾘｽﾄ(4～3月)'!O$26:O$999)</f>
        <v>0</v>
      </c>
      <c r="M33" s="158">
        <f>SUMIF('内訳ﾘｽﾄ(4～3月)'!$D$26:$D$999,$B33,'内訳ﾘｽﾄ(4～3月)'!P$26:P$999)</f>
        <v>0</v>
      </c>
      <c r="N33" s="158">
        <f>SUMIF('内訳ﾘｽﾄ(4～3月)'!$D$26:$D$999,$B33,'内訳ﾘｽﾄ(4～3月)'!Q$26:Q$999)</f>
        <v>0</v>
      </c>
      <c r="O33" s="158">
        <f>SUMIF('内訳ﾘｽﾄ(4～3月)'!$D$26:$D$798,'採算表(VND)'!$B33,'内訳ﾘｽﾄ(4～3月)'!R$26:R$798)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SUMIF('内訳ﾘｽﾄ(4～3月)'!$D$26:$D$999,$B34,'内訳ﾘｽﾄ(4～3月)'!F$26:F$999)</f>
        <v>0</v>
      </c>
      <c r="D34" s="158">
        <f>SUMIF('内訳ﾘｽﾄ(4～3月)'!$D$26:$D$999,$B34,'内訳ﾘｽﾄ(4～3月)'!G$26:G$999)</f>
        <v>0</v>
      </c>
      <c r="E34" s="158">
        <f>SUMIF('内訳ﾘｽﾄ(4～3月)'!$D$26:$D$999,$B34,'内訳ﾘｽﾄ(4～3月)'!H$26:H$999)</f>
        <v>0</v>
      </c>
      <c r="F34" s="158">
        <f>SUMIF('内訳ﾘｽﾄ(4～3月)'!$D$26:$D$999,$B34,'内訳ﾘｽﾄ(4～3月)'!I$26:I$999)</f>
        <v>0</v>
      </c>
      <c r="G34" s="158">
        <f>SUMIF('内訳ﾘｽﾄ(4～3月)'!$D$26:$D$999,$B34,'内訳ﾘｽﾄ(4～3月)'!J$26:J$999)</f>
        <v>0</v>
      </c>
      <c r="H34" s="158">
        <f>SUMIF('内訳ﾘｽﾄ(4～3月)'!$D$26:$D$999,$B34,'内訳ﾘｽﾄ(4～3月)'!K$26:K$999)</f>
        <v>0</v>
      </c>
      <c r="I34" s="158">
        <f>SUMIF('内訳ﾘｽﾄ(4～3月)'!$D$26:$D$999,$B34,'内訳ﾘｽﾄ(4～3月)'!L$26:L$999)</f>
        <v>0</v>
      </c>
      <c r="J34" s="158">
        <f>SUMIF('内訳ﾘｽﾄ(4～3月)'!$D$26:$D$999,$B34,'内訳ﾘｽﾄ(4～3月)'!M$26:M$999)</f>
        <v>0</v>
      </c>
      <c r="K34" s="158">
        <f>SUMIF('内訳ﾘｽﾄ(4～3月)'!$D$26:$D$999,$B34,'内訳ﾘｽﾄ(4～3月)'!N$26:N$999)</f>
        <v>0</v>
      </c>
      <c r="L34" s="158">
        <f>SUMIF('内訳ﾘｽﾄ(4～3月)'!$D$26:$D$999,$B34,'内訳ﾘｽﾄ(4～3月)'!O$26:O$999)</f>
        <v>0</v>
      </c>
      <c r="M34" s="158">
        <f>SUMIF('内訳ﾘｽﾄ(4～3月)'!$D$26:$D$999,$B34,'内訳ﾘｽﾄ(4～3月)'!P$26:P$999)</f>
        <v>0</v>
      </c>
      <c r="N34" s="158">
        <f>SUMIF('内訳ﾘｽﾄ(4～3月)'!$D$26:$D$999,$B34,'内訳ﾘｽﾄ(4～3月)'!Q$26:Q$999)</f>
        <v>0</v>
      </c>
      <c r="O34" s="158">
        <f>SUMIF('内訳ﾘｽﾄ(4～3月)'!$D$26:$D$798,'採算表(VND)'!$B34,'内訳ﾘｽﾄ(4～3月)'!R$26:R$798)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SUMIF('内訳ﾘｽﾄ(4～3月)'!$D$26:$D$999,$B35,'内訳ﾘｽﾄ(4～3月)'!F$26:F$999)</f>
        <v>0</v>
      </c>
      <c r="D35" s="158">
        <f>SUMIF('内訳ﾘｽﾄ(4～3月)'!$D$26:$D$999,$B35,'内訳ﾘｽﾄ(4～3月)'!G$26:G$999)</f>
        <v>0</v>
      </c>
      <c r="E35" s="158">
        <f>SUMIF('内訳ﾘｽﾄ(4～3月)'!$D$26:$D$999,$B35,'内訳ﾘｽﾄ(4～3月)'!H$26:H$999)</f>
        <v>0</v>
      </c>
      <c r="F35" s="158">
        <f>SUMIF('内訳ﾘｽﾄ(4～3月)'!$D$26:$D$999,$B35,'内訳ﾘｽﾄ(4～3月)'!I$26:I$999)</f>
        <v>0</v>
      </c>
      <c r="G35" s="158">
        <f>SUMIF('内訳ﾘｽﾄ(4～3月)'!$D$26:$D$999,$B35,'内訳ﾘｽﾄ(4～3月)'!J$26:J$999)</f>
        <v>0</v>
      </c>
      <c r="H35" s="158">
        <f>SUMIF('内訳ﾘｽﾄ(4～3月)'!$D$26:$D$999,$B35,'内訳ﾘｽﾄ(4～3月)'!K$26:K$999)</f>
        <v>0</v>
      </c>
      <c r="I35" s="158">
        <f>SUMIF('内訳ﾘｽﾄ(4～3月)'!$D$26:$D$999,$B35,'内訳ﾘｽﾄ(4～3月)'!L$26:L$999)</f>
        <v>0</v>
      </c>
      <c r="J35" s="158">
        <f>SUMIF('内訳ﾘｽﾄ(4～3月)'!$D$26:$D$999,$B35,'内訳ﾘｽﾄ(4～3月)'!M$26:M$999)</f>
        <v>0</v>
      </c>
      <c r="K35" s="158">
        <f>SUMIF('内訳ﾘｽﾄ(4～3月)'!$D$26:$D$999,$B35,'内訳ﾘｽﾄ(4～3月)'!N$26:N$999)</f>
        <v>0</v>
      </c>
      <c r="L35" s="158">
        <f>SUMIF('内訳ﾘｽﾄ(4～3月)'!$D$26:$D$999,$B35,'内訳ﾘｽﾄ(4～3月)'!O$26:O$999)</f>
        <v>0</v>
      </c>
      <c r="M35" s="158">
        <f>SUMIF('内訳ﾘｽﾄ(4～3月)'!$D$26:$D$999,$B35,'内訳ﾘｽﾄ(4～3月)'!P$26:P$999)</f>
        <v>0</v>
      </c>
      <c r="N35" s="158">
        <f>SUMIF('内訳ﾘｽﾄ(4～3月)'!$D$26:$D$999,$B35,'内訳ﾘｽﾄ(4～3月)'!Q$26:Q$999)</f>
        <v>0</v>
      </c>
      <c r="O35" s="158">
        <f>SUMIF('内訳ﾘｽﾄ(4～3月)'!$D$26:$D$798,'採算表(VND)'!$B35,'内訳ﾘｽﾄ(4～3月)'!R$26:R$798)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SUMIF('内訳ﾘｽﾄ(4～3月)'!$D$26:$D$999,$B36,'内訳ﾘｽﾄ(4～3月)'!F$26:F$999)</f>
        <v>0</v>
      </c>
      <c r="D36" s="158">
        <f>SUMIF('内訳ﾘｽﾄ(4～3月)'!$D$26:$D$999,$B36,'内訳ﾘｽﾄ(4～3月)'!G$26:G$999)</f>
        <v>0</v>
      </c>
      <c r="E36" s="158">
        <f>SUMIF('内訳ﾘｽﾄ(4～3月)'!$D$26:$D$999,$B36,'内訳ﾘｽﾄ(4～3月)'!H$26:H$999)</f>
        <v>0</v>
      </c>
      <c r="F36" s="158">
        <f>SUMIF('内訳ﾘｽﾄ(4～3月)'!$D$26:$D$999,$B36,'内訳ﾘｽﾄ(4～3月)'!I$26:I$999)</f>
        <v>0</v>
      </c>
      <c r="G36" s="158">
        <f>SUMIF('内訳ﾘｽﾄ(4～3月)'!$D$26:$D$999,$B36,'内訳ﾘｽﾄ(4～3月)'!J$26:J$999)</f>
        <v>0</v>
      </c>
      <c r="H36" s="158">
        <f>SUMIF('内訳ﾘｽﾄ(4～3月)'!$D$26:$D$999,$B36,'内訳ﾘｽﾄ(4～3月)'!K$26:K$999)</f>
        <v>0</v>
      </c>
      <c r="I36" s="158">
        <f>SUMIF('内訳ﾘｽﾄ(4～3月)'!$D$26:$D$999,$B36,'内訳ﾘｽﾄ(4～3月)'!L$26:L$999)</f>
        <v>0</v>
      </c>
      <c r="J36" s="158">
        <f>SUMIF('内訳ﾘｽﾄ(4～3月)'!$D$26:$D$999,$B36,'内訳ﾘｽﾄ(4～3月)'!M$26:M$999)</f>
        <v>0</v>
      </c>
      <c r="K36" s="158">
        <f>SUMIF('内訳ﾘｽﾄ(4～3月)'!$D$26:$D$999,$B36,'内訳ﾘｽﾄ(4～3月)'!N$26:N$999)</f>
        <v>0</v>
      </c>
      <c r="L36" s="158">
        <f>SUMIF('内訳ﾘｽﾄ(4～3月)'!$D$26:$D$999,$B36,'内訳ﾘｽﾄ(4～3月)'!O$26:O$999)</f>
        <v>0</v>
      </c>
      <c r="M36" s="158">
        <f>SUMIF('内訳ﾘｽﾄ(4～3月)'!$D$26:$D$999,$B36,'内訳ﾘｽﾄ(4～3月)'!P$26:P$999)</f>
        <v>0</v>
      </c>
      <c r="N36" s="158">
        <f>SUMIF('内訳ﾘｽﾄ(4～3月)'!$D$26:$D$999,$B36,'内訳ﾘｽﾄ(4～3月)'!Q$26:Q$999)</f>
        <v>0</v>
      </c>
      <c r="O36" s="158">
        <f>SUMIF('内訳ﾘｽﾄ(4～3月)'!$D$26:$D$798,'採算表(VND)'!$B36,'内訳ﾘｽﾄ(4～3月)'!R$26:R$798)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SUMIF('内訳ﾘｽﾄ(4～3月)'!$D$26:$D$999,$B37,'内訳ﾘｽﾄ(4～3月)'!F$26:F$999)</f>
        <v>0</v>
      </c>
      <c r="D37" s="158">
        <f>SUMIF('内訳ﾘｽﾄ(4～3月)'!$D$26:$D$999,$B37,'内訳ﾘｽﾄ(4～3月)'!G$26:G$999)</f>
        <v>0</v>
      </c>
      <c r="E37" s="158">
        <f>SUMIF('内訳ﾘｽﾄ(4～3月)'!$D$26:$D$999,$B37,'内訳ﾘｽﾄ(4～3月)'!H$26:H$999)</f>
        <v>0</v>
      </c>
      <c r="F37" s="158">
        <f>SUMIF('内訳ﾘｽﾄ(4～3月)'!$D$26:$D$999,$B37,'内訳ﾘｽﾄ(4～3月)'!I$26:I$999)</f>
        <v>0</v>
      </c>
      <c r="G37" s="158">
        <f>SUMIF('内訳ﾘｽﾄ(4～3月)'!$D$26:$D$999,$B37,'内訳ﾘｽﾄ(4～3月)'!J$26:J$999)</f>
        <v>0</v>
      </c>
      <c r="H37" s="158">
        <f>SUMIF('内訳ﾘｽﾄ(4～3月)'!$D$26:$D$999,$B37,'内訳ﾘｽﾄ(4～3月)'!K$26:K$999)</f>
        <v>0</v>
      </c>
      <c r="I37" s="158">
        <f>SUMIF('内訳ﾘｽﾄ(4～3月)'!$D$26:$D$999,$B37,'内訳ﾘｽﾄ(4～3月)'!L$26:L$999)</f>
        <v>0</v>
      </c>
      <c r="J37" s="158">
        <f>SUMIF('内訳ﾘｽﾄ(4～3月)'!$D$26:$D$999,$B37,'内訳ﾘｽﾄ(4～3月)'!M$26:M$999)</f>
        <v>0</v>
      </c>
      <c r="K37" s="158">
        <f>SUMIF('内訳ﾘｽﾄ(4～3月)'!$D$26:$D$999,$B37,'内訳ﾘｽﾄ(4～3月)'!N$26:N$999)</f>
        <v>0</v>
      </c>
      <c r="L37" s="158">
        <f>SUMIF('内訳ﾘｽﾄ(4～3月)'!$D$26:$D$999,$B37,'内訳ﾘｽﾄ(4～3月)'!O$26:O$999)</f>
        <v>0</v>
      </c>
      <c r="M37" s="158">
        <f>SUMIF('内訳ﾘｽﾄ(4～3月)'!$D$26:$D$999,$B37,'内訳ﾘｽﾄ(4～3月)'!P$26:P$999)</f>
        <v>0</v>
      </c>
      <c r="N37" s="158">
        <f>SUMIF('内訳ﾘｽﾄ(4～3月)'!$D$26:$D$999,$B37,'内訳ﾘｽﾄ(4～3月)'!Q$26:Q$999)</f>
        <v>0</v>
      </c>
      <c r="O37" s="158">
        <f>SUMIF('内訳ﾘｽﾄ(4～3月)'!$D$26:$D$798,'採算表(VND)'!$B37,'内訳ﾘｽﾄ(4～3月)'!R$26:R$798)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SUMIF('内訳ﾘｽﾄ(4～3月)'!$D$26:$D$999,$B38,'内訳ﾘｽﾄ(4～3月)'!F$26:F$999)</f>
        <v>0</v>
      </c>
      <c r="D38" s="158">
        <f>SUMIF('内訳ﾘｽﾄ(4～3月)'!$D$26:$D$999,$B38,'内訳ﾘｽﾄ(4～3月)'!G$26:G$999)</f>
        <v>0</v>
      </c>
      <c r="E38" s="158">
        <f>SUMIF('内訳ﾘｽﾄ(4～3月)'!$D$26:$D$999,$B38,'内訳ﾘｽﾄ(4～3月)'!H$26:H$999)</f>
        <v>0</v>
      </c>
      <c r="F38" s="158">
        <f>SUMIF('内訳ﾘｽﾄ(4～3月)'!$D$26:$D$999,$B38,'内訳ﾘｽﾄ(4～3月)'!I$26:I$999)</f>
        <v>0</v>
      </c>
      <c r="G38" s="158">
        <f>SUMIF('内訳ﾘｽﾄ(4～3月)'!$D$26:$D$999,$B38,'内訳ﾘｽﾄ(4～3月)'!J$26:J$999)</f>
        <v>0</v>
      </c>
      <c r="H38" s="158">
        <f>SUMIF('内訳ﾘｽﾄ(4～3月)'!$D$26:$D$999,$B38,'内訳ﾘｽﾄ(4～3月)'!K$26:K$999)</f>
        <v>0</v>
      </c>
      <c r="I38" s="158">
        <f>SUMIF('内訳ﾘｽﾄ(4～3月)'!$D$26:$D$999,$B38,'内訳ﾘｽﾄ(4～3月)'!L$26:L$999)</f>
        <v>0</v>
      </c>
      <c r="J38" s="158">
        <f>SUMIF('内訳ﾘｽﾄ(4～3月)'!$D$26:$D$999,$B38,'内訳ﾘｽﾄ(4～3月)'!M$26:M$999)</f>
        <v>0</v>
      </c>
      <c r="K38" s="158">
        <f>SUMIF('内訳ﾘｽﾄ(4～3月)'!$D$26:$D$999,$B38,'内訳ﾘｽﾄ(4～3月)'!N$26:N$999)</f>
        <v>0</v>
      </c>
      <c r="L38" s="158">
        <f>SUMIF('内訳ﾘｽﾄ(4～3月)'!$D$26:$D$999,$B38,'内訳ﾘｽﾄ(4～3月)'!O$26:O$999)</f>
        <v>0</v>
      </c>
      <c r="M38" s="158">
        <f>SUMIF('内訳ﾘｽﾄ(4～3月)'!$D$26:$D$999,$B38,'内訳ﾘｽﾄ(4～3月)'!P$26:P$999)</f>
        <v>0</v>
      </c>
      <c r="N38" s="158">
        <f>SUMIF('内訳ﾘｽﾄ(4～3月)'!$D$26:$D$999,$B38,'内訳ﾘｽﾄ(4～3月)'!Q$26:Q$999)</f>
        <v>0</v>
      </c>
      <c r="O38" s="158">
        <f>SUMIF('内訳ﾘｽﾄ(4～3月)'!$D$26:$D$798,'採算表(VND)'!$B38,'内訳ﾘｽﾄ(4～3月)'!R$26:R$798)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SUMIF('内訳ﾘｽﾄ(4～3月)'!$D$26:$D$999,$B39,'内訳ﾘｽﾄ(4～3月)'!F$26:F$999)</f>
        <v>281235</v>
      </c>
      <c r="D39" s="158">
        <f>SUMIF('内訳ﾘｽﾄ(4～3月)'!$D$26:$D$999,$B39,'内訳ﾘｽﾄ(4～3月)'!G$26:G$999)</f>
        <v>282310</v>
      </c>
      <c r="E39" s="158">
        <f>SUMIF('内訳ﾘｽﾄ(4～3月)'!$D$26:$D$999,$B39,'内訳ﾘｽﾄ(4～3月)'!H$26:H$999)</f>
        <v>291005</v>
      </c>
      <c r="F39" s="158">
        <f>SUMIF('内訳ﾘｽﾄ(4～3月)'!$D$26:$D$999,$B39,'内訳ﾘｽﾄ(4～3月)'!I$26:I$999)</f>
        <v>266530</v>
      </c>
      <c r="G39" s="158">
        <f>SUMIF('内訳ﾘｽﾄ(4～3月)'!$D$26:$D$999,$B39,'内訳ﾘｽﾄ(4～3月)'!J$26:J$999)</f>
        <v>259455</v>
      </c>
      <c r="H39" s="158">
        <f>SUMIF('内訳ﾘｽﾄ(4～3月)'!$D$26:$D$999,$B39,'内訳ﾘｽﾄ(4～3月)'!K$26:K$999)</f>
        <v>247950</v>
      </c>
      <c r="I39" s="158">
        <f>SUMIF('内訳ﾘｽﾄ(4～3月)'!$D$26:$D$999,$B39,'内訳ﾘｽﾄ(4～3月)'!L$26:L$999)</f>
        <v>237160</v>
      </c>
      <c r="J39" s="158">
        <f>SUMIF('内訳ﾘｽﾄ(4～3月)'!$D$26:$D$999,$B39,'内訳ﾘｽﾄ(4～3月)'!M$26:M$999)</f>
        <v>234220</v>
      </c>
      <c r="K39" s="158">
        <f>SUMIF('内訳ﾘｽﾄ(4～3月)'!$D$26:$D$999,$B39,'内訳ﾘｽﾄ(4～3月)'!N$26:N$999)</f>
        <v>234885</v>
      </c>
      <c r="L39" s="158">
        <f>SUMIF('内訳ﾘｽﾄ(4～3月)'!$D$26:$D$999,$B39,'内訳ﾘｽﾄ(4～3月)'!O$26:O$999)</f>
        <v>224840</v>
      </c>
      <c r="M39" s="158">
        <f>SUMIF('内訳ﾘｽﾄ(4～3月)'!$D$26:$D$999,$B39,'内訳ﾘｽﾄ(4～3月)'!P$26:P$999)</f>
        <v>212810</v>
      </c>
      <c r="N39" s="158">
        <f>SUMIF('内訳ﾘｽﾄ(4～3月)'!$D$26:$D$999,$B39,'内訳ﾘｽﾄ(4～3月)'!Q$26:Q$999)</f>
        <v>222700</v>
      </c>
      <c r="O39" s="158">
        <f>SUMIF('内訳ﾘｽﾄ(4～3月)'!$D$26:$D$798,'採算表(VND)'!$B39,'内訳ﾘｽﾄ(4～3月)'!R$26:R$798)</f>
        <v>2995100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SUMIF('内訳ﾘｽﾄ(4～3月)'!$D$26:$D$999,$B40,'内訳ﾘｽﾄ(4～3月)'!F$26:F$999)</f>
        <v>0</v>
      </c>
      <c r="D40" s="158">
        <f>SUMIF('内訳ﾘｽﾄ(4～3月)'!$D$26:$D$999,$B40,'内訳ﾘｽﾄ(4～3月)'!G$26:G$999)</f>
        <v>0</v>
      </c>
      <c r="E40" s="158">
        <f>SUMIF('内訳ﾘｽﾄ(4～3月)'!$D$26:$D$999,$B40,'内訳ﾘｽﾄ(4～3月)'!H$26:H$999)</f>
        <v>0</v>
      </c>
      <c r="F40" s="158">
        <f>SUMIF('内訳ﾘｽﾄ(4～3月)'!$D$26:$D$999,$B40,'内訳ﾘｽﾄ(4～3月)'!I$26:I$999)</f>
        <v>0</v>
      </c>
      <c r="G40" s="158">
        <f>SUMIF('内訳ﾘｽﾄ(4～3月)'!$D$26:$D$999,$B40,'内訳ﾘｽﾄ(4～3月)'!J$26:J$999)</f>
        <v>0</v>
      </c>
      <c r="H40" s="158">
        <f>SUMIF('内訳ﾘｽﾄ(4～3月)'!$D$26:$D$999,$B40,'内訳ﾘｽﾄ(4～3月)'!K$26:K$999)</f>
        <v>0</v>
      </c>
      <c r="I40" s="158">
        <f>SUMIF('内訳ﾘｽﾄ(4～3月)'!$D$26:$D$999,$B40,'内訳ﾘｽﾄ(4～3月)'!L$26:L$999)</f>
        <v>0</v>
      </c>
      <c r="J40" s="158">
        <f>SUMIF('内訳ﾘｽﾄ(4～3月)'!$D$26:$D$999,$B40,'内訳ﾘｽﾄ(4～3月)'!M$26:M$999)</f>
        <v>0</v>
      </c>
      <c r="K40" s="158">
        <f>SUMIF('内訳ﾘｽﾄ(4～3月)'!$D$26:$D$999,$B40,'内訳ﾘｽﾄ(4～3月)'!N$26:N$999)</f>
        <v>0</v>
      </c>
      <c r="L40" s="158">
        <f>SUMIF('内訳ﾘｽﾄ(4～3月)'!$D$26:$D$999,$B40,'内訳ﾘｽﾄ(4～3月)'!O$26:O$999)</f>
        <v>0</v>
      </c>
      <c r="M40" s="158">
        <f>SUMIF('内訳ﾘｽﾄ(4～3月)'!$D$26:$D$999,$B40,'内訳ﾘｽﾄ(4～3月)'!P$26:P$999)</f>
        <v>0</v>
      </c>
      <c r="N40" s="158">
        <f>SUMIF('内訳ﾘｽﾄ(4～3月)'!$D$26:$D$999,$B40,'内訳ﾘｽﾄ(4～3月)'!Q$26:Q$999)</f>
        <v>0</v>
      </c>
      <c r="O40" s="158">
        <f>SUMIF('内訳ﾘｽﾄ(4～3月)'!$D$26:$D$798,'採算表(VND)'!$B40,'内訳ﾘｽﾄ(4～3月)'!R$26:R$798)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SUMIF('内訳ﾘｽﾄ(4～3月)'!$D$26:$D$999,$B41,'内訳ﾘｽﾄ(4～3月)'!F$26:F$999)</f>
        <v>1133500</v>
      </c>
      <c r="D41" s="158">
        <f>SUMIF('内訳ﾘｽﾄ(4～3月)'!$D$26:$D$999,$B41,'内訳ﾘｽﾄ(4～3月)'!G$26:G$999)</f>
        <v>1133500</v>
      </c>
      <c r="E41" s="158">
        <f>SUMIF('内訳ﾘｽﾄ(4～3月)'!$D$26:$D$999,$B41,'内訳ﾘｽﾄ(4～3月)'!H$26:H$999)</f>
        <v>1133500</v>
      </c>
      <c r="F41" s="158">
        <f>SUMIF('内訳ﾘｽﾄ(4～3月)'!$D$26:$D$999,$B41,'内訳ﾘｽﾄ(4～3月)'!I$26:I$999)</f>
        <v>1133500</v>
      </c>
      <c r="G41" s="158">
        <f>SUMIF('内訳ﾘｽﾄ(4～3月)'!$D$26:$D$999,$B41,'内訳ﾘｽﾄ(4～3月)'!J$26:J$999)</f>
        <v>1133500</v>
      </c>
      <c r="H41" s="158">
        <f>SUMIF('内訳ﾘｽﾄ(4～3月)'!$D$26:$D$999,$B41,'内訳ﾘｽﾄ(4～3月)'!K$26:K$999)</f>
        <v>1133500</v>
      </c>
      <c r="I41" s="158">
        <f>SUMIF('内訳ﾘｽﾄ(4～3月)'!$D$26:$D$999,$B41,'内訳ﾘｽﾄ(4～3月)'!L$26:L$999)</f>
        <v>1133500</v>
      </c>
      <c r="J41" s="158">
        <f>SUMIF('内訳ﾘｽﾄ(4～3月)'!$D$26:$D$999,$B41,'内訳ﾘｽﾄ(4～3月)'!M$26:M$999)</f>
        <v>1133500</v>
      </c>
      <c r="K41" s="158">
        <f>SUMIF('内訳ﾘｽﾄ(4～3月)'!$D$26:$D$999,$B41,'内訳ﾘｽﾄ(4～3月)'!N$26:N$999)</f>
        <v>1133500</v>
      </c>
      <c r="L41" s="158">
        <f>SUMIF('内訳ﾘｽﾄ(4～3月)'!$D$26:$D$999,$B41,'内訳ﾘｽﾄ(4～3月)'!O$26:O$999)</f>
        <v>1133500</v>
      </c>
      <c r="M41" s="158">
        <f>SUMIF('内訳ﾘｽﾄ(4～3月)'!$D$26:$D$999,$B41,'内訳ﾘｽﾄ(4～3月)'!P$26:P$999)</f>
        <v>1331500</v>
      </c>
      <c r="N41" s="158">
        <f>SUMIF('内訳ﾘｽﾄ(4～3月)'!$D$26:$D$999,$B41,'内訳ﾘｽﾄ(4～3月)'!Q$26:Q$999)</f>
        <v>1133500</v>
      </c>
      <c r="O41" s="158">
        <f>SUMIF('内訳ﾘｽﾄ(4～3月)'!$D$26:$D$798,'採算表(VND)'!$B41,'内訳ﾘｽﾄ(4～3月)'!R$26:R$798)</f>
        <v>13800000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SUMIF('内訳ﾘｽﾄ(4～3月)'!$D$26:$D$999,$B42,'内訳ﾘｽﾄ(4～3月)'!F$26:F$999)</f>
        <v>187574790</v>
      </c>
      <c r="D42" s="158">
        <f>SUMIF('内訳ﾘｽﾄ(4～3月)'!$D$26:$D$999,$B42,'内訳ﾘｽﾄ(4～3月)'!G$26:G$999)</f>
        <v>11870079</v>
      </c>
      <c r="E42" s="158">
        <f>SUMIF('内訳ﾘｽﾄ(4～3月)'!$D$26:$D$999,$B42,'内訳ﾘｽﾄ(4～3月)'!H$26:H$999)</f>
        <v>11870079</v>
      </c>
      <c r="F42" s="158">
        <f>SUMIF('内訳ﾘｽﾄ(4～3月)'!$D$26:$D$999,$B42,'内訳ﾘｽﾄ(4～3月)'!I$26:I$999)</f>
        <v>11870079</v>
      </c>
      <c r="G42" s="158">
        <f>SUMIF('内訳ﾘｽﾄ(4～3月)'!$D$26:$D$999,$B42,'内訳ﾘｽﾄ(4～3月)'!J$26:J$999)</f>
        <v>11870079</v>
      </c>
      <c r="H42" s="158">
        <f>SUMIF('内訳ﾘｽﾄ(4～3月)'!$D$26:$D$999,$B42,'内訳ﾘｽﾄ(4～3月)'!K$26:K$999)</f>
        <v>11870079</v>
      </c>
      <c r="I42" s="158">
        <f>SUMIF('内訳ﾘｽﾄ(4～3月)'!$D$26:$D$999,$B42,'内訳ﾘｽﾄ(4～3月)'!L$26:L$999)</f>
        <v>11870079</v>
      </c>
      <c r="J42" s="158">
        <f>SUMIF('内訳ﾘｽﾄ(4～3月)'!$D$26:$D$999,$B42,'内訳ﾘｽﾄ(4～3月)'!M$26:M$999)</f>
        <v>11874079</v>
      </c>
      <c r="K42" s="158">
        <f>SUMIF('内訳ﾘｽﾄ(4～3月)'!$D$26:$D$999,$B42,'内訳ﾘｽﾄ(4～3月)'!N$26:N$999)</f>
        <v>11870079</v>
      </c>
      <c r="L42" s="158">
        <f>SUMIF('内訳ﾘｽﾄ(4～3月)'!$D$26:$D$999,$B42,'内訳ﾘｽﾄ(4～3月)'!O$26:O$999)</f>
        <v>11870079</v>
      </c>
      <c r="M42" s="158">
        <f>SUMIF('内訳ﾘｽﾄ(4～3月)'!$D$26:$D$999,$B42,'内訳ﾘｽﾄ(4～3月)'!P$26:P$999)</f>
        <v>11870079</v>
      </c>
      <c r="N42" s="158">
        <f>SUMIF('内訳ﾘｽﾄ(4～3月)'!$D$26:$D$999,$B42,'内訳ﾘｽﾄ(4～3月)'!Q$26:Q$999)</f>
        <v>11870079</v>
      </c>
      <c r="O42" s="158">
        <f>SUMIF('内訳ﾘｽﾄ(4～3月)'!$D$26:$D$798,'採算表(VND)'!$B42,'内訳ﾘｽﾄ(4～3月)'!R$26:R$798)</f>
        <v>318149659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SUMIF('内訳ﾘｽﾄ(4～3月)'!$D$26:$D$999,$B43,'内訳ﾘｽﾄ(4～3月)'!F$26:F$999)</f>
        <v>0</v>
      </c>
      <c r="D43" s="158">
        <f>SUMIF('内訳ﾘｽﾄ(4～3月)'!$D$26:$D$999,$B43,'内訳ﾘｽﾄ(4～3月)'!G$26:G$999)</f>
        <v>0</v>
      </c>
      <c r="E43" s="158">
        <f>SUMIF('内訳ﾘｽﾄ(4～3月)'!$D$26:$D$999,$B43,'内訳ﾘｽﾄ(4～3月)'!H$26:H$999)</f>
        <v>0</v>
      </c>
      <c r="F43" s="158">
        <f>SUMIF('内訳ﾘｽﾄ(4～3月)'!$D$26:$D$999,$B43,'内訳ﾘｽﾄ(4～3月)'!I$26:I$999)</f>
        <v>0</v>
      </c>
      <c r="G43" s="158">
        <f>SUMIF('内訳ﾘｽﾄ(4～3月)'!$D$26:$D$999,$B43,'内訳ﾘｽﾄ(4～3月)'!J$26:J$999)</f>
        <v>0</v>
      </c>
      <c r="H43" s="158">
        <f>SUMIF('内訳ﾘｽﾄ(4～3月)'!$D$26:$D$999,$B43,'内訳ﾘｽﾄ(4～3月)'!K$26:K$999)</f>
        <v>0</v>
      </c>
      <c r="I43" s="158">
        <f>SUMIF('内訳ﾘｽﾄ(4～3月)'!$D$26:$D$999,$B43,'内訳ﾘｽﾄ(4～3月)'!L$26:L$999)</f>
        <v>0</v>
      </c>
      <c r="J43" s="158">
        <f>SUMIF('内訳ﾘｽﾄ(4～3月)'!$D$26:$D$999,$B43,'内訳ﾘｽﾄ(4～3月)'!M$26:M$999)</f>
        <v>0</v>
      </c>
      <c r="K43" s="158">
        <f>SUMIF('内訳ﾘｽﾄ(4～3月)'!$D$26:$D$999,$B43,'内訳ﾘｽﾄ(4～3月)'!N$26:N$999)</f>
        <v>0</v>
      </c>
      <c r="L43" s="158">
        <f>SUMIF('内訳ﾘｽﾄ(4～3月)'!$D$26:$D$999,$B43,'内訳ﾘｽﾄ(4～3月)'!O$26:O$999)</f>
        <v>0</v>
      </c>
      <c r="M43" s="158">
        <f>SUMIF('内訳ﾘｽﾄ(4～3月)'!$D$26:$D$999,$B43,'内訳ﾘｽﾄ(4～3月)'!P$26:P$999)</f>
        <v>0</v>
      </c>
      <c r="N43" s="158">
        <f>SUMIF('内訳ﾘｽﾄ(4～3月)'!$D$26:$D$999,$B43,'内訳ﾘｽﾄ(4～3月)'!Q$26:Q$999)</f>
        <v>0</v>
      </c>
      <c r="O43" s="158">
        <f>SUMIF('内訳ﾘｽﾄ(4～3月)'!$D$26:$D$798,'採算表(VND)'!$B43,'内訳ﾘｽﾄ(4～3月)'!R$26:R$798)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SUMIF('内訳ﾘｽﾄ(4～3月)'!$D$26:$D$999,$B44,'内訳ﾘｽﾄ(4～3月)'!F$26:F$999)</f>
        <v>4148000</v>
      </c>
      <c r="D44" s="158">
        <f>SUMIF('内訳ﾘｽﾄ(4～3月)'!$D$26:$D$999,$B44,'内訳ﾘｽﾄ(4～3月)'!G$26:G$999)</f>
        <v>11213266</v>
      </c>
      <c r="E44" s="158">
        <f>SUMIF('内訳ﾘｽﾄ(4～3月)'!$D$26:$D$999,$B44,'内訳ﾘｽﾄ(4～3月)'!H$26:H$999)</f>
        <v>740817</v>
      </c>
      <c r="F44" s="158">
        <f>SUMIF('内訳ﾘｽﾄ(4～3月)'!$D$26:$D$999,$B44,'内訳ﾘｽﾄ(4～3月)'!I$26:I$999)</f>
        <v>1140817</v>
      </c>
      <c r="G44" s="158">
        <f>SUMIF('内訳ﾘｽﾄ(4～3月)'!$D$26:$D$999,$B44,'内訳ﾘｽﾄ(4～3月)'!J$26:J$999)</f>
        <v>1134164</v>
      </c>
      <c r="H44" s="158">
        <f>SUMIF('内訳ﾘｽﾄ(4～3月)'!$D$26:$D$999,$B44,'内訳ﾘｽﾄ(4～3月)'!K$26:K$999)</f>
        <v>1556266</v>
      </c>
      <c r="I44" s="158">
        <f>SUMIF('内訳ﾘｽﾄ(4～3月)'!$D$26:$D$999,$B44,'内訳ﾘｽﾄ(4～3月)'!L$26:L$999)</f>
        <v>1043266</v>
      </c>
      <c r="J44" s="158">
        <f>SUMIF('内訳ﾘｽﾄ(4～3月)'!$D$26:$D$999,$B44,'内訳ﾘｽﾄ(4～3月)'!M$26:M$999)</f>
        <v>1343164</v>
      </c>
      <c r="K44" s="158">
        <f>SUMIF('内訳ﾘｽﾄ(4～3月)'!$D$26:$D$999,$B44,'内訳ﾘｽﾄ(4～3月)'!N$26:N$999)</f>
        <v>1564266</v>
      </c>
      <c r="L44" s="158">
        <f>SUMIF('内訳ﾘｽﾄ(4～3月)'!$D$26:$D$999,$B44,'内訳ﾘｽﾄ(4～3月)'!O$26:O$999)</f>
        <v>763266</v>
      </c>
      <c r="M44" s="158">
        <f>SUMIF('内訳ﾘｽﾄ(4～3月)'!$D$26:$D$999,$B44,'内訳ﾘｽﾄ(4～3月)'!P$26:P$999)</f>
        <v>2826266</v>
      </c>
      <c r="N44" s="158">
        <f>SUMIF('内訳ﾘｽﾄ(4～3月)'!$D$26:$D$999,$B44,'内訳ﾘｽﾄ(4～3月)'!Q$26:Q$999)</f>
        <v>640552</v>
      </c>
      <c r="O44" s="158">
        <f>SUMIF('内訳ﾘｽﾄ(4～3月)'!$D$26:$D$798,'採算表(VND)'!$B44,'内訳ﾘｽﾄ(4～3月)'!R$26:R$798)</f>
        <v>28114110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SUMIF('内訳ﾘｽﾄ(4～3月)'!$D$26:$D$999,$B45,'内訳ﾘｽﾄ(4～3月)'!F$26:F$999)</f>
        <v>0</v>
      </c>
      <c r="D45" s="158">
        <f>SUMIF('内訳ﾘｽﾄ(4～3月)'!$D$26:$D$999,$B45,'内訳ﾘｽﾄ(4～3月)'!G$26:G$999)</f>
        <v>0</v>
      </c>
      <c r="E45" s="158">
        <f>SUMIF('内訳ﾘｽﾄ(4～3月)'!$D$26:$D$999,$B45,'内訳ﾘｽﾄ(4～3月)'!H$26:H$999)</f>
        <v>0</v>
      </c>
      <c r="F45" s="158">
        <f>SUMIF('内訳ﾘｽﾄ(4～3月)'!$D$26:$D$999,$B45,'内訳ﾘｽﾄ(4～3月)'!I$26:I$999)</f>
        <v>0</v>
      </c>
      <c r="G45" s="158">
        <f>SUMIF('内訳ﾘｽﾄ(4～3月)'!$D$26:$D$999,$B45,'内訳ﾘｽﾄ(4～3月)'!J$26:J$999)</f>
        <v>0</v>
      </c>
      <c r="H45" s="158">
        <f>SUMIF('内訳ﾘｽﾄ(4～3月)'!$D$26:$D$999,$B45,'内訳ﾘｽﾄ(4～3月)'!K$26:K$999)</f>
        <v>0</v>
      </c>
      <c r="I45" s="158">
        <f>SUMIF('内訳ﾘｽﾄ(4～3月)'!$D$26:$D$999,$B45,'内訳ﾘｽﾄ(4～3月)'!L$26:L$999)</f>
        <v>0</v>
      </c>
      <c r="J45" s="158">
        <f>SUMIF('内訳ﾘｽﾄ(4～3月)'!$D$26:$D$999,$B45,'内訳ﾘｽﾄ(4～3月)'!M$26:M$999)</f>
        <v>0</v>
      </c>
      <c r="K45" s="158">
        <f>SUMIF('内訳ﾘｽﾄ(4～3月)'!$D$26:$D$999,$B45,'内訳ﾘｽﾄ(4～3月)'!N$26:N$999)</f>
        <v>0</v>
      </c>
      <c r="L45" s="158">
        <f>SUMIF('内訳ﾘｽﾄ(4～3月)'!$D$26:$D$999,$B45,'内訳ﾘｽﾄ(4～3月)'!O$26:O$999)</f>
        <v>0</v>
      </c>
      <c r="M45" s="158">
        <f>SUMIF('内訳ﾘｽﾄ(4～3月)'!$D$26:$D$999,$B45,'内訳ﾘｽﾄ(4～3月)'!P$26:P$999)</f>
        <v>0</v>
      </c>
      <c r="N45" s="158">
        <f>SUMIF('内訳ﾘｽﾄ(4～3月)'!$D$26:$D$999,$B45,'内訳ﾘｽﾄ(4～3月)'!Q$26:Q$999)</f>
        <v>0</v>
      </c>
      <c r="O45" s="158">
        <f>SUMIF('内訳ﾘｽﾄ(4～3月)'!$D$26:$D$798,'採算表(VND)'!$B45,'内訳ﾘｽﾄ(4～3月)'!R$26:R$798)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SUMIF('内訳ﾘｽﾄ(4～3月)'!$D$26:$D$999,$B46,'内訳ﾘｽﾄ(4～3月)'!F$26:F$999)</f>
        <v>0</v>
      </c>
      <c r="D46" s="158">
        <f>SUMIF('内訳ﾘｽﾄ(4～3月)'!$D$26:$D$999,$B46,'内訳ﾘｽﾄ(4～3月)'!G$26:G$999)</f>
        <v>0</v>
      </c>
      <c r="E46" s="158">
        <f>SUMIF('内訳ﾘｽﾄ(4～3月)'!$D$26:$D$999,$B46,'内訳ﾘｽﾄ(4～3月)'!H$26:H$999)</f>
        <v>0</v>
      </c>
      <c r="F46" s="158">
        <f>SUMIF('内訳ﾘｽﾄ(4～3月)'!$D$26:$D$999,$B46,'内訳ﾘｽﾄ(4～3月)'!I$26:I$999)</f>
        <v>0</v>
      </c>
      <c r="G46" s="158">
        <f>SUMIF('内訳ﾘｽﾄ(4～3月)'!$D$26:$D$999,$B46,'内訳ﾘｽﾄ(4～3月)'!J$26:J$999)</f>
        <v>0</v>
      </c>
      <c r="H46" s="158">
        <f>SUMIF('内訳ﾘｽﾄ(4～3月)'!$D$26:$D$999,$B46,'内訳ﾘｽﾄ(4～3月)'!K$26:K$999)</f>
        <v>0</v>
      </c>
      <c r="I46" s="158">
        <f>SUMIF('内訳ﾘｽﾄ(4～3月)'!$D$26:$D$999,$B46,'内訳ﾘｽﾄ(4～3月)'!L$26:L$999)</f>
        <v>0</v>
      </c>
      <c r="J46" s="158">
        <f>SUMIF('内訳ﾘｽﾄ(4～3月)'!$D$26:$D$999,$B46,'内訳ﾘｽﾄ(4～3月)'!M$26:M$999)</f>
        <v>0</v>
      </c>
      <c r="K46" s="158">
        <f>SUMIF('内訳ﾘｽﾄ(4～3月)'!$D$26:$D$999,$B46,'内訳ﾘｽﾄ(4～3月)'!N$26:N$999)</f>
        <v>0</v>
      </c>
      <c r="L46" s="158">
        <f>SUMIF('内訳ﾘｽﾄ(4～3月)'!$D$26:$D$999,$B46,'内訳ﾘｽﾄ(4～3月)'!O$26:O$999)</f>
        <v>0</v>
      </c>
      <c r="M46" s="158">
        <f>SUMIF('内訳ﾘｽﾄ(4～3月)'!$D$26:$D$999,$B46,'内訳ﾘｽﾄ(4～3月)'!P$26:P$999)</f>
        <v>0</v>
      </c>
      <c r="N46" s="158">
        <f>SUMIF('内訳ﾘｽﾄ(4～3月)'!$D$26:$D$999,$B46,'内訳ﾘｽﾄ(4～3月)'!Q$26:Q$999)</f>
        <v>0</v>
      </c>
      <c r="O46" s="158">
        <f>SUMIF('内訳ﾘｽﾄ(4～3月)'!$D$26:$D$798,'採算表(VND)'!$B46,'内訳ﾘｽﾄ(4～3月)'!R$26:R$798)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SUMIF('内訳ﾘｽﾄ(4～3月)'!$D$26:$D$999,$B47,'内訳ﾘｽﾄ(4～3月)'!F$26:F$999)</f>
        <v>0</v>
      </c>
      <c r="D47" s="158">
        <f>SUMIF('内訳ﾘｽﾄ(4～3月)'!$D$26:$D$999,$B47,'内訳ﾘｽﾄ(4～3月)'!G$26:G$999)</f>
        <v>0</v>
      </c>
      <c r="E47" s="158">
        <f>SUMIF('内訳ﾘｽﾄ(4～3月)'!$D$26:$D$999,$B47,'内訳ﾘｽﾄ(4～3月)'!H$26:H$999)</f>
        <v>0</v>
      </c>
      <c r="F47" s="158">
        <f>SUMIF('内訳ﾘｽﾄ(4～3月)'!$D$26:$D$999,$B47,'内訳ﾘｽﾄ(4～3月)'!I$26:I$999)</f>
        <v>0</v>
      </c>
      <c r="G47" s="158">
        <f>SUMIF('内訳ﾘｽﾄ(4～3月)'!$D$26:$D$999,$B47,'内訳ﾘｽﾄ(4～3月)'!J$26:J$999)</f>
        <v>0</v>
      </c>
      <c r="H47" s="158">
        <f>SUMIF('内訳ﾘｽﾄ(4～3月)'!$D$26:$D$999,$B47,'内訳ﾘｽﾄ(4～3月)'!K$26:K$999)</f>
        <v>0</v>
      </c>
      <c r="I47" s="158">
        <f>SUMIF('内訳ﾘｽﾄ(4～3月)'!$D$26:$D$999,$B47,'内訳ﾘｽﾄ(4～3月)'!L$26:L$999)</f>
        <v>0</v>
      </c>
      <c r="J47" s="158">
        <f>SUMIF('内訳ﾘｽﾄ(4～3月)'!$D$26:$D$999,$B47,'内訳ﾘｽﾄ(4～3月)'!M$26:M$999)</f>
        <v>0</v>
      </c>
      <c r="K47" s="158">
        <f>SUMIF('内訳ﾘｽﾄ(4～3月)'!$D$26:$D$999,$B47,'内訳ﾘｽﾄ(4～3月)'!N$26:N$999)</f>
        <v>0</v>
      </c>
      <c r="L47" s="158">
        <f>SUMIF('内訳ﾘｽﾄ(4～3月)'!$D$26:$D$999,$B47,'内訳ﾘｽﾄ(4～3月)'!O$26:O$999)</f>
        <v>0</v>
      </c>
      <c r="M47" s="158">
        <f>SUMIF('内訳ﾘｽﾄ(4～3月)'!$D$26:$D$999,$B47,'内訳ﾘｽﾄ(4～3月)'!P$26:P$999)</f>
        <v>0</v>
      </c>
      <c r="N47" s="158">
        <f>SUMIF('内訳ﾘｽﾄ(4～3月)'!$D$26:$D$999,$B47,'内訳ﾘｽﾄ(4～3月)'!Q$26:Q$999)</f>
        <v>0</v>
      </c>
      <c r="O47" s="158">
        <f>SUMIF('内訳ﾘｽﾄ(4～3月)'!$D$26:$D$798,'採算表(VND)'!$B47,'内訳ﾘｽﾄ(4～3月)'!R$26:R$798)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SUMIF('内訳ﾘｽﾄ(4～3月)'!$D$26:$D$999,$B48,'内訳ﾘｽﾄ(4～3月)'!F$26:F$999)</f>
        <v>0</v>
      </c>
      <c r="D48" s="158">
        <f>SUMIF('内訳ﾘｽﾄ(4～3月)'!$D$26:$D$999,$B48,'内訳ﾘｽﾄ(4～3月)'!G$26:G$999)</f>
        <v>0</v>
      </c>
      <c r="E48" s="158">
        <f>SUMIF('内訳ﾘｽﾄ(4～3月)'!$D$26:$D$999,$B48,'内訳ﾘｽﾄ(4～3月)'!H$26:H$999)</f>
        <v>0</v>
      </c>
      <c r="F48" s="158">
        <f>SUMIF('内訳ﾘｽﾄ(4～3月)'!$D$26:$D$999,$B48,'内訳ﾘｽﾄ(4～3月)'!I$26:I$999)</f>
        <v>0</v>
      </c>
      <c r="G48" s="158">
        <f>SUMIF('内訳ﾘｽﾄ(4～3月)'!$D$26:$D$999,$B48,'内訳ﾘｽﾄ(4～3月)'!J$26:J$999)</f>
        <v>0</v>
      </c>
      <c r="H48" s="158">
        <f>SUMIF('内訳ﾘｽﾄ(4～3月)'!$D$26:$D$999,$B48,'内訳ﾘｽﾄ(4～3月)'!K$26:K$999)</f>
        <v>0</v>
      </c>
      <c r="I48" s="158">
        <f>SUMIF('内訳ﾘｽﾄ(4～3月)'!$D$26:$D$999,$B48,'内訳ﾘｽﾄ(4～3月)'!L$26:L$999)</f>
        <v>0</v>
      </c>
      <c r="J48" s="158">
        <f>SUMIF('内訳ﾘｽﾄ(4～3月)'!$D$26:$D$999,$B48,'内訳ﾘｽﾄ(4～3月)'!M$26:M$999)</f>
        <v>0</v>
      </c>
      <c r="K48" s="158">
        <f>SUMIF('内訳ﾘｽﾄ(4～3月)'!$D$26:$D$999,$B48,'内訳ﾘｽﾄ(4～3月)'!N$26:N$999)</f>
        <v>0</v>
      </c>
      <c r="L48" s="158">
        <f>SUMIF('内訳ﾘｽﾄ(4～3月)'!$D$26:$D$999,$B48,'内訳ﾘｽﾄ(4～3月)'!O$26:O$999)</f>
        <v>0</v>
      </c>
      <c r="M48" s="158">
        <f>SUMIF('内訳ﾘｽﾄ(4～3月)'!$D$26:$D$999,$B48,'内訳ﾘｽﾄ(4～3月)'!P$26:P$999)</f>
        <v>0</v>
      </c>
      <c r="N48" s="158">
        <f>SUMIF('内訳ﾘｽﾄ(4～3月)'!$D$26:$D$999,$B48,'内訳ﾘｽﾄ(4～3月)'!Q$26:Q$999)</f>
        <v>0</v>
      </c>
      <c r="O48" s="158">
        <f>SUMIF('内訳ﾘｽﾄ(4～3月)'!$D$26:$D$798,'採算表(VND)'!$B48,'内訳ﾘｽﾄ(4～3月)'!R$26:R$798)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SUMIF('内訳ﾘｽﾄ(4～3月)'!$D$26:$D$999,$B49,'内訳ﾘｽﾄ(4～3月)'!F$26:F$999)</f>
        <v>0</v>
      </c>
      <c r="D49" s="158">
        <f>SUMIF('内訳ﾘｽﾄ(4～3月)'!$D$26:$D$999,$B49,'内訳ﾘｽﾄ(4～3月)'!G$26:G$999)</f>
        <v>0</v>
      </c>
      <c r="E49" s="158">
        <f>SUMIF('内訳ﾘｽﾄ(4～3月)'!$D$26:$D$999,$B49,'内訳ﾘｽﾄ(4～3月)'!H$26:H$999)</f>
        <v>0</v>
      </c>
      <c r="F49" s="158">
        <f>SUMIF('内訳ﾘｽﾄ(4～3月)'!$D$26:$D$999,$B49,'内訳ﾘｽﾄ(4～3月)'!I$26:I$999)</f>
        <v>0</v>
      </c>
      <c r="G49" s="158">
        <f>SUMIF('内訳ﾘｽﾄ(4～3月)'!$D$26:$D$999,$B49,'内訳ﾘｽﾄ(4～3月)'!J$26:J$999)</f>
        <v>0</v>
      </c>
      <c r="H49" s="158">
        <f>SUMIF('内訳ﾘｽﾄ(4～3月)'!$D$26:$D$999,$B49,'内訳ﾘｽﾄ(4～3月)'!K$26:K$999)</f>
        <v>0</v>
      </c>
      <c r="I49" s="158">
        <f>SUMIF('内訳ﾘｽﾄ(4～3月)'!$D$26:$D$999,$B49,'内訳ﾘｽﾄ(4～3月)'!L$26:L$999)</f>
        <v>0</v>
      </c>
      <c r="J49" s="158">
        <f>SUMIF('内訳ﾘｽﾄ(4～3月)'!$D$26:$D$999,$B49,'内訳ﾘｽﾄ(4～3月)'!M$26:M$999)</f>
        <v>0</v>
      </c>
      <c r="K49" s="158">
        <f>SUMIF('内訳ﾘｽﾄ(4～3月)'!$D$26:$D$999,$B49,'内訳ﾘｽﾄ(4～3月)'!N$26:N$999)</f>
        <v>0</v>
      </c>
      <c r="L49" s="158">
        <f>SUMIF('内訳ﾘｽﾄ(4～3月)'!$D$26:$D$999,$B49,'内訳ﾘｽﾄ(4～3月)'!O$26:O$999)</f>
        <v>0</v>
      </c>
      <c r="M49" s="158">
        <f>SUMIF('内訳ﾘｽﾄ(4～3月)'!$D$26:$D$999,$B49,'内訳ﾘｽﾄ(4～3月)'!P$26:P$999)</f>
        <v>0</v>
      </c>
      <c r="N49" s="158">
        <f>SUMIF('内訳ﾘｽﾄ(4～3月)'!$D$26:$D$999,$B49,'内訳ﾘｽﾄ(4～3月)'!Q$26:Q$999)</f>
        <v>0</v>
      </c>
      <c r="O49" s="158">
        <f>SUMIF('内訳ﾘｽﾄ(4～3月)'!$D$26:$D$798,'採算表(VND)'!$B49,'内訳ﾘｽﾄ(4～3月)'!R$26:R$798)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SUMIF('内訳ﾘｽﾄ(4～3月)'!$D$26:$D$999,$B50,'内訳ﾘｽﾄ(4～3月)'!F$26:F$999)</f>
        <v>0</v>
      </c>
      <c r="D50" s="158">
        <f>SUMIF('内訳ﾘｽﾄ(4～3月)'!$D$26:$D$999,$B50,'内訳ﾘｽﾄ(4～3月)'!G$26:G$999)</f>
        <v>0</v>
      </c>
      <c r="E50" s="158">
        <f>SUMIF('内訳ﾘｽﾄ(4～3月)'!$D$26:$D$999,$B50,'内訳ﾘｽﾄ(4～3月)'!H$26:H$999)</f>
        <v>0</v>
      </c>
      <c r="F50" s="158">
        <f>SUMIF('内訳ﾘｽﾄ(4～3月)'!$D$26:$D$999,$B50,'内訳ﾘｽﾄ(4～3月)'!I$26:I$999)</f>
        <v>0</v>
      </c>
      <c r="G50" s="158">
        <f>SUMIF('内訳ﾘｽﾄ(4～3月)'!$D$26:$D$999,$B50,'内訳ﾘｽﾄ(4～3月)'!J$26:J$999)</f>
        <v>0</v>
      </c>
      <c r="H50" s="158">
        <f>SUMIF('内訳ﾘｽﾄ(4～3月)'!$D$26:$D$999,$B50,'内訳ﾘｽﾄ(4～3月)'!K$26:K$999)</f>
        <v>0</v>
      </c>
      <c r="I50" s="158">
        <f>SUMIF('内訳ﾘｽﾄ(4～3月)'!$D$26:$D$999,$B50,'内訳ﾘｽﾄ(4～3月)'!L$26:L$999)</f>
        <v>0</v>
      </c>
      <c r="J50" s="158">
        <f>SUMIF('内訳ﾘｽﾄ(4～3月)'!$D$26:$D$999,$B50,'内訳ﾘｽﾄ(4～3月)'!M$26:M$999)</f>
        <v>0</v>
      </c>
      <c r="K50" s="158">
        <f>SUMIF('内訳ﾘｽﾄ(4～3月)'!$D$26:$D$999,$B50,'内訳ﾘｽﾄ(4～3月)'!N$26:N$999)</f>
        <v>0</v>
      </c>
      <c r="L50" s="158">
        <f>SUMIF('内訳ﾘｽﾄ(4～3月)'!$D$26:$D$999,$B50,'内訳ﾘｽﾄ(4～3月)'!O$26:O$999)</f>
        <v>0</v>
      </c>
      <c r="M50" s="158">
        <f>SUMIF('内訳ﾘｽﾄ(4～3月)'!$D$26:$D$999,$B50,'内訳ﾘｽﾄ(4～3月)'!P$26:P$999)</f>
        <v>0</v>
      </c>
      <c r="N50" s="158">
        <f>SUMIF('内訳ﾘｽﾄ(4～3月)'!$D$26:$D$999,$B50,'内訳ﾘｽﾄ(4～3月)'!Q$26:Q$999)</f>
        <v>0</v>
      </c>
      <c r="O50" s="158">
        <f>SUMIF('内訳ﾘｽﾄ(4～3月)'!$D$26:$D$798,'採算表(VND)'!$B50,'内訳ﾘｽﾄ(4～3月)'!R$26:R$798)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SUMIF('内訳ﾘｽﾄ(4～3月)'!$D$26:$D$999,$B51,'内訳ﾘｽﾄ(4～3月)'!F$26:F$999)</f>
        <v>0</v>
      </c>
      <c r="D51" s="159">
        <f>SUMIF('内訳ﾘｽﾄ(4～3月)'!$D$26:$D$999,$B51,'内訳ﾘｽﾄ(4～3月)'!G$26:G$999)</f>
        <v>0</v>
      </c>
      <c r="E51" s="159">
        <f>SUMIF('内訳ﾘｽﾄ(4～3月)'!$D$26:$D$999,$B51,'内訳ﾘｽﾄ(4～3月)'!H$26:H$999)</f>
        <v>0</v>
      </c>
      <c r="F51" s="159">
        <f>SUMIF('内訳ﾘｽﾄ(4～3月)'!$D$26:$D$999,$B51,'内訳ﾘｽﾄ(4～3月)'!I$26:I$999)</f>
        <v>0</v>
      </c>
      <c r="G51" s="159">
        <f>SUMIF('内訳ﾘｽﾄ(4～3月)'!$D$26:$D$999,$B51,'内訳ﾘｽﾄ(4～3月)'!J$26:J$999)</f>
        <v>0</v>
      </c>
      <c r="H51" s="159">
        <f>SUMIF('内訳ﾘｽﾄ(4～3月)'!$D$26:$D$999,$B51,'内訳ﾘｽﾄ(4～3月)'!K$26:K$999)</f>
        <v>0</v>
      </c>
      <c r="I51" s="159">
        <f>SUMIF('内訳ﾘｽﾄ(4～3月)'!$D$26:$D$999,$B51,'内訳ﾘｽﾄ(4～3月)'!L$26:L$999)</f>
        <v>0</v>
      </c>
      <c r="J51" s="159">
        <f>SUMIF('内訳ﾘｽﾄ(4～3月)'!$D$26:$D$999,$B51,'内訳ﾘｽﾄ(4～3月)'!M$26:M$999)</f>
        <v>0</v>
      </c>
      <c r="K51" s="159">
        <f>SUMIF('内訳ﾘｽﾄ(4～3月)'!$D$26:$D$999,$B51,'内訳ﾘｽﾄ(4～3月)'!N$26:N$999)</f>
        <v>0</v>
      </c>
      <c r="L51" s="159">
        <f>SUMIF('内訳ﾘｽﾄ(4～3月)'!$D$26:$D$999,$B51,'内訳ﾘｽﾄ(4～3月)'!O$26:O$999)</f>
        <v>0</v>
      </c>
      <c r="M51" s="159">
        <f>SUMIF('内訳ﾘｽﾄ(4～3月)'!$D$26:$D$999,$B51,'内訳ﾘｽﾄ(4～3月)'!P$26:P$999)</f>
        <v>0</v>
      </c>
      <c r="N51" s="159">
        <f>SUMIF('内訳ﾘｽﾄ(4～3月)'!$D$26:$D$999,$B51,'内訳ﾘｽﾄ(4～3月)'!Q$26:Q$999)</f>
        <v>0</v>
      </c>
      <c r="O51" s="159">
        <f>SUMIF('内訳ﾘｽﾄ(4～3月)'!$D$26:$D$798,'採算表(VND)'!$B51,'内訳ﾘｽﾄ(4～3月)'!R$26:R$798)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SUMIF('内訳ﾘｽﾄ(4～3月)'!$D$26:$D$999,$B52,'内訳ﾘｽﾄ(4～3月)'!F$26:F$999)</f>
        <v>0</v>
      </c>
      <c r="D52" s="160">
        <f>SUMIF('内訳ﾘｽﾄ(4～3月)'!$D$26:$D$999,$B52,'内訳ﾘｽﾄ(4～3月)'!G$26:G$999)</f>
        <v>0</v>
      </c>
      <c r="E52" s="160">
        <f>SUMIF('内訳ﾘｽﾄ(4～3月)'!$D$26:$D$999,$B52,'内訳ﾘｽﾄ(4～3月)'!H$26:H$999)</f>
        <v>0</v>
      </c>
      <c r="F52" s="160">
        <f>SUMIF('内訳ﾘｽﾄ(4～3月)'!$D$26:$D$999,$B52,'内訳ﾘｽﾄ(4～3月)'!I$26:I$999)</f>
        <v>0</v>
      </c>
      <c r="G52" s="160">
        <f>SUMIF('内訳ﾘｽﾄ(4～3月)'!$D$26:$D$999,$B52,'内訳ﾘｽﾄ(4～3月)'!J$26:J$999)</f>
        <v>0</v>
      </c>
      <c r="H52" s="160">
        <f>SUMIF('内訳ﾘｽﾄ(4～3月)'!$D$26:$D$999,$B52,'内訳ﾘｽﾄ(4～3月)'!K$26:K$999)</f>
        <v>0</v>
      </c>
      <c r="I52" s="160">
        <f>SUMIF('内訳ﾘｽﾄ(4～3月)'!$D$26:$D$999,$B52,'内訳ﾘｽﾄ(4～3月)'!L$26:L$999)</f>
        <v>0</v>
      </c>
      <c r="J52" s="160">
        <f>SUMIF('内訳ﾘｽﾄ(4～3月)'!$D$26:$D$999,$B52,'内訳ﾘｽﾄ(4～3月)'!M$26:M$999)</f>
        <v>0</v>
      </c>
      <c r="K52" s="160">
        <f>SUMIF('内訳ﾘｽﾄ(4～3月)'!$D$26:$D$999,$B52,'内訳ﾘｽﾄ(4～3月)'!N$26:N$999)</f>
        <v>0</v>
      </c>
      <c r="L52" s="160">
        <f>SUMIF('内訳ﾘｽﾄ(4～3月)'!$D$26:$D$999,$B52,'内訳ﾘｽﾄ(4～3月)'!O$26:O$999)</f>
        <v>0</v>
      </c>
      <c r="M52" s="160">
        <f>SUMIF('内訳ﾘｽﾄ(4～3月)'!$D$26:$D$999,$B52,'内訳ﾘｽﾄ(4～3月)'!P$26:P$999)</f>
        <v>0</v>
      </c>
      <c r="N52" s="160">
        <f>SUMIF('内訳ﾘｽﾄ(4～3月)'!$D$26:$D$999,$B52,'内訳ﾘｽﾄ(4～3月)'!Q$26:Q$999)</f>
        <v>0</v>
      </c>
      <c r="O52" s="160">
        <f>SUMIF('内訳ﾘｽﾄ(4～3月)'!$D$26:$D$798,'採算表(VND)'!$B52,'内訳ﾘｽﾄ(4～3月)'!R$26:R$798)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SUMIF('内訳ﾘｽﾄ(4～3月)'!$D$26:$D$999,$B53,'内訳ﾘｽﾄ(4～3月)'!F$26:F$999)</f>
        <v>0</v>
      </c>
      <c r="D53" s="160">
        <f>SUMIF('内訳ﾘｽﾄ(4～3月)'!$D$26:$D$999,$B53,'内訳ﾘｽﾄ(4～3月)'!G$26:G$999)</f>
        <v>0</v>
      </c>
      <c r="E53" s="160">
        <f>SUMIF('内訳ﾘｽﾄ(4～3月)'!$D$26:$D$999,$B53,'内訳ﾘｽﾄ(4～3月)'!H$26:H$999)</f>
        <v>0</v>
      </c>
      <c r="F53" s="160">
        <f>SUMIF('内訳ﾘｽﾄ(4～3月)'!$D$26:$D$999,$B53,'内訳ﾘｽﾄ(4～3月)'!I$26:I$999)</f>
        <v>0</v>
      </c>
      <c r="G53" s="160">
        <f>SUMIF('内訳ﾘｽﾄ(4～3月)'!$D$26:$D$999,$B53,'内訳ﾘｽﾄ(4～3月)'!J$26:J$999)</f>
        <v>0</v>
      </c>
      <c r="H53" s="160">
        <f>SUMIF('内訳ﾘｽﾄ(4～3月)'!$D$26:$D$999,$B53,'内訳ﾘｽﾄ(4～3月)'!K$26:K$999)</f>
        <v>0</v>
      </c>
      <c r="I53" s="160">
        <f>SUMIF('内訳ﾘｽﾄ(4～3月)'!$D$26:$D$999,$B53,'内訳ﾘｽﾄ(4～3月)'!L$26:L$999)</f>
        <v>0</v>
      </c>
      <c r="J53" s="160">
        <f>SUMIF('内訳ﾘｽﾄ(4～3月)'!$D$26:$D$999,$B53,'内訳ﾘｽﾄ(4～3月)'!M$26:M$999)</f>
        <v>0</v>
      </c>
      <c r="K53" s="160">
        <f>SUMIF('内訳ﾘｽﾄ(4～3月)'!$D$26:$D$999,$B53,'内訳ﾘｽﾄ(4～3月)'!N$26:N$999)</f>
        <v>0</v>
      </c>
      <c r="L53" s="160">
        <f>SUMIF('内訳ﾘｽﾄ(4～3月)'!$D$26:$D$999,$B53,'内訳ﾘｽﾄ(4～3月)'!O$26:O$999)</f>
        <v>0</v>
      </c>
      <c r="M53" s="160">
        <f>SUMIF('内訳ﾘｽﾄ(4～3月)'!$D$26:$D$999,$B53,'内訳ﾘｽﾄ(4～3月)'!P$26:P$999)</f>
        <v>0</v>
      </c>
      <c r="N53" s="160">
        <f>SUMIF('内訳ﾘｽﾄ(4～3月)'!$D$26:$D$999,$B53,'内訳ﾘｽﾄ(4～3月)'!Q$26:Q$999)</f>
        <v>0</v>
      </c>
      <c r="O53" s="160">
        <f>SUMIF('内訳ﾘｽﾄ(4～3月)'!$D$26:$D$798,'採算表(VND)'!$B53,'内訳ﾘｽﾄ(4～3月)'!R$26:R$798)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SUMIF('内訳ﾘｽﾄ(4～3月)'!$D$26:$D$999,$B54,'内訳ﾘｽﾄ(4～3月)'!F$26:F$999)</f>
        <v>0</v>
      </c>
      <c r="D54" s="160">
        <f>SUMIF('内訳ﾘｽﾄ(4～3月)'!$D$26:$D$999,$B54,'内訳ﾘｽﾄ(4～3月)'!G$26:G$999)</f>
        <v>0</v>
      </c>
      <c r="E54" s="160">
        <f>SUMIF('内訳ﾘｽﾄ(4～3月)'!$D$26:$D$999,$B54,'内訳ﾘｽﾄ(4～3月)'!H$26:H$999)</f>
        <v>0</v>
      </c>
      <c r="F54" s="160">
        <f>SUMIF('内訳ﾘｽﾄ(4～3月)'!$D$26:$D$999,$B54,'内訳ﾘｽﾄ(4～3月)'!I$26:I$999)</f>
        <v>0</v>
      </c>
      <c r="G54" s="160">
        <f>SUMIF('内訳ﾘｽﾄ(4～3月)'!$D$26:$D$999,$B54,'内訳ﾘｽﾄ(4～3月)'!J$26:J$999)</f>
        <v>0</v>
      </c>
      <c r="H54" s="160">
        <f>SUMIF('内訳ﾘｽﾄ(4～3月)'!$D$26:$D$999,$B54,'内訳ﾘｽﾄ(4～3月)'!K$26:K$999)</f>
        <v>0</v>
      </c>
      <c r="I54" s="160">
        <f>SUMIF('内訳ﾘｽﾄ(4～3月)'!$D$26:$D$999,$B54,'内訳ﾘｽﾄ(4～3月)'!L$26:L$999)</f>
        <v>0</v>
      </c>
      <c r="J54" s="160">
        <f>SUMIF('内訳ﾘｽﾄ(4～3月)'!$D$26:$D$999,$B54,'内訳ﾘｽﾄ(4～3月)'!M$26:M$999)</f>
        <v>0</v>
      </c>
      <c r="K54" s="160">
        <f>SUMIF('内訳ﾘｽﾄ(4～3月)'!$D$26:$D$999,$B54,'内訳ﾘｽﾄ(4～3月)'!N$26:N$999)</f>
        <v>0</v>
      </c>
      <c r="L54" s="160">
        <f>SUMIF('内訳ﾘｽﾄ(4～3月)'!$D$26:$D$999,$B54,'内訳ﾘｽﾄ(4～3月)'!O$26:O$999)</f>
        <v>0</v>
      </c>
      <c r="M54" s="160">
        <f>SUMIF('内訳ﾘｽﾄ(4～3月)'!$D$26:$D$999,$B54,'内訳ﾘｽﾄ(4～3月)'!P$26:P$999)</f>
        <v>0</v>
      </c>
      <c r="N54" s="160">
        <f>SUMIF('内訳ﾘｽﾄ(4～3月)'!$D$26:$D$999,$B54,'内訳ﾘｽﾄ(4～3月)'!Q$26:Q$999)</f>
        <v>0</v>
      </c>
      <c r="O54" s="160">
        <f>SUMIF('内訳ﾘｽﾄ(4～3月)'!$D$26:$D$798,'採算表(VND)'!$B54,'内訳ﾘｽﾄ(4～3月)'!R$26:R$798)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SUMIF('内訳ﾘｽﾄ(4～3月)'!$D$26:$D$999,$B55,'内訳ﾘｽﾄ(4～3月)'!F$26:F$999)</f>
        <v>0</v>
      </c>
      <c r="D55" s="160">
        <f>SUMIF('内訳ﾘｽﾄ(4～3月)'!$D$26:$D$999,$B55,'内訳ﾘｽﾄ(4～3月)'!G$26:G$999)</f>
        <v>0</v>
      </c>
      <c r="E55" s="160">
        <f>SUMIF('内訳ﾘｽﾄ(4～3月)'!$D$26:$D$999,$B55,'内訳ﾘｽﾄ(4～3月)'!H$26:H$999)</f>
        <v>0</v>
      </c>
      <c r="F55" s="160">
        <f>SUMIF('内訳ﾘｽﾄ(4～3月)'!$D$26:$D$999,$B55,'内訳ﾘｽﾄ(4～3月)'!I$26:I$999)</f>
        <v>0</v>
      </c>
      <c r="G55" s="160">
        <f>SUMIF('内訳ﾘｽﾄ(4～3月)'!$D$26:$D$999,$B55,'内訳ﾘｽﾄ(4～3月)'!J$26:J$999)</f>
        <v>0</v>
      </c>
      <c r="H55" s="160">
        <f>SUMIF('内訳ﾘｽﾄ(4～3月)'!$D$26:$D$999,$B55,'内訳ﾘｽﾄ(4～3月)'!K$26:K$999)</f>
        <v>0</v>
      </c>
      <c r="I55" s="160">
        <f>SUMIF('内訳ﾘｽﾄ(4～3月)'!$D$26:$D$999,$B55,'内訳ﾘｽﾄ(4～3月)'!L$26:L$999)</f>
        <v>0</v>
      </c>
      <c r="J55" s="160">
        <f>SUMIF('内訳ﾘｽﾄ(4～3月)'!$D$26:$D$999,$B55,'内訳ﾘｽﾄ(4～3月)'!M$26:M$999)</f>
        <v>0</v>
      </c>
      <c r="K55" s="160">
        <f>SUMIF('内訳ﾘｽﾄ(4～3月)'!$D$26:$D$999,$B55,'内訳ﾘｽﾄ(4～3月)'!N$26:N$999)</f>
        <v>0</v>
      </c>
      <c r="L55" s="160">
        <f>SUMIF('内訳ﾘｽﾄ(4～3月)'!$D$26:$D$999,$B55,'内訳ﾘｽﾄ(4～3月)'!O$26:O$999)</f>
        <v>0</v>
      </c>
      <c r="M55" s="160">
        <f>SUMIF('内訳ﾘｽﾄ(4～3月)'!$D$26:$D$999,$B55,'内訳ﾘｽﾄ(4～3月)'!P$26:P$999)</f>
        <v>0</v>
      </c>
      <c r="N55" s="160">
        <f>SUMIF('内訳ﾘｽﾄ(4～3月)'!$D$26:$D$999,$B55,'内訳ﾘｽﾄ(4～3月)'!Q$26:Q$999)</f>
        <v>0</v>
      </c>
      <c r="O55" s="160">
        <f>SUMIF('内訳ﾘｽﾄ(4～3月)'!$D$26:$D$798,'採算表(VND)'!$B55,'内訳ﾘｽﾄ(4～3月)'!R$26:R$798)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SUMIF('内訳ﾘｽﾄ(4～3月)'!$D$26:$D$999,$B56,'内訳ﾘｽﾄ(4～3月)'!F$26:F$999)</f>
        <v>0</v>
      </c>
      <c r="D56" s="160">
        <f>SUMIF('内訳ﾘｽﾄ(4～3月)'!$D$26:$D$999,$B56,'内訳ﾘｽﾄ(4～3月)'!G$26:G$999)</f>
        <v>0</v>
      </c>
      <c r="E56" s="160">
        <f>SUMIF('内訳ﾘｽﾄ(4～3月)'!$D$26:$D$999,$B56,'内訳ﾘｽﾄ(4～3月)'!H$26:H$999)</f>
        <v>0</v>
      </c>
      <c r="F56" s="160">
        <f>SUMIF('内訳ﾘｽﾄ(4～3月)'!$D$26:$D$999,$B56,'内訳ﾘｽﾄ(4～3月)'!I$26:I$999)</f>
        <v>0</v>
      </c>
      <c r="G56" s="160">
        <f>SUMIF('内訳ﾘｽﾄ(4～3月)'!$D$26:$D$999,$B56,'内訳ﾘｽﾄ(4～3月)'!J$26:J$999)</f>
        <v>0</v>
      </c>
      <c r="H56" s="160">
        <f>SUMIF('内訳ﾘｽﾄ(4～3月)'!$D$26:$D$999,$B56,'内訳ﾘｽﾄ(4～3月)'!K$26:K$999)</f>
        <v>0</v>
      </c>
      <c r="I56" s="160">
        <f>SUMIF('内訳ﾘｽﾄ(4～3月)'!$D$26:$D$999,$B56,'内訳ﾘｽﾄ(4～3月)'!L$26:L$999)</f>
        <v>0</v>
      </c>
      <c r="J56" s="160">
        <f>SUMIF('内訳ﾘｽﾄ(4～3月)'!$D$26:$D$999,$B56,'内訳ﾘｽﾄ(4～3月)'!M$26:M$999)</f>
        <v>0</v>
      </c>
      <c r="K56" s="160">
        <f>SUMIF('内訳ﾘｽﾄ(4～3月)'!$D$26:$D$999,$B56,'内訳ﾘｽﾄ(4～3月)'!N$26:N$999)</f>
        <v>0</v>
      </c>
      <c r="L56" s="160">
        <f>SUMIF('内訳ﾘｽﾄ(4～3月)'!$D$26:$D$999,$B56,'内訳ﾘｽﾄ(4～3月)'!O$26:O$999)</f>
        <v>0</v>
      </c>
      <c r="M56" s="160">
        <f>SUMIF('内訳ﾘｽﾄ(4～3月)'!$D$26:$D$999,$B56,'内訳ﾘｽﾄ(4～3月)'!P$26:P$999)</f>
        <v>0</v>
      </c>
      <c r="N56" s="160">
        <f>SUMIF('内訳ﾘｽﾄ(4～3月)'!$D$26:$D$999,$B56,'内訳ﾘｽﾄ(4～3月)'!Q$26:Q$999)</f>
        <v>0</v>
      </c>
      <c r="O56" s="160">
        <f>SUMIF('内訳ﾘｽﾄ(4～3月)'!$D$26:$D$798,'採算表(VND)'!$B56,'内訳ﾘｽﾄ(4～3月)'!R$26:R$798)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SUMIF('内訳ﾘｽﾄ(4～3月)'!$D$26:$D$999,$B57,'内訳ﾘｽﾄ(4～3月)'!F$26:F$999)</f>
        <v>1833412</v>
      </c>
      <c r="D57" s="160">
        <f>SUMIF('内訳ﾘｽﾄ(4～3月)'!$D$26:$D$999,$B57,'内訳ﾘｽﾄ(4～3月)'!G$26:G$999)</f>
        <v>1731344</v>
      </c>
      <c r="E57" s="160">
        <f>SUMIF('内訳ﾘｽﾄ(4～3月)'!$D$26:$D$999,$B57,'内訳ﾘｽﾄ(4～3月)'!H$26:H$999)</f>
        <v>1732106</v>
      </c>
      <c r="F57" s="160">
        <f>SUMIF('内訳ﾘｽﾄ(4～3月)'!$D$26:$D$999,$B57,'内訳ﾘｽﾄ(4～3月)'!I$26:I$999)</f>
        <v>1730328</v>
      </c>
      <c r="G57" s="160">
        <f>SUMIF('内訳ﾘｽﾄ(4～3月)'!$D$26:$D$999,$B57,'内訳ﾘｽﾄ(4～3月)'!J$26:J$999)</f>
        <v>1729820</v>
      </c>
      <c r="H57" s="160">
        <f>SUMIF('内訳ﾘｽﾄ(4～3月)'!$D$26:$D$999,$B57,'内訳ﾘｽﾄ(4～3月)'!K$26:K$999)</f>
        <v>1702908</v>
      </c>
      <c r="I57" s="160">
        <f>SUMIF('内訳ﾘｽﾄ(4～3月)'!$D$26:$D$999,$B57,'内訳ﾘｽﾄ(4～3月)'!L$26:L$999)</f>
        <v>1695037</v>
      </c>
      <c r="J57" s="160">
        <f>SUMIF('内訳ﾘｽﾄ(4～3月)'!$D$26:$D$999,$B57,'内訳ﾘｽﾄ(4～3月)'!M$26:M$999)</f>
        <v>1694783</v>
      </c>
      <c r="K57" s="160">
        <f>SUMIF('内訳ﾘｽﾄ(4～3月)'!$D$26:$D$999,$B57,'内訳ﾘｽﾄ(4～3月)'!N$26:N$999)</f>
        <v>1695037</v>
      </c>
      <c r="L57" s="160">
        <f>SUMIF('内訳ﾘｽﾄ(4～3月)'!$D$26:$D$999,$B57,'内訳ﾘｽﾄ(4～3月)'!O$26:O$999)</f>
        <v>1694529</v>
      </c>
      <c r="M57" s="160">
        <f>SUMIF('内訳ﾘｽﾄ(4～3月)'!$D$26:$D$999,$B57,'内訳ﾘｽﾄ(4～3月)'!P$26:P$999)</f>
        <v>1693259</v>
      </c>
      <c r="N57" s="160">
        <f>SUMIF('内訳ﾘｽﾄ(4～3月)'!$D$26:$D$999,$B57,'内訳ﾘｽﾄ(4～3月)'!Q$26:Q$999)</f>
        <v>1694529</v>
      </c>
      <c r="O57" s="160">
        <f>SUMIF('内訳ﾘｽﾄ(4～3月)'!$D$26:$D$798,'採算表(VND)'!$B57,'内訳ﾘｽﾄ(4～3月)'!R$26:R$798)</f>
        <v>20627092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SUMIF('内訳ﾘｽﾄ(4～3月)'!$D$26:$D$999,$B58,'内訳ﾘｽﾄ(4～3月)'!F$26:F$999)</f>
        <v>0</v>
      </c>
      <c r="D58" s="160">
        <f>SUMIF('内訳ﾘｽﾄ(4～3月)'!$D$26:$D$999,$B58,'内訳ﾘｽﾄ(4～3月)'!G$26:G$999)</f>
        <v>0</v>
      </c>
      <c r="E58" s="160">
        <f>SUMIF('内訳ﾘｽﾄ(4～3月)'!$D$26:$D$999,$B58,'内訳ﾘｽﾄ(4～3月)'!H$26:H$999)</f>
        <v>0</v>
      </c>
      <c r="F58" s="160">
        <f>SUMIF('内訳ﾘｽﾄ(4～3月)'!$D$26:$D$999,$B58,'内訳ﾘｽﾄ(4～3月)'!I$26:I$999)</f>
        <v>0</v>
      </c>
      <c r="G58" s="160">
        <f>SUMIF('内訳ﾘｽﾄ(4～3月)'!$D$26:$D$999,$B58,'内訳ﾘｽﾄ(4～3月)'!J$26:J$999)</f>
        <v>0</v>
      </c>
      <c r="H58" s="160">
        <f>SUMIF('内訳ﾘｽﾄ(4～3月)'!$D$26:$D$999,$B58,'内訳ﾘｽﾄ(4～3月)'!K$26:K$999)</f>
        <v>0</v>
      </c>
      <c r="I58" s="160">
        <f>SUMIF('内訳ﾘｽﾄ(4～3月)'!$D$26:$D$999,$B58,'内訳ﾘｽﾄ(4～3月)'!L$26:L$999)</f>
        <v>0</v>
      </c>
      <c r="J58" s="160">
        <f>SUMIF('内訳ﾘｽﾄ(4～3月)'!$D$26:$D$999,$B58,'内訳ﾘｽﾄ(4～3月)'!M$26:M$999)</f>
        <v>0</v>
      </c>
      <c r="K58" s="160">
        <f>SUMIF('内訳ﾘｽﾄ(4～3月)'!$D$26:$D$999,$B58,'内訳ﾘｽﾄ(4～3月)'!N$26:N$999)</f>
        <v>0</v>
      </c>
      <c r="L58" s="160">
        <f>SUMIF('内訳ﾘｽﾄ(4～3月)'!$D$26:$D$999,$B58,'内訳ﾘｽﾄ(4～3月)'!O$26:O$999)</f>
        <v>0</v>
      </c>
      <c r="M58" s="160">
        <f>SUMIF('内訳ﾘｽﾄ(4～3月)'!$D$26:$D$999,$B58,'内訳ﾘｽﾄ(4～3月)'!P$26:P$999)</f>
        <v>0</v>
      </c>
      <c r="N58" s="160">
        <f>SUMIF('内訳ﾘｽﾄ(4～3月)'!$D$26:$D$999,$B58,'内訳ﾘｽﾄ(4～3月)'!Q$26:Q$999)</f>
        <v>0</v>
      </c>
      <c r="O58" s="160">
        <f>SUMIF('内訳ﾘｽﾄ(4～3月)'!$D$26:$D$798,'採算表(VND)'!$B58,'内訳ﾘｽﾄ(4～3月)'!R$26:R$798)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SUMIF('内訳ﾘｽﾄ(4～3月)'!$D$26:$D$999,$B59,'内訳ﾘｽﾄ(4～3月)'!F$26:F$999)</f>
        <v>0</v>
      </c>
      <c r="D59" s="160">
        <f>SUMIF('内訳ﾘｽﾄ(4～3月)'!$D$26:$D$999,$B59,'内訳ﾘｽﾄ(4～3月)'!G$26:G$999)</f>
        <v>0</v>
      </c>
      <c r="E59" s="160">
        <f>SUMIF('内訳ﾘｽﾄ(4～3月)'!$D$26:$D$999,$B59,'内訳ﾘｽﾄ(4～3月)'!H$26:H$999)</f>
        <v>0</v>
      </c>
      <c r="F59" s="160">
        <f>SUMIF('内訳ﾘｽﾄ(4～3月)'!$D$26:$D$999,$B59,'内訳ﾘｽﾄ(4～3月)'!I$26:I$999)</f>
        <v>0</v>
      </c>
      <c r="G59" s="160">
        <f>SUMIF('内訳ﾘｽﾄ(4～3月)'!$D$26:$D$999,$B59,'内訳ﾘｽﾄ(4～3月)'!J$26:J$999)</f>
        <v>0</v>
      </c>
      <c r="H59" s="160">
        <f>SUMIF('内訳ﾘｽﾄ(4～3月)'!$D$26:$D$999,$B59,'内訳ﾘｽﾄ(4～3月)'!K$26:K$999)</f>
        <v>0</v>
      </c>
      <c r="I59" s="160">
        <f>SUMIF('内訳ﾘｽﾄ(4～3月)'!$D$26:$D$999,$B59,'内訳ﾘｽﾄ(4～3月)'!L$26:L$999)</f>
        <v>0</v>
      </c>
      <c r="J59" s="160">
        <f>SUMIF('内訳ﾘｽﾄ(4～3月)'!$D$26:$D$999,$B59,'内訳ﾘｽﾄ(4～3月)'!M$26:M$999)</f>
        <v>0</v>
      </c>
      <c r="K59" s="160">
        <f>SUMIF('内訳ﾘｽﾄ(4～3月)'!$D$26:$D$999,$B59,'内訳ﾘｽﾄ(4～3月)'!N$26:N$999)</f>
        <v>0</v>
      </c>
      <c r="L59" s="160">
        <f>SUMIF('内訳ﾘｽﾄ(4～3月)'!$D$26:$D$999,$B59,'内訳ﾘｽﾄ(4～3月)'!O$26:O$999)</f>
        <v>0</v>
      </c>
      <c r="M59" s="160">
        <f>SUMIF('内訳ﾘｽﾄ(4～3月)'!$D$26:$D$999,$B59,'内訳ﾘｽﾄ(4～3月)'!P$26:P$999)</f>
        <v>0</v>
      </c>
      <c r="N59" s="160">
        <f>SUMIF('内訳ﾘｽﾄ(4～3月)'!$D$26:$D$999,$B59,'内訳ﾘｽﾄ(4～3月)'!Q$26:Q$999)</f>
        <v>0</v>
      </c>
      <c r="O59" s="160">
        <f>SUMIF('内訳ﾘｽﾄ(4～3月)'!$D$26:$D$798,'採算表(VND)'!$B59,'内訳ﾘｽﾄ(4～3月)'!R$26:R$798)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SUMIF('内訳ﾘｽﾄ(4～3月)'!$D$26:$D$999,$B60,'内訳ﾘｽﾄ(4～3月)'!F$26:F$999)</f>
        <v>0</v>
      </c>
      <c r="D60" s="160">
        <f>SUMIF('内訳ﾘｽﾄ(4～3月)'!$D$26:$D$999,$B60,'内訳ﾘｽﾄ(4～3月)'!G$26:G$999)</f>
        <v>0</v>
      </c>
      <c r="E60" s="160">
        <f>SUMIF('内訳ﾘｽﾄ(4～3月)'!$D$26:$D$999,$B60,'内訳ﾘｽﾄ(4～3月)'!H$26:H$999)</f>
        <v>0</v>
      </c>
      <c r="F60" s="160">
        <f>SUMIF('内訳ﾘｽﾄ(4～3月)'!$D$26:$D$999,$B60,'内訳ﾘｽﾄ(4～3月)'!I$26:I$999)</f>
        <v>0</v>
      </c>
      <c r="G60" s="160">
        <f>SUMIF('内訳ﾘｽﾄ(4～3月)'!$D$26:$D$999,$B60,'内訳ﾘｽﾄ(4～3月)'!J$26:J$999)</f>
        <v>0</v>
      </c>
      <c r="H60" s="160">
        <f>SUMIF('内訳ﾘｽﾄ(4～3月)'!$D$26:$D$999,$B60,'内訳ﾘｽﾄ(4～3月)'!K$26:K$999)</f>
        <v>0</v>
      </c>
      <c r="I60" s="160">
        <f>SUMIF('内訳ﾘｽﾄ(4～3月)'!$D$26:$D$999,$B60,'内訳ﾘｽﾄ(4～3月)'!L$26:L$999)</f>
        <v>0</v>
      </c>
      <c r="J60" s="160">
        <f>SUMIF('内訳ﾘｽﾄ(4～3月)'!$D$26:$D$999,$B60,'内訳ﾘｽﾄ(4～3月)'!M$26:M$999)</f>
        <v>0</v>
      </c>
      <c r="K60" s="160">
        <f>SUMIF('内訳ﾘｽﾄ(4～3月)'!$D$26:$D$999,$B60,'内訳ﾘｽﾄ(4～3月)'!N$26:N$999)</f>
        <v>0</v>
      </c>
      <c r="L60" s="160">
        <f>SUMIF('内訳ﾘｽﾄ(4～3月)'!$D$26:$D$999,$B60,'内訳ﾘｽﾄ(4～3月)'!O$26:O$999)</f>
        <v>0</v>
      </c>
      <c r="M60" s="160">
        <f>SUMIF('内訳ﾘｽﾄ(4～3月)'!$D$26:$D$999,$B60,'内訳ﾘｽﾄ(4～3月)'!P$26:P$999)</f>
        <v>0</v>
      </c>
      <c r="N60" s="160">
        <f>SUMIF('内訳ﾘｽﾄ(4～3月)'!$D$26:$D$999,$B60,'内訳ﾘｽﾄ(4～3月)'!Q$26:Q$999)</f>
        <v>0</v>
      </c>
      <c r="O60" s="160">
        <f>SUMIF('内訳ﾘｽﾄ(4～3月)'!$D$26:$D$798,'採算表(VND)'!$B60,'内訳ﾘｽﾄ(4～3月)'!R$26:R$798)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IF('内訳ﾘｽﾄ(4～3月)'!$D$5="製造",SUMIF('内訳ﾘｽﾄ(4～3月)'!$D$26:$D$999,$B61,'内訳ﾘｽﾄ(4～3月)'!F$26:F$999),IF('内訳ﾘｽﾄ(4～3月)'!$D$5="部内間接",-SUM(C$14:C$60,C$65),0))</f>
        <v>0</v>
      </c>
      <c r="D61" s="160">
        <f>IF('内訳ﾘｽﾄ(4～3月)'!$D$5="製造",SUMIF('内訳ﾘｽﾄ(4～3月)'!$D$26:$D$999,$B61,'内訳ﾘｽﾄ(4～3月)'!G$26:G$999),IF('内訳ﾘｽﾄ(4～3月)'!$D$5="部内間接",-SUM(D$14:D$60,D$65),0))</f>
        <v>0</v>
      </c>
      <c r="E61" s="160">
        <f>IF('内訳ﾘｽﾄ(4～3月)'!$D$5="製造",SUMIF('内訳ﾘｽﾄ(4～3月)'!$D$26:$D$999,$B61,'内訳ﾘｽﾄ(4～3月)'!H$26:H$999),IF('内訳ﾘｽﾄ(4～3月)'!$D$5="部内間接",-SUM(E$14:E$60,E$65),0))</f>
        <v>0</v>
      </c>
      <c r="F61" s="160">
        <f>IF('内訳ﾘｽﾄ(4～3月)'!$D$5="製造",SUMIF('内訳ﾘｽﾄ(4～3月)'!$D$26:$D$999,$B61,'内訳ﾘｽﾄ(4～3月)'!I$26:I$999),IF('内訳ﾘｽﾄ(4～3月)'!$D$5="部内間接",-SUM(F$14:F$60,F$65),0))</f>
        <v>0</v>
      </c>
      <c r="G61" s="160">
        <f>IF('内訳ﾘｽﾄ(4～3月)'!$D$5="製造",SUMIF('内訳ﾘｽﾄ(4～3月)'!$D$26:$D$999,$B61,'内訳ﾘｽﾄ(4～3月)'!J$26:J$999),IF('内訳ﾘｽﾄ(4～3月)'!$D$5="部内間接",-SUM(G$14:G$60,G$65),0))</f>
        <v>0</v>
      </c>
      <c r="H61" s="160">
        <f>IF('内訳ﾘｽﾄ(4～3月)'!$D$5="製造",SUMIF('内訳ﾘｽﾄ(4～3月)'!$D$26:$D$999,$B61,'内訳ﾘｽﾄ(4～3月)'!K$26:K$999),IF('内訳ﾘｽﾄ(4～3月)'!$D$5="部内間接",-SUM(H$14:H$60,H$65),0))</f>
        <v>0</v>
      </c>
      <c r="I61" s="160">
        <f>IF('内訳ﾘｽﾄ(4～3月)'!$D$5="製造",SUMIF('内訳ﾘｽﾄ(4～3月)'!$D$26:$D$999,$B61,'内訳ﾘｽﾄ(4～3月)'!L$26:L$999),IF('内訳ﾘｽﾄ(4～3月)'!$D$5="部内間接",-SUM(I$14:I$60,I$65),0))</f>
        <v>0</v>
      </c>
      <c r="J61" s="160">
        <f>IF('内訳ﾘｽﾄ(4～3月)'!$D$5="製造",SUMIF('内訳ﾘｽﾄ(4～3月)'!$D$26:$D$999,$B61,'内訳ﾘｽﾄ(4～3月)'!M$26:M$999),IF('内訳ﾘｽﾄ(4～3月)'!$D$5="部内間接",-SUM(J$14:J$60,J$65),0))</f>
        <v>0</v>
      </c>
      <c r="K61" s="160">
        <f>IF('内訳ﾘｽﾄ(4～3月)'!$D$5="製造",SUMIF('内訳ﾘｽﾄ(4～3月)'!$D$26:$D$999,$B61,'内訳ﾘｽﾄ(4～3月)'!N$26:N$999),IF('内訳ﾘｽﾄ(4～3月)'!$D$5="部内間接",-SUM(K$14:K$60,K$65),0))</f>
        <v>0</v>
      </c>
      <c r="L61" s="160">
        <f>IF('内訳ﾘｽﾄ(4～3月)'!$D$5="製造",SUMIF('内訳ﾘｽﾄ(4～3月)'!$D$26:$D$999,$B61,'内訳ﾘｽﾄ(4～3月)'!O$26:O$999),IF('内訳ﾘｽﾄ(4～3月)'!$D$5="部内間接",-SUM(L$14:L$60,L$65),0))</f>
        <v>0</v>
      </c>
      <c r="M61" s="160">
        <f>IF('内訳ﾘｽﾄ(4～3月)'!$D$5="製造",SUMIF('内訳ﾘｽﾄ(4～3月)'!$D$26:$D$999,$B61,'内訳ﾘｽﾄ(4～3月)'!P$26:P$999),IF('内訳ﾘｽﾄ(4～3月)'!$D$5="部内間接",-SUM(M$14:M$60,M$65),0))</f>
        <v>0</v>
      </c>
      <c r="N61" s="160">
        <f>IF('内訳ﾘｽﾄ(4～3月)'!$D$5="製造",SUMIF('内訳ﾘｽﾄ(4～3月)'!$D$26:$D$999,$B61,'内訳ﾘｽﾄ(4～3月)'!Q$26:Q$999),IF('内訳ﾘｽﾄ(4～3月)'!$D$5="部内間接",-SUM(N$14:N$60,N$65),0))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IF('内訳ﾘｽﾄ(4～3月)'!$D$5="部内間接",-SUM(O$65,O$14:O$60),IF('内訳ﾘｽﾄ(4～3月)'!$D$5="製造",SUMIF('内訳ﾘｽﾄ(4～3月)'!$D$26:$D$798,'採算表(VND)'!$B61,'内訳ﾘｽﾄ(4～3月)'!R$26:R$798),0))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IF('内訳ﾘｽﾄ(4～3月)'!$D$5="製造",SUMIF('内訳ﾘｽﾄ(4～3月)'!$D$26:$D$999,$B62,'内訳ﾘｽﾄ(4～3月)'!F$26:F$999),IF('内訳ﾘｽﾄ(4～3月)'!$D$5="部外間接1",-SUM(C$14:C$60,C$65),0))</f>
        <v>0</v>
      </c>
      <c r="D62" s="160">
        <f>IF('内訳ﾘｽﾄ(4～3月)'!$D$5="製造",SUMIF('内訳ﾘｽﾄ(4～3月)'!$D$26:$D$999,$B62,'内訳ﾘｽﾄ(4～3月)'!G$26:G$999),IF('内訳ﾘｽﾄ(4～3月)'!$D$5="部外間接1",-SUM(D$14:D$60,D$65),0))</f>
        <v>0</v>
      </c>
      <c r="E62" s="160">
        <f>IF('内訳ﾘｽﾄ(4～3月)'!$D$5="製造",SUMIF('内訳ﾘｽﾄ(4～3月)'!$D$26:$D$999,$B62,'内訳ﾘｽﾄ(4～3月)'!H$26:H$999),IF('内訳ﾘｽﾄ(4～3月)'!$D$5="部外間接1",-SUM(E$14:E$60,E$65),0))</f>
        <v>0</v>
      </c>
      <c r="F62" s="160">
        <f>IF('内訳ﾘｽﾄ(4～3月)'!$D$5="製造",SUMIF('内訳ﾘｽﾄ(4～3月)'!$D$26:$D$999,$B62,'内訳ﾘｽﾄ(4～3月)'!I$26:I$999),IF('内訳ﾘｽﾄ(4～3月)'!$D$5="部外間接1",-SUM(F$14:F$60,F$65),0))</f>
        <v>0</v>
      </c>
      <c r="G62" s="160">
        <f>IF('内訳ﾘｽﾄ(4～3月)'!$D$5="製造",SUMIF('内訳ﾘｽﾄ(4～3月)'!$D$26:$D$999,$B62,'内訳ﾘｽﾄ(4～3月)'!J$26:J$999),IF('内訳ﾘｽﾄ(4～3月)'!$D$5="部外間接1",-SUM(G$14:G$60,G$65),0))</f>
        <v>0</v>
      </c>
      <c r="H62" s="160">
        <f>IF('内訳ﾘｽﾄ(4～3月)'!$D$5="製造",SUMIF('内訳ﾘｽﾄ(4～3月)'!$D$26:$D$999,$B62,'内訳ﾘｽﾄ(4～3月)'!K$26:K$999),IF('内訳ﾘｽﾄ(4～3月)'!$D$5="部外間接1",-SUM(H$14:H$60,H$65),0))</f>
        <v>0</v>
      </c>
      <c r="I62" s="160">
        <f>IF('内訳ﾘｽﾄ(4～3月)'!$D$5="製造",SUMIF('内訳ﾘｽﾄ(4～3月)'!$D$26:$D$999,$B62,'内訳ﾘｽﾄ(4～3月)'!L$26:L$999),IF('内訳ﾘｽﾄ(4～3月)'!$D$5="部外間接1",-SUM(I$14:I$60,I$65),0))</f>
        <v>0</v>
      </c>
      <c r="J62" s="160">
        <f>IF('内訳ﾘｽﾄ(4～3月)'!$D$5="製造",SUMIF('内訳ﾘｽﾄ(4～3月)'!$D$26:$D$999,$B62,'内訳ﾘｽﾄ(4～3月)'!M$26:M$999),IF('内訳ﾘｽﾄ(4～3月)'!$D$5="部外間接1",-SUM(J$14:J$60,J$65),0))</f>
        <v>0</v>
      </c>
      <c r="K62" s="160">
        <f>IF('内訳ﾘｽﾄ(4～3月)'!$D$5="製造",SUMIF('内訳ﾘｽﾄ(4～3月)'!$D$26:$D$999,$B62,'内訳ﾘｽﾄ(4～3月)'!N$26:N$999),IF('内訳ﾘｽﾄ(4～3月)'!$D$5="部外間接1",-SUM(K$14:K$60,K$65),0))</f>
        <v>0</v>
      </c>
      <c r="L62" s="160">
        <f>IF('内訳ﾘｽﾄ(4～3月)'!$D$5="製造",SUMIF('内訳ﾘｽﾄ(4～3月)'!$D$26:$D$999,$B62,'内訳ﾘｽﾄ(4～3月)'!O$26:O$999),IF('内訳ﾘｽﾄ(4～3月)'!$D$5="部外間接1",-SUM(L$14:L$60,L$65),0))</f>
        <v>0</v>
      </c>
      <c r="M62" s="160">
        <f>IF('内訳ﾘｽﾄ(4～3月)'!$D$5="製造",SUMIF('内訳ﾘｽﾄ(4～3月)'!$D$26:$D$999,$B62,'内訳ﾘｽﾄ(4～3月)'!P$26:P$999),IF('内訳ﾘｽﾄ(4～3月)'!$D$5="部外間接1",-SUM(M$14:M$60,M$65),0))</f>
        <v>0</v>
      </c>
      <c r="N62" s="160">
        <f>IF('内訳ﾘｽﾄ(4～3月)'!$D$5="製造",SUMIF('内訳ﾘｽﾄ(4～3月)'!$D$26:$D$999,$B62,'内訳ﾘｽﾄ(4～3月)'!Q$26:Q$999),IF('内訳ﾘｽﾄ(4～3月)'!$D$5="部外間接1",-SUM(N$14:N$60,N$65),0))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IF('内訳ﾘｽﾄ(4～3月)'!$D$5="部外間接1",-SUM(O$65,O$14:O$60),IF('内訳ﾘｽﾄ(4～3月)'!$D$5="製造",SUMIF('内訳ﾘｽﾄ(4～3月)'!$D$26:$D$798,'採算表(VND)'!$B62,'内訳ﾘｽﾄ(4～3月)'!R$26:R$798),0))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IF('内訳ﾘｽﾄ(4～3月)'!$D$5="製造",SUMIF('内訳ﾘｽﾄ(4～3月)'!$D$26:$D$999,$B63,'内訳ﾘｽﾄ(4～3月)'!F$26:F$999),IF('内訳ﾘｽﾄ(4～3月)'!$D$5="部外間接2",-SUM(C$14:C$60,C$65),0))</f>
        <v>-199327683</v>
      </c>
      <c r="D63" s="160">
        <f>IF('内訳ﾘｽﾄ(4～3月)'!$D$5="製造",SUMIF('内訳ﾘｽﾄ(4～3月)'!$D$26:$D$999,$B63,'内訳ﾘｽﾄ(4～3月)'!G$26:G$999),IF('内訳ﾘｽﾄ(4～3月)'!$D$5="部外間接2",-SUM(D$14:D$60,D$65),0))</f>
        <v>-46389798</v>
      </c>
      <c r="E63" s="160">
        <f>IF('内訳ﾘｽﾄ(4～3月)'!$D$5="製造",SUMIF('内訳ﾘｽﾄ(4～3月)'!$D$26:$D$999,$B63,'内訳ﾘｽﾄ(4～3月)'!H$26:H$999),IF('内訳ﾘｽﾄ(4～3月)'!$D$5="部外間接2",-SUM(E$14:E$60,E$65),0))</f>
        <v>-19779497</v>
      </c>
      <c r="F63" s="160">
        <f>IF('内訳ﾘｽﾄ(4～3月)'!$D$5="製造",SUMIF('内訳ﾘｽﾄ(4～3月)'!$D$26:$D$999,$B63,'内訳ﾘｽﾄ(4～3月)'!I$26:I$999),IF('内訳ﾘｽﾄ(4～3月)'!$D$5="部外間接2",-SUM(F$14:F$60,F$65),0))</f>
        <v>-21414181</v>
      </c>
      <c r="G63" s="160">
        <f>IF('内訳ﾘｽﾄ(4～3月)'!$D$5="製造",SUMIF('内訳ﾘｽﾄ(4～3月)'!$D$26:$D$999,$B63,'内訳ﾘｽﾄ(4～3月)'!J$26:J$999),IF('内訳ﾘｽﾄ(4～3月)'!$D$5="部外間接2",-SUM(G$14:G$60,G$65),0))</f>
        <v>-24187089</v>
      </c>
      <c r="H63" s="160">
        <f>IF('内訳ﾘｽﾄ(4～3月)'!$D$5="製造",SUMIF('内訳ﾘｽﾄ(4～3月)'!$D$26:$D$999,$B63,'内訳ﾘｽﾄ(4～3月)'!K$26:K$999),IF('内訳ﾘｽﾄ(4～3月)'!$D$5="部外間接2",-SUM(H$14:H$60,H$65),0))</f>
        <v>-20026996</v>
      </c>
      <c r="I63" s="160">
        <f>IF('内訳ﾘｽﾄ(4～3月)'!$D$5="製造",SUMIF('内訳ﾘｽﾄ(4～3月)'!$D$26:$D$999,$B63,'内訳ﾘｽﾄ(4～3月)'!L$26:L$999),IF('内訳ﾘｽﾄ(4～3月)'!$D$5="部外間接2",-SUM(I$14:I$60,I$65),0))</f>
        <v>-20349450</v>
      </c>
      <c r="J63" s="160">
        <f>IF('内訳ﾘｽﾄ(4～3月)'!$D$5="製造",SUMIF('内訳ﾘｽﾄ(4～3月)'!$D$26:$D$999,$B63,'内訳ﾘｽﾄ(4～3月)'!M$26:M$999),IF('内訳ﾘｽﾄ(4～3月)'!$D$5="部外間接2",-SUM(J$14:J$60,J$65),0))</f>
        <v>-19742213</v>
      </c>
      <c r="K63" s="160">
        <f>IF('内訳ﾘｽﾄ(4～3月)'!$D$5="製造",SUMIF('内訳ﾘｽﾄ(4～3月)'!$D$26:$D$999,$B63,'内訳ﾘｽﾄ(4～3月)'!N$26:N$999),IF('内訳ﾘｽﾄ(4～3月)'!$D$5="部外間接2",-SUM(K$14:K$60,K$65),0))</f>
        <v>-19964467</v>
      </c>
      <c r="L63" s="160">
        <f>IF('内訳ﾘｽﾄ(4～3月)'!$D$5="製造",SUMIF('内訳ﾘｽﾄ(4～3月)'!$D$26:$D$999,$B63,'内訳ﾘｽﾄ(4～3月)'!O$26:O$999),IF('内訳ﾘｽﾄ(4～3月)'!$D$5="部外間接2",-SUM(L$14:L$60,L$65),0))</f>
        <v>-19033929</v>
      </c>
      <c r="M63" s="160">
        <f>IF('内訳ﾘｽﾄ(4～3月)'!$D$5="製造",SUMIF('内訳ﾘｽﾄ(4～3月)'!$D$26:$D$999,$B63,'内訳ﾘｽﾄ(4～3月)'!P$26:P$999),IF('内訳ﾘｽﾄ(4～3月)'!$D$5="部外間接2",-SUM(M$14:M$60,M$65),0))</f>
        <v>-21175045</v>
      </c>
      <c r="N63" s="160">
        <f>IF('内訳ﾘｽﾄ(4～3月)'!$D$5="製造",SUMIF('内訳ﾘｽﾄ(4～3月)'!$D$26:$D$999,$B63,'内訳ﾘｽﾄ(4～3月)'!Q$26:Q$999),IF('内訳ﾘｽﾄ(4～3月)'!$D$5="部外間接2",-SUM(N$14:N$60,N$65),0))</f>
        <v>-18795008</v>
      </c>
      <c r="O63" s="160">
        <f>IF('内訳ﾘｽﾄ(4～3月)'!$D$5="部外間接2",-SUM(O$65,O$14:O$60),IF('内訳ﾘｽﾄ(4～3月)'!$D$5="製造",SUMIF('内訳ﾘｽﾄ(4～3月)'!$D$26:$D$798,'採算表(VND)'!$B63,'内訳ﾘｽﾄ(4～3月)'!R$26:R$798),0))</f>
        <v>-450185356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IF('内訳ﾘｽﾄ(4～3月)'!$D$5="製造",SUMIF('内訳ﾘｽﾄ(4～3月)'!$D$26:$D$999,$B64,'内訳ﾘｽﾄ(4～3月)'!F$26:F$999),IF('内訳ﾘｽﾄ(4～3月)'!$D$5="工場間接",-SUM(C$14:C$60,C$65),0))</f>
        <v>0</v>
      </c>
      <c r="D64" s="160">
        <f>IF('内訳ﾘｽﾄ(4～3月)'!$D$5="製造",SUMIF('内訳ﾘｽﾄ(4～3月)'!$D$26:$D$999,$B64,'内訳ﾘｽﾄ(4～3月)'!G$26:G$999),IF('内訳ﾘｽﾄ(4～3月)'!$D$5="工場間接",-SUM(D$14:D$60,D$65),0))</f>
        <v>0</v>
      </c>
      <c r="E64" s="160">
        <f>IF('内訳ﾘｽﾄ(4～3月)'!$D$5="製造",SUMIF('内訳ﾘｽﾄ(4～3月)'!$D$26:$D$999,$B64,'内訳ﾘｽﾄ(4～3月)'!H$26:H$999),IF('内訳ﾘｽﾄ(4～3月)'!$D$5="工場間接",-SUM(E$14:E$60,E$65),0))</f>
        <v>0</v>
      </c>
      <c r="F64" s="160">
        <f>IF('内訳ﾘｽﾄ(4～3月)'!$D$5="製造",SUMIF('内訳ﾘｽﾄ(4～3月)'!$D$26:$D$999,$B64,'内訳ﾘｽﾄ(4～3月)'!I$26:I$999),IF('内訳ﾘｽﾄ(4～3月)'!$D$5="工場間接",-SUM(F$14:F$60,F$65),0))</f>
        <v>0</v>
      </c>
      <c r="G64" s="160">
        <f>IF('内訳ﾘｽﾄ(4～3月)'!$D$5="製造",SUMIF('内訳ﾘｽﾄ(4～3月)'!$D$26:$D$999,$B64,'内訳ﾘｽﾄ(4～3月)'!J$26:J$999),IF('内訳ﾘｽﾄ(4～3月)'!$D$5="工場間接",-SUM(G$14:G$60,G$65),0))</f>
        <v>0</v>
      </c>
      <c r="H64" s="160">
        <f>IF('内訳ﾘｽﾄ(4～3月)'!$D$5="製造",SUMIF('内訳ﾘｽﾄ(4～3月)'!$D$26:$D$999,$B64,'内訳ﾘｽﾄ(4～3月)'!K$26:K$999),IF('内訳ﾘｽﾄ(4～3月)'!$D$5="工場間接",-SUM(H$14:H$60,H$65),0))</f>
        <v>0</v>
      </c>
      <c r="I64" s="160">
        <f>IF('内訳ﾘｽﾄ(4～3月)'!$D$5="製造",SUMIF('内訳ﾘｽﾄ(4～3月)'!$D$26:$D$999,$B64,'内訳ﾘｽﾄ(4～3月)'!L$26:L$999),IF('内訳ﾘｽﾄ(4～3月)'!$D$5="工場間接",-SUM(I$14:I$60,I$65),0))</f>
        <v>0</v>
      </c>
      <c r="J64" s="160">
        <f>IF('内訳ﾘｽﾄ(4～3月)'!$D$5="製造",SUMIF('内訳ﾘｽﾄ(4～3月)'!$D$26:$D$999,$B64,'内訳ﾘｽﾄ(4～3月)'!M$26:M$999),IF('内訳ﾘｽﾄ(4～3月)'!$D$5="工場間接",-SUM(J$14:J$60,J$65),0))</f>
        <v>0</v>
      </c>
      <c r="K64" s="160">
        <f>IF('内訳ﾘｽﾄ(4～3月)'!$D$5="製造",SUMIF('内訳ﾘｽﾄ(4～3月)'!$D$26:$D$999,$B64,'内訳ﾘｽﾄ(4～3月)'!N$26:N$999),IF('内訳ﾘｽﾄ(4～3月)'!$D$5="工場間接",-SUM(K$14:K$60,K$65),0))</f>
        <v>0</v>
      </c>
      <c r="L64" s="160">
        <f>IF('内訳ﾘｽﾄ(4～3月)'!$D$5="製造",SUMIF('内訳ﾘｽﾄ(4～3月)'!$D$26:$D$999,$B64,'内訳ﾘｽﾄ(4～3月)'!O$26:O$999),IF('内訳ﾘｽﾄ(4～3月)'!$D$5="工場間接",-SUM(L$14:L$60,L$65),0))</f>
        <v>0</v>
      </c>
      <c r="M64" s="160">
        <f>IF('内訳ﾘｽﾄ(4～3月)'!$D$5="製造",SUMIF('内訳ﾘｽﾄ(4～3月)'!$D$26:$D$999,$B64,'内訳ﾘｽﾄ(4～3月)'!P$26:P$999),IF('内訳ﾘｽﾄ(4～3月)'!$D$5="工場間接",-SUM(M$14:M$60,M$65),0))</f>
        <v>0</v>
      </c>
      <c r="N64" s="160">
        <f>IF('内訳ﾘｽﾄ(4～3月)'!$D$5="製造",SUMIF('内訳ﾘｽﾄ(4～3月)'!$D$26:$D$999,$B64,'内訳ﾘｽﾄ(4～3月)'!Q$26:Q$999),IF('内訳ﾘｽﾄ(4～3月)'!$D$5="工場間接",-SUM(N$14:N$60,N$65),0))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IF('内訳ﾘｽﾄ(4～3月)'!$D$5="工場間接",-SUM(O$65,O$14:O$60),IF('内訳ﾘｽﾄ(4～3月)'!$D$5="製造",SUMIF('内訳ﾘｽﾄ(4～3月)'!$D$26:$D$798,'採算表(VND)'!$B64,'内訳ﾘｽﾄ(4～3月)'!R$26:R$798),0))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SUMIF('内訳ﾘｽﾄ(4～3月)'!$D$26:$D$999,$B65,'内訳ﾘｽﾄ(4～3月)'!F$26:F$999)</f>
        <v>0</v>
      </c>
      <c r="D65" s="158">
        <f>SUMIF('内訳ﾘｽﾄ(4～3月)'!$D$26:$D$999,$B65,'内訳ﾘｽﾄ(4～3月)'!G$26:G$999)</f>
        <v>0</v>
      </c>
      <c r="E65" s="158">
        <f>SUMIF('内訳ﾘｽﾄ(4～3月)'!$D$26:$D$999,$B65,'内訳ﾘｽﾄ(4～3月)'!H$26:H$999)</f>
        <v>0</v>
      </c>
      <c r="F65" s="158">
        <f>SUMIF('内訳ﾘｽﾄ(4～3月)'!$D$26:$D$999,$B65,'内訳ﾘｽﾄ(4～3月)'!I$26:I$999)</f>
        <v>0</v>
      </c>
      <c r="G65" s="158">
        <f>SUMIF('内訳ﾘｽﾄ(4～3月)'!$D$26:$D$999,$B65,'内訳ﾘｽﾄ(4～3月)'!J$26:J$999)</f>
        <v>0</v>
      </c>
      <c r="H65" s="158">
        <f>SUMIF('内訳ﾘｽﾄ(4～3月)'!$D$26:$D$999,$B65,'内訳ﾘｽﾄ(4～3月)'!K$26:K$999)</f>
        <v>0</v>
      </c>
      <c r="I65" s="158">
        <f>SUMIF('内訳ﾘｽﾄ(4～3月)'!$D$26:$D$999,$B65,'内訳ﾘｽﾄ(4～3月)'!L$26:L$999)</f>
        <v>0</v>
      </c>
      <c r="J65" s="158">
        <f>SUMIF('内訳ﾘｽﾄ(4～3月)'!$D$26:$D$999,$B65,'内訳ﾘｽﾄ(4～3月)'!M$26:M$999)</f>
        <v>0</v>
      </c>
      <c r="K65" s="158">
        <f>SUMIF('内訳ﾘｽﾄ(4～3月)'!$D$26:$D$999,$B65,'内訳ﾘｽﾄ(4～3月)'!N$26:N$999)</f>
        <v>0</v>
      </c>
      <c r="L65" s="158">
        <f>SUMIF('内訳ﾘｽﾄ(4～3月)'!$D$26:$D$999,$B65,'内訳ﾘｽﾄ(4～3月)'!O$26:O$999)</f>
        <v>0</v>
      </c>
      <c r="M65" s="158">
        <f>SUMIF('内訳ﾘｽﾄ(4～3月)'!$D$26:$D$999,$B65,'内訳ﾘｽﾄ(4～3月)'!P$26:P$999)</f>
        <v>0</v>
      </c>
      <c r="N65" s="158">
        <f>SUMIF('内訳ﾘｽﾄ(4～3月)'!$D$26:$D$999,$B65,'内訳ﾘｽﾄ(4～3月)'!Q$26:Q$999)</f>
        <v>0</v>
      </c>
      <c r="O65" s="158">
        <f>SUMIF('内訳ﾘｽﾄ(4～3月)'!$D$26:$D$798,'採算表(VND)'!$B65,'内訳ﾘｽﾄ(4～3月)'!R$26:R$798)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804.5</v>
      </c>
      <c r="D68" s="162">
        <f>SUMIF('内訳ﾘｽﾄ(4～3月)'!$D$8:$D$15,'採算表(VND)'!$B68,'内訳ﾘｽﾄ(4～3月)'!G$8:G$15)</f>
        <v>763</v>
      </c>
      <c r="E68" s="162">
        <f>SUMIF('内訳ﾘｽﾄ(4～3月)'!$D$8:$D$15,'採算表(VND)'!$B68,'内訳ﾘｽﾄ(4～3月)'!H$8:H$15)</f>
        <v>834</v>
      </c>
      <c r="F68" s="162">
        <f>SUMIF('内訳ﾘｽﾄ(4～3月)'!$D$8:$D$15,'採算表(VND)'!$B68,'内訳ﾘｽﾄ(4～3月)'!I$8:I$15)</f>
        <v>935</v>
      </c>
      <c r="G68" s="162">
        <f>SUMIF('内訳ﾘｽﾄ(4～3月)'!$D$8:$D$15,'採算表(VND)'!$B68,'内訳ﾘｽﾄ(4～3月)'!J$8:J$15)</f>
        <v>807.5</v>
      </c>
      <c r="H68" s="162">
        <f>SUMIF('内訳ﾘｽﾄ(4～3月)'!$D$8:$D$15,'採算表(VND)'!$B68,'内訳ﾘｽﾄ(4～3月)'!K$8:K$15)</f>
        <v>799</v>
      </c>
      <c r="I68" s="162">
        <f>SUMIF('内訳ﾘｽﾄ(4～3月)'!$D$8:$D$15,'採算表(VND)'!$B68,'内訳ﾘｽﾄ(4～3月)'!L$8:L$15)</f>
        <v>952</v>
      </c>
      <c r="J68" s="162">
        <f>SUMIF('内訳ﾘｽﾄ(4～3月)'!$D$8:$D$15,'採算表(VND)'!$B68,'内訳ﾘｽﾄ(4～3月)'!M$8:M$15)</f>
        <v>824.5</v>
      </c>
      <c r="K68" s="162">
        <f>SUMIF('内訳ﾘｽﾄ(4～3月)'!$D$8:$D$15,'採算表(VND)'!$B68,'内訳ﾘｽﾄ(4～3月)'!N$8:N$15)</f>
        <v>926.5</v>
      </c>
      <c r="L68" s="162">
        <f>SUMIF('内訳ﾘｽﾄ(4～3月)'!$D$8:$D$15,'採算表(VND)'!$B68,'内訳ﾘｽﾄ(4～3月)'!O$8:O$15)</f>
        <v>824.5</v>
      </c>
      <c r="M68" s="162">
        <f>SUMIF('内訳ﾘｽﾄ(4～3月)'!$D$8:$D$15,'採算表(VND)'!$B68,'内訳ﾘｽﾄ(4～3月)'!P$8:P$15)</f>
        <v>578</v>
      </c>
      <c r="N68" s="162">
        <f>SUMIF('内訳ﾘｽﾄ(4～3月)'!$D$8:$D$15,'採算表(VND)'!$B68,'内訳ﾘｽﾄ(4～3月)'!Q$8:Q$15)</f>
        <v>807.5</v>
      </c>
      <c r="O68" s="162">
        <f>SUMIF('内訳ﾘｽﾄ(4～3月)'!$D$8:$D$15,'採算表(VND)'!$B68,'内訳ﾘｽﾄ(4～3月)'!$R$8:$R$15)</f>
        <v>9856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-804.5</v>
      </c>
      <c r="D71" s="164">
        <f>IF('内訳ﾘｽﾄ(4～3月)'!$D$5="製造",SUMIF('内訳ﾘｽﾄ(4～3月)'!$D$8:$D$15,$B71,'内訳ﾘｽﾄ(4～3月)'!G$8:G$15),IF('内訳ﾘｽﾄ(4～3月)'!$D$5="部外間接2",-D$68,0))</f>
        <v>-763</v>
      </c>
      <c r="E71" s="164">
        <f>IF('内訳ﾘｽﾄ(4～3月)'!$D$5="製造",SUMIF('内訳ﾘｽﾄ(4～3月)'!$D$8:$D$15,$B71,'内訳ﾘｽﾄ(4～3月)'!H$8:H$15),IF('内訳ﾘｽﾄ(4～3月)'!$D$5="部外間接2",-E$68,0))</f>
        <v>-834</v>
      </c>
      <c r="F71" s="164">
        <f>IF('内訳ﾘｽﾄ(4～3月)'!$D$5="製造",SUMIF('内訳ﾘｽﾄ(4～3月)'!$D$8:$D$15,$B71,'内訳ﾘｽﾄ(4～3月)'!I$8:I$15),IF('内訳ﾘｽﾄ(4～3月)'!$D$5="部外間接2",-F$68,0))</f>
        <v>-935</v>
      </c>
      <c r="G71" s="164">
        <f>IF('内訳ﾘｽﾄ(4～3月)'!$D$5="製造",SUMIF('内訳ﾘｽﾄ(4～3月)'!$D$8:$D$15,$B71,'内訳ﾘｽﾄ(4～3月)'!J$8:J$15),IF('内訳ﾘｽﾄ(4～3月)'!$D$5="部外間接2",-G$68,0))</f>
        <v>-807.5</v>
      </c>
      <c r="H71" s="164">
        <f>IF('内訳ﾘｽﾄ(4～3月)'!$D$5="製造",SUMIF('内訳ﾘｽﾄ(4～3月)'!$D$8:$D$15,$B71,'内訳ﾘｽﾄ(4～3月)'!K$8:K$15),IF('内訳ﾘｽﾄ(4～3月)'!$D$5="部外間接2",-H$68,0))</f>
        <v>-799</v>
      </c>
      <c r="I71" s="164">
        <f>IF('内訳ﾘｽﾄ(4～3月)'!$D$5="製造",SUMIF('内訳ﾘｽﾄ(4～3月)'!$D$8:$D$15,$B71,'内訳ﾘｽﾄ(4～3月)'!L$8:L$15),IF('内訳ﾘｽﾄ(4～3月)'!$D$5="部外間接2",-I$68,0))</f>
        <v>-952</v>
      </c>
      <c r="J71" s="164">
        <f>IF('内訳ﾘｽﾄ(4～3月)'!$D$5="製造",SUMIF('内訳ﾘｽﾄ(4～3月)'!$D$8:$D$15,$B71,'内訳ﾘｽﾄ(4～3月)'!M$8:M$15),IF('内訳ﾘｽﾄ(4～3月)'!$D$5="部外間接2",-J$68,0))</f>
        <v>-824.5</v>
      </c>
      <c r="K71" s="164">
        <f>IF('内訳ﾘｽﾄ(4～3月)'!$D$5="製造",SUMIF('内訳ﾘｽﾄ(4～3月)'!$D$8:$D$15,$B71,'内訳ﾘｽﾄ(4～3月)'!N$8:N$15),IF('内訳ﾘｽﾄ(4～3月)'!$D$5="部外間接2",-K$68,0))</f>
        <v>-926.5</v>
      </c>
      <c r="L71" s="164">
        <f>IF('内訳ﾘｽﾄ(4～3月)'!$D$5="製造",SUMIF('内訳ﾘｽﾄ(4～3月)'!$D$8:$D$15,$B71,'内訳ﾘｽﾄ(4～3月)'!O$8:O$15),IF('内訳ﾘｽﾄ(4～3月)'!$D$5="部外間接2",-L$68,0))</f>
        <v>-824.5</v>
      </c>
      <c r="M71" s="164">
        <f>IF('内訳ﾘｽﾄ(4～3月)'!$D$5="製造",SUMIF('内訳ﾘｽﾄ(4～3月)'!$D$8:$D$15,$B71,'内訳ﾘｽﾄ(4～3月)'!P$8:P$15),IF('内訳ﾘｽﾄ(4～3月)'!$D$5="部外間接2",-M$68,0))</f>
        <v>-578</v>
      </c>
      <c r="N71" s="164">
        <f>IF('内訳ﾘｽﾄ(4～3月)'!$D$5="製造",SUMIF('内訳ﾘｽﾄ(4～3月)'!$D$8:$D$15,$B71,'内訳ﾘｽﾄ(4～3月)'!Q$8:Q$15),IF('内訳ﾘｽﾄ(4～3月)'!$D$5="部外間接2",-N$68,0))</f>
        <v>-807.5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-9856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76</v>
      </c>
      <c r="D74" s="162">
        <f>SUMIF('内訳ﾘｽﾄ(4～3月)'!$D$16:$D$23,'採算表(VND)'!$B74,'内訳ﾘｽﾄ(4～3月)'!G$16:G$23)</f>
        <v>72</v>
      </c>
      <c r="E74" s="162">
        <f>SUMIF('内訳ﾘｽﾄ(4～3月)'!$D$16:$D$23,'採算表(VND)'!$B74,'内訳ﾘｽﾄ(4～3月)'!H$16:H$23)</f>
        <v>78</v>
      </c>
      <c r="F74" s="162">
        <f>SUMIF('内訳ﾘｽﾄ(4～3月)'!$D$16:$D$23,'採算表(VND)'!$B74,'内訳ﾘｽﾄ(4～3月)'!I$16:I$23)</f>
        <v>86</v>
      </c>
      <c r="G74" s="162">
        <f>SUMIF('内訳ﾘｽﾄ(4～3月)'!$D$16:$D$23,'採算表(VND)'!$B74,'内訳ﾘｽﾄ(4～3月)'!J$16:J$23)</f>
        <v>74</v>
      </c>
      <c r="H74" s="162">
        <f>SUMIF('内訳ﾘｽﾄ(4～3月)'!$D$16:$D$23,'採算表(VND)'!$B74,'内訳ﾘｽﾄ(4～3月)'!K$16:K$23)</f>
        <v>74</v>
      </c>
      <c r="I74" s="162">
        <f>SUMIF('内訳ﾘｽﾄ(4～3月)'!$D$16:$D$23,'採算表(VND)'!$B74,'内訳ﾘｽﾄ(4～3月)'!L$16:L$23)</f>
        <v>88</v>
      </c>
      <c r="J74" s="162">
        <f>SUMIF('内訳ﾘｽﾄ(4～3月)'!$D$16:$D$23,'採算表(VND)'!$B74,'内訳ﾘｽﾄ(4～3月)'!M$16:M$23)</f>
        <v>76</v>
      </c>
      <c r="K74" s="162">
        <f>SUMIF('内訳ﾘｽﾄ(4～3月)'!$D$16:$D$23,'採算表(VND)'!$B74,'内訳ﾘｽﾄ(4～3月)'!N$16:N$23)</f>
        <v>86</v>
      </c>
      <c r="L74" s="162">
        <f>SUMIF('内訳ﾘｽﾄ(4～3月)'!$D$16:$D$23,'採算表(VND)'!$B74,'内訳ﾘｽﾄ(4～3月)'!O$16:O$23)</f>
        <v>76</v>
      </c>
      <c r="M74" s="162">
        <f>SUMIF('内訳ﾘｽﾄ(4～3月)'!$D$16:$D$23,'採算表(VND)'!$B74,'内訳ﾘｽﾄ(4～3月)'!P$16:P$23)</f>
        <v>48</v>
      </c>
      <c r="N74" s="162">
        <f>SUMIF('内訳ﾘｽﾄ(4～3月)'!$D$16:$D$23,'採算表(VND)'!$B74,'内訳ﾘｽﾄ(4～3月)'!Q$16:Q$23)</f>
        <v>74</v>
      </c>
      <c r="O74" s="162">
        <f>SUMIF('内訳ﾘｽﾄ(4～3月)'!$D$16:$D$23,'採算表(VND)'!$B74,'内訳ﾘｽﾄ(4～3月)'!$R$16:$R$23)</f>
        <v>908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-76</v>
      </c>
      <c r="D77" s="164">
        <f>IF('内訳ﾘｽﾄ(4～3月)'!$D$5="製造",SUMIF('内訳ﾘｽﾄ(4～3月)'!$D$16:$D$23,$B77,'内訳ﾘｽﾄ(4～3月)'!G$16:G$23),IF('内訳ﾘｽﾄ(4～3月)'!$D$5="部外間接2",-D$74,0))</f>
        <v>-72</v>
      </c>
      <c r="E77" s="164">
        <f>IF('内訳ﾘｽﾄ(4～3月)'!$D$5="製造",SUMIF('内訳ﾘｽﾄ(4～3月)'!$D$16:$D$23,$B77,'内訳ﾘｽﾄ(4～3月)'!H$16:H$23),IF('内訳ﾘｽﾄ(4～3月)'!$D$5="部外間接2",-E$74,0))</f>
        <v>-78</v>
      </c>
      <c r="F77" s="164">
        <f>IF('内訳ﾘｽﾄ(4～3月)'!$D$5="製造",SUMIF('内訳ﾘｽﾄ(4～3月)'!$D$16:$D$23,$B77,'内訳ﾘｽﾄ(4～3月)'!I$16:I$23),IF('内訳ﾘｽﾄ(4～3月)'!$D$5="部外間接2",-F$74,0))</f>
        <v>-86</v>
      </c>
      <c r="G77" s="164">
        <f>IF('内訳ﾘｽﾄ(4～3月)'!$D$5="製造",SUMIF('内訳ﾘｽﾄ(4～3月)'!$D$16:$D$23,$B77,'内訳ﾘｽﾄ(4～3月)'!J$16:J$23),IF('内訳ﾘｽﾄ(4～3月)'!$D$5="部外間接2",-G$74,0))</f>
        <v>-74</v>
      </c>
      <c r="H77" s="164">
        <f>IF('内訳ﾘｽﾄ(4～3月)'!$D$5="製造",SUMIF('内訳ﾘｽﾄ(4～3月)'!$D$16:$D$23,$B77,'内訳ﾘｽﾄ(4～3月)'!K$16:K$23),IF('内訳ﾘｽﾄ(4～3月)'!$D$5="部外間接2",-H$74,0))</f>
        <v>-74</v>
      </c>
      <c r="I77" s="164">
        <f>IF('内訳ﾘｽﾄ(4～3月)'!$D$5="製造",SUMIF('内訳ﾘｽﾄ(4～3月)'!$D$16:$D$23,$B77,'内訳ﾘｽﾄ(4～3月)'!L$16:L$23),IF('内訳ﾘｽﾄ(4～3月)'!$D$5="部外間接2",-I$74,0))</f>
        <v>-88</v>
      </c>
      <c r="J77" s="164">
        <f>IF('内訳ﾘｽﾄ(4～3月)'!$D$5="製造",SUMIF('内訳ﾘｽﾄ(4～3月)'!$D$16:$D$23,$B77,'内訳ﾘｽﾄ(4～3月)'!M$16:M$23),IF('内訳ﾘｽﾄ(4～3月)'!$D$5="部外間接2",-J$74,0))</f>
        <v>-76</v>
      </c>
      <c r="K77" s="164">
        <f>IF('内訳ﾘｽﾄ(4～3月)'!$D$5="製造",SUMIF('内訳ﾘｽﾄ(4～3月)'!$D$16:$D$23,$B77,'内訳ﾘｽﾄ(4～3月)'!N$16:N$23),IF('内訳ﾘｽﾄ(4～3月)'!$D$5="部外間接2",-K$74,0))</f>
        <v>-86</v>
      </c>
      <c r="L77" s="164">
        <f>IF('内訳ﾘｽﾄ(4～3月)'!$D$5="製造",SUMIF('内訳ﾘｽﾄ(4～3月)'!$D$16:$D$23,$B77,'内訳ﾘｽﾄ(4～3月)'!O$16:O$23),IF('内訳ﾘｽﾄ(4～3月)'!$D$5="部外間接2",-L$74,0))</f>
        <v>-76</v>
      </c>
      <c r="M77" s="164">
        <f>IF('内訳ﾘｽﾄ(4～3月)'!$D$5="製造",SUMIF('内訳ﾘｽﾄ(4～3月)'!$D$16:$D$23,$B77,'内訳ﾘｽﾄ(4～3月)'!P$16:P$23),IF('内訳ﾘｽﾄ(4～3月)'!$D$5="部外間接2",-M$74,0))</f>
        <v>-48</v>
      </c>
      <c r="N77" s="164">
        <f>IF('内訳ﾘｽﾄ(4～3月)'!$D$5="製造",SUMIF('内訳ﾘｽﾄ(4～3月)'!$D$16:$D$23,$B77,'内訳ﾘｽﾄ(4～3月)'!Q$16:Q$23),IF('内訳ﾘｽﾄ(4～3月)'!$D$5="部外間接2",-N$74,0))</f>
        <v>-74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-908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4</v>
      </c>
      <c r="D88" s="150">
        <f>SUMIF('内訳ﾘｽﾄ(4～3月)'!$D$24:$D$25,'採算表(VND)'!$B88,'内訳ﾘｽﾄ(4～3月)'!G$24:G$25)</f>
        <v>4</v>
      </c>
      <c r="E88" s="150">
        <f>SUMIF('内訳ﾘｽﾄ(4～3月)'!$D$24:$D$25,'採算表(VND)'!$B88,'内訳ﾘｽﾄ(4～3月)'!H$24:H$25)</f>
        <v>4</v>
      </c>
      <c r="F88" s="150">
        <f>SUMIF('内訳ﾘｽﾄ(4～3月)'!$D$24:$D$25,'採算表(VND)'!$B88,'内訳ﾘｽﾄ(4～3月)'!I$24:I$25)</f>
        <v>4</v>
      </c>
      <c r="G88" s="150">
        <f>SUMIF('内訳ﾘｽﾄ(4～3月)'!$D$24:$D$25,'採算表(VND)'!$B88,'内訳ﾘｽﾄ(4～3月)'!J$24:J$25)</f>
        <v>4</v>
      </c>
      <c r="H88" s="150">
        <f>SUMIF('内訳ﾘｽﾄ(4～3月)'!$D$24:$D$25,'採算表(VND)'!$B88,'内訳ﾘｽﾄ(4～3月)'!K$24:K$25)</f>
        <v>4</v>
      </c>
      <c r="I88" s="150">
        <f>SUMIF('内訳ﾘｽﾄ(4～3月)'!$D$24:$D$25,'採算表(VND)'!$B88,'内訳ﾘｽﾄ(4～3月)'!L$24:L$25)</f>
        <v>4</v>
      </c>
      <c r="J88" s="150">
        <f>SUMIF('内訳ﾘｽﾄ(4～3月)'!$D$24:$D$25,'採算表(VND)'!$B88,'内訳ﾘｽﾄ(4～3月)'!M$24:M$25)</f>
        <v>4</v>
      </c>
      <c r="K88" s="150">
        <f>SUMIF('内訳ﾘｽﾄ(4～3月)'!$D$24:$D$25,'採算表(VND)'!$B88,'内訳ﾘｽﾄ(4～3月)'!N$24:N$25)</f>
        <v>4</v>
      </c>
      <c r="L88" s="150">
        <f>SUMIF('内訳ﾘｽﾄ(4～3月)'!$D$24:$D$25,'採算表(VND)'!$B88,'内訳ﾘｽﾄ(4～3月)'!O$24:O$25)</f>
        <v>4</v>
      </c>
      <c r="M88" s="150">
        <f>SUMIF('内訳ﾘｽﾄ(4～3月)'!$D$24:$D$25,'採算表(VND)'!$B88,'内訳ﾘｽﾄ(4～3月)'!P$24:P$25)</f>
        <v>4</v>
      </c>
      <c r="N88" s="150">
        <f>SUMIF('内訳ﾘｽﾄ(4～3月)'!$D$24:$D$25,'採算表(VND)'!$B88,'内訳ﾘｽﾄ(4～3月)'!Q$24:Q$25)</f>
        <v>4</v>
      </c>
      <c r="O88" s="150">
        <f>SUMIF('内訳ﾘｽﾄ(4～3月)'!$D$24:$D$25,'採算表(VND)'!$B88,'内訳ﾘｽﾄ(4～3月)'!R$24:R$25)</f>
        <v>4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5</v>
      </c>
      <c r="D89" s="151">
        <f t="shared" si="10"/>
        <v>5</v>
      </c>
      <c r="E89" s="151">
        <f t="shared" si="10"/>
        <v>5</v>
      </c>
      <c r="F89" s="151">
        <f t="shared" si="10"/>
        <v>5</v>
      </c>
      <c r="G89" s="151">
        <f t="shared" si="10"/>
        <v>5</v>
      </c>
      <c r="H89" s="151">
        <f t="shared" si="10"/>
        <v>5</v>
      </c>
      <c r="I89" s="151">
        <f t="shared" si="10"/>
        <v>5</v>
      </c>
      <c r="J89" s="151">
        <f t="shared" si="10"/>
        <v>5</v>
      </c>
      <c r="K89" s="151">
        <f t="shared" si="10"/>
        <v>5</v>
      </c>
      <c r="L89" s="151">
        <f t="shared" si="10"/>
        <v>5</v>
      </c>
      <c r="M89" s="151">
        <f t="shared" si="10"/>
        <v>5</v>
      </c>
      <c r="N89" s="151">
        <f t="shared" si="10"/>
        <v>5</v>
      </c>
      <c r="O89" s="151">
        <f>O87+O88</f>
        <v>5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161.5</v>
      </c>
      <c r="D92" s="161">
        <f>SUMIF('内訳ﾘｽﾄ(4～3月)'!$B$8:$B$15,$B92,'内訳ﾘｽﾄ(4～3月)'!G$8:G$15)</f>
        <v>153</v>
      </c>
      <c r="E92" s="161">
        <f>SUMIF('内訳ﾘｽﾄ(4～3月)'!$B$8:$B$15,$B92,'内訳ﾘｽﾄ(4～3月)'!H$8:H$15)</f>
        <v>170</v>
      </c>
      <c r="F92" s="161">
        <f>SUMIF('内訳ﾘｽﾄ(4～3月)'!$B$8:$B$15,$B92,'内訳ﾘｽﾄ(4～3月)'!I$8:I$15)</f>
        <v>187</v>
      </c>
      <c r="G92" s="161">
        <f>SUMIF('内訳ﾘｽﾄ(4～3月)'!$B$8:$B$15,$B92,'内訳ﾘｽﾄ(4～3月)'!J$8:J$15)</f>
        <v>161.5</v>
      </c>
      <c r="H92" s="161">
        <f>SUMIF('内訳ﾘｽﾄ(4～3月)'!$B$8:$B$15,$B92,'内訳ﾘｽﾄ(4～3月)'!K$8:K$15)</f>
        <v>153</v>
      </c>
      <c r="I92" s="161">
        <f>SUMIF('内訳ﾘｽﾄ(4～3月)'!$B$8:$B$15,$B92,'内訳ﾘｽﾄ(4～3月)'!L$8:L$15)</f>
        <v>187</v>
      </c>
      <c r="J92" s="161">
        <f>SUMIF('内訳ﾘｽﾄ(4～3月)'!$B$8:$B$15,$B92,'内訳ﾘｽﾄ(4～3月)'!M$8:M$15)</f>
        <v>161.5</v>
      </c>
      <c r="K92" s="161">
        <f>SUMIF('内訳ﾘｽﾄ(4～3月)'!$B$8:$B$15,$B92,'内訳ﾘｽﾄ(4～3月)'!N$8:N$15)</f>
        <v>178.5</v>
      </c>
      <c r="L92" s="161">
        <f>SUMIF('内訳ﾘｽﾄ(4～3月)'!$B$8:$B$15,$B92,'内訳ﾘｽﾄ(4～3月)'!O$8:O$15)</f>
        <v>161.5</v>
      </c>
      <c r="M92" s="161">
        <f>SUMIF('内訳ﾘｽﾄ(4～3月)'!$B$8:$B$15,$B92,'内訳ﾘｽﾄ(4～3月)'!P$8:P$15)</f>
        <v>85</v>
      </c>
      <c r="N92" s="161">
        <f>SUMIF('内訳ﾘｽﾄ(4～3月)'!$B$8:$B$15,$B92,'内訳ﾘｽﾄ(4～3月)'!Q$8:Q$15)</f>
        <v>161.5</v>
      </c>
      <c r="O92" s="161">
        <f>SUMIF('内訳ﾘｽﾄ(4～3月)'!$B$8:$B$15,$B92,'内訳ﾘｽﾄ(4～3月)'!R$8:R$15)</f>
        <v>1921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643</v>
      </c>
      <c r="D93" s="161">
        <f>SUMIF('内訳ﾘｽﾄ(4～3月)'!$B$8:$B$15,$B93,'内訳ﾘｽﾄ(4～3月)'!G$8:G$15)</f>
        <v>610</v>
      </c>
      <c r="E93" s="161">
        <f>SUMIF('内訳ﾘｽﾄ(4～3月)'!$B$8:$B$15,$B93,'内訳ﾘｽﾄ(4～3月)'!H$8:H$15)</f>
        <v>664</v>
      </c>
      <c r="F93" s="161">
        <f>SUMIF('内訳ﾘｽﾄ(4～3月)'!$B$8:$B$15,$B93,'内訳ﾘｽﾄ(4～3月)'!I$8:I$15)</f>
        <v>748</v>
      </c>
      <c r="G93" s="161">
        <f>SUMIF('内訳ﾘｽﾄ(4～3月)'!$B$8:$B$15,$B93,'内訳ﾘｽﾄ(4～3月)'!J$8:J$15)</f>
        <v>646</v>
      </c>
      <c r="H93" s="161">
        <f>SUMIF('内訳ﾘｽﾄ(4～3月)'!$B$8:$B$15,$B93,'内訳ﾘｽﾄ(4～3月)'!K$8:K$15)</f>
        <v>646</v>
      </c>
      <c r="I93" s="161">
        <f>SUMIF('内訳ﾘｽﾄ(4～3月)'!$B$8:$B$15,$B93,'内訳ﾘｽﾄ(4～3月)'!L$8:L$15)</f>
        <v>765</v>
      </c>
      <c r="J93" s="161">
        <f>SUMIF('内訳ﾘｽﾄ(4～3月)'!$B$8:$B$15,$B93,'内訳ﾘｽﾄ(4～3月)'!M$8:M$15)</f>
        <v>663</v>
      </c>
      <c r="K93" s="161">
        <f>SUMIF('内訳ﾘｽﾄ(4～3月)'!$B$8:$B$15,$B93,'内訳ﾘｽﾄ(4～3月)'!N$8:N$15)</f>
        <v>748</v>
      </c>
      <c r="L93" s="161">
        <f>SUMIF('内訳ﾘｽﾄ(4～3月)'!$B$8:$B$15,$B93,'内訳ﾘｽﾄ(4～3月)'!O$8:O$15)</f>
        <v>663</v>
      </c>
      <c r="M93" s="161">
        <f>SUMIF('内訳ﾘｽﾄ(4～3月)'!$B$8:$B$15,$B93,'内訳ﾘｽﾄ(4～3月)'!P$8:P$15)</f>
        <v>493</v>
      </c>
      <c r="N93" s="161">
        <f>SUMIF('内訳ﾘｽﾄ(4～3月)'!$B$8:$B$15,$B93,'内訳ﾘｽﾄ(4～3月)'!Q$8:Q$15)</f>
        <v>646</v>
      </c>
      <c r="O93" s="161">
        <f>SUMIF('内訳ﾘｽﾄ(4～3月)'!$B$8:$B$15,$B93,'内訳ﾘｽﾄ(4～3月)'!R$8:R$15)</f>
        <v>7935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804.5</v>
      </c>
      <c r="D94" s="169">
        <f t="shared" si="11"/>
        <v>763</v>
      </c>
      <c r="E94" s="169">
        <f t="shared" si="11"/>
        <v>834</v>
      </c>
      <c r="F94" s="169">
        <f t="shared" si="11"/>
        <v>935</v>
      </c>
      <c r="G94" s="169">
        <f t="shared" si="11"/>
        <v>807.5</v>
      </c>
      <c r="H94" s="169">
        <f t="shared" si="11"/>
        <v>799</v>
      </c>
      <c r="I94" s="169">
        <f t="shared" si="11"/>
        <v>952</v>
      </c>
      <c r="J94" s="169">
        <f t="shared" si="11"/>
        <v>824.5</v>
      </c>
      <c r="K94" s="169">
        <f t="shared" si="11"/>
        <v>926.5</v>
      </c>
      <c r="L94" s="169">
        <f t="shared" si="11"/>
        <v>824.5</v>
      </c>
      <c r="M94" s="169">
        <f t="shared" si="11"/>
        <v>578</v>
      </c>
      <c r="N94" s="169">
        <f t="shared" si="11"/>
        <v>807.5</v>
      </c>
      <c r="O94" s="169">
        <f>O92+O93</f>
        <v>9856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38</v>
      </c>
      <c r="D97" s="161">
        <f>SUMIF('内訳ﾘｽﾄ(4～3月)'!$B$16:$B$23,$B97,'内訳ﾘｽﾄ(4～3月)'!G$16:G$23)</f>
        <v>36</v>
      </c>
      <c r="E97" s="161">
        <f>SUMIF('内訳ﾘｽﾄ(4～3月)'!$B$16:$B$23,$B97,'内訳ﾘｽﾄ(4～3月)'!H$16:H$23)</f>
        <v>40</v>
      </c>
      <c r="F97" s="161">
        <f>SUMIF('内訳ﾘｽﾄ(4～3月)'!$B$16:$B$23,$B97,'内訳ﾘｽﾄ(4～3月)'!I$16:I$23)</f>
        <v>44</v>
      </c>
      <c r="G97" s="161">
        <f>SUMIF('内訳ﾘｽﾄ(4～3月)'!$B$16:$B$23,$B97,'内訳ﾘｽﾄ(4～3月)'!J$16:J$23)</f>
        <v>38</v>
      </c>
      <c r="H97" s="161">
        <f>SUMIF('内訳ﾘｽﾄ(4～3月)'!$B$16:$B$23,$B97,'内訳ﾘｽﾄ(4～3月)'!K$16:K$23)</f>
        <v>36</v>
      </c>
      <c r="I97" s="161">
        <f>SUMIF('内訳ﾘｽﾄ(4～3月)'!$B$16:$B$23,$B97,'内訳ﾘｽﾄ(4～3月)'!L$16:L$23)</f>
        <v>44</v>
      </c>
      <c r="J97" s="161">
        <f>SUMIF('内訳ﾘｽﾄ(4～3月)'!$B$16:$B$23,$B97,'内訳ﾘｽﾄ(4～3月)'!M$16:M$23)</f>
        <v>38</v>
      </c>
      <c r="K97" s="161">
        <f>SUMIF('内訳ﾘｽﾄ(4～3月)'!$B$16:$B$23,$B97,'内訳ﾘｽﾄ(4～3月)'!N$16:N$23)</f>
        <v>42</v>
      </c>
      <c r="L97" s="161">
        <f>SUMIF('内訳ﾘｽﾄ(4～3月)'!$B$16:$B$23,$B97,'内訳ﾘｽﾄ(4～3月)'!O$16:O$23)</f>
        <v>38</v>
      </c>
      <c r="M97" s="161">
        <f>SUMIF('内訳ﾘｽﾄ(4～3月)'!$B$16:$B$23,$B97,'内訳ﾘｽﾄ(4～3月)'!P$16:P$23)</f>
        <v>20</v>
      </c>
      <c r="N97" s="161">
        <f>SUMIF('内訳ﾘｽﾄ(4～3月)'!$B$16:$B$23,$B97,'内訳ﾘｽﾄ(4～3月)'!Q$16:Q$23)</f>
        <v>38</v>
      </c>
      <c r="O97" s="161">
        <f>SUMIF('内訳ﾘｽﾄ(4～3月)'!$B$16:$B$23,$B97,'内訳ﾘｽﾄ(4～3月)'!R$16:R$23)</f>
        <v>452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38</v>
      </c>
      <c r="D98" s="161">
        <f>SUMIF('内訳ﾘｽﾄ(4～3月)'!$B$16:$B$23,$B98,'内訳ﾘｽﾄ(4～3月)'!G$16:G$23)</f>
        <v>36</v>
      </c>
      <c r="E98" s="161">
        <f>SUMIF('内訳ﾘｽﾄ(4～3月)'!$B$16:$B$23,$B98,'内訳ﾘｽﾄ(4～3月)'!H$16:H$23)</f>
        <v>38</v>
      </c>
      <c r="F98" s="161">
        <f>SUMIF('内訳ﾘｽﾄ(4～3月)'!$B$16:$B$23,$B98,'内訳ﾘｽﾄ(4～3月)'!I$16:I$23)</f>
        <v>42</v>
      </c>
      <c r="G98" s="161">
        <f>SUMIF('内訳ﾘｽﾄ(4～3月)'!$B$16:$B$23,$B98,'内訳ﾘｽﾄ(4～3月)'!J$16:J$23)</f>
        <v>36</v>
      </c>
      <c r="H98" s="161">
        <f>SUMIF('内訳ﾘｽﾄ(4～3月)'!$B$16:$B$23,$B98,'内訳ﾘｽﾄ(4～3月)'!K$16:K$23)</f>
        <v>38</v>
      </c>
      <c r="I98" s="161">
        <f>SUMIF('内訳ﾘｽﾄ(4～3月)'!$B$16:$B$23,$B98,'内訳ﾘｽﾄ(4～3月)'!L$16:L$23)</f>
        <v>44</v>
      </c>
      <c r="J98" s="161">
        <f>SUMIF('内訳ﾘｽﾄ(4～3月)'!$B$16:$B$23,$B98,'内訳ﾘｽﾄ(4～3月)'!M$16:M$23)</f>
        <v>38</v>
      </c>
      <c r="K98" s="161">
        <f>SUMIF('内訳ﾘｽﾄ(4～3月)'!$B$16:$B$23,$B98,'内訳ﾘｽﾄ(4～3月)'!N$16:N$23)</f>
        <v>44</v>
      </c>
      <c r="L98" s="161">
        <f>SUMIF('内訳ﾘｽﾄ(4～3月)'!$B$16:$B$23,$B98,'内訳ﾘｽﾄ(4～3月)'!O$16:O$23)</f>
        <v>38</v>
      </c>
      <c r="M98" s="161">
        <f>SUMIF('内訳ﾘｽﾄ(4～3月)'!$B$16:$B$23,$B98,'内訳ﾘｽﾄ(4～3月)'!P$16:P$23)</f>
        <v>28</v>
      </c>
      <c r="N98" s="161">
        <f>SUMIF('内訳ﾘｽﾄ(4～3月)'!$B$16:$B$23,$B98,'内訳ﾘｽﾄ(4～3月)'!Q$16:Q$23)</f>
        <v>36</v>
      </c>
      <c r="O98" s="161">
        <f>SUMIF('内訳ﾘｽﾄ(4～3月)'!$B$16:$B$23,$B98,'内訳ﾘｽﾄ(4～3月)'!R$16:R$23)</f>
        <v>456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76</v>
      </c>
      <c r="D99" s="169">
        <f t="shared" si="12"/>
        <v>72</v>
      </c>
      <c r="E99" s="169">
        <f t="shared" si="12"/>
        <v>78</v>
      </c>
      <c r="F99" s="169">
        <f t="shared" si="12"/>
        <v>86</v>
      </c>
      <c r="G99" s="169">
        <f t="shared" si="12"/>
        <v>74</v>
      </c>
      <c r="H99" s="169">
        <f t="shared" si="12"/>
        <v>74</v>
      </c>
      <c r="I99" s="169">
        <f t="shared" si="12"/>
        <v>88</v>
      </c>
      <c r="J99" s="169">
        <f t="shared" si="12"/>
        <v>76</v>
      </c>
      <c r="K99" s="169">
        <f t="shared" si="12"/>
        <v>86</v>
      </c>
      <c r="L99" s="169">
        <f t="shared" si="12"/>
        <v>76</v>
      </c>
      <c r="M99" s="169">
        <f t="shared" si="12"/>
        <v>48</v>
      </c>
      <c r="N99" s="169">
        <f t="shared" si="12"/>
        <v>74</v>
      </c>
      <c r="O99" s="169">
        <f>O97+O98</f>
        <v>908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E999"/>
  <sheetViews>
    <sheetView tabSelected="1" zoomScaleNormal="100" workbookViewId="0">
      <pane xSplit="4" ySplit="7" topLeftCell="G48" activePane="bottomRight" state="frozen"/>
      <selection pane="topRight" activeCell="E1" sqref="E1"/>
      <selection pane="bottomLeft" activeCell="A8" sqref="A8"/>
      <selection pane="bottomRight" activeCell="G65" sqref="G65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20" width="14.625" style="126" customWidth="1"/>
    <col min="21" max="21" width="53.75" style="4" customWidth="1"/>
    <col min="22" max="22" width="18.875" style="72" customWidth="1"/>
    <col min="23" max="25" width="9" style="4" customWidth="1"/>
    <col min="26" max="16384" width="9" style="4"/>
  </cols>
  <sheetData>
    <row r="1" spans="1:57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69"/>
      <c r="T1" s="69"/>
      <c r="U1" s="11"/>
      <c r="V1" s="11"/>
    </row>
    <row r="2" spans="1:57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50"/>
      <c r="T2" s="50"/>
      <c r="U2" s="11"/>
    </row>
    <row r="3" spans="1:57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999),0)-ROUND((F26:F999)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999),0)-ROUND((G26:G999)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999),0)-ROUND((H26:H999)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999),0)-ROUND((I26:I999)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999),0)-ROUND((J26:J999)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999),0)-ROUND((K26:K999)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999),0)-ROUND((L26:L999)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999),0)-ROUND((M26:M999)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999),0)-ROUND((N26:N999)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999),0)-ROUND((O26:O999)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999),0)-ROUND((P26:P999)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999),0)-ROUND((Q26:Q999),4))&lt;&gt;0,"経費➝小数点",IF(Q5&lt;&gt;IF($D$5="製造",'採算表(VND)'!N13,-VLOOKUP($D$5&amp;"経費",'採算表(VND)'!$B:$N,'採算表(VND)'!N3,0)),"経費➝NG","OK")))</f>
        <v>OK</v>
      </c>
      <c r="R3" s="114"/>
      <c r="S3" s="114"/>
      <c r="T3" s="114"/>
      <c r="U3" s="115"/>
      <c r="V3" s="116"/>
    </row>
    <row r="4" spans="1:57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304" t="s">
        <v>748</v>
      </c>
      <c r="T4" s="304" t="s">
        <v>749</v>
      </c>
      <c r="U4" s="251" t="s">
        <v>590</v>
      </c>
      <c r="V4" s="102"/>
    </row>
    <row r="5" spans="1:57" ht="14.25" thickBot="1">
      <c r="B5" s="174">
        <v>1412000042</v>
      </c>
      <c r="C5" s="7" t="str">
        <f>VLOOKUP($B$5,原価センタ!$A:$E,2,0)</f>
        <v>第2資材課</v>
      </c>
      <c r="D5" s="62" t="str">
        <f>VLOOKUP($B$5,原価センタ!$A:$E,4,0)</f>
        <v>部外間接2</v>
      </c>
      <c r="E5" s="62" t="str">
        <f>VLOOKUP($B$5,原価センタ!$A:$E,5,0)</f>
        <v>製造</v>
      </c>
      <c r="F5" s="252">
        <f t="shared" ref="F5:R5" si="0">SUM(F29:F999)</f>
        <v>199327683</v>
      </c>
      <c r="G5" s="252">
        <f t="shared" si="0"/>
        <v>46389798</v>
      </c>
      <c r="H5" s="252">
        <f t="shared" si="0"/>
        <v>19779497</v>
      </c>
      <c r="I5" s="252">
        <f t="shared" si="0"/>
        <v>21414181</v>
      </c>
      <c r="J5" s="252">
        <f t="shared" si="0"/>
        <v>24187089</v>
      </c>
      <c r="K5" s="252">
        <f t="shared" si="0"/>
        <v>20026996</v>
      </c>
      <c r="L5" s="252">
        <f t="shared" si="0"/>
        <v>20349450</v>
      </c>
      <c r="M5" s="252">
        <f t="shared" si="0"/>
        <v>19742213</v>
      </c>
      <c r="N5" s="252">
        <f t="shared" si="0"/>
        <v>19964467</v>
      </c>
      <c r="O5" s="252">
        <f t="shared" si="0"/>
        <v>19033929</v>
      </c>
      <c r="P5" s="252">
        <f t="shared" si="0"/>
        <v>21175045</v>
      </c>
      <c r="Q5" s="252">
        <f t="shared" si="0"/>
        <v>18795008</v>
      </c>
      <c r="R5" s="253">
        <f t="shared" si="0"/>
        <v>450185356</v>
      </c>
      <c r="S5" s="305"/>
      <c r="T5" s="305"/>
      <c r="U5" s="251"/>
      <c r="V5" s="103"/>
      <c r="BC5"/>
      <c r="BD5"/>
    </row>
    <row r="6" spans="1:57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S6" s="120"/>
      <c r="T6" s="120"/>
      <c r="V6" s="121"/>
      <c r="BC6"/>
      <c r="BD6"/>
    </row>
    <row r="7" spans="1:57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4"/>
      <c r="T7" s="14"/>
      <c r="U7" s="12" t="s">
        <v>642</v>
      </c>
      <c r="V7" s="12" t="s">
        <v>417</v>
      </c>
      <c r="W7" s="79"/>
      <c r="X7" s="79"/>
      <c r="Y7" s="79"/>
      <c r="BC7"/>
      <c r="BD7"/>
      <c r="BE7" s="10" t="s">
        <v>417</v>
      </c>
    </row>
    <row r="8" spans="1:57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v>161.5</v>
      </c>
      <c r="G8" s="186">
        <v>153</v>
      </c>
      <c r="H8" s="186">
        <v>170</v>
      </c>
      <c r="I8" s="186">
        <v>187</v>
      </c>
      <c r="J8" s="186">
        <v>161.5</v>
      </c>
      <c r="K8" s="186">
        <v>153</v>
      </c>
      <c r="L8" s="186">
        <v>187</v>
      </c>
      <c r="M8" s="186">
        <v>161.5</v>
      </c>
      <c r="N8" s="186">
        <v>178.5</v>
      </c>
      <c r="O8" s="186">
        <v>161.5</v>
      </c>
      <c r="P8" s="186">
        <v>85</v>
      </c>
      <c r="Q8" s="186">
        <v>161.5</v>
      </c>
      <c r="R8" s="187">
        <f>SUM(F8:Q8)</f>
        <v>1921</v>
      </c>
      <c r="S8" s="187">
        <v>1895.5</v>
      </c>
      <c r="T8" s="187"/>
      <c r="U8" s="188"/>
      <c r="V8" s="189"/>
      <c r="W8" s="190"/>
      <c r="X8" s="190"/>
      <c r="Y8" s="190"/>
      <c r="BC8"/>
      <c r="BD8"/>
    </row>
    <row r="9" spans="1:57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643</v>
      </c>
      <c r="G9" s="194">
        <v>610</v>
      </c>
      <c r="H9" s="194">
        <v>664</v>
      </c>
      <c r="I9" s="194">
        <v>748</v>
      </c>
      <c r="J9" s="194">
        <v>646</v>
      </c>
      <c r="K9" s="194">
        <v>646</v>
      </c>
      <c r="L9" s="194">
        <v>765</v>
      </c>
      <c r="M9" s="194">
        <v>663</v>
      </c>
      <c r="N9" s="194">
        <v>748</v>
      </c>
      <c r="O9" s="194">
        <v>663</v>
      </c>
      <c r="P9" s="194">
        <v>493</v>
      </c>
      <c r="Q9" s="194">
        <v>646</v>
      </c>
      <c r="R9" s="195">
        <f t="shared" ref="R9:R23" si="1">SUM(F9:Q9)</f>
        <v>7935</v>
      </c>
      <c r="S9" s="195">
        <v>8247</v>
      </c>
      <c r="T9" s="195"/>
      <c r="U9" s="196"/>
      <c r="V9" s="197"/>
      <c r="W9" s="190"/>
      <c r="X9" s="190"/>
      <c r="Y9" s="190"/>
      <c r="BC9"/>
      <c r="BD9"/>
    </row>
    <row r="10" spans="1:57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0">
        <v>0</v>
      </c>
      <c r="T10" s="200"/>
      <c r="U10" s="201"/>
      <c r="V10" s="202"/>
      <c r="W10" s="190"/>
      <c r="X10" s="190"/>
      <c r="Y10" s="190"/>
      <c r="BC10"/>
      <c r="BD10"/>
    </row>
    <row r="11" spans="1:57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5">
        <v>0</v>
      </c>
      <c r="T11" s="205"/>
      <c r="U11" s="206"/>
      <c r="V11" s="207"/>
      <c r="W11" s="190"/>
      <c r="X11" s="190"/>
      <c r="Y11" s="190"/>
      <c r="BC11"/>
      <c r="BD11"/>
    </row>
    <row r="12" spans="1:57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3">
        <v>0</v>
      </c>
      <c r="T12" s="213"/>
      <c r="U12" s="214" t="s">
        <v>692</v>
      </c>
      <c r="V12" s="207"/>
      <c r="W12" s="190"/>
      <c r="X12" s="190"/>
      <c r="Y12" s="190"/>
      <c r="BC12"/>
      <c r="BD12"/>
    </row>
    <row r="13" spans="1:57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3">
        <v>0</v>
      </c>
      <c r="T13" s="213"/>
      <c r="U13" s="214" t="s">
        <v>692</v>
      </c>
      <c r="V13" s="207"/>
      <c r="W13" s="190"/>
      <c r="X13" s="190"/>
      <c r="Y13" s="190"/>
      <c r="BC13"/>
      <c r="BD13"/>
    </row>
    <row r="14" spans="1:57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3">
        <v>0</v>
      </c>
      <c r="T14" s="213"/>
      <c r="U14" s="214" t="s">
        <v>692</v>
      </c>
      <c r="V14" s="207"/>
      <c r="W14" s="190"/>
      <c r="X14" s="190"/>
      <c r="Y14" s="190"/>
      <c r="BC14"/>
      <c r="BD14"/>
    </row>
    <row r="15" spans="1:57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3">
        <v>0</v>
      </c>
      <c r="T15" s="213"/>
      <c r="U15" s="214" t="s">
        <v>692</v>
      </c>
      <c r="V15" s="207"/>
      <c r="W15" s="190"/>
      <c r="X15" s="190"/>
      <c r="Y15" s="190"/>
      <c r="BC15"/>
      <c r="BD15"/>
    </row>
    <row r="16" spans="1:57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v>38</v>
      </c>
      <c r="G16" s="194">
        <v>36</v>
      </c>
      <c r="H16" s="194">
        <v>40</v>
      </c>
      <c r="I16" s="194">
        <v>44</v>
      </c>
      <c r="J16" s="194">
        <v>38</v>
      </c>
      <c r="K16" s="194">
        <v>36</v>
      </c>
      <c r="L16" s="194">
        <v>44</v>
      </c>
      <c r="M16" s="194">
        <v>38</v>
      </c>
      <c r="N16" s="194">
        <v>42</v>
      </c>
      <c r="O16" s="194">
        <v>38</v>
      </c>
      <c r="P16" s="194">
        <v>20</v>
      </c>
      <c r="Q16" s="194">
        <v>38</v>
      </c>
      <c r="R16" s="205">
        <f t="shared" si="1"/>
        <v>452</v>
      </c>
      <c r="S16" s="205">
        <v>448</v>
      </c>
      <c r="T16" s="205"/>
      <c r="U16" s="206"/>
      <c r="V16" s="207"/>
      <c r="W16" s="190"/>
      <c r="X16" s="190"/>
      <c r="Y16" s="190"/>
      <c r="BC16"/>
      <c r="BD16"/>
    </row>
    <row r="17" spans="1:56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38</v>
      </c>
      <c r="G17" s="194">
        <v>36</v>
      </c>
      <c r="H17" s="194">
        <v>38</v>
      </c>
      <c r="I17" s="194">
        <v>42</v>
      </c>
      <c r="J17" s="194">
        <v>36</v>
      </c>
      <c r="K17" s="194">
        <v>38</v>
      </c>
      <c r="L17" s="194">
        <v>44</v>
      </c>
      <c r="M17" s="194">
        <v>38</v>
      </c>
      <c r="N17" s="194">
        <v>44</v>
      </c>
      <c r="O17" s="194">
        <v>38</v>
      </c>
      <c r="P17" s="194">
        <v>28</v>
      </c>
      <c r="Q17" s="194">
        <v>36</v>
      </c>
      <c r="R17" s="205">
        <f t="shared" si="1"/>
        <v>456</v>
      </c>
      <c r="S17" s="205">
        <v>462</v>
      </c>
      <c r="T17" s="205"/>
      <c r="U17" s="206"/>
      <c r="V17" s="207"/>
      <c r="W17" s="190"/>
      <c r="X17" s="190"/>
      <c r="Y17" s="190"/>
      <c r="BC17"/>
      <c r="BD17"/>
    </row>
    <row r="18" spans="1:56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0">
        <v>0</v>
      </c>
      <c r="T18" s="200"/>
      <c r="U18" s="201"/>
      <c r="V18" s="202"/>
      <c r="W18" s="190"/>
      <c r="X18" s="190"/>
      <c r="Y18" s="190"/>
      <c r="BC18"/>
      <c r="BD18"/>
    </row>
    <row r="19" spans="1:56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306">
        <v>0</v>
      </c>
      <c r="T19" s="306"/>
      <c r="U19" s="206"/>
      <c r="V19" s="207"/>
      <c r="W19" s="190"/>
      <c r="X19" s="190"/>
      <c r="Y19" s="190"/>
      <c r="BC19"/>
      <c r="BD19"/>
    </row>
    <row r="20" spans="1:56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3">
        <v>0</v>
      </c>
      <c r="T20" s="213"/>
      <c r="U20" s="214" t="s">
        <v>692</v>
      </c>
      <c r="V20" s="207"/>
      <c r="W20" s="190"/>
      <c r="X20" s="190"/>
      <c r="Y20" s="190"/>
      <c r="BC20"/>
      <c r="BD20"/>
    </row>
    <row r="21" spans="1:56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3">
        <v>0</v>
      </c>
      <c r="T21" s="213"/>
      <c r="U21" s="214" t="s">
        <v>692</v>
      </c>
      <c r="V21" s="207"/>
      <c r="W21" s="190"/>
      <c r="X21" s="190"/>
      <c r="Y21" s="190"/>
      <c r="BC21"/>
      <c r="BD21"/>
    </row>
    <row r="22" spans="1:56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3">
        <v>0</v>
      </c>
      <c r="T22" s="213"/>
      <c r="U22" s="214" t="s">
        <v>692</v>
      </c>
      <c r="V22" s="207"/>
      <c r="W22" s="190"/>
      <c r="X22" s="190"/>
      <c r="Y22" s="190"/>
      <c r="BC22"/>
      <c r="BD22"/>
    </row>
    <row r="23" spans="1:56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3">
        <v>0</v>
      </c>
      <c r="T23" s="213"/>
      <c r="U23" s="214" t="s">
        <v>692</v>
      </c>
      <c r="V23" s="207"/>
      <c r="W23" s="190"/>
      <c r="X23" s="190"/>
      <c r="Y23" s="190"/>
      <c r="BC23"/>
      <c r="BD23"/>
    </row>
    <row r="24" spans="1:56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0">
        <v>1</v>
      </c>
      <c r="T24" s="200"/>
      <c r="U24" s="201"/>
      <c r="V24" s="202"/>
      <c r="W24" s="268"/>
      <c r="X24" s="190"/>
      <c r="Y24" s="190"/>
      <c r="BC24"/>
      <c r="BD24"/>
    </row>
    <row r="25" spans="1:56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4</v>
      </c>
      <c r="G25" s="271">
        <v>4</v>
      </c>
      <c r="H25" s="271">
        <v>4</v>
      </c>
      <c r="I25" s="271">
        <v>4</v>
      </c>
      <c r="J25" s="271">
        <v>4</v>
      </c>
      <c r="K25" s="271">
        <v>4</v>
      </c>
      <c r="L25" s="271">
        <v>4</v>
      </c>
      <c r="M25" s="271">
        <v>4</v>
      </c>
      <c r="N25" s="271">
        <v>4</v>
      </c>
      <c r="O25" s="271">
        <v>4</v>
      </c>
      <c r="P25" s="271">
        <v>4</v>
      </c>
      <c r="Q25" s="271">
        <v>4</v>
      </c>
      <c r="R25" s="272">
        <f>Q25</f>
        <v>4</v>
      </c>
      <c r="S25" s="272">
        <v>5</v>
      </c>
      <c r="T25" s="272"/>
      <c r="U25" s="273"/>
      <c r="V25" s="238"/>
      <c r="W25" s="268"/>
      <c r="X25" s="274">
        <v>4</v>
      </c>
      <c r="Y25" s="274">
        <v>5</v>
      </c>
      <c r="Z25" s="274">
        <v>6</v>
      </c>
      <c r="AA25" s="274">
        <v>7</v>
      </c>
      <c r="AB25" s="274">
        <v>8</v>
      </c>
      <c r="AC25" s="274">
        <v>9</v>
      </c>
      <c r="AD25" s="274">
        <v>10</v>
      </c>
      <c r="AE25" s="274">
        <v>11</v>
      </c>
      <c r="AF25" s="274">
        <v>12</v>
      </c>
      <c r="AG25" s="274">
        <v>1</v>
      </c>
      <c r="AH25" s="274">
        <v>2</v>
      </c>
      <c r="AI25" s="274">
        <v>3</v>
      </c>
      <c r="BC25"/>
      <c r="BD25"/>
    </row>
    <row r="26" spans="1:56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ROUNDDOWN(X26*$B$2,0)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7" si="3">SUM(F26:Q26)</f>
        <v>0</v>
      </c>
      <c r="S26" s="221">
        <v>0</v>
      </c>
      <c r="T26" s="221"/>
      <c r="U26" s="222" t="s">
        <v>75</v>
      </c>
      <c r="V26" s="223"/>
      <c r="W26" s="190"/>
      <c r="X26" s="224"/>
      <c r="Y26" s="224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BC26"/>
      <c r="BD26"/>
    </row>
    <row r="27" spans="1:56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21">
        <v>0</v>
      </c>
      <c r="T27" s="221"/>
      <c r="U27" s="231" t="s">
        <v>75</v>
      </c>
      <c r="V27" s="202"/>
      <c r="W27" s="190"/>
      <c r="X27" s="224"/>
      <c r="Y27" s="224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BC27"/>
      <c r="BD27"/>
    </row>
    <row r="28" spans="1:56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21">
        <v>0</v>
      </c>
      <c r="T28" s="221"/>
      <c r="U28" s="231" t="s">
        <v>75</v>
      </c>
      <c r="V28" s="202"/>
      <c r="W28" s="190"/>
      <c r="X28" s="224"/>
      <c r="Y28" s="224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BC28"/>
      <c r="BD28"/>
    </row>
    <row r="29" spans="1:56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ROUNDUP(X29*$B$2,0)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6">
        <v>0</v>
      </c>
      <c r="T29" s="236"/>
      <c r="U29" s="237" t="s">
        <v>75</v>
      </c>
      <c r="V29" s="238"/>
      <c r="W29" s="190"/>
      <c r="X29" s="224"/>
      <c r="Y29" s="224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BC29"/>
      <c r="BD29"/>
    </row>
    <row r="30" spans="1:56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0">
        <v>0</v>
      </c>
      <c r="T30" s="200"/>
      <c r="U30" s="201"/>
      <c r="V30" s="202"/>
      <c r="W30" s="190"/>
      <c r="X30" s="190"/>
      <c r="Y30" s="190"/>
      <c r="BC30"/>
      <c r="BD30"/>
    </row>
    <row r="31" spans="1:56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0">
        <v>0</v>
      </c>
      <c r="T31" s="200"/>
      <c r="U31" s="201" t="s">
        <v>692</v>
      </c>
      <c r="V31" s="202"/>
      <c r="W31" s="190"/>
      <c r="X31" s="190"/>
      <c r="Y31" s="190"/>
      <c r="BC31"/>
      <c r="BD31"/>
    </row>
    <row r="32" spans="1:56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0">
        <v>0</v>
      </c>
      <c r="T32" s="200"/>
      <c r="U32" s="201" t="s">
        <v>692</v>
      </c>
      <c r="V32" s="202"/>
      <c r="W32" s="190"/>
      <c r="X32" s="190"/>
      <c r="Y32" s="190"/>
      <c r="BC32"/>
      <c r="BD32"/>
    </row>
    <row r="33" spans="1:56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0">
        <v>0</v>
      </c>
      <c r="T33" s="200"/>
      <c r="U33" s="201" t="s">
        <v>692</v>
      </c>
      <c r="V33" s="202"/>
      <c r="W33" s="190"/>
      <c r="X33" s="190"/>
      <c r="Y33" s="190"/>
      <c r="BC33"/>
      <c r="BD33"/>
    </row>
    <row r="34" spans="1:56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0">
        <v>0</v>
      </c>
      <c r="T34" s="200"/>
      <c r="U34" s="201" t="s">
        <v>692</v>
      </c>
      <c r="V34" s="202"/>
      <c r="W34" s="190"/>
      <c r="X34" s="190"/>
      <c r="Y34" s="190"/>
      <c r="BC34"/>
      <c r="BD34"/>
    </row>
    <row r="35" spans="1:56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0">
        <v>0</v>
      </c>
      <c r="T35" s="200"/>
      <c r="U35" s="201"/>
      <c r="V35" s="202"/>
      <c r="W35" s="190"/>
      <c r="X35" s="190"/>
      <c r="Y35" s="190"/>
      <c r="BC35"/>
      <c r="BD35"/>
    </row>
    <row r="36" spans="1:56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0">
        <v>0</v>
      </c>
      <c r="T36" s="200"/>
      <c r="U36" s="201"/>
      <c r="V36" s="202"/>
      <c r="W36" s="246"/>
      <c r="X36" s="246"/>
      <c r="Y36" s="246"/>
      <c r="BC36"/>
      <c r="BD36"/>
    </row>
    <row r="37" spans="1:56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0">
        <v>0</v>
      </c>
      <c r="T37" s="200"/>
      <c r="U37" s="201"/>
      <c r="V37" s="202"/>
      <c r="W37" s="246"/>
      <c r="X37" s="246"/>
      <c r="Y37" s="246"/>
      <c r="BC37"/>
      <c r="BD37"/>
    </row>
    <row r="38" spans="1:56" s="191" customFormat="1" ht="13.5">
      <c r="A38" s="226"/>
      <c r="B38" s="180">
        <v>5005246282</v>
      </c>
      <c r="C38" s="183" t="str">
        <f>IFERROR(IF(VLOOKUP($B38,勘定科目!$A:$H,HLOOKUP($E$5,勘定科目!$F$1:$H$2,2,0),0)="","",VLOOKUP($B38,勘定科目!$A:$E,2,0)),"")</f>
        <v>ＫＤＣシステム使用料（製）</v>
      </c>
      <c r="D38" s="239" t="str">
        <f>IF(C38="","",VLOOKUP($B38,勘定科目!$A:$E,4,0))</f>
        <v>図書及び事務費</v>
      </c>
      <c r="E38" s="245"/>
      <c r="F38" s="194">
        <v>11870079</v>
      </c>
      <c r="G38" s="247">
        <v>11870079</v>
      </c>
      <c r="H38" s="247">
        <v>11870079</v>
      </c>
      <c r="I38" s="247">
        <v>11870079</v>
      </c>
      <c r="J38" s="247">
        <v>11870079</v>
      </c>
      <c r="K38" s="247">
        <v>11870079</v>
      </c>
      <c r="L38" s="247">
        <v>11870079</v>
      </c>
      <c r="M38" s="247">
        <v>11870079</v>
      </c>
      <c r="N38" s="247">
        <v>11870079</v>
      </c>
      <c r="O38" s="247">
        <v>11870079</v>
      </c>
      <c r="P38" s="247">
        <v>11870079</v>
      </c>
      <c r="Q38" s="247">
        <v>11870079</v>
      </c>
      <c r="R38" s="200">
        <f t="shared" si="3"/>
        <v>142440948</v>
      </c>
      <c r="S38" s="200">
        <v>230137476</v>
      </c>
      <c r="T38" s="200"/>
      <c r="U38" s="201" t="s">
        <v>694</v>
      </c>
      <c r="V38" s="202"/>
      <c r="W38" s="246"/>
      <c r="X38" s="246"/>
      <c r="Y38" s="246"/>
      <c r="BC38"/>
      <c r="BD38"/>
    </row>
    <row r="39" spans="1:56" s="191" customFormat="1" ht="13.5">
      <c r="A39" s="226"/>
      <c r="B39" s="180">
        <v>5005246283</v>
      </c>
      <c r="C39" s="183" t="str">
        <f>IFERROR(IF(VLOOKUP($B39,勘定科目!$A:$H,HLOOKUP($E$5,勘定科目!$F$1:$H$2,2,0),0)="","",VLOOKUP($B39,勘定科目!$A:$E,2,0)),"")</f>
        <v>ライセンス料（製）</v>
      </c>
      <c r="D39" s="239" t="str">
        <f>IF(C39="","",VLOOKUP($B39,勘定科目!$A:$E,4,0))</f>
        <v>図書及び事務費</v>
      </c>
      <c r="E39" s="245"/>
      <c r="F39" s="212">
        <f>ROUND(1088157*161.47,0)</f>
        <v>175704711</v>
      </c>
      <c r="G39" s="247">
        <v>0</v>
      </c>
      <c r="H39" s="247">
        <v>0</v>
      </c>
      <c r="I39" s="247">
        <v>0</v>
      </c>
      <c r="J39" s="247">
        <v>0</v>
      </c>
      <c r="K39" s="247">
        <v>0</v>
      </c>
      <c r="L39" s="247">
        <v>0</v>
      </c>
      <c r="M39" s="247">
        <v>0</v>
      </c>
      <c r="N39" s="247">
        <v>0</v>
      </c>
      <c r="O39" s="247">
        <v>0</v>
      </c>
      <c r="P39" s="247">
        <v>0</v>
      </c>
      <c r="Q39" s="247">
        <v>0</v>
      </c>
      <c r="R39" s="200">
        <f t="shared" si="3"/>
        <v>175704711</v>
      </c>
      <c r="S39" s="200">
        <v>202249173</v>
      </c>
      <c r="T39" s="200"/>
      <c r="U39" s="201" t="s">
        <v>746</v>
      </c>
      <c r="V39" s="202"/>
      <c r="W39" s="246"/>
      <c r="X39" s="246"/>
      <c r="Y39" s="246"/>
      <c r="BC39"/>
      <c r="BD39"/>
    </row>
    <row r="40" spans="1:56" s="191" customFormat="1" ht="13.5">
      <c r="A40" s="226"/>
      <c r="B40" s="180">
        <v>5006016260</v>
      </c>
      <c r="C40" s="183" t="str">
        <f>IFERROR(IF(VLOOKUP($B40,勘定科目!$A:$H,HLOOKUP($E$5,勘定科目!$F$1:$H$2,2,0),0)="","",VLOOKUP($B40,勘定科目!$A:$E,2,0)),"")</f>
        <v>減価償却費配賦（製）　建物</v>
      </c>
      <c r="D40" s="239" t="str">
        <f>IF(C40="","",VLOOKUP($B40,勘定科目!$A:$E,4,0))</f>
        <v>減価償却費</v>
      </c>
      <c r="E40" s="245"/>
      <c r="F40" s="194">
        <v>2403671</v>
      </c>
      <c r="G40" s="247">
        <v>2390722</v>
      </c>
      <c r="H40" s="247">
        <v>2391230</v>
      </c>
      <c r="I40" s="247">
        <v>2388945</v>
      </c>
      <c r="J40" s="247">
        <v>2387930</v>
      </c>
      <c r="K40" s="247">
        <v>2351114</v>
      </c>
      <c r="L40" s="247">
        <v>2340450</v>
      </c>
      <c r="M40" s="247">
        <v>2340196</v>
      </c>
      <c r="N40" s="247">
        <v>2340196</v>
      </c>
      <c r="O40" s="247">
        <v>2339435</v>
      </c>
      <c r="P40" s="247">
        <v>2338165</v>
      </c>
      <c r="Q40" s="247">
        <v>2339435</v>
      </c>
      <c r="R40" s="200">
        <f t="shared" si="3"/>
        <v>28351489</v>
      </c>
      <c r="S40" s="200">
        <v>31078508</v>
      </c>
      <c r="T40" s="200"/>
      <c r="U40" s="201" t="s">
        <v>695</v>
      </c>
      <c r="V40" s="202"/>
      <c r="W40" s="246"/>
      <c r="X40" s="246"/>
      <c r="Y40" s="246"/>
      <c r="BC40"/>
      <c r="BD40"/>
    </row>
    <row r="41" spans="1:56" s="191" customFormat="1" ht="13.5">
      <c r="A41" s="226"/>
      <c r="B41" s="180">
        <v>5006016261</v>
      </c>
      <c r="C41" s="183" t="str">
        <f>IFERROR(IF(VLOOKUP($B41,勘定科目!$A:$H,HLOOKUP($E$5,勘定科目!$F$1:$H$2,2,0),0)="","",VLOOKUP($B41,勘定科目!$A:$E,2,0)),"")</f>
        <v>減価償却費配賦（製）　土地使用権</v>
      </c>
      <c r="D41" s="239" t="str">
        <f>IF(C41="","",VLOOKUP($B41,勘定科目!$A:$E,4,0))</f>
        <v>減価償却費</v>
      </c>
      <c r="E41" s="245"/>
      <c r="F41" s="194">
        <v>162242</v>
      </c>
      <c r="G41" s="247">
        <v>161480</v>
      </c>
      <c r="H41" s="247">
        <v>161480</v>
      </c>
      <c r="I41" s="247">
        <v>161227</v>
      </c>
      <c r="J41" s="247">
        <v>161227</v>
      </c>
      <c r="K41" s="247">
        <v>158688</v>
      </c>
      <c r="L41" s="247">
        <v>157926</v>
      </c>
      <c r="M41" s="247">
        <v>157926</v>
      </c>
      <c r="N41" s="247">
        <v>157926</v>
      </c>
      <c r="O41" s="247">
        <v>157926</v>
      </c>
      <c r="P41" s="247">
        <v>157926</v>
      </c>
      <c r="Q41" s="247">
        <v>157926</v>
      </c>
      <c r="R41" s="200">
        <f t="shared" si="3"/>
        <v>1913900</v>
      </c>
      <c r="S41" s="200">
        <v>2097977</v>
      </c>
      <c r="T41" s="200"/>
      <c r="U41" s="201" t="s">
        <v>696</v>
      </c>
      <c r="V41" s="202"/>
      <c r="W41" s="246"/>
      <c r="X41" s="246"/>
      <c r="Y41" s="246"/>
      <c r="BC41"/>
      <c r="BD41"/>
    </row>
    <row r="42" spans="1:56" s="191" customFormat="1" ht="13.5">
      <c r="A42" s="226"/>
      <c r="B42" s="180">
        <v>9114120007</v>
      </c>
      <c r="C42" s="183" t="str">
        <f>IFERROR(IF(VLOOKUP($B42,勘定科目!$A:$H,HLOOKUP($E$5,勘定科目!$F$1:$H$2,2,0),0)="","",VLOOKUP($B42,勘定科目!$A:$E,2,0)),"")</f>
        <v>社内金利（固定資産）</v>
      </c>
      <c r="D42" s="239" t="str">
        <f>IF(C42="","",VLOOKUP($B42,勘定科目!$A:$E,4,0))</f>
        <v>固定資産金利</v>
      </c>
      <c r="E42" s="245"/>
      <c r="F42" s="194">
        <v>1631561</v>
      </c>
      <c r="G42" s="247">
        <v>1536603</v>
      </c>
      <c r="H42" s="247">
        <v>1537111</v>
      </c>
      <c r="I42" s="247">
        <v>1535587</v>
      </c>
      <c r="J42" s="247">
        <v>1535079</v>
      </c>
      <c r="K42" s="247">
        <v>1511213</v>
      </c>
      <c r="L42" s="247">
        <v>1504358</v>
      </c>
      <c r="M42" s="247">
        <v>1504104</v>
      </c>
      <c r="N42" s="247">
        <v>1504358</v>
      </c>
      <c r="O42" s="247">
        <v>1503850</v>
      </c>
      <c r="P42" s="247">
        <v>1502834</v>
      </c>
      <c r="Q42" s="247">
        <v>1503850</v>
      </c>
      <c r="R42" s="200">
        <f t="shared" si="3"/>
        <v>18310508</v>
      </c>
      <c r="S42" s="200">
        <v>21191674</v>
      </c>
      <c r="T42" s="200"/>
      <c r="U42" s="201" t="s">
        <v>697</v>
      </c>
      <c r="V42" s="202"/>
      <c r="W42" s="246"/>
      <c r="X42" s="246"/>
      <c r="Y42" s="246"/>
      <c r="BC42"/>
      <c r="BD42"/>
    </row>
    <row r="43" spans="1:56" s="191" customFormat="1" ht="13.5">
      <c r="A43" s="226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39" t="str">
        <f>IF(C43="","",VLOOKUP($B43,勘定科目!$A:$E,4,0))</f>
        <v>固定資産金利</v>
      </c>
      <c r="E43" s="245"/>
      <c r="F43" s="194">
        <v>201851</v>
      </c>
      <c r="G43" s="247">
        <v>194741</v>
      </c>
      <c r="H43" s="247">
        <v>194995</v>
      </c>
      <c r="I43" s="247">
        <v>194741</v>
      </c>
      <c r="J43" s="247">
        <v>194741</v>
      </c>
      <c r="K43" s="247">
        <v>191695</v>
      </c>
      <c r="L43" s="247">
        <v>190679</v>
      </c>
      <c r="M43" s="247">
        <v>190679</v>
      </c>
      <c r="N43" s="247">
        <v>190679</v>
      </c>
      <c r="O43" s="247">
        <v>190679</v>
      </c>
      <c r="P43" s="247">
        <v>190425</v>
      </c>
      <c r="Q43" s="247">
        <v>190679</v>
      </c>
      <c r="R43" s="200">
        <f t="shared" si="3"/>
        <v>2316584</v>
      </c>
      <c r="S43" s="200">
        <v>2614988</v>
      </c>
      <c r="T43" s="200"/>
      <c r="U43" s="201" t="s">
        <v>698</v>
      </c>
      <c r="V43" s="202"/>
      <c r="W43" s="246"/>
      <c r="X43" s="246"/>
      <c r="Y43" s="246"/>
      <c r="BC43"/>
      <c r="BD43"/>
    </row>
    <row r="44" spans="1:56" s="191" customFormat="1" ht="13.5">
      <c r="A44" s="226"/>
      <c r="B44" s="180">
        <v>5005066281</v>
      </c>
      <c r="C44" s="183" t="str">
        <f>IFERROR(IF(VLOOKUP($B44,勘定科目!$A:$H,HLOOKUP($E$5,勘定科目!$F$1:$H$2,2,0),0)="","",VLOOKUP($B44,勘定科目!$A:$E,2,0)),"")</f>
        <v>電気代（製）</v>
      </c>
      <c r="D44" s="239" t="str">
        <f>IF(C44="","",VLOOKUP($B44,勘定科目!$A:$E,4,0))</f>
        <v>水道光熱費</v>
      </c>
      <c r="E44" s="245"/>
      <c r="F44" s="194">
        <v>395957</v>
      </c>
      <c r="G44" s="247">
        <v>406615</v>
      </c>
      <c r="H44" s="247">
        <v>510824</v>
      </c>
      <c r="I44" s="247">
        <v>550118</v>
      </c>
      <c r="J44" s="247">
        <v>568055</v>
      </c>
      <c r="K44" s="247">
        <v>519767</v>
      </c>
      <c r="L44" s="247">
        <v>508043</v>
      </c>
      <c r="M44" s="247">
        <v>468963</v>
      </c>
      <c r="N44" s="247">
        <v>449423</v>
      </c>
      <c r="O44" s="247">
        <v>410342</v>
      </c>
      <c r="P44" s="247">
        <v>407981</v>
      </c>
      <c r="Q44" s="247">
        <v>312642</v>
      </c>
      <c r="R44" s="200">
        <f t="shared" si="3"/>
        <v>5508730</v>
      </c>
      <c r="S44" s="200">
        <v>6526343</v>
      </c>
      <c r="T44" s="200"/>
      <c r="U44" s="201" t="s">
        <v>699</v>
      </c>
      <c r="V44" s="202"/>
      <c r="W44" s="246"/>
      <c r="X44" s="246"/>
      <c r="Y44" s="246"/>
      <c r="BC44"/>
      <c r="BD44"/>
    </row>
    <row r="45" spans="1:56" s="191" customFormat="1" ht="13.5">
      <c r="A45" s="226"/>
      <c r="B45" s="180">
        <v>5005066282</v>
      </c>
      <c r="C45" s="183" t="str">
        <f>IFERROR(IF(VLOOKUP($B45,勘定科目!$A:$H,HLOOKUP($E$5,勘定科目!$F$1:$H$2,2,0),0)="","",VLOOKUP($B45,勘定科目!$A:$E,2,0)),"")</f>
        <v>水道代（製）</v>
      </c>
      <c r="D45" s="239" t="str">
        <f>IF(C45="","",VLOOKUP($B45,勘定科目!$A:$E,4,0))</f>
        <v>水道光熱費</v>
      </c>
      <c r="E45" s="245"/>
      <c r="F45" s="194">
        <v>145316</v>
      </c>
      <c r="G45" s="247">
        <v>160597</v>
      </c>
      <c r="H45" s="247">
        <v>181386</v>
      </c>
      <c r="I45" s="247">
        <v>259032</v>
      </c>
      <c r="J45" s="247">
        <v>231999</v>
      </c>
      <c r="K45" s="247">
        <v>201304</v>
      </c>
      <c r="L45" s="247">
        <v>137899</v>
      </c>
      <c r="M45" s="247">
        <v>192077</v>
      </c>
      <c r="N45" s="247">
        <v>191835</v>
      </c>
      <c r="O45" s="247">
        <v>130082</v>
      </c>
      <c r="P45" s="247">
        <v>97544</v>
      </c>
      <c r="Q45" s="247">
        <v>113335</v>
      </c>
      <c r="R45" s="200">
        <f t="shared" si="3"/>
        <v>2042406</v>
      </c>
      <c r="S45" s="200">
        <v>2393069</v>
      </c>
      <c r="T45" s="200"/>
      <c r="U45" s="201" t="s">
        <v>700</v>
      </c>
      <c r="V45" s="202"/>
      <c r="W45" s="246"/>
      <c r="X45" s="246"/>
      <c r="Y45" s="246"/>
      <c r="BC45"/>
      <c r="BD45"/>
    </row>
    <row r="46" spans="1:56" s="191" customFormat="1" ht="13.5">
      <c r="A46" s="226"/>
      <c r="B46" s="180">
        <v>5005056281</v>
      </c>
      <c r="C46" s="183" t="str">
        <f>IFERROR(IF(VLOOKUP($B46,勘定科目!$A:$H,HLOOKUP($E$5,勘定科目!$F$1:$H$2,2,0),0)="","",VLOOKUP($B46,勘定科目!$A:$E,2,0)),"")</f>
        <v>ガス代（製）</v>
      </c>
      <c r="D46" s="239" t="str">
        <f>IF(C46="","",VLOOKUP($B46,勘定科目!$A:$E,4,0))</f>
        <v>水道光熱費</v>
      </c>
      <c r="E46" s="245"/>
      <c r="F46" s="194">
        <v>201830</v>
      </c>
      <c r="G46" s="247">
        <v>195555</v>
      </c>
      <c r="H46" s="247">
        <v>224280</v>
      </c>
      <c r="I46" s="247">
        <v>234645</v>
      </c>
      <c r="J46" s="247">
        <v>213440</v>
      </c>
      <c r="K46" s="247">
        <v>192455</v>
      </c>
      <c r="L46" s="247">
        <v>234885</v>
      </c>
      <c r="M46" s="247">
        <v>205630</v>
      </c>
      <c r="N46" s="247">
        <v>220430</v>
      </c>
      <c r="O46" s="247">
        <v>212295</v>
      </c>
      <c r="P46" s="247">
        <v>164470</v>
      </c>
      <c r="Q46" s="247">
        <v>212710</v>
      </c>
      <c r="R46" s="200">
        <f t="shared" si="3"/>
        <v>2512625</v>
      </c>
      <c r="S46" s="200">
        <v>3902526</v>
      </c>
      <c r="T46" s="200"/>
      <c r="U46" s="201" t="s">
        <v>701</v>
      </c>
      <c r="V46" s="202"/>
      <c r="W46" s="246"/>
      <c r="X46" s="246"/>
      <c r="Y46" s="246"/>
      <c r="BC46"/>
      <c r="BD46"/>
    </row>
    <row r="47" spans="1:56" s="191" customFormat="1" ht="13.5">
      <c r="A47" s="226"/>
      <c r="B47" s="180">
        <v>5005016372</v>
      </c>
      <c r="C47" s="183" t="str">
        <f>IFERROR(IF(VLOOKUP($B47,勘定科目!$A:$H,HLOOKUP($E$5,勘定科目!$F$1:$H$2,2,0),0)="","",VLOOKUP($B47,勘定科目!$A:$E,2,0)),"")</f>
        <v>その他消耗品（製）</v>
      </c>
      <c r="D47" s="239" t="str">
        <f>IF(C47="","",VLOOKUP($B47,勘定科目!$A:$E,4,0))</f>
        <v>消耗品費</v>
      </c>
      <c r="E47" s="245"/>
      <c r="F47" s="194">
        <v>5610</v>
      </c>
      <c r="G47" s="247">
        <v>5650</v>
      </c>
      <c r="H47" s="247">
        <v>5785</v>
      </c>
      <c r="I47" s="247">
        <v>5565</v>
      </c>
      <c r="J47" s="247">
        <v>5400</v>
      </c>
      <c r="K47" s="247">
        <v>5465</v>
      </c>
      <c r="L47" s="247">
        <v>5655</v>
      </c>
      <c r="M47" s="247">
        <v>5570</v>
      </c>
      <c r="N47" s="247">
        <v>5620</v>
      </c>
      <c r="O47" s="247">
        <v>5640</v>
      </c>
      <c r="P47" s="247">
        <v>5730</v>
      </c>
      <c r="Q47" s="247">
        <v>5425</v>
      </c>
      <c r="R47" s="200">
        <f t="shared" si="3"/>
        <v>67115</v>
      </c>
      <c r="S47" s="200">
        <v>84180</v>
      </c>
      <c r="T47" s="200"/>
      <c r="U47" s="201" t="s">
        <v>702</v>
      </c>
      <c r="V47" s="202"/>
      <c r="W47" s="246"/>
      <c r="X47" s="246"/>
      <c r="Y47" s="246"/>
      <c r="BC47"/>
      <c r="BD47"/>
    </row>
    <row r="48" spans="1:56" s="191" customFormat="1" ht="13.5">
      <c r="A48" s="226"/>
      <c r="B48" s="180">
        <v>5005016372</v>
      </c>
      <c r="C48" s="183" t="str">
        <f>IFERROR(IF(VLOOKUP($B48,勘定科目!$A:$H,HLOOKUP($E$5,勘定科目!$F$1:$H$2,2,0),0)="","",VLOOKUP($B48,勘定科目!$A:$E,2,0)),"")</f>
        <v>その他消耗品（製）</v>
      </c>
      <c r="D48" s="239" t="str">
        <f>IF(C48="","",VLOOKUP($B48,勘定科目!$A:$E,4,0))</f>
        <v>消耗品費</v>
      </c>
      <c r="E48" s="245"/>
      <c r="F48" s="194">
        <v>0</v>
      </c>
      <c r="G48" s="247">
        <v>0</v>
      </c>
      <c r="H48" s="247">
        <v>0</v>
      </c>
      <c r="I48" s="247">
        <v>0</v>
      </c>
      <c r="J48" s="247">
        <v>0</v>
      </c>
      <c r="K48" s="247">
        <v>0</v>
      </c>
      <c r="L48" s="247">
        <v>0</v>
      </c>
      <c r="M48" s="247">
        <v>0</v>
      </c>
      <c r="N48" s="247">
        <v>0</v>
      </c>
      <c r="O48" s="247">
        <v>0</v>
      </c>
      <c r="P48" s="247">
        <v>0</v>
      </c>
      <c r="Q48" s="247">
        <v>0</v>
      </c>
      <c r="R48" s="200">
        <f t="shared" si="3"/>
        <v>0</v>
      </c>
      <c r="S48" s="200">
        <v>0</v>
      </c>
      <c r="T48" s="200"/>
      <c r="U48" s="201" t="s">
        <v>703</v>
      </c>
      <c r="V48" s="202"/>
      <c r="W48" s="246"/>
      <c r="X48" s="246"/>
      <c r="Y48" s="246"/>
      <c r="BC48"/>
      <c r="BD48"/>
    </row>
    <row r="49" spans="1:56" s="191" customFormat="1" ht="13.5">
      <c r="A49" s="226"/>
      <c r="B49" s="180">
        <v>5005016372</v>
      </c>
      <c r="C49" s="183" t="str">
        <f>IFERROR(IF(VLOOKUP($B49,勘定科目!$A:$H,HLOOKUP($E$5,勘定科目!$F$1:$H$2,2,0),0)="","",VLOOKUP($B49,勘定科目!$A:$E,2,0)),"")</f>
        <v>その他消耗品（製）</v>
      </c>
      <c r="D49" s="239" t="str">
        <f>IF(C49="","",VLOOKUP($B49,勘定科目!$A:$E,4,0))</f>
        <v>消耗品費</v>
      </c>
      <c r="E49" s="245"/>
      <c r="F49" s="194">
        <v>92120</v>
      </c>
      <c r="G49" s="247">
        <v>88680</v>
      </c>
      <c r="H49" s="247">
        <v>97005</v>
      </c>
      <c r="I49" s="247">
        <v>105690</v>
      </c>
      <c r="J49" s="247">
        <v>92020</v>
      </c>
      <c r="K49" s="247">
        <v>87500</v>
      </c>
      <c r="L49" s="247">
        <v>105550</v>
      </c>
      <c r="M49" s="247">
        <v>92105</v>
      </c>
      <c r="N49" s="247">
        <v>101270</v>
      </c>
      <c r="O49" s="247">
        <v>91995</v>
      </c>
      <c r="P49" s="247">
        <v>69315</v>
      </c>
      <c r="Q49" s="247">
        <v>92175</v>
      </c>
      <c r="R49" s="200">
        <f t="shared" si="3"/>
        <v>1115425</v>
      </c>
      <c r="S49" s="200">
        <v>1341876</v>
      </c>
      <c r="T49" s="200"/>
      <c r="U49" s="201" t="s">
        <v>704</v>
      </c>
      <c r="V49" s="202"/>
      <c r="W49" s="246"/>
      <c r="X49" s="246"/>
      <c r="Y49" s="246"/>
      <c r="BC49"/>
      <c r="BD49"/>
    </row>
    <row r="50" spans="1:56" s="191" customFormat="1" ht="13.5">
      <c r="A50" s="226"/>
      <c r="B50" s="180">
        <v>5005246286</v>
      </c>
      <c r="C50" s="183" t="str">
        <f>IFERROR(IF(VLOOKUP($B50,勘定科目!$A:$H,HLOOKUP($E$5,勘定科目!$F$1:$H$2,2,0),0)="","",VLOOKUP($B50,勘定科目!$A:$E,2,0)),"")</f>
        <v>その他手数料（製）</v>
      </c>
      <c r="D50" s="239" t="str">
        <f>IF(C50="","",VLOOKUP($B50,勘定科目!$A:$E,4,0))</f>
        <v>手数料</v>
      </c>
      <c r="E50" s="245"/>
      <c r="F50" s="194">
        <v>281235</v>
      </c>
      <c r="G50" s="247">
        <v>282310</v>
      </c>
      <c r="H50" s="247">
        <v>291005</v>
      </c>
      <c r="I50" s="247">
        <v>266530</v>
      </c>
      <c r="J50" s="247">
        <v>259455</v>
      </c>
      <c r="K50" s="247">
        <v>247950</v>
      </c>
      <c r="L50" s="247">
        <v>237160</v>
      </c>
      <c r="M50" s="247">
        <v>234220</v>
      </c>
      <c r="N50" s="247">
        <v>234885</v>
      </c>
      <c r="O50" s="247">
        <v>224840</v>
      </c>
      <c r="P50" s="247">
        <v>212810</v>
      </c>
      <c r="Q50" s="247">
        <v>222700</v>
      </c>
      <c r="R50" s="200">
        <f t="shared" si="3"/>
        <v>2995100</v>
      </c>
      <c r="S50" s="200">
        <v>3728334</v>
      </c>
      <c r="T50" s="200"/>
      <c r="U50" s="201" t="s">
        <v>705</v>
      </c>
      <c r="V50" s="202"/>
      <c r="W50" s="246"/>
      <c r="X50" s="246"/>
      <c r="Y50" s="246"/>
      <c r="BC50"/>
      <c r="BD50"/>
    </row>
    <row r="51" spans="1:56" s="191" customFormat="1" ht="13.5">
      <c r="A51" s="226"/>
      <c r="B51" s="180">
        <v>5004086291</v>
      </c>
      <c r="C51" s="183" t="str">
        <f>IFERROR(IF(VLOOKUP($B51,勘定科目!$A:$H,HLOOKUP($E$5,勘定科目!$F$1:$H$2,2,0),0)="","",VLOOKUP($B51,勘定科目!$A:$E,2,0)),"")</f>
        <v>福利厚生費（製）</v>
      </c>
      <c r="D51" s="239" t="str">
        <f>IF(C51="","",VLOOKUP($B51,勘定科目!$A:$E,4,0))</f>
        <v>福利厚生費</v>
      </c>
      <c r="E51" s="245"/>
      <c r="F51" s="194">
        <v>748000</v>
      </c>
      <c r="G51" s="247">
        <v>763266</v>
      </c>
      <c r="H51" s="247">
        <v>740817</v>
      </c>
      <c r="I51" s="247">
        <v>740817</v>
      </c>
      <c r="J51" s="247">
        <v>808164</v>
      </c>
      <c r="K51" s="247">
        <v>763266</v>
      </c>
      <c r="L51" s="247">
        <v>763266</v>
      </c>
      <c r="M51" s="247">
        <v>808164</v>
      </c>
      <c r="N51" s="247">
        <v>763266</v>
      </c>
      <c r="O51" s="247">
        <v>763266</v>
      </c>
      <c r="P51" s="247">
        <v>763266</v>
      </c>
      <c r="Q51" s="247">
        <v>477552</v>
      </c>
      <c r="R51" s="200">
        <f t="shared" si="3"/>
        <v>8903110</v>
      </c>
      <c r="S51" s="200">
        <v>8112067</v>
      </c>
      <c r="T51" s="200"/>
      <c r="U51" s="201" t="s">
        <v>706</v>
      </c>
      <c r="V51" s="202"/>
      <c r="W51" s="246"/>
      <c r="X51" s="246"/>
      <c r="Y51" s="246"/>
      <c r="BC51"/>
      <c r="BD51"/>
    </row>
    <row r="52" spans="1:56" s="191" customFormat="1" ht="13.5">
      <c r="A52" s="226"/>
      <c r="B52" s="18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39" t="str">
        <f>IF(C52="","",VLOOKUP($B52,勘定科目!$A:$E,4,0))</f>
        <v>福利厚生費</v>
      </c>
      <c r="E52" s="245"/>
      <c r="F52" s="194">
        <v>0</v>
      </c>
      <c r="G52" s="247">
        <v>0</v>
      </c>
      <c r="H52" s="247">
        <v>0</v>
      </c>
      <c r="I52" s="247">
        <v>0</v>
      </c>
      <c r="J52" s="247">
        <v>0</v>
      </c>
      <c r="K52" s="247">
        <v>0</v>
      </c>
      <c r="L52" s="247">
        <v>0</v>
      </c>
      <c r="M52" s="247">
        <v>0</v>
      </c>
      <c r="N52" s="247">
        <v>0</v>
      </c>
      <c r="O52" s="247">
        <v>0</v>
      </c>
      <c r="P52" s="247">
        <v>0</v>
      </c>
      <c r="Q52" s="247">
        <v>0</v>
      </c>
      <c r="R52" s="200">
        <f t="shared" si="3"/>
        <v>0</v>
      </c>
      <c r="S52" s="200">
        <v>9522591</v>
      </c>
      <c r="T52" s="200"/>
      <c r="U52" s="201" t="s">
        <v>707</v>
      </c>
      <c r="V52" s="202"/>
      <c r="W52" s="246"/>
      <c r="X52" s="246"/>
      <c r="Y52" s="246"/>
      <c r="BC52"/>
      <c r="BD52"/>
    </row>
    <row r="53" spans="1:56" s="191" customFormat="1" ht="13.5">
      <c r="A53" s="226"/>
      <c r="B53" s="18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39" t="str">
        <f>IF(C53="","",VLOOKUP($B53,勘定科目!$A:$E,4,0))</f>
        <v>福利厚生費</v>
      </c>
      <c r="E53" s="245"/>
      <c r="F53" s="194">
        <v>0</v>
      </c>
      <c r="G53" s="247">
        <v>0</v>
      </c>
      <c r="H53" s="247">
        <v>0</v>
      </c>
      <c r="I53" s="247">
        <v>0</v>
      </c>
      <c r="J53" s="247">
        <v>0</v>
      </c>
      <c r="K53" s="247">
        <v>0</v>
      </c>
      <c r="L53" s="247">
        <v>0</v>
      </c>
      <c r="M53" s="247">
        <v>0</v>
      </c>
      <c r="N53" s="247">
        <v>0</v>
      </c>
      <c r="O53" s="247">
        <v>0</v>
      </c>
      <c r="P53" s="247">
        <v>0</v>
      </c>
      <c r="Q53" s="247">
        <v>0</v>
      </c>
      <c r="R53" s="200">
        <f t="shared" si="3"/>
        <v>0</v>
      </c>
      <c r="S53" s="200">
        <v>0</v>
      </c>
      <c r="T53" s="200"/>
      <c r="U53" s="201" t="s">
        <v>708</v>
      </c>
      <c r="V53" s="202"/>
      <c r="W53" s="246"/>
      <c r="X53" s="246"/>
      <c r="Y53" s="246"/>
      <c r="BC53"/>
      <c r="BD53"/>
    </row>
    <row r="54" spans="1:56" s="191" customFormat="1" ht="13.5">
      <c r="A54" s="226"/>
      <c r="B54" s="180">
        <v>5005116291</v>
      </c>
      <c r="C54" s="183" t="str">
        <f>IFERROR(IF(VLOOKUP($B54,勘定科目!$A:$H,HLOOKUP($E$5,勘定科目!$F$1:$H$2,2,0),0)="","",VLOOKUP($B54,勘定科目!$A:$E,2,0)),"")</f>
        <v>ベトナム国内交通費（製）</v>
      </c>
      <c r="D54" s="239" t="str">
        <f>IF(C54="","",VLOOKUP($B54,勘定科目!$A:$E,4,0))</f>
        <v>旅費交通費</v>
      </c>
      <c r="E54" s="245"/>
      <c r="F54" s="212">
        <f>950000</f>
        <v>950000</v>
      </c>
      <c r="G54" s="247">
        <v>0</v>
      </c>
      <c r="H54" s="302">
        <f>440000</f>
        <v>440000</v>
      </c>
      <c r="I54" s="302">
        <f>950000*2-332295</f>
        <v>1567705</v>
      </c>
      <c r="J54" s="302">
        <f>2200000*2</f>
        <v>4400000</v>
      </c>
      <c r="K54" s="247">
        <v>0</v>
      </c>
      <c r="L54" s="302">
        <f>440000*2</f>
        <v>880000</v>
      </c>
      <c r="M54" s="247">
        <v>0</v>
      </c>
      <c r="N54" s="247">
        <v>0</v>
      </c>
      <c r="O54" s="247">
        <v>0</v>
      </c>
      <c r="P54" s="247">
        <v>0</v>
      </c>
      <c r="Q54" s="247">
        <v>0</v>
      </c>
      <c r="R54" s="200">
        <f t="shared" si="3"/>
        <v>8237705</v>
      </c>
      <c r="S54" s="200">
        <v>8237705</v>
      </c>
      <c r="T54" s="200"/>
      <c r="U54" s="201" t="s">
        <v>709</v>
      </c>
      <c r="V54" s="202"/>
      <c r="W54" s="246"/>
      <c r="X54" s="246"/>
      <c r="Y54" s="246"/>
      <c r="BC54"/>
      <c r="BD54"/>
    </row>
    <row r="55" spans="1:56" s="191" customFormat="1" ht="13.5">
      <c r="A55" s="226"/>
      <c r="B55" s="180">
        <v>5005136281</v>
      </c>
      <c r="C55" s="183" t="str">
        <f>IFERROR(IF(VLOOKUP($B55,勘定科目!$A:$H,HLOOKUP($E$5,勘定科目!$F$1:$H$2,2,0),0)="","",VLOOKUP($B55,勘定科目!$A:$E,2,0)),"")</f>
        <v>通信費（製）</v>
      </c>
      <c r="D55" s="239" t="str">
        <f>IF(C55="","",VLOOKUP($B55,勘定科目!$A:$E,4,0))</f>
        <v>通信費</v>
      </c>
      <c r="E55" s="245"/>
      <c r="F55" s="194">
        <f>149000*4</f>
        <v>596000</v>
      </c>
      <c r="G55" s="247">
        <v>596000</v>
      </c>
      <c r="H55" s="247">
        <v>596000</v>
      </c>
      <c r="I55" s="247">
        <v>596000</v>
      </c>
      <c r="J55" s="247">
        <v>596000</v>
      </c>
      <c r="K55" s="247">
        <v>596000</v>
      </c>
      <c r="L55" s="247">
        <v>596000</v>
      </c>
      <c r="M55" s="247">
        <v>596000</v>
      </c>
      <c r="N55" s="247">
        <v>596000</v>
      </c>
      <c r="O55" s="247">
        <v>596000</v>
      </c>
      <c r="P55" s="247">
        <f>596000+198000</f>
        <v>794000</v>
      </c>
      <c r="Q55" s="247">
        <v>596000</v>
      </c>
      <c r="R55" s="200">
        <f t="shared" si="3"/>
        <v>7350000</v>
      </c>
      <c r="S55" s="200">
        <v>7350000</v>
      </c>
      <c r="T55" s="200"/>
      <c r="U55" s="201" t="s">
        <v>710</v>
      </c>
      <c r="V55" s="202"/>
      <c r="W55" s="246"/>
      <c r="X55" s="246"/>
      <c r="Y55" s="246"/>
      <c r="BC55"/>
      <c r="BD55"/>
    </row>
    <row r="56" spans="1:56" s="191" customFormat="1" ht="13.5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3"/>
        <v>0</v>
      </c>
      <c r="S56" s="200">
        <v>0</v>
      </c>
      <c r="T56" s="200"/>
      <c r="U56" s="201" t="s">
        <v>727</v>
      </c>
      <c r="V56" s="202"/>
      <c r="W56" s="246"/>
      <c r="X56" s="246"/>
      <c r="Y56" s="246"/>
      <c r="BC56"/>
      <c r="BD56"/>
    </row>
    <row r="57" spans="1:56" s="191" customFormat="1" ht="13.5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3"/>
        <v>0</v>
      </c>
      <c r="S57" s="200">
        <v>0</v>
      </c>
      <c r="T57" s="200"/>
      <c r="U57" s="201" t="s">
        <v>711</v>
      </c>
      <c r="V57" s="202"/>
      <c r="W57" s="246"/>
      <c r="X57" s="246"/>
      <c r="Y57" s="246"/>
      <c r="BC57"/>
      <c r="BD57"/>
    </row>
    <row r="58" spans="1:56" s="191" customFormat="1" ht="13.5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245"/>
      <c r="F58" s="194">
        <v>0</v>
      </c>
      <c r="G58" s="247">
        <v>0</v>
      </c>
      <c r="H58" s="247">
        <v>0</v>
      </c>
      <c r="I58" s="247">
        <v>0</v>
      </c>
      <c r="J58" s="302">
        <f>163000*2</f>
        <v>326000</v>
      </c>
      <c r="K58" s="302">
        <v>163000</v>
      </c>
      <c r="L58" s="247">
        <v>0</v>
      </c>
      <c r="M58" s="247">
        <v>0</v>
      </c>
      <c r="N58" s="247">
        <v>0</v>
      </c>
      <c r="O58" s="247">
        <v>0</v>
      </c>
      <c r="P58" s="302">
        <v>163000</v>
      </c>
      <c r="Q58" s="302">
        <v>163000</v>
      </c>
      <c r="R58" s="200">
        <f t="shared" si="3"/>
        <v>815000</v>
      </c>
      <c r="S58" s="200">
        <v>1141000</v>
      </c>
      <c r="T58" s="200"/>
      <c r="U58" s="201" t="s">
        <v>728</v>
      </c>
      <c r="V58" s="202"/>
      <c r="W58" s="246"/>
      <c r="X58" s="246"/>
      <c r="Y58" s="246"/>
      <c r="BC58"/>
      <c r="BD58"/>
    </row>
    <row r="59" spans="1:56" s="191" customFormat="1" ht="13.5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302">
        <v>400000</v>
      </c>
      <c r="Q59" s="247"/>
      <c r="R59" s="200">
        <f t="shared" si="3"/>
        <v>400000</v>
      </c>
      <c r="S59" s="200">
        <v>500000</v>
      </c>
      <c r="T59" s="200"/>
      <c r="U59" s="201" t="s">
        <v>693</v>
      </c>
      <c r="V59" s="202"/>
      <c r="W59" s="246"/>
      <c r="X59" s="246"/>
      <c r="Y59" s="246"/>
      <c r="BC59"/>
      <c r="BD59"/>
    </row>
    <row r="60" spans="1:56" s="191" customFormat="1" ht="13.5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302">
        <f>300000*5</f>
        <v>1500000</v>
      </c>
      <c r="Q60" s="247"/>
      <c r="R60" s="200">
        <f t="shared" si="3"/>
        <v>1500000</v>
      </c>
      <c r="S60" s="200">
        <v>1200000</v>
      </c>
      <c r="T60" s="200"/>
      <c r="U60" s="201" t="s">
        <v>712</v>
      </c>
      <c r="V60" s="202"/>
      <c r="W60" s="246"/>
      <c r="X60" s="246"/>
      <c r="Y60" s="246"/>
      <c r="BC60"/>
      <c r="BD60"/>
    </row>
    <row r="61" spans="1:56" s="191" customFormat="1" ht="13.5">
      <c r="A61" s="226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245"/>
      <c r="F61" s="194"/>
      <c r="G61" s="302">
        <f>1890000*5</f>
        <v>9450000</v>
      </c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3"/>
        <v>9450000</v>
      </c>
      <c r="S61" s="200">
        <v>9980000</v>
      </c>
      <c r="T61" s="200"/>
      <c r="U61" s="201" t="s">
        <v>736</v>
      </c>
      <c r="V61" s="202"/>
      <c r="W61" s="246"/>
      <c r="X61" s="246"/>
      <c r="Y61" s="246"/>
      <c r="BC61"/>
      <c r="BD61"/>
    </row>
    <row r="62" spans="1:56" s="191" customFormat="1" ht="13.5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245"/>
      <c r="F62" s="194"/>
      <c r="G62" s="247"/>
      <c r="H62" s="247"/>
      <c r="I62" s="247"/>
      <c r="J62" s="247"/>
      <c r="K62" s="247"/>
      <c r="L62" s="247"/>
      <c r="M62" s="302">
        <f>107000*5</f>
        <v>535000</v>
      </c>
      <c r="N62" s="247"/>
      <c r="O62" s="247"/>
      <c r="P62" s="247"/>
      <c r="Q62" s="247"/>
      <c r="R62" s="200">
        <f t="shared" si="3"/>
        <v>535000</v>
      </c>
      <c r="S62" s="200">
        <v>490000</v>
      </c>
      <c r="T62" s="200"/>
      <c r="U62" s="201" t="s">
        <v>743</v>
      </c>
      <c r="V62" s="202"/>
      <c r="W62" s="246"/>
      <c r="X62" s="246"/>
      <c r="Y62" s="246"/>
      <c r="BC62"/>
      <c r="BD62"/>
    </row>
    <row r="63" spans="1:56" s="191" customFormat="1" ht="13.5">
      <c r="A63" s="226"/>
      <c r="B63" s="180">
        <v>5005246281</v>
      </c>
      <c r="C63" s="183" t="str">
        <f>IFERROR(IF(VLOOKUP($B63,勘定科目!$A:$H,HLOOKUP($E$5,勘定科目!$F$1:$H$2,2,0),0)="","",VLOOKUP($B63,勘定科目!$A:$E,2,0)),"")</f>
        <v>図書印刷費（製）</v>
      </c>
      <c r="D63" s="239" t="str">
        <f>IF(C63="","",VLOOKUP($B63,勘定科目!$A:$E,4,0))</f>
        <v>図書及び事務費</v>
      </c>
      <c r="E63" s="245"/>
      <c r="F63" s="194"/>
      <c r="G63" s="247"/>
      <c r="H63" s="247"/>
      <c r="I63" s="247"/>
      <c r="J63" s="247"/>
      <c r="K63" s="247"/>
      <c r="L63" s="247"/>
      <c r="M63" s="302">
        <f>800*5</f>
        <v>4000</v>
      </c>
      <c r="N63" s="247"/>
      <c r="O63" s="247"/>
      <c r="P63" s="247"/>
      <c r="Q63" s="247"/>
      <c r="R63" s="200">
        <f t="shared" si="3"/>
        <v>4000</v>
      </c>
      <c r="S63" s="200">
        <v>4680</v>
      </c>
      <c r="T63" s="200"/>
      <c r="U63" s="201" t="s">
        <v>744</v>
      </c>
      <c r="V63" s="202"/>
      <c r="W63" s="246"/>
      <c r="X63" s="246"/>
      <c r="Y63" s="246"/>
      <c r="BC63"/>
      <c r="BD63"/>
    </row>
    <row r="64" spans="1:56" s="191" customFormat="1" ht="13.5">
      <c r="A64" s="226"/>
      <c r="B64" s="300">
        <v>5005076289</v>
      </c>
      <c r="C64" s="183" t="str">
        <f>IFERROR(IF(VLOOKUP($B64,勘定科目!$A:$H,HLOOKUP($E$5,勘定科目!$F$1:$H$2,2,0),0)="","",VLOOKUP($B64,勘定科目!$A:$E,2,0)),"")</f>
        <v>クーリエ費用（製）</v>
      </c>
      <c r="D64" s="239" t="str">
        <f>IF(C64="","",VLOOKUP($B64,勘定科目!$A:$E,4,0))</f>
        <v>荷造運賃</v>
      </c>
      <c r="E64" s="245"/>
      <c r="F64" s="194">
        <v>0</v>
      </c>
      <c r="G64" s="194">
        <v>0</v>
      </c>
      <c r="H64" s="194">
        <v>0</v>
      </c>
      <c r="I64" s="194">
        <v>0</v>
      </c>
      <c r="J64" s="194">
        <v>0</v>
      </c>
      <c r="K64" s="194">
        <v>0</v>
      </c>
      <c r="L64" s="194">
        <v>0</v>
      </c>
      <c r="M64" s="194">
        <v>0</v>
      </c>
      <c r="N64" s="194">
        <v>0</v>
      </c>
      <c r="O64" s="194">
        <v>0</v>
      </c>
      <c r="P64" s="194">
        <v>0</v>
      </c>
      <c r="Q64" s="194">
        <v>0</v>
      </c>
      <c r="R64" s="200">
        <f t="shared" si="3"/>
        <v>0</v>
      </c>
      <c r="S64" s="200">
        <v>0</v>
      </c>
      <c r="T64" s="200"/>
      <c r="U64" s="201" t="s">
        <v>713</v>
      </c>
      <c r="V64" s="202"/>
      <c r="W64" s="246"/>
      <c r="X64" s="246"/>
      <c r="Y64" s="246"/>
      <c r="BC64"/>
      <c r="BD64"/>
    </row>
    <row r="65" spans="1:56" s="191" customFormat="1" ht="13.5">
      <c r="A65" s="226"/>
      <c r="B65" s="180">
        <v>5005136291</v>
      </c>
      <c r="C65" s="183" t="str">
        <f>IFERROR(IF(VLOOKUP($B65,勘定科目!$A:$H,HLOOKUP($E$5,勘定科目!$F$1:$H$2,2,0),0)="","",VLOOKUP($B65,勘定科目!$A:$E,2,0)),"")</f>
        <v>郵送代（製）</v>
      </c>
      <c r="D65" s="239" t="str">
        <f>IF(C65="","",VLOOKUP($B65,勘定科目!$A:$E,4,0))</f>
        <v>通信費</v>
      </c>
      <c r="E65" s="245"/>
      <c r="F65" s="194">
        <v>537500</v>
      </c>
      <c r="G65" s="247">
        <v>537500</v>
      </c>
      <c r="H65" s="247">
        <v>537500</v>
      </c>
      <c r="I65" s="247">
        <v>537500</v>
      </c>
      <c r="J65" s="247">
        <v>537500</v>
      </c>
      <c r="K65" s="303">
        <v>537500</v>
      </c>
      <c r="L65" s="247">
        <v>537500</v>
      </c>
      <c r="M65" s="247">
        <v>537500</v>
      </c>
      <c r="N65" s="247">
        <v>537500</v>
      </c>
      <c r="O65" s="247">
        <v>537500</v>
      </c>
      <c r="P65" s="247">
        <v>537500</v>
      </c>
      <c r="Q65" s="247">
        <v>537500</v>
      </c>
      <c r="R65" s="200">
        <f t="shared" si="3"/>
        <v>6450000</v>
      </c>
      <c r="S65" s="200">
        <v>6450000</v>
      </c>
      <c r="T65" s="200"/>
      <c r="U65" s="201" t="s">
        <v>714</v>
      </c>
      <c r="V65" s="202"/>
      <c r="W65" s="246"/>
      <c r="X65" s="246"/>
      <c r="Y65" s="246"/>
      <c r="BC65"/>
      <c r="BD65"/>
    </row>
    <row r="66" spans="1:56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/>
      <c r="G66" s="247"/>
      <c r="H66" s="247"/>
      <c r="I66" s="247"/>
      <c r="J66" s="247"/>
      <c r="K66" s="247"/>
      <c r="L66" s="247"/>
      <c r="M66" s="247"/>
      <c r="N66" s="302">
        <f>189000*1+204000*3</f>
        <v>801000</v>
      </c>
      <c r="O66" s="247"/>
      <c r="P66" s="247"/>
      <c r="Q66" s="247"/>
      <c r="R66" s="200">
        <f t="shared" si="3"/>
        <v>801000</v>
      </c>
      <c r="S66" s="200">
        <v>990000</v>
      </c>
      <c r="T66" s="200"/>
      <c r="U66" s="201" t="s">
        <v>715</v>
      </c>
      <c r="V66" s="202"/>
      <c r="W66" s="246"/>
      <c r="X66" s="246"/>
      <c r="Y66" s="246"/>
      <c r="BC66"/>
      <c r="BD66"/>
    </row>
    <row r="67" spans="1:56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247"/>
      <c r="H67" s="247"/>
      <c r="I67" s="247"/>
      <c r="J67" s="247"/>
      <c r="K67" s="247"/>
      <c r="L67" s="302">
        <f>56000*5</f>
        <v>280000</v>
      </c>
      <c r="M67" s="247"/>
      <c r="N67" s="247"/>
      <c r="O67" s="247"/>
      <c r="P67" s="247"/>
      <c r="Q67" s="247"/>
      <c r="R67" s="200">
        <f t="shared" si="3"/>
        <v>280000</v>
      </c>
      <c r="S67" s="200">
        <v>384000</v>
      </c>
      <c r="T67" s="200"/>
      <c r="U67" s="201" t="s">
        <v>745</v>
      </c>
      <c r="V67" s="202"/>
      <c r="W67" s="246"/>
      <c r="X67" s="246"/>
      <c r="Y67" s="246"/>
      <c r="BC67"/>
      <c r="BD67"/>
    </row>
    <row r="68" spans="1:56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247"/>
      <c r="H68" s="247"/>
      <c r="I68" s="247"/>
      <c r="J68" s="247"/>
      <c r="K68" s="302">
        <f>126000*5</f>
        <v>630000</v>
      </c>
      <c r="L68" s="247"/>
      <c r="M68" s="247"/>
      <c r="N68" s="247"/>
      <c r="O68" s="247"/>
      <c r="P68" s="247"/>
      <c r="Q68" s="247"/>
      <c r="R68" s="200">
        <f t="shared" si="3"/>
        <v>630000</v>
      </c>
      <c r="S68" s="200">
        <v>670000</v>
      </c>
      <c r="T68" s="200"/>
      <c r="U68" s="201" t="s">
        <v>737</v>
      </c>
      <c r="V68" s="202"/>
      <c r="W68" s="246"/>
      <c r="X68" s="246"/>
      <c r="Y68" s="246"/>
      <c r="BC68"/>
      <c r="BD68"/>
    </row>
    <row r="69" spans="1:56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247"/>
      <c r="H69" s="247"/>
      <c r="I69" s="302">
        <f>100000*4</f>
        <v>400000</v>
      </c>
      <c r="J69" s="247"/>
      <c r="K69" s="247"/>
      <c r="L69" s="247"/>
      <c r="M69" s="247"/>
      <c r="N69" s="247"/>
      <c r="O69" s="247"/>
      <c r="P69" s="247"/>
      <c r="Q69" s="247"/>
      <c r="R69" s="200">
        <f t="shared" si="3"/>
        <v>400000</v>
      </c>
      <c r="S69" s="200">
        <v>100000</v>
      </c>
      <c r="T69" s="200"/>
      <c r="U69" s="201" t="s">
        <v>716</v>
      </c>
      <c r="V69" s="202"/>
      <c r="W69" s="246"/>
      <c r="X69" s="246"/>
      <c r="Y69" s="246"/>
      <c r="BC69"/>
      <c r="BD69"/>
    </row>
    <row r="70" spans="1:56" s="191" customFormat="1" ht="13.5">
      <c r="A70" s="226"/>
      <c r="B70" s="180">
        <v>5005246288</v>
      </c>
      <c r="C70" s="183" t="str">
        <f>IFERROR(IF(VLOOKUP($B70,勘定科目!$A:$H,HLOOKUP($E$5,勘定科目!$F$1:$H$2,2,0),0)="","",VLOOKUP($B70,勘定科目!$A:$E,2,0)),"")</f>
        <v>事務用品費（製）</v>
      </c>
      <c r="D70" s="239" t="str">
        <f>IF(C70="","",VLOOKUP($B70,勘定科目!$A:$E,4,0))</f>
        <v>図書及び事務費</v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3"/>
        <v>0</v>
      </c>
      <c r="S70" s="200">
        <v>0</v>
      </c>
      <c r="T70" s="200"/>
      <c r="U70" s="201" t="s">
        <v>717</v>
      </c>
      <c r="V70" s="202"/>
      <c r="W70" s="246"/>
      <c r="X70" s="246"/>
      <c r="Y70" s="246"/>
      <c r="BC70"/>
      <c r="BD70"/>
    </row>
    <row r="71" spans="1:56" s="191" customFormat="1" ht="22.5">
      <c r="A71" s="226"/>
      <c r="B71" s="180">
        <v>5005246286</v>
      </c>
      <c r="C71" s="183" t="str">
        <f>IFERROR(IF(VLOOKUP($B71,勘定科目!$A:$H,HLOOKUP($E$5,勘定科目!$F$1:$H$2,2,0),0)="","",VLOOKUP($B71,勘定科目!$A:$E,2,0)),"")</f>
        <v>その他手数料（製）</v>
      </c>
      <c r="D71" s="239" t="str">
        <f>IF(C71="","",VLOOKUP($B71,勘定科目!$A:$E,4,0))</f>
        <v>手数料</v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3"/>
        <v>0</v>
      </c>
      <c r="S71" s="200">
        <v>5897350</v>
      </c>
      <c r="T71" s="200"/>
      <c r="U71" s="301" t="s">
        <v>730</v>
      </c>
      <c r="V71" s="202"/>
      <c r="W71" s="246"/>
      <c r="X71" s="246"/>
      <c r="Y71" s="246"/>
      <c r="BC71"/>
      <c r="BD71"/>
    </row>
    <row r="72" spans="1:56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194"/>
      <c r="G72" s="302">
        <f>200000*5</f>
        <v>1000000</v>
      </c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3"/>
        <v>1000000</v>
      </c>
      <c r="S72" s="200">
        <v>1000000</v>
      </c>
      <c r="T72" s="200"/>
      <c r="U72" s="201" t="s">
        <v>735</v>
      </c>
      <c r="V72" s="202"/>
      <c r="W72" s="246"/>
      <c r="X72" s="246"/>
      <c r="Y72" s="246"/>
      <c r="BC72"/>
      <c r="BD72"/>
    </row>
    <row r="73" spans="1:56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3"/>
        <v>0</v>
      </c>
      <c r="S73" s="200">
        <v>0</v>
      </c>
      <c r="T73" s="200"/>
      <c r="U73" s="201" t="s">
        <v>732</v>
      </c>
      <c r="V73" s="202"/>
      <c r="W73" s="246"/>
      <c r="X73" s="246"/>
      <c r="Y73" s="246"/>
      <c r="BC73"/>
      <c r="BD73"/>
    </row>
    <row r="74" spans="1:56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3"/>
        <v>0</v>
      </c>
      <c r="S74" s="200">
        <v>0</v>
      </c>
      <c r="T74" s="200"/>
      <c r="U74" s="201" t="s">
        <v>731</v>
      </c>
      <c r="V74" s="202"/>
      <c r="W74" s="246"/>
      <c r="X74" s="246"/>
      <c r="Y74" s="246"/>
      <c r="BC74"/>
      <c r="BD74"/>
    </row>
    <row r="75" spans="1:56" s="191" customFormat="1" ht="13.5">
      <c r="A75" s="226"/>
      <c r="B75" s="180">
        <v>5005246281</v>
      </c>
      <c r="C75" s="183" t="str">
        <f>IFERROR(IF(VLOOKUP($B75,勘定科目!$A:$H,HLOOKUP($E$5,勘定科目!$F$1:$H$2,2,0),0)="","",VLOOKUP($B75,勘定科目!$A:$E,2,0)),"")</f>
        <v>図書印刷費（製）</v>
      </c>
      <c r="D75" s="239" t="str">
        <f>IF(C75="","",VLOOKUP($B75,勘定科目!$A:$E,4,0))</f>
        <v>図書及び事務費</v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3"/>
        <v>0</v>
      </c>
      <c r="S75" s="200">
        <v>0</v>
      </c>
      <c r="T75" s="200"/>
      <c r="U75" s="201"/>
      <c r="V75" s="202"/>
      <c r="W75" s="246"/>
      <c r="X75" s="246"/>
      <c r="Y75" s="246"/>
      <c r="BC75"/>
      <c r="BD75"/>
    </row>
    <row r="76" spans="1:56" s="191" customFormat="1" ht="13.5">
      <c r="A76" s="226"/>
      <c r="B76" s="180">
        <v>5004086293</v>
      </c>
      <c r="C76" s="183" t="str">
        <f>IFERROR(IF(VLOOKUP($B76,勘定科目!$A:$H,HLOOKUP($E$5,勘定科目!$F$1:$H$2,2,0),0)="","",VLOOKUP($B76,勘定科目!$A:$E,2,0)),"")</f>
        <v>教育訓練費（製）</v>
      </c>
      <c r="D76" s="239" t="str">
        <f>IF(C76="","",VLOOKUP($B76,勘定科目!$A:$E,4,0))</f>
        <v>募集教育費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3"/>
        <v>0</v>
      </c>
      <c r="S76" s="200">
        <v>0</v>
      </c>
      <c r="T76" s="200"/>
      <c r="U76" s="201" t="s">
        <v>729</v>
      </c>
      <c r="V76" s="202"/>
      <c r="W76" s="246"/>
      <c r="X76" s="246"/>
      <c r="Y76" s="246"/>
      <c r="BC76"/>
      <c r="BD76"/>
    </row>
    <row r="77" spans="1:56" s="191" customFormat="1" ht="13.5">
      <c r="A77" s="226"/>
      <c r="B77" s="180">
        <v>5005246281</v>
      </c>
      <c r="C77" s="183" t="str">
        <f>IFERROR(IF(VLOOKUP($B77,勘定科目!$A:$H,HLOOKUP($E$5,勘定科目!$F$1:$H$2,2,0),0)="","",VLOOKUP($B77,勘定科目!$A:$E,2,0)),"")</f>
        <v>図書印刷費（製）</v>
      </c>
      <c r="D77" s="239" t="str">
        <f>IF(C77="","",VLOOKUP($B77,勘定科目!$A:$E,4,0))</f>
        <v>図書及び事務費</v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3"/>
        <v>0</v>
      </c>
      <c r="S77" s="200">
        <v>0</v>
      </c>
      <c r="T77" s="200"/>
      <c r="U77" s="201" t="s">
        <v>718</v>
      </c>
      <c r="V77" s="202"/>
      <c r="W77" s="246"/>
      <c r="X77" s="246"/>
      <c r="Y77" s="246"/>
      <c r="BC77"/>
      <c r="BD77"/>
    </row>
    <row r="78" spans="1:56" s="191" customFormat="1" ht="13.5">
      <c r="A78" s="226"/>
      <c r="B78" s="180">
        <v>5005246281</v>
      </c>
      <c r="C78" s="183" t="str">
        <f>IFERROR(IF(VLOOKUP($B78,勘定科目!$A:$H,HLOOKUP($E$5,勘定科目!$F$1:$H$2,2,0),0)="","",VLOOKUP($B78,勘定科目!$A:$E,2,0)),"")</f>
        <v>図書印刷費（製）</v>
      </c>
      <c r="D78" s="239" t="str">
        <f>IF(C78="","",VLOOKUP($B78,勘定科目!$A:$E,4,0))</f>
        <v>図書及び事務費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3"/>
        <v>0</v>
      </c>
      <c r="S78" s="200">
        <v>0</v>
      </c>
      <c r="T78" s="200"/>
      <c r="U78" s="201" t="s">
        <v>719</v>
      </c>
      <c r="V78" s="202"/>
      <c r="W78" s="246"/>
      <c r="X78" s="246"/>
      <c r="Y78" s="246"/>
      <c r="BC78"/>
      <c r="BD78"/>
    </row>
    <row r="79" spans="1:56" s="191" customFormat="1" ht="13.5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3"/>
        <v>0</v>
      </c>
      <c r="S79" s="200">
        <v>0</v>
      </c>
      <c r="T79" s="200"/>
      <c r="U79" s="201" t="s">
        <v>720</v>
      </c>
      <c r="V79" s="202"/>
      <c r="W79" s="246"/>
      <c r="X79" s="246"/>
      <c r="Y79" s="246"/>
      <c r="BC79"/>
      <c r="BD79"/>
    </row>
    <row r="80" spans="1:56" s="191" customFormat="1" ht="13.5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3"/>
        <v>0</v>
      </c>
      <c r="S80" s="200">
        <v>0</v>
      </c>
      <c r="T80" s="200"/>
      <c r="U80" s="201" t="s">
        <v>747</v>
      </c>
      <c r="V80" s="202"/>
      <c r="W80" s="246"/>
      <c r="X80" s="246"/>
      <c r="Y80" s="246"/>
      <c r="BC80"/>
      <c r="BD80"/>
    </row>
    <row r="81" spans="1:56" s="191" customFormat="1" ht="13.5">
      <c r="A81" s="226"/>
      <c r="B81" s="180">
        <v>5005026371</v>
      </c>
      <c r="C81" s="183" t="str">
        <f>IFERROR(IF(VLOOKUP($B81,勘定科目!$A:$H,HLOOKUP($E$5,勘定科目!$F$1:$H$2,2,0),0)="","",VLOOKUP($B81,勘定科目!$A:$E,2,0)),"")</f>
        <v>消耗工具器具備品費（製）</v>
      </c>
      <c r="D81" s="239" t="str">
        <f>IF(C81="","",VLOOKUP($B81,勘定科目!$A:$E,4,0))</f>
        <v>消耗工具器具備品費</v>
      </c>
      <c r="E81" s="245"/>
      <c r="F81" s="194"/>
      <c r="G81" s="212">
        <v>16750000</v>
      </c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3"/>
        <v>16750000</v>
      </c>
      <c r="S81" s="200">
        <v>0</v>
      </c>
      <c r="T81" s="200"/>
      <c r="U81" s="201" t="s">
        <v>721</v>
      </c>
      <c r="V81" s="202"/>
      <c r="W81" s="246"/>
      <c r="X81" s="246"/>
      <c r="Y81" s="246"/>
      <c r="BC81"/>
      <c r="BD81"/>
    </row>
    <row r="82" spans="1:56" s="191" customFormat="1" ht="13.5">
      <c r="A82" s="226"/>
      <c r="B82" s="180">
        <v>5005026371</v>
      </c>
      <c r="C82" s="183" t="str">
        <f>IFERROR(IF(VLOOKUP($B82,勘定科目!$A:$H,HLOOKUP($E$5,勘定科目!$F$1:$H$2,2,0),0)="","",VLOOKUP($B82,勘定科目!$A:$E,2,0)),"")</f>
        <v>消耗工具器具備品費（製）</v>
      </c>
      <c r="D82" s="239" t="str">
        <f>IF(C82="","",VLOOKUP($B82,勘定科目!$A:$E,4,0))</f>
        <v>消耗工具器具備品費</v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0</v>
      </c>
      <c r="S82" s="200">
        <v>0</v>
      </c>
      <c r="T82" s="200"/>
      <c r="U82" s="201" t="s">
        <v>722</v>
      </c>
      <c r="V82" s="202"/>
      <c r="W82" s="246"/>
      <c r="X82" s="246"/>
      <c r="Y82" s="246"/>
      <c r="BC82"/>
      <c r="BD82"/>
    </row>
    <row r="83" spans="1:56" s="191" customFormat="1" ht="13.5">
      <c r="A83" s="226"/>
      <c r="B83" s="18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3"/>
        <v>0</v>
      </c>
      <c r="S83" s="200">
        <v>0</v>
      </c>
      <c r="T83" s="200"/>
      <c r="U83" s="201" t="s">
        <v>723</v>
      </c>
      <c r="V83" s="202"/>
      <c r="W83" s="246"/>
      <c r="X83" s="246"/>
      <c r="Y83" s="246"/>
      <c r="BC83"/>
      <c r="BD83"/>
    </row>
    <row r="84" spans="1:56" s="191" customFormat="1" ht="13.5">
      <c r="A84" s="226"/>
      <c r="B84" s="180">
        <v>5004086291</v>
      </c>
      <c r="C84" s="183" t="str">
        <f>IFERROR(IF(VLOOKUP($B84,勘定科目!$A:$H,HLOOKUP($E$5,勘定科目!$F$1:$H$2,2,0),0)="","",VLOOKUP($B84,勘定科目!$A:$E,2,0)),"")</f>
        <v>福利厚生費（製）</v>
      </c>
      <c r="D84" s="239" t="str">
        <f>IF(C84="","",VLOOKUP($B84,勘定科目!$A:$E,4,0))</f>
        <v>福利厚生費</v>
      </c>
      <c r="E84" s="245"/>
      <c r="F84" s="212">
        <f>165000*2*5</f>
        <v>1650000</v>
      </c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3"/>
        <v>1650000</v>
      </c>
      <c r="S84" s="200">
        <v>0</v>
      </c>
      <c r="T84" s="200"/>
      <c r="U84" s="201" t="s">
        <v>733</v>
      </c>
      <c r="V84" s="202"/>
      <c r="W84" s="246"/>
      <c r="X84" s="246"/>
      <c r="Y84" s="246"/>
      <c r="BC84"/>
      <c r="BD84"/>
    </row>
    <row r="85" spans="1:56" s="191" customFormat="1" ht="13.5">
      <c r="A85" s="226"/>
      <c r="B85" s="180">
        <v>5004086291</v>
      </c>
      <c r="C85" s="183" t="str">
        <f>IFERROR(IF(VLOOKUP($B85,勘定科目!$A:$H,HLOOKUP($E$5,勘定科目!$F$1:$H$2,2,0),0)="","",VLOOKUP($B85,勘定科目!$A:$E,2,0)),"")</f>
        <v>福利厚生費（製）</v>
      </c>
      <c r="D85" s="239" t="str">
        <f>IF(C85="","",VLOOKUP($B85,勘定科目!$A:$E,4,0))</f>
        <v>福利厚生費</v>
      </c>
      <c r="E85" s="245"/>
      <c r="F85" s="212">
        <f>175000*2*5</f>
        <v>1750000</v>
      </c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3"/>
        <v>1750000</v>
      </c>
      <c r="S85" s="200">
        <v>0</v>
      </c>
      <c r="T85" s="200"/>
      <c r="U85" s="201" t="s">
        <v>734</v>
      </c>
      <c r="V85" s="202"/>
      <c r="W85" s="246"/>
      <c r="X85" s="246"/>
      <c r="Y85" s="246"/>
      <c r="BC85"/>
      <c r="BD85"/>
    </row>
    <row r="86" spans="1:56" s="191" customFormat="1" ht="13.5">
      <c r="A86" s="226"/>
      <c r="B86" s="180">
        <v>5004086291</v>
      </c>
      <c r="C86" s="183" t="str">
        <f>IFERROR(IF(VLOOKUP($B86,勘定科目!$A:$H,HLOOKUP($E$5,勘定科目!$F$1:$H$2,2,0),0)="","",VLOOKUP($B86,勘定科目!$A:$E,2,0)),"")</f>
        <v>福利厚生費（製）</v>
      </c>
      <c r="D86" s="239" t="str">
        <f>IF(C86="","",VLOOKUP($B86,勘定科目!$A:$E,4,0))</f>
        <v>福利厚生費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3"/>
        <v>0</v>
      </c>
      <c r="S86" s="200">
        <v>0</v>
      </c>
      <c r="T86" s="200"/>
      <c r="U86" s="201" t="s">
        <v>724</v>
      </c>
      <c r="V86" s="202"/>
      <c r="W86" s="246"/>
      <c r="X86" s="246"/>
      <c r="Y86" s="246"/>
      <c r="BC86"/>
      <c r="BD86"/>
    </row>
    <row r="87" spans="1:56" s="191" customFormat="1" ht="13.5">
      <c r="A87" s="226"/>
      <c r="B87" s="180">
        <v>5004086291</v>
      </c>
      <c r="C87" s="183" t="str">
        <f>IFERROR(IF(VLOOKUP($B87,勘定科目!$A:$H,HLOOKUP($E$5,勘定科目!$F$1:$H$2,2,0),0)="","",VLOOKUP($B87,勘定科目!$A:$E,2,0)),"")</f>
        <v>福利厚生費（製）</v>
      </c>
      <c r="D87" s="239" t="str">
        <f>IF(C87="","",VLOOKUP($B87,勘定科目!$A:$E,4,0))</f>
        <v>福利厚生費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3"/>
        <v>0</v>
      </c>
      <c r="S87" s="200">
        <v>0</v>
      </c>
      <c r="T87" s="200"/>
      <c r="U87" s="201" t="s">
        <v>725</v>
      </c>
      <c r="V87" s="202"/>
      <c r="W87" s="246"/>
      <c r="X87" s="246"/>
      <c r="Y87" s="246"/>
      <c r="BC87"/>
      <c r="BD87"/>
    </row>
    <row r="88" spans="1:56" s="191" customFormat="1" ht="13.5">
      <c r="A88" s="226"/>
      <c r="B88" s="180">
        <v>5004086291</v>
      </c>
      <c r="C88" s="183" t="str">
        <f>IFERROR(IF(VLOOKUP($B88,勘定科目!$A:$H,HLOOKUP($E$5,勘定科目!$F$1:$H$2,2,0),0)="","",VLOOKUP($B88,勘定科目!$A:$E,2,0)),"")</f>
        <v>福利厚生費（製）</v>
      </c>
      <c r="D88" s="239" t="str">
        <f>IF(C88="","",VLOOKUP($B88,勘定科目!$A:$E,4,0))</f>
        <v>福利厚生費</v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3"/>
        <v>0</v>
      </c>
      <c r="S88" s="200">
        <v>0</v>
      </c>
      <c r="T88" s="200"/>
      <c r="U88" s="201" t="s">
        <v>726</v>
      </c>
      <c r="V88" s="202"/>
      <c r="W88" s="246"/>
      <c r="X88" s="246"/>
      <c r="Y88" s="246"/>
      <c r="BC88"/>
      <c r="BD88"/>
    </row>
    <row r="89" spans="1:56" s="191" customFormat="1" ht="13.5">
      <c r="A89" s="226"/>
      <c r="B89" s="180">
        <v>5005136281</v>
      </c>
      <c r="C89" s="183" t="str">
        <f>IFERROR(IF(VLOOKUP($B89,勘定科目!$A:$H,HLOOKUP($E$5,勘定科目!$F$1:$H$2,2,0),0)="","",VLOOKUP($B89,勘定科目!$A:$E,2,0)),"")</f>
        <v>通信費（製）</v>
      </c>
      <c r="D89" s="239" t="str">
        <f>IF(C89="","",VLOOKUP($B89,勘定科目!$A:$E,4,0))</f>
        <v>通信費</v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3"/>
        <v>0</v>
      </c>
      <c r="S89" s="200">
        <v>0</v>
      </c>
      <c r="T89" s="200"/>
      <c r="U89" s="201" t="s">
        <v>738</v>
      </c>
      <c r="V89" s="202"/>
      <c r="W89" s="246"/>
      <c r="X89" s="246"/>
      <c r="Y89" s="246"/>
      <c r="BC89"/>
      <c r="BD89"/>
    </row>
    <row r="90" spans="1:56" s="191" customFormat="1" ht="13.5">
      <c r="A90" s="226"/>
      <c r="B90" s="180">
        <v>5005046282</v>
      </c>
      <c r="C90" s="183" t="str">
        <f>IFERROR(IF(VLOOKUP($B90,勘定科目!$A:$H,HLOOKUP($E$5,勘定科目!$F$1:$H$2,2,0),0)="","",VLOOKUP($B90,勘定科目!$A:$E,2,0)),"")</f>
        <v>その他修繕費（製）</v>
      </c>
      <c r="D90" s="239" t="str">
        <f>IF(C90="","",VLOOKUP($B90,勘定科目!$A:$E,4,0))</f>
        <v>修繕費</v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0">
        <v>0</v>
      </c>
      <c r="T90" s="200"/>
      <c r="U90" s="201" t="s">
        <v>739</v>
      </c>
      <c r="V90" s="202"/>
      <c r="W90" s="246"/>
      <c r="X90" s="246"/>
      <c r="Y90" s="246"/>
      <c r="BC90"/>
      <c r="BD90"/>
    </row>
    <row r="91" spans="1:56" s="191" customFormat="1" ht="13.5">
      <c r="A91" s="226"/>
      <c r="B91" s="180">
        <v>5004086291</v>
      </c>
      <c r="C91" s="183" t="str">
        <f>IFERROR(IF(VLOOKUP($B91,勘定科目!$A:$H,HLOOKUP($E$5,勘定科目!$F$1:$H$2,2,0),0)="","",VLOOKUP($B91,勘定科目!$A:$E,2,0)),"")</f>
        <v>福利厚生費（製）</v>
      </c>
      <c r="D91" s="239" t="str">
        <f>IF(C91="","",VLOOKUP($B91,勘定科目!$A:$E,4,0))</f>
        <v>福利厚生費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3"/>
        <v>0</v>
      </c>
      <c r="S91" s="200">
        <v>0</v>
      </c>
      <c r="T91" s="200"/>
      <c r="U91" s="201" t="s">
        <v>740</v>
      </c>
      <c r="V91" s="202"/>
      <c r="W91" s="246"/>
      <c r="X91" s="246"/>
      <c r="Y91" s="246"/>
      <c r="BC91"/>
      <c r="BD91"/>
    </row>
    <row r="92" spans="1:56" s="191" customFormat="1" ht="13.5">
      <c r="A92" s="226"/>
      <c r="B92" s="180">
        <v>5004086291</v>
      </c>
      <c r="C92" s="183" t="str">
        <f>IFERROR(IF(VLOOKUP($B92,勘定科目!$A:$H,HLOOKUP($E$5,勘定科目!$F$1:$H$2,2,0),0)="","",VLOOKUP($B92,勘定科目!$A:$E,2,0)),"")</f>
        <v>福利厚生費（製）</v>
      </c>
      <c r="D92" s="239" t="str">
        <f>IF(C92="","",VLOOKUP($B92,勘定科目!$A:$E,4,0))</f>
        <v>福利厚生費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3"/>
        <v>0</v>
      </c>
      <c r="S92" s="200">
        <v>600000</v>
      </c>
      <c r="T92" s="200"/>
      <c r="U92" s="201" t="s">
        <v>741</v>
      </c>
      <c r="V92" s="202"/>
      <c r="W92" s="246"/>
      <c r="X92" s="246"/>
      <c r="Y92" s="246"/>
      <c r="BC92"/>
      <c r="BD92"/>
    </row>
    <row r="93" spans="1:56" s="191" customFormat="1" ht="13.5">
      <c r="A93" s="226"/>
      <c r="B93" s="180">
        <v>5005246281</v>
      </c>
      <c r="C93" s="183" t="str">
        <f>IFERROR(IF(VLOOKUP($B93,勘定科目!$A:$H,HLOOKUP($E$5,勘定科目!$F$1:$H$2,2,0),0)="","",VLOOKUP($B93,勘定科目!$A:$E,2,0)),"")</f>
        <v>図書印刷費（製）</v>
      </c>
      <c r="D93" s="239" t="str">
        <f>IF(C93="","",VLOOKUP($B93,勘定科目!$A:$E,4,0))</f>
        <v>図書及び事務費</v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3"/>
        <v>0</v>
      </c>
      <c r="S93" s="200">
        <v>275000</v>
      </c>
      <c r="T93" s="200"/>
      <c r="U93" s="201" t="s">
        <v>750</v>
      </c>
      <c r="V93" s="202"/>
      <c r="W93" s="246"/>
      <c r="X93" s="246"/>
      <c r="Y93" s="246"/>
      <c r="BC93"/>
      <c r="BD93"/>
    </row>
    <row r="94" spans="1:56" s="191" customFormat="1" ht="13.5">
      <c r="A94" s="226"/>
      <c r="B94" s="180">
        <v>5005076283</v>
      </c>
      <c r="C94" s="183" t="str">
        <f>IFERROR(IF(VLOOKUP($B94,勘定科目!$A:$H,HLOOKUP($E$5,勘定科目!$F$1:$H$2,2,0),0)="","",VLOOKUP($B94,勘定科目!$A:$E,2,0)),"")</f>
        <v>輸入航空運賃（製）</v>
      </c>
      <c r="D94" s="239" t="str">
        <f>IF(C94="","",VLOOKUP($B94,勘定科目!$A:$E,4,0))</f>
        <v>荷造運賃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3"/>
        <v>0</v>
      </c>
      <c r="S94" s="200">
        <v>0</v>
      </c>
      <c r="T94" s="200"/>
      <c r="U94" s="201" t="s">
        <v>742</v>
      </c>
      <c r="V94" s="202"/>
      <c r="W94" s="246"/>
      <c r="X94" s="246"/>
      <c r="Y94" s="246"/>
      <c r="BC94"/>
      <c r="BD94"/>
    </row>
    <row r="95" spans="1:56" s="191" customFormat="1" ht="13.5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3"/>
        <v>0</v>
      </c>
      <c r="S95" s="200"/>
      <c r="T95" s="200"/>
      <c r="U95" s="201"/>
      <c r="V95" s="202"/>
      <c r="W95" s="246"/>
      <c r="X95" s="246"/>
      <c r="Y95" s="246"/>
      <c r="BC95"/>
      <c r="BD95"/>
    </row>
    <row r="96" spans="1:56" s="191" customFormat="1" ht="13.5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3"/>
        <v>0</v>
      </c>
      <c r="S96" s="200"/>
      <c r="T96" s="200"/>
      <c r="U96" s="201"/>
      <c r="V96" s="202"/>
      <c r="W96" s="246"/>
      <c r="X96" s="246"/>
      <c r="Y96" s="246"/>
      <c r="BC96"/>
      <c r="BD96"/>
    </row>
    <row r="97" spans="1:56" s="191" customFormat="1" ht="13.5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3"/>
        <v>0</v>
      </c>
      <c r="S97" s="200"/>
      <c r="T97" s="200"/>
      <c r="U97" s="201"/>
      <c r="V97" s="202"/>
      <c r="W97" s="246"/>
      <c r="X97" s="246"/>
      <c r="Y97" s="246"/>
      <c r="BC97"/>
      <c r="BD97"/>
    </row>
    <row r="98" spans="1:56" s="191" customFormat="1" ht="13.5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0</v>
      </c>
      <c r="S98" s="200"/>
      <c r="T98" s="200"/>
      <c r="U98" s="201"/>
      <c r="V98" s="202"/>
      <c r="W98" s="246"/>
      <c r="X98" s="246"/>
      <c r="Y98" s="246"/>
      <c r="BC98"/>
      <c r="BD98"/>
    </row>
    <row r="99" spans="1:56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3"/>
        <v>0</v>
      </c>
      <c r="S99" s="200"/>
      <c r="T99" s="200"/>
      <c r="U99" s="201"/>
      <c r="V99" s="202"/>
      <c r="W99" s="246"/>
      <c r="X99" s="246"/>
      <c r="Y99" s="246"/>
      <c r="BC99"/>
      <c r="BD99"/>
    </row>
    <row r="100" spans="1:56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3"/>
        <v>0</v>
      </c>
      <c r="S100" s="200"/>
      <c r="T100" s="200"/>
      <c r="U100" s="201"/>
      <c r="V100" s="202"/>
      <c r="W100" s="246"/>
      <c r="X100" s="246"/>
      <c r="Y100" s="246"/>
      <c r="BC100"/>
      <c r="BD100"/>
    </row>
    <row r="101" spans="1:56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3"/>
        <v>0</v>
      </c>
      <c r="S101" s="200"/>
      <c r="T101" s="200"/>
      <c r="U101" s="201"/>
      <c r="V101" s="202"/>
      <c r="W101" s="246"/>
      <c r="X101" s="246"/>
      <c r="Y101" s="246"/>
      <c r="BC101"/>
      <c r="BD101"/>
    </row>
    <row r="102" spans="1:56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0</v>
      </c>
      <c r="S102" s="200"/>
      <c r="T102" s="200"/>
      <c r="U102" s="201"/>
      <c r="V102" s="202"/>
      <c r="W102" s="246"/>
      <c r="X102" s="246"/>
      <c r="Y102" s="246"/>
      <c r="BC102"/>
      <c r="BD102"/>
    </row>
    <row r="103" spans="1:56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0"/>
      <c r="T103" s="200"/>
      <c r="U103" s="201"/>
      <c r="V103" s="202"/>
      <c r="W103" s="246"/>
      <c r="X103" s="246"/>
      <c r="Y103" s="246"/>
      <c r="BC103"/>
      <c r="BD103"/>
    </row>
    <row r="104" spans="1:56" s="191" customFormat="1" ht="13.5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0"/>
      <c r="T104" s="200"/>
      <c r="U104" s="201"/>
      <c r="V104" s="202"/>
      <c r="W104" s="246"/>
      <c r="X104" s="246"/>
      <c r="Y104" s="246"/>
      <c r="BC104"/>
      <c r="BD104"/>
    </row>
    <row r="105" spans="1:56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0"/>
      <c r="T105" s="200"/>
      <c r="U105" s="201"/>
      <c r="V105" s="202"/>
      <c r="W105" s="246"/>
      <c r="X105" s="246"/>
      <c r="Y105" s="246"/>
      <c r="BC105"/>
      <c r="BD105"/>
    </row>
    <row r="106" spans="1:56" s="191" customFormat="1" ht="13.5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0"/>
      <c r="T106" s="200"/>
      <c r="U106" s="201"/>
      <c r="V106" s="202"/>
      <c r="W106" s="246"/>
      <c r="X106" s="246"/>
      <c r="Y106" s="246"/>
      <c r="BC106"/>
      <c r="BD106"/>
    </row>
    <row r="107" spans="1:56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0"/>
      <c r="T107" s="200"/>
      <c r="U107" s="201"/>
      <c r="V107" s="202"/>
      <c r="W107" s="246"/>
      <c r="X107" s="246"/>
      <c r="Y107" s="246"/>
      <c r="BC107"/>
      <c r="BD107"/>
    </row>
    <row r="108" spans="1:56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0"/>
      <c r="T108" s="200"/>
      <c r="U108" s="201"/>
      <c r="V108" s="202"/>
      <c r="W108" s="246"/>
      <c r="X108" s="246"/>
      <c r="Y108" s="246"/>
      <c r="BC108"/>
      <c r="BD108"/>
    </row>
    <row r="109" spans="1:56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200"/>
      <c r="T109" s="200"/>
      <c r="U109" s="201"/>
      <c r="V109" s="202"/>
      <c r="W109" s="246"/>
      <c r="X109" s="246"/>
      <c r="Y109" s="246"/>
      <c r="BC109"/>
      <c r="BD109"/>
    </row>
    <row r="110" spans="1:56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3"/>
        <v>0</v>
      </c>
      <c r="S110" s="200"/>
      <c r="T110" s="200"/>
      <c r="U110" s="201"/>
      <c r="V110" s="202"/>
      <c r="W110" s="246"/>
      <c r="X110" s="246"/>
      <c r="Y110" s="246"/>
      <c r="BC110"/>
      <c r="BD110"/>
    </row>
    <row r="111" spans="1:56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200"/>
      <c r="T111" s="200"/>
      <c r="U111" s="201"/>
      <c r="V111" s="202"/>
      <c r="W111" s="246"/>
      <c r="X111" s="246"/>
      <c r="Y111" s="246"/>
      <c r="BC111"/>
      <c r="BD111"/>
    </row>
    <row r="112" spans="1:56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0"/>
      <c r="T112" s="200"/>
      <c r="U112" s="201"/>
      <c r="V112" s="202"/>
      <c r="W112" s="246"/>
      <c r="X112" s="246"/>
      <c r="Y112" s="246"/>
      <c r="BC112"/>
      <c r="BD112"/>
    </row>
    <row r="113" spans="1:56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200"/>
      <c r="T113" s="200"/>
      <c r="U113" s="201"/>
      <c r="V113" s="202"/>
      <c r="W113" s="246"/>
      <c r="X113" s="246"/>
      <c r="Y113" s="246"/>
      <c r="BC113"/>
      <c r="BD113"/>
    </row>
    <row r="114" spans="1:56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0"/>
      <c r="T114" s="200"/>
      <c r="U114" s="201"/>
      <c r="V114" s="202"/>
      <c r="W114" s="246"/>
      <c r="X114" s="246"/>
      <c r="Y114" s="246"/>
      <c r="BC114"/>
      <c r="BD114"/>
    </row>
    <row r="115" spans="1:56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0"/>
      <c r="T115" s="200"/>
      <c r="U115" s="201"/>
      <c r="V115" s="202"/>
      <c r="W115" s="246"/>
      <c r="X115" s="246"/>
      <c r="Y115" s="246"/>
      <c r="BC115"/>
      <c r="BD115"/>
    </row>
    <row r="116" spans="1:56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0"/>
      <c r="T116" s="200"/>
      <c r="U116" s="201"/>
      <c r="V116" s="202"/>
      <c r="W116" s="246"/>
      <c r="X116" s="246"/>
      <c r="Y116" s="246"/>
      <c r="BC116"/>
      <c r="BD116"/>
    </row>
    <row r="117" spans="1:56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3"/>
        <v>0</v>
      </c>
      <c r="S117" s="200"/>
      <c r="T117" s="200"/>
      <c r="U117" s="201"/>
      <c r="V117" s="202"/>
      <c r="W117" s="246"/>
      <c r="X117" s="246"/>
      <c r="Y117" s="246"/>
      <c r="BC117"/>
      <c r="BD117"/>
    </row>
    <row r="118" spans="1:56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ref="R118:R181" si="5">SUM(F118:Q118)</f>
        <v>0</v>
      </c>
      <c r="S118" s="200"/>
      <c r="T118" s="200"/>
      <c r="U118" s="201"/>
      <c r="V118" s="202"/>
      <c r="W118" s="246"/>
      <c r="X118" s="246"/>
      <c r="Y118" s="246"/>
      <c r="BC118"/>
      <c r="BD118"/>
    </row>
    <row r="119" spans="1:56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5"/>
        <v>0</v>
      </c>
      <c r="S119" s="200"/>
      <c r="T119" s="200"/>
      <c r="U119" s="201"/>
      <c r="V119" s="202"/>
      <c r="W119" s="246"/>
      <c r="X119" s="246"/>
      <c r="Y119" s="246"/>
      <c r="BC119"/>
      <c r="BD119"/>
    </row>
    <row r="120" spans="1:56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5"/>
        <v>0</v>
      </c>
      <c r="S120" s="200"/>
      <c r="T120" s="200"/>
      <c r="U120" s="201"/>
      <c r="V120" s="202"/>
      <c r="W120" s="246"/>
      <c r="X120" s="246"/>
      <c r="Y120" s="246"/>
      <c r="BC120"/>
      <c r="BD120"/>
    </row>
    <row r="121" spans="1:56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5"/>
        <v>0</v>
      </c>
      <c r="S121" s="200"/>
      <c r="T121" s="200"/>
      <c r="U121" s="201"/>
      <c r="V121" s="202"/>
      <c r="W121" s="246"/>
      <c r="X121" s="246"/>
      <c r="Y121" s="246"/>
      <c r="BC121"/>
      <c r="BD121"/>
    </row>
    <row r="122" spans="1:56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5"/>
        <v>0</v>
      </c>
      <c r="S122" s="200"/>
      <c r="T122" s="200"/>
      <c r="U122" s="201"/>
      <c r="V122" s="202"/>
      <c r="W122" s="246"/>
      <c r="X122" s="246"/>
      <c r="Y122" s="246"/>
      <c r="BC122"/>
      <c r="BD122"/>
    </row>
    <row r="123" spans="1:56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5"/>
        <v>0</v>
      </c>
      <c r="S123" s="200"/>
      <c r="T123" s="200"/>
      <c r="U123" s="201"/>
      <c r="V123" s="202"/>
      <c r="W123" s="246"/>
      <c r="X123" s="246"/>
      <c r="Y123" s="246"/>
      <c r="BC123"/>
      <c r="BD123"/>
    </row>
    <row r="124" spans="1:56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5"/>
        <v>0</v>
      </c>
      <c r="S124" s="200"/>
      <c r="T124" s="200"/>
      <c r="U124" s="201"/>
      <c r="V124" s="202"/>
      <c r="W124" s="246"/>
      <c r="X124" s="246"/>
      <c r="Y124" s="246"/>
      <c r="BC124"/>
      <c r="BD124"/>
    </row>
    <row r="125" spans="1:56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5"/>
        <v>0</v>
      </c>
      <c r="S125" s="200"/>
      <c r="T125" s="200"/>
      <c r="U125" s="201"/>
      <c r="V125" s="202"/>
      <c r="W125" s="246"/>
      <c r="X125" s="246"/>
      <c r="Y125" s="246"/>
      <c r="BC125"/>
      <c r="BD125"/>
    </row>
    <row r="126" spans="1:56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5"/>
        <v>0</v>
      </c>
      <c r="S126" s="200"/>
      <c r="T126" s="200"/>
      <c r="U126" s="201"/>
      <c r="V126" s="202"/>
      <c r="W126" s="246"/>
      <c r="X126" s="246"/>
      <c r="Y126" s="246"/>
      <c r="BC126"/>
      <c r="BD126"/>
    </row>
    <row r="127" spans="1:56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5"/>
        <v>0</v>
      </c>
      <c r="S127" s="200"/>
      <c r="T127" s="200"/>
      <c r="U127" s="201"/>
      <c r="V127" s="202"/>
      <c r="W127" s="246"/>
      <c r="X127" s="246"/>
      <c r="Y127" s="246"/>
      <c r="BC127"/>
      <c r="BD127"/>
    </row>
    <row r="128" spans="1:56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5"/>
        <v>0</v>
      </c>
      <c r="S128" s="200"/>
      <c r="T128" s="200"/>
      <c r="U128" s="201"/>
      <c r="V128" s="202"/>
      <c r="W128" s="246"/>
      <c r="X128" s="246"/>
      <c r="Y128" s="246"/>
      <c r="BC128"/>
      <c r="BD128"/>
    </row>
    <row r="129" spans="1:56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5"/>
        <v>0</v>
      </c>
      <c r="S129" s="200"/>
      <c r="T129" s="200"/>
      <c r="U129" s="201"/>
      <c r="V129" s="202"/>
      <c r="W129" s="246"/>
      <c r="X129" s="246"/>
      <c r="Y129" s="246"/>
      <c r="BC129"/>
      <c r="BD129"/>
    </row>
    <row r="130" spans="1:56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5"/>
        <v>0</v>
      </c>
      <c r="S130" s="200"/>
      <c r="T130" s="200"/>
      <c r="U130" s="201"/>
      <c r="V130" s="202"/>
      <c r="W130" s="246"/>
      <c r="X130" s="246"/>
      <c r="Y130" s="246"/>
      <c r="BC130"/>
      <c r="BD130"/>
    </row>
    <row r="131" spans="1:56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"/>
        <v>0</v>
      </c>
      <c r="S131" s="200"/>
      <c r="T131" s="200"/>
      <c r="U131" s="201"/>
      <c r="V131" s="202"/>
      <c r="W131" s="246"/>
      <c r="X131" s="246"/>
      <c r="Y131" s="246"/>
      <c r="BC131"/>
      <c r="BD131"/>
    </row>
    <row r="132" spans="1:56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5"/>
        <v>0</v>
      </c>
      <c r="S132" s="200"/>
      <c r="T132" s="200"/>
      <c r="U132" s="201"/>
      <c r="V132" s="202"/>
      <c r="W132" s="246"/>
      <c r="X132" s="246"/>
      <c r="Y132" s="246"/>
      <c r="BC132"/>
      <c r="BD132"/>
    </row>
    <row r="133" spans="1:56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5"/>
        <v>0</v>
      </c>
      <c r="S133" s="200"/>
      <c r="T133" s="200"/>
      <c r="U133" s="201"/>
      <c r="V133" s="202"/>
      <c r="W133" s="246"/>
      <c r="X133" s="246"/>
      <c r="Y133" s="246"/>
      <c r="BC133"/>
      <c r="BD133"/>
    </row>
    <row r="134" spans="1:56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5"/>
        <v>0</v>
      </c>
      <c r="S134" s="200"/>
      <c r="T134" s="200"/>
      <c r="U134" s="201"/>
      <c r="V134" s="202"/>
      <c r="W134" s="246"/>
      <c r="X134" s="246"/>
      <c r="Y134" s="246"/>
      <c r="BC134"/>
      <c r="BD134"/>
    </row>
    <row r="135" spans="1:56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5"/>
        <v>0</v>
      </c>
      <c r="S135" s="200"/>
      <c r="T135" s="200"/>
      <c r="U135" s="201"/>
      <c r="V135" s="202"/>
      <c r="W135" s="246"/>
      <c r="X135" s="246"/>
      <c r="Y135" s="246"/>
      <c r="BC135"/>
      <c r="BD135"/>
    </row>
    <row r="136" spans="1:56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5"/>
        <v>0</v>
      </c>
      <c r="S136" s="200"/>
      <c r="T136" s="200"/>
      <c r="U136" s="201"/>
      <c r="V136" s="202"/>
      <c r="W136" s="246"/>
      <c r="X136" s="246"/>
      <c r="Y136" s="246"/>
      <c r="BC136"/>
      <c r="BD136"/>
    </row>
    <row r="137" spans="1:56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5"/>
        <v>0</v>
      </c>
      <c r="S137" s="200"/>
      <c r="T137" s="200"/>
      <c r="U137" s="201"/>
      <c r="V137" s="202"/>
      <c r="W137" s="246"/>
      <c r="X137" s="246"/>
      <c r="Y137" s="246"/>
      <c r="BC137"/>
      <c r="BD137"/>
    </row>
    <row r="138" spans="1:56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5"/>
        <v>0</v>
      </c>
      <c r="S138" s="200"/>
      <c r="T138" s="200"/>
      <c r="U138" s="201"/>
      <c r="V138" s="202"/>
      <c r="W138" s="246"/>
      <c r="X138" s="246"/>
      <c r="Y138" s="246"/>
      <c r="BC138"/>
      <c r="BD138"/>
    </row>
    <row r="139" spans="1:56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5"/>
        <v>0</v>
      </c>
      <c r="S139" s="200"/>
      <c r="T139" s="200"/>
      <c r="U139" s="201"/>
      <c r="V139" s="202"/>
      <c r="W139" s="246"/>
      <c r="X139" s="246"/>
      <c r="Y139" s="246"/>
      <c r="BC139"/>
      <c r="BD139"/>
    </row>
    <row r="140" spans="1:56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"/>
        <v>0</v>
      </c>
      <c r="S140" s="200"/>
      <c r="T140" s="200"/>
      <c r="U140" s="201"/>
      <c r="V140" s="202"/>
      <c r="W140" s="246"/>
      <c r="X140" s="246"/>
      <c r="Y140" s="246"/>
      <c r="BC140"/>
      <c r="BD140"/>
    </row>
    <row r="141" spans="1:56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5"/>
        <v>0</v>
      </c>
      <c r="S141" s="200"/>
      <c r="T141" s="200"/>
      <c r="U141" s="201"/>
      <c r="V141" s="202"/>
      <c r="W141" s="246"/>
      <c r="X141" s="246"/>
      <c r="Y141" s="246"/>
      <c r="BC141"/>
      <c r="BD141"/>
    </row>
    <row r="142" spans="1:56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5"/>
        <v>0</v>
      </c>
      <c r="S142" s="200"/>
      <c r="T142" s="200"/>
      <c r="U142" s="201"/>
      <c r="V142" s="202"/>
      <c r="W142" s="246"/>
      <c r="X142" s="246"/>
      <c r="Y142" s="246"/>
      <c r="BC142"/>
      <c r="BD142"/>
    </row>
    <row r="143" spans="1:56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5"/>
        <v>0</v>
      </c>
      <c r="S143" s="200"/>
      <c r="T143" s="200"/>
      <c r="U143" s="201"/>
      <c r="V143" s="202"/>
      <c r="W143" s="246"/>
      <c r="X143" s="246"/>
      <c r="Y143" s="246"/>
      <c r="BC143"/>
      <c r="BD143"/>
    </row>
    <row r="144" spans="1:56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"/>
        <v>0</v>
      </c>
      <c r="S144" s="200"/>
      <c r="T144" s="200"/>
      <c r="U144" s="201"/>
      <c r="V144" s="202"/>
      <c r="W144" s="246"/>
      <c r="X144" s="246"/>
      <c r="Y144" s="246"/>
      <c r="BC144"/>
      <c r="BD144"/>
    </row>
    <row r="145" spans="1:56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"/>
        <v>0</v>
      </c>
      <c r="S145" s="200"/>
      <c r="T145" s="200"/>
      <c r="U145" s="201"/>
      <c r="V145" s="202"/>
      <c r="W145" s="246"/>
      <c r="X145" s="246"/>
      <c r="Y145" s="246"/>
      <c r="BC145"/>
      <c r="BD145"/>
    </row>
    <row r="146" spans="1:56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"/>
        <v>0</v>
      </c>
      <c r="S146" s="200"/>
      <c r="T146" s="200"/>
      <c r="U146" s="201"/>
      <c r="V146" s="202"/>
      <c r="W146" s="246"/>
      <c r="X146" s="246"/>
      <c r="Y146" s="246"/>
      <c r="BC146"/>
      <c r="BD146"/>
    </row>
    <row r="147" spans="1:56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"/>
        <v>0</v>
      </c>
      <c r="S147" s="200"/>
      <c r="T147" s="200"/>
      <c r="U147" s="201"/>
      <c r="V147" s="202"/>
      <c r="W147" s="246"/>
      <c r="X147" s="246"/>
      <c r="Y147" s="246"/>
      <c r="BC147"/>
      <c r="BD147"/>
    </row>
    <row r="148" spans="1:56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"/>
        <v>0</v>
      </c>
      <c r="S148" s="200"/>
      <c r="T148" s="200"/>
      <c r="U148" s="201"/>
      <c r="V148" s="202"/>
      <c r="W148" s="246"/>
      <c r="X148" s="246"/>
      <c r="Y148" s="246"/>
      <c r="BC148"/>
      <c r="BD148"/>
    </row>
    <row r="149" spans="1:56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"/>
        <v>0</v>
      </c>
      <c r="S149" s="200"/>
      <c r="T149" s="200"/>
      <c r="U149" s="201"/>
      <c r="V149" s="202"/>
      <c r="W149" s="246"/>
      <c r="X149" s="246"/>
      <c r="Y149" s="246"/>
      <c r="BC149"/>
      <c r="BD149"/>
    </row>
    <row r="150" spans="1:56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"/>
        <v>0</v>
      </c>
      <c r="S150" s="200"/>
      <c r="T150" s="200"/>
      <c r="U150" s="201"/>
      <c r="V150" s="202"/>
      <c r="W150" s="246"/>
      <c r="X150" s="246"/>
      <c r="Y150" s="246"/>
      <c r="BC150"/>
      <c r="BD150"/>
    </row>
    <row r="151" spans="1:56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5"/>
        <v>0</v>
      </c>
      <c r="S151" s="200"/>
      <c r="T151" s="200"/>
      <c r="U151" s="201"/>
      <c r="V151" s="202"/>
      <c r="W151" s="246"/>
      <c r="X151" s="246"/>
      <c r="Y151" s="246"/>
      <c r="BC151"/>
      <c r="BD151"/>
    </row>
    <row r="152" spans="1:56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5"/>
        <v>0</v>
      </c>
      <c r="S152" s="200"/>
      <c r="T152" s="200"/>
      <c r="U152" s="201"/>
      <c r="V152" s="202"/>
      <c r="W152" s="246"/>
      <c r="X152" s="246"/>
      <c r="Y152" s="246"/>
      <c r="BC152"/>
      <c r="BD152"/>
    </row>
    <row r="153" spans="1:56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"/>
        <v>0</v>
      </c>
      <c r="S153" s="200"/>
      <c r="T153" s="200"/>
      <c r="U153" s="201"/>
      <c r="V153" s="202"/>
      <c r="W153" s="246"/>
      <c r="X153" s="246"/>
      <c r="Y153" s="246"/>
      <c r="BC153"/>
      <c r="BD153"/>
    </row>
    <row r="154" spans="1:56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"/>
        <v>0</v>
      </c>
      <c r="S154" s="200"/>
      <c r="T154" s="200"/>
      <c r="U154" s="201"/>
      <c r="V154" s="202"/>
      <c r="W154" s="246"/>
      <c r="X154" s="246"/>
      <c r="Y154" s="246"/>
      <c r="BC154"/>
      <c r="BD154"/>
    </row>
    <row r="155" spans="1:56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"/>
        <v>0</v>
      </c>
      <c r="S155" s="200"/>
      <c r="T155" s="200"/>
      <c r="U155" s="201"/>
      <c r="V155" s="202"/>
      <c r="W155" s="246"/>
      <c r="X155" s="246"/>
      <c r="Y155" s="246"/>
      <c r="BC155"/>
      <c r="BD155"/>
    </row>
    <row r="156" spans="1:56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"/>
        <v>0</v>
      </c>
      <c r="S156" s="200"/>
      <c r="T156" s="200"/>
      <c r="U156" s="201"/>
      <c r="V156" s="202"/>
      <c r="W156" s="246"/>
      <c r="X156" s="246"/>
      <c r="Y156" s="246"/>
      <c r="BC156"/>
      <c r="BD156"/>
    </row>
    <row r="157" spans="1:56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"/>
        <v>0</v>
      </c>
      <c r="S157" s="200"/>
      <c r="T157" s="200"/>
      <c r="U157" s="201"/>
      <c r="V157" s="202"/>
      <c r="W157" s="246"/>
      <c r="X157" s="246"/>
      <c r="Y157" s="246"/>
      <c r="BC157"/>
      <c r="BD157"/>
    </row>
    <row r="158" spans="1:56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"/>
        <v>0</v>
      </c>
      <c r="S158" s="200"/>
      <c r="T158" s="200"/>
      <c r="U158" s="201"/>
      <c r="V158" s="202"/>
      <c r="W158" s="246"/>
      <c r="X158" s="246"/>
      <c r="Y158" s="246"/>
      <c r="BC158"/>
      <c r="BD158"/>
    </row>
    <row r="159" spans="1:56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5"/>
        <v>0</v>
      </c>
      <c r="S159" s="200"/>
      <c r="T159" s="200"/>
      <c r="U159" s="201"/>
      <c r="V159" s="202"/>
      <c r="W159" s="246"/>
      <c r="X159" s="246"/>
      <c r="Y159" s="246"/>
      <c r="BC159"/>
      <c r="BD159"/>
    </row>
    <row r="160" spans="1:56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5"/>
        <v>0</v>
      </c>
      <c r="S160" s="200"/>
      <c r="T160" s="200"/>
      <c r="U160" s="201"/>
      <c r="V160" s="202"/>
      <c r="W160" s="246"/>
      <c r="X160" s="246"/>
      <c r="Y160" s="246"/>
      <c r="BC160"/>
      <c r="BD160"/>
    </row>
    <row r="161" spans="1:56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5"/>
        <v>0</v>
      </c>
      <c r="S161" s="200"/>
      <c r="T161" s="200"/>
      <c r="U161" s="201"/>
      <c r="V161" s="202"/>
      <c r="W161" s="246"/>
      <c r="X161" s="246"/>
      <c r="Y161" s="246"/>
      <c r="BC161"/>
      <c r="BD161"/>
    </row>
    <row r="162" spans="1:56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5"/>
        <v>0</v>
      </c>
      <c r="S162" s="200"/>
      <c r="T162" s="200"/>
      <c r="U162" s="201"/>
      <c r="V162" s="202"/>
      <c r="W162" s="246"/>
      <c r="X162" s="246"/>
      <c r="Y162" s="246"/>
      <c r="BC162"/>
      <c r="BD162"/>
    </row>
    <row r="163" spans="1:56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5"/>
        <v>0</v>
      </c>
      <c r="S163" s="200"/>
      <c r="T163" s="200"/>
      <c r="U163" s="201"/>
      <c r="V163" s="202"/>
      <c r="W163" s="246"/>
      <c r="X163" s="246"/>
      <c r="Y163" s="246"/>
      <c r="BC163"/>
      <c r="BD163"/>
    </row>
    <row r="164" spans="1:56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5"/>
        <v>0</v>
      </c>
      <c r="S164" s="200"/>
      <c r="T164" s="200"/>
      <c r="U164" s="201"/>
      <c r="V164" s="202"/>
      <c r="W164" s="246"/>
      <c r="X164" s="246"/>
      <c r="Y164" s="246"/>
      <c r="BC164"/>
      <c r="BD164"/>
    </row>
    <row r="165" spans="1:56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5"/>
        <v>0</v>
      </c>
      <c r="S165" s="200"/>
      <c r="T165" s="200"/>
      <c r="U165" s="201"/>
      <c r="V165" s="202"/>
      <c r="W165" s="246"/>
      <c r="X165" s="246"/>
      <c r="Y165" s="246"/>
      <c r="BC165"/>
      <c r="BD165"/>
    </row>
    <row r="166" spans="1:56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5"/>
        <v>0</v>
      </c>
      <c r="S166" s="200"/>
      <c r="T166" s="200"/>
      <c r="U166" s="201"/>
      <c r="V166" s="202"/>
      <c r="W166" s="246"/>
      <c r="X166" s="246"/>
      <c r="Y166" s="246"/>
      <c r="BC166"/>
      <c r="BD166"/>
    </row>
    <row r="167" spans="1:56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5"/>
        <v>0</v>
      </c>
      <c r="S167" s="200"/>
      <c r="T167" s="200"/>
      <c r="U167" s="201"/>
      <c r="V167" s="202"/>
      <c r="W167" s="246"/>
      <c r="X167" s="246"/>
      <c r="Y167" s="246"/>
      <c r="BC167"/>
      <c r="BD167"/>
    </row>
    <row r="168" spans="1:56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5"/>
        <v>0</v>
      </c>
      <c r="S168" s="200"/>
      <c r="T168" s="200"/>
      <c r="U168" s="201"/>
      <c r="V168" s="202"/>
      <c r="W168" s="246"/>
      <c r="X168" s="246"/>
      <c r="Y168" s="246"/>
      <c r="BC168"/>
      <c r="BD168"/>
    </row>
    <row r="169" spans="1:56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5"/>
        <v>0</v>
      </c>
      <c r="S169" s="200"/>
      <c r="T169" s="200"/>
      <c r="U169" s="201"/>
      <c r="V169" s="202"/>
      <c r="W169" s="246"/>
      <c r="X169" s="246"/>
      <c r="Y169" s="246"/>
      <c r="BC169"/>
      <c r="BD169"/>
    </row>
    <row r="170" spans="1:56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5"/>
        <v>0</v>
      </c>
      <c r="S170" s="200"/>
      <c r="T170" s="200"/>
      <c r="U170" s="201"/>
      <c r="V170" s="202"/>
      <c r="W170" s="246"/>
      <c r="X170" s="246"/>
      <c r="Y170" s="246"/>
      <c r="BC170"/>
      <c r="BD170"/>
    </row>
    <row r="171" spans="1:56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5"/>
        <v>0</v>
      </c>
      <c r="S171" s="200"/>
      <c r="T171" s="200"/>
      <c r="U171" s="201"/>
      <c r="V171" s="202"/>
      <c r="W171" s="246"/>
      <c r="X171" s="246"/>
      <c r="Y171" s="246"/>
      <c r="BC171"/>
      <c r="BD171"/>
    </row>
    <row r="172" spans="1:56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5"/>
        <v>0</v>
      </c>
      <c r="S172" s="200"/>
      <c r="T172" s="200"/>
      <c r="U172" s="201"/>
      <c r="V172" s="202"/>
      <c r="W172" s="246"/>
      <c r="X172" s="246"/>
      <c r="Y172" s="246"/>
      <c r="BC172"/>
      <c r="BD172"/>
    </row>
    <row r="173" spans="1:56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5"/>
        <v>0</v>
      </c>
      <c r="S173" s="200"/>
      <c r="T173" s="200"/>
      <c r="U173" s="201"/>
      <c r="V173" s="202"/>
      <c r="W173" s="246"/>
      <c r="X173" s="246"/>
      <c r="Y173" s="246"/>
      <c r="BC173"/>
      <c r="BD173"/>
    </row>
    <row r="174" spans="1:56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5"/>
        <v>0</v>
      </c>
      <c r="S174" s="200"/>
      <c r="T174" s="200"/>
      <c r="U174" s="201"/>
      <c r="V174" s="202"/>
      <c r="W174" s="246"/>
      <c r="X174" s="246"/>
      <c r="Y174" s="246"/>
      <c r="BC174"/>
      <c r="BD174"/>
    </row>
    <row r="175" spans="1:56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5"/>
        <v>0</v>
      </c>
      <c r="S175" s="200"/>
      <c r="T175" s="200"/>
      <c r="U175" s="201"/>
      <c r="V175" s="202"/>
      <c r="W175" s="246"/>
      <c r="X175" s="246"/>
      <c r="Y175" s="246"/>
      <c r="BC175"/>
      <c r="BD175"/>
    </row>
    <row r="176" spans="1:56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5"/>
        <v>0</v>
      </c>
      <c r="S176" s="200"/>
      <c r="T176" s="200"/>
      <c r="U176" s="201"/>
      <c r="V176" s="202"/>
      <c r="W176" s="246"/>
      <c r="X176" s="246"/>
      <c r="Y176" s="246"/>
      <c r="BC176"/>
      <c r="BD176"/>
    </row>
    <row r="177" spans="1:56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5"/>
        <v>0</v>
      </c>
      <c r="S177" s="200"/>
      <c r="T177" s="200"/>
      <c r="U177" s="201"/>
      <c r="V177" s="202"/>
      <c r="W177" s="246"/>
      <c r="X177" s="246"/>
      <c r="Y177" s="246"/>
      <c r="BC177"/>
      <c r="BD177"/>
    </row>
    <row r="178" spans="1:56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5"/>
        <v>0</v>
      </c>
      <c r="S178" s="200"/>
      <c r="T178" s="200"/>
      <c r="U178" s="201"/>
      <c r="V178" s="202"/>
      <c r="W178" s="246"/>
      <c r="X178" s="246"/>
      <c r="Y178" s="246"/>
      <c r="BC178"/>
      <c r="BD178"/>
    </row>
    <row r="179" spans="1:56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5"/>
        <v>0</v>
      </c>
      <c r="S179" s="200"/>
      <c r="T179" s="200"/>
      <c r="U179" s="201"/>
      <c r="V179" s="202"/>
      <c r="W179" s="246"/>
      <c r="X179" s="246"/>
      <c r="Y179" s="246"/>
      <c r="BC179"/>
      <c r="BD179"/>
    </row>
    <row r="180" spans="1:56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5"/>
        <v>0</v>
      </c>
      <c r="S180" s="200"/>
      <c r="T180" s="200"/>
      <c r="U180" s="201"/>
      <c r="V180" s="202"/>
      <c r="W180" s="246"/>
      <c r="X180" s="246"/>
      <c r="Y180" s="246"/>
      <c r="BC180"/>
      <c r="BD180"/>
    </row>
    <row r="181" spans="1:56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5"/>
        <v>0</v>
      </c>
      <c r="S181" s="200"/>
      <c r="T181" s="200"/>
      <c r="U181" s="201"/>
      <c r="V181" s="202"/>
      <c r="W181" s="246"/>
      <c r="X181" s="246"/>
      <c r="Y181" s="246"/>
      <c r="BC181"/>
      <c r="BD181"/>
    </row>
    <row r="182" spans="1:56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ref="R182:R245" si="6">SUM(F182:Q182)</f>
        <v>0</v>
      </c>
      <c r="S182" s="200"/>
      <c r="T182" s="200"/>
      <c r="U182" s="201"/>
      <c r="V182" s="202"/>
      <c r="W182" s="246"/>
      <c r="X182" s="246"/>
      <c r="Y182" s="246"/>
      <c r="BC182"/>
      <c r="BD182"/>
    </row>
    <row r="183" spans="1:56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6"/>
        <v>0</v>
      </c>
      <c r="S183" s="200"/>
      <c r="T183" s="200"/>
      <c r="U183" s="201"/>
      <c r="V183" s="202"/>
      <c r="W183" s="246"/>
      <c r="X183" s="246"/>
      <c r="Y183" s="246"/>
      <c r="BC183"/>
      <c r="BD183"/>
    </row>
    <row r="184" spans="1:56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6"/>
        <v>0</v>
      </c>
      <c r="S184" s="200"/>
      <c r="T184" s="200"/>
      <c r="U184" s="201"/>
      <c r="V184" s="202"/>
      <c r="W184" s="246"/>
      <c r="X184" s="246"/>
      <c r="Y184" s="246"/>
      <c r="BC184"/>
      <c r="BD184"/>
    </row>
    <row r="185" spans="1:56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6"/>
        <v>0</v>
      </c>
      <c r="S185" s="200"/>
      <c r="T185" s="200"/>
      <c r="U185" s="201"/>
      <c r="V185" s="202"/>
      <c r="W185" s="246"/>
      <c r="X185" s="246"/>
      <c r="Y185" s="246"/>
      <c r="BC185"/>
      <c r="BD185"/>
    </row>
    <row r="186" spans="1:56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6"/>
        <v>0</v>
      </c>
      <c r="S186" s="200"/>
      <c r="T186" s="200"/>
      <c r="U186" s="201"/>
      <c r="V186" s="202"/>
      <c r="W186" s="246"/>
      <c r="X186" s="246"/>
      <c r="Y186" s="246"/>
      <c r="BC186"/>
      <c r="BD186"/>
    </row>
    <row r="187" spans="1:56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6"/>
        <v>0</v>
      </c>
      <c r="S187" s="200"/>
      <c r="T187" s="200"/>
      <c r="U187" s="201"/>
      <c r="V187" s="202"/>
      <c r="W187" s="246"/>
      <c r="X187" s="246"/>
      <c r="Y187" s="246"/>
      <c r="BC187"/>
      <c r="BD187"/>
    </row>
    <row r="188" spans="1:56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6"/>
        <v>0</v>
      </c>
      <c r="S188" s="200"/>
      <c r="T188" s="200"/>
      <c r="U188" s="201"/>
      <c r="V188" s="202"/>
      <c r="W188" s="246"/>
      <c r="X188" s="246"/>
      <c r="Y188" s="246"/>
      <c r="BC188"/>
      <c r="BD188"/>
    </row>
    <row r="189" spans="1:56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6"/>
        <v>0</v>
      </c>
      <c r="S189" s="200"/>
      <c r="T189" s="200"/>
      <c r="U189" s="201"/>
      <c r="V189" s="202"/>
      <c r="W189" s="246"/>
      <c r="X189" s="246"/>
      <c r="Y189" s="246"/>
      <c r="BC189"/>
      <c r="BD189"/>
    </row>
    <row r="190" spans="1:56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6"/>
        <v>0</v>
      </c>
      <c r="S190" s="200"/>
      <c r="T190" s="200"/>
      <c r="U190" s="201"/>
      <c r="V190" s="202"/>
      <c r="W190" s="246"/>
      <c r="X190" s="246"/>
      <c r="Y190" s="246"/>
      <c r="BC190"/>
      <c r="BD190"/>
    </row>
    <row r="191" spans="1:56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6"/>
        <v>0</v>
      </c>
      <c r="S191" s="200"/>
      <c r="T191" s="200"/>
      <c r="U191" s="201"/>
      <c r="V191" s="202"/>
      <c r="W191" s="246"/>
      <c r="X191" s="246"/>
      <c r="Y191" s="246"/>
      <c r="BC191"/>
      <c r="BD191"/>
    </row>
    <row r="192" spans="1:56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6"/>
        <v>0</v>
      </c>
      <c r="S192" s="200"/>
      <c r="T192" s="200"/>
      <c r="U192" s="201"/>
      <c r="V192" s="202"/>
      <c r="W192" s="246"/>
      <c r="X192" s="246"/>
      <c r="Y192" s="246"/>
      <c r="BC192"/>
      <c r="BD192"/>
    </row>
    <row r="193" spans="1:56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6"/>
        <v>0</v>
      </c>
      <c r="S193" s="200"/>
      <c r="T193" s="200"/>
      <c r="U193" s="201"/>
      <c r="V193" s="202"/>
      <c r="W193" s="246"/>
      <c r="X193" s="246"/>
      <c r="Y193" s="246"/>
      <c r="BC193"/>
      <c r="BD193"/>
    </row>
    <row r="194" spans="1:56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6"/>
        <v>0</v>
      </c>
      <c r="S194" s="200"/>
      <c r="T194" s="200"/>
      <c r="U194" s="201"/>
      <c r="V194" s="202"/>
      <c r="W194" s="246"/>
      <c r="X194" s="246"/>
      <c r="Y194" s="246"/>
      <c r="BC194"/>
      <c r="BD194"/>
    </row>
    <row r="195" spans="1:56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6"/>
        <v>0</v>
      </c>
      <c r="S195" s="200"/>
      <c r="T195" s="200"/>
      <c r="U195" s="201"/>
      <c r="V195" s="202"/>
      <c r="W195" s="246"/>
      <c r="X195" s="246"/>
      <c r="Y195" s="246"/>
      <c r="BC195"/>
      <c r="BD195"/>
    </row>
    <row r="196" spans="1:56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6"/>
        <v>0</v>
      </c>
      <c r="S196" s="200"/>
      <c r="T196" s="200"/>
      <c r="U196" s="201"/>
      <c r="V196" s="202"/>
      <c r="W196" s="246"/>
      <c r="X196" s="246"/>
      <c r="Y196" s="246"/>
      <c r="BC196"/>
      <c r="BD196"/>
    </row>
    <row r="197" spans="1:56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6"/>
        <v>0</v>
      </c>
      <c r="S197" s="200"/>
      <c r="T197" s="200"/>
      <c r="U197" s="201"/>
      <c r="V197" s="202"/>
      <c r="W197" s="246"/>
      <c r="X197" s="246"/>
      <c r="Y197" s="246"/>
      <c r="BC197"/>
      <c r="BD197"/>
    </row>
    <row r="198" spans="1:56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6"/>
        <v>0</v>
      </c>
      <c r="S198" s="200"/>
      <c r="T198" s="200"/>
      <c r="U198" s="201"/>
      <c r="V198" s="202"/>
      <c r="W198" s="246"/>
      <c r="X198" s="246"/>
      <c r="Y198" s="246"/>
      <c r="BC198"/>
      <c r="BD198"/>
    </row>
    <row r="199" spans="1:56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6"/>
        <v>0</v>
      </c>
      <c r="S199" s="200"/>
      <c r="T199" s="200"/>
      <c r="U199" s="201"/>
      <c r="V199" s="202"/>
      <c r="W199" s="246"/>
      <c r="X199" s="246"/>
      <c r="Y199" s="246"/>
      <c r="BC199"/>
      <c r="BD199"/>
    </row>
    <row r="200" spans="1:56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6"/>
        <v>0</v>
      </c>
      <c r="S200" s="200"/>
      <c r="T200" s="200"/>
      <c r="U200" s="201"/>
      <c r="V200" s="202"/>
      <c r="W200" s="246"/>
      <c r="X200" s="246"/>
      <c r="Y200" s="246"/>
      <c r="BC200"/>
      <c r="BD200"/>
    </row>
    <row r="201" spans="1:56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6"/>
        <v>0</v>
      </c>
      <c r="S201" s="200"/>
      <c r="T201" s="200"/>
      <c r="U201" s="201"/>
      <c r="V201" s="202"/>
      <c r="W201" s="246"/>
      <c r="X201" s="246"/>
      <c r="Y201" s="246"/>
      <c r="BC201"/>
      <c r="BD201"/>
    </row>
    <row r="202" spans="1:56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6"/>
        <v>0</v>
      </c>
      <c r="S202" s="200"/>
      <c r="T202" s="200"/>
      <c r="U202" s="201"/>
      <c r="V202" s="202"/>
      <c r="W202" s="246"/>
      <c r="X202" s="246"/>
      <c r="Y202" s="246"/>
      <c r="BC202"/>
      <c r="BD202"/>
    </row>
    <row r="203" spans="1:56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6"/>
        <v>0</v>
      </c>
      <c r="S203" s="200"/>
      <c r="T203" s="200"/>
      <c r="U203" s="201"/>
      <c r="V203" s="202"/>
      <c r="W203" s="246"/>
      <c r="X203" s="246"/>
      <c r="Y203" s="246"/>
      <c r="BC203"/>
      <c r="BD203"/>
    </row>
    <row r="204" spans="1:56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6"/>
        <v>0</v>
      </c>
      <c r="S204" s="200"/>
      <c r="T204" s="200"/>
      <c r="U204" s="201"/>
      <c r="V204" s="202"/>
      <c r="W204" s="246"/>
      <c r="X204" s="246"/>
      <c r="Y204" s="246"/>
      <c r="BC204"/>
      <c r="BD204"/>
    </row>
    <row r="205" spans="1:56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6"/>
        <v>0</v>
      </c>
      <c r="S205" s="200"/>
      <c r="T205" s="200"/>
      <c r="U205" s="201"/>
      <c r="V205" s="202"/>
      <c r="W205" s="246"/>
      <c r="X205" s="246"/>
      <c r="Y205" s="246"/>
      <c r="BC205"/>
      <c r="BD205"/>
    </row>
    <row r="206" spans="1:56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6"/>
        <v>0</v>
      </c>
      <c r="S206" s="200"/>
      <c r="T206" s="200"/>
      <c r="U206" s="201"/>
      <c r="V206" s="202"/>
      <c r="W206" s="246"/>
      <c r="X206" s="246"/>
      <c r="Y206" s="246"/>
      <c r="BC206"/>
      <c r="BD206"/>
    </row>
    <row r="207" spans="1:56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6"/>
        <v>0</v>
      </c>
      <c r="S207" s="200"/>
      <c r="T207" s="200"/>
      <c r="U207" s="201"/>
      <c r="V207" s="202"/>
      <c r="W207" s="246"/>
      <c r="X207" s="246"/>
      <c r="Y207" s="246"/>
      <c r="BC207"/>
      <c r="BD207"/>
    </row>
    <row r="208" spans="1:56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6"/>
        <v>0</v>
      </c>
      <c r="S208" s="200"/>
      <c r="T208" s="200"/>
      <c r="U208" s="201"/>
      <c r="V208" s="202"/>
      <c r="W208" s="246"/>
      <c r="X208" s="246"/>
      <c r="Y208" s="246"/>
      <c r="BC208"/>
      <c r="BD208"/>
    </row>
    <row r="209" spans="1:56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6"/>
        <v>0</v>
      </c>
      <c r="S209" s="200"/>
      <c r="T209" s="200"/>
      <c r="U209" s="201"/>
      <c r="V209" s="202"/>
      <c r="W209" s="246"/>
      <c r="X209" s="246"/>
      <c r="Y209" s="246"/>
      <c r="BC209"/>
      <c r="BD209"/>
    </row>
    <row r="210" spans="1:56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6"/>
        <v>0</v>
      </c>
      <c r="S210" s="200"/>
      <c r="T210" s="200"/>
      <c r="U210" s="201"/>
      <c r="V210" s="202"/>
      <c r="W210" s="246"/>
      <c r="X210" s="246"/>
      <c r="Y210" s="246"/>
      <c r="BC210"/>
      <c r="BD210"/>
    </row>
    <row r="211" spans="1:56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6"/>
        <v>0</v>
      </c>
      <c r="S211" s="200"/>
      <c r="T211" s="200"/>
      <c r="U211" s="201"/>
      <c r="V211" s="202"/>
      <c r="W211" s="246"/>
      <c r="X211" s="246"/>
      <c r="Y211" s="246"/>
      <c r="BC211"/>
      <c r="BD211"/>
    </row>
    <row r="212" spans="1:56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6"/>
        <v>0</v>
      </c>
      <c r="S212" s="200"/>
      <c r="T212" s="200"/>
      <c r="U212" s="201"/>
      <c r="V212" s="202"/>
      <c r="W212" s="246"/>
      <c r="X212" s="246"/>
      <c r="Y212" s="246"/>
      <c r="BC212"/>
      <c r="BD212"/>
    </row>
    <row r="213" spans="1:56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6"/>
        <v>0</v>
      </c>
      <c r="S213" s="200"/>
      <c r="T213" s="200"/>
      <c r="U213" s="201"/>
      <c r="V213" s="202"/>
      <c r="W213" s="246"/>
      <c r="X213" s="246"/>
      <c r="Y213" s="246"/>
      <c r="BC213"/>
      <c r="BD213"/>
    </row>
    <row r="214" spans="1:56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6"/>
        <v>0</v>
      </c>
      <c r="S214" s="200"/>
      <c r="T214" s="200"/>
      <c r="U214" s="201"/>
      <c r="V214" s="202"/>
      <c r="W214" s="246"/>
      <c r="X214" s="246"/>
      <c r="Y214" s="246"/>
      <c r="BC214"/>
      <c r="BD214"/>
    </row>
    <row r="215" spans="1:56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6"/>
        <v>0</v>
      </c>
      <c r="S215" s="200"/>
      <c r="T215" s="200"/>
      <c r="U215" s="201"/>
      <c r="V215" s="202"/>
      <c r="W215" s="246"/>
      <c r="X215" s="246"/>
      <c r="Y215" s="246"/>
      <c r="BC215"/>
      <c r="BD215"/>
    </row>
    <row r="216" spans="1:56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6"/>
        <v>0</v>
      </c>
      <c r="S216" s="200"/>
      <c r="T216" s="200"/>
      <c r="U216" s="201"/>
      <c r="V216" s="202"/>
      <c r="W216" s="246"/>
      <c r="X216" s="246"/>
      <c r="Y216" s="246"/>
      <c r="BC216"/>
      <c r="BD216"/>
    </row>
    <row r="217" spans="1:56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6"/>
        <v>0</v>
      </c>
      <c r="S217" s="200"/>
      <c r="T217" s="200"/>
      <c r="U217" s="201"/>
      <c r="V217" s="202"/>
      <c r="W217" s="246"/>
      <c r="X217" s="246"/>
      <c r="Y217" s="246"/>
      <c r="BC217"/>
      <c r="BD217"/>
    </row>
    <row r="218" spans="1:56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6"/>
        <v>0</v>
      </c>
      <c r="S218" s="200"/>
      <c r="T218" s="200"/>
      <c r="U218" s="201"/>
      <c r="V218" s="202"/>
      <c r="W218" s="246"/>
      <c r="X218" s="246"/>
      <c r="Y218" s="246"/>
      <c r="BC218"/>
      <c r="BD218"/>
    </row>
    <row r="219" spans="1:56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6"/>
        <v>0</v>
      </c>
      <c r="S219" s="200"/>
      <c r="T219" s="200"/>
      <c r="U219" s="201"/>
      <c r="V219" s="202"/>
      <c r="W219" s="246"/>
      <c r="X219" s="246"/>
      <c r="Y219" s="246"/>
      <c r="BC219"/>
      <c r="BD219"/>
    </row>
    <row r="220" spans="1:56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6"/>
        <v>0</v>
      </c>
      <c r="S220" s="200"/>
      <c r="T220" s="200"/>
      <c r="U220" s="201"/>
      <c r="V220" s="202"/>
      <c r="W220" s="246"/>
      <c r="X220" s="246"/>
      <c r="Y220" s="246"/>
      <c r="BC220"/>
      <c r="BD220"/>
    </row>
    <row r="221" spans="1:56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6"/>
        <v>0</v>
      </c>
      <c r="S221" s="200"/>
      <c r="T221" s="200"/>
      <c r="U221" s="201"/>
      <c r="V221" s="202"/>
      <c r="W221" s="246"/>
      <c r="X221" s="246"/>
      <c r="Y221" s="246"/>
      <c r="BC221"/>
      <c r="BD221"/>
    </row>
    <row r="222" spans="1:56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6"/>
        <v>0</v>
      </c>
      <c r="S222" s="200"/>
      <c r="T222" s="200"/>
      <c r="U222" s="201"/>
      <c r="V222" s="202"/>
      <c r="W222" s="246"/>
      <c r="X222" s="246"/>
      <c r="Y222" s="246"/>
      <c r="BC222"/>
      <c r="BD222"/>
    </row>
    <row r="223" spans="1:56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6"/>
        <v>0</v>
      </c>
      <c r="S223" s="200"/>
      <c r="T223" s="200"/>
      <c r="U223" s="201"/>
      <c r="V223" s="202"/>
      <c r="W223" s="246"/>
      <c r="X223" s="246"/>
      <c r="Y223" s="246"/>
      <c r="BC223"/>
      <c r="BD223"/>
    </row>
    <row r="224" spans="1:56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6"/>
        <v>0</v>
      </c>
      <c r="S224" s="200"/>
      <c r="T224" s="200"/>
      <c r="U224" s="201"/>
      <c r="V224" s="202"/>
      <c r="W224" s="246"/>
      <c r="X224" s="246"/>
      <c r="Y224" s="246"/>
      <c r="BC224"/>
      <c r="BD224"/>
    </row>
    <row r="225" spans="1:56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6"/>
        <v>0</v>
      </c>
      <c r="S225" s="200"/>
      <c r="T225" s="200"/>
      <c r="U225" s="201"/>
      <c r="V225" s="202"/>
      <c r="W225" s="246"/>
      <c r="X225" s="246"/>
      <c r="Y225" s="246"/>
      <c r="BC225"/>
      <c r="BD225"/>
    </row>
    <row r="226" spans="1:56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6"/>
        <v>0</v>
      </c>
      <c r="S226" s="200"/>
      <c r="T226" s="200"/>
      <c r="U226" s="201"/>
      <c r="V226" s="202"/>
      <c r="W226" s="246"/>
      <c r="X226" s="246"/>
      <c r="Y226" s="246"/>
      <c r="BC226"/>
      <c r="BD226"/>
    </row>
    <row r="227" spans="1:56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6"/>
        <v>0</v>
      </c>
      <c r="S227" s="200"/>
      <c r="T227" s="200"/>
      <c r="U227" s="201"/>
      <c r="V227" s="202"/>
      <c r="W227" s="246"/>
      <c r="X227" s="246"/>
      <c r="Y227" s="246"/>
      <c r="BC227"/>
      <c r="BD227"/>
    </row>
    <row r="228" spans="1:56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6"/>
        <v>0</v>
      </c>
      <c r="S228" s="200"/>
      <c r="T228" s="200"/>
      <c r="U228" s="201"/>
      <c r="V228" s="202"/>
      <c r="W228" s="246"/>
      <c r="X228" s="246"/>
      <c r="Y228" s="246"/>
      <c r="BC228"/>
      <c r="BD228"/>
    </row>
    <row r="229" spans="1:56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6"/>
        <v>0</v>
      </c>
      <c r="S229" s="200"/>
      <c r="T229" s="200"/>
      <c r="U229" s="201"/>
      <c r="V229" s="202"/>
      <c r="W229" s="246"/>
      <c r="X229" s="246"/>
      <c r="Y229" s="246"/>
      <c r="BC229"/>
      <c r="BD229"/>
    </row>
    <row r="230" spans="1:56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6"/>
        <v>0</v>
      </c>
      <c r="S230" s="200"/>
      <c r="T230" s="200"/>
      <c r="U230" s="201"/>
      <c r="V230" s="202"/>
      <c r="W230" s="246"/>
      <c r="X230" s="246"/>
      <c r="Y230" s="246"/>
      <c r="BC230"/>
      <c r="BD230"/>
    </row>
    <row r="231" spans="1:56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6"/>
        <v>0</v>
      </c>
      <c r="S231" s="200"/>
      <c r="T231" s="200"/>
      <c r="U231" s="201"/>
      <c r="V231" s="202"/>
      <c r="W231" s="246"/>
      <c r="X231" s="246"/>
      <c r="Y231" s="246"/>
      <c r="BC231"/>
      <c r="BD231"/>
    </row>
    <row r="232" spans="1:56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6"/>
        <v>0</v>
      </c>
      <c r="S232" s="200"/>
      <c r="T232" s="200"/>
      <c r="U232" s="201"/>
      <c r="V232" s="202"/>
      <c r="W232" s="246"/>
      <c r="X232" s="246"/>
      <c r="Y232" s="246"/>
      <c r="BC232"/>
      <c r="BD232"/>
    </row>
    <row r="233" spans="1:56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6"/>
        <v>0</v>
      </c>
      <c r="S233" s="200"/>
      <c r="T233" s="200"/>
      <c r="U233" s="201"/>
      <c r="V233" s="202"/>
      <c r="W233" s="246"/>
      <c r="X233" s="246"/>
      <c r="Y233" s="246"/>
      <c r="BC233"/>
      <c r="BD233"/>
    </row>
    <row r="234" spans="1:56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6"/>
        <v>0</v>
      </c>
      <c r="S234" s="200"/>
      <c r="T234" s="200"/>
      <c r="U234" s="201"/>
      <c r="V234" s="202"/>
      <c r="W234" s="246"/>
      <c r="X234" s="246"/>
      <c r="Y234" s="246"/>
      <c r="BC234"/>
      <c r="BD234"/>
    </row>
    <row r="235" spans="1:56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6"/>
        <v>0</v>
      </c>
      <c r="S235" s="200"/>
      <c r="T235" s="200"/>
      <c r="U235" s="201"/>
      <c r="V235" s="202"/>
      <c r="W235" s="246"/>
      <c r="X235" s="246"/>
      <c r="Y235" s="246"/>
      <c r="BC235"/>
      <c r="BD235"/>
    </row>
    <row r="236" spans="1:56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6"/>
        <v>0</v>
      </c>
      <c r="S236" s="200"/>
      <c r="T236" s="200"/>
      <c r="U236" s="201"/>
      <c r="V236" s="202"/>
      <c r="W236" s="246"/>
      <c r="X236" s="246"/>
      <c r="Y236" s="246"/>
      <c r="BC236"/>
      <c r="BD236"/>
    </row>
    <row r="237" spans="1:56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6"/>
        <v>0</v>
      </c>
      <c r="S237" s="200"/>
      <c r="T237" s="200"/>
      <c r="U237" s="201"/>
      <c r="V237" s="202"/>
      <c r="W237" s="246"/>
      <c r="X237" s="246"/>
      <c r="Y237" s="246"/>
      <c r="BC237"/>
      <c r="BD237"/>
    </row>
    <row r="238" spans="1:56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6"/>
        <v>0</v>
      </c>
      <c r="S238" s="200"/>
      <c r="T238" s="200"/>
      <c r="U238" s="201"/>
      <c r="V238" s="202"/>
      <c r="W238" s="246"/>
      <c r="X238" s="246"/>
      <c r="Y238" s="246"/>
      <c r="BC238"/>
      <c r="BD238"/>
    </row>
    <row r="239" spans="1:56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6"/>
        <v>0</v>
      </c>
      <c r="S239" s="200"/>
      <c r="T239" s="200"/>
      <c r="U239" s="201"/>
      <c r="V239" s="202"/>
      <c r="W239" s="246"/>
      <c r="X239" s="246"/>
      <c r="Y239" s="246"/>
      <c r="BC239"/>
      <c r="BD239"/>
    </row>
    <row r="240" spans="1:56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6"/>
        <v>0</v>
      </c>
      <c r="S240" s="200"/>
      <c r="T240" s="200"/>
      <c r="U240" s="201"/>
      <c r="V240" s="202"/>
      <c r="W240" s="246"/>
      <c r="X240" s="246"/>
      <c r="Y240" s="246"/>
      <c r="BC240"/>
      <c r="BD240"/>
    </row>
    <row r="241" spans="1:56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6"/>
        <v>0</v>
      </c>
      <c r="S241" s="200"/>
      <c r="T241" s="200"/>
      <c r="U241" s="201"/>
      <c r="V241" s="202"/>
      <c r="W241" s="246"/>
      <c r="X241" s="246"/>
      <c r="Y241" s="246"/>
      <c r="BC241"/>
      <c r="BD241"/>
    </row>
    <row r="242" spans="1:56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6"/>
        <v>0</v>
      </c>
      <c r="S242" s="200"/>
      <c r="T242" s="200"/>
      <c r="U242" s="201"/>
      <c r="V242" s="202"/>
      <c r="W242" s="246"/>
      <c r="X242" s="246"/>
      <c r="Y242" s="246"/>
      <c r="BC242"/>
      <c r="BD242"/>
    </row>
    <row r="243" spans="1:56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6"/>
        <v>0</v>
      </c>
      <c r="S243" s="200"/>
      <c r="T243" s="200"/>
      <c r="U243" s="201"/>
      <c r="V243" s="202"/>
      <c r="W243" s="246"/>
      <c r="X243" s="246"/>
      <c r="Y243" s="246"/>
      <c r="BC243"/>
      <c r="BD243"/>
    </row>
    <row r="244" spans="1:56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6"/>
        <v>0</v>
      </c>
      <c r="S244" s="200"/>
      <c r="T244" s="200"/>
      <c r="U244" s="201"/>
      <c r="V244" s="202"/>
      <c r="W244" s="246"/>
      <c r="X244" s="246"/>
      <c r="Y244" s="246"/>
      <c r="BC244"/>
      <c r="BD244"/>
    </row>
    <row r="245" spans="1:56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6"/>
        <v>0</v>
      </c>
      <c r="S245" s="200"/>
      <c r="T245" s="200"/>
      <c r="U245" s="201"/>
      <c r="V245" s="202"/>
      <c r="W245" s="246"/>
      <c r="X245" s="246"/>
      <c r="Y245" s="246"/>
      <c r="BC245"/>
      <c r="BD245"/>
    </row>
    <row r="246" spans="1:56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ref="R246:R309" si="7">SUM(F246:Q246)</f>
        <v>0</v>
      </c>
      <c r="S246" s="200"/>
      <c r="T246" s="200"/>
      <c r="U246" s="201"/>
      <c r="V246" s="202"/>
      <c r="W246" s="246"/>
      <c r="X246" s="246"/>
      <c r="Y246" s="246"/>
      <c r="BC246"/>
      <c r="BD246"/>
    </row>
    <row r="247" spans="1:56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7"/>
        <v>0</v>
      </c>
      <c r="S247" s="200"/>
      <c r="T247" s="200"/>
      <c r="U247" s="201"/>
      <c r="V247" s="202"/>
      <c r="W247" s="246"/>
      <c r="X247" s="246"/>
      <c r="Y247" s="246"/>
      <c r="BC247"/>
      <c r="BD247"/>
    </row>
    <row r="248" spans="1:56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7"/>
        <v>0</v>
      </c>
      <c r="S248" s="200"/>
      <c r="T248" s="200"/>
      <c r="U248" s="201"/>
      <c r="V248" s="202"/>
      <c r="W248" s="246"/>
      <c r="X248" s="246"/>
      <c r="Y248" s="246"/>
      <c r="BC248"/>
      <c r="BD248"/>
    </row>
    <row r="249" spans="1:56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7"/>
        <v>0</v>
      </c>
      <c r="S249" s="200"/>
      <c r="T249" s="200"/>
      <c r="U249" s="201"/>
      <c r="V249" s="202"/>
      <c r="W249" s="246"/>
      <c r="X249" s="246"/>
      <c r="Y249" s="246"/>
      <c r="BC249"/>
      <c r="BD249"/>
    </row>
    <row r="250" spans="1:56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7"/>
        <v>0</v>
      </c>
      <c r="S250" s="200"/>
      <c r="T250" s="200"/>
      <c r="U250" s="201"/>
      <c r="V250" s="202"/>
      <c r="W250" s="246"/>
      <c r="X250" s="246"/>
      <c r="Y250" s="246"/>
      <c r="BC250"/>
      <c r="BD250"/>
    </row>
    <row r="251" spans="1:56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7"/>
        <v>0</v>
      </c>
      <c r="S251" s="200"/>
      <c r="T251" s="200"/>
      <c r="U251" s="201"/>
      <c r="V251" s="202"/>
      <c r="W251" s="246"/>
      <c r="X251" s="246"/>
      <c r="Y251" s="246"/>
      <c r="BC251"/>
      <c r="BD251"/>
    </row>
    <row r="252" spans="1:56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7"/>
        <v>0</v>
      </c>
      <c r="S252" s="200"/>
      <c r="T252" s="200"/>
      <c r="U252" s="201"/>
      <c r="V252" s="202"/>
      <c r="W252" s="246"/>
      <c r="X252" s="246"/>
      <c r="Y252" s="246"/>
      <c r="BC252"/>
      <c r="BD252"/>
    </row>
    <row r="253" spans="1:56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7"/>
        <v>0</v>
      </c>
      <c r="S253" s="200"/>
      <c r="T253" s="200"/>
      <c r="U253" s="201"/>
      <c r="V253" s="202"/>
      <c r="W253" s="246"/>
      <c r="X253" s="246"/>
      <c r="Y253" s="246"/>
      <c r="BC253"/>
      <c r="BD253"/>
    </row>
    <row r="254" spans="1:56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7"/>
        <v>0</v>
      </c>
      <c r="S254" s="200"/>
      <c r="T254" s="200"/>
      <c r="U254" s="201"/>
      <c r="V254" s="202"/>
      <c r="W254" s="246"/>
      <c r="X254" s="246"/>
      <c r="Y254" s="246"/>
      <c r="BC254"/>
      <c r="BD254"/>
    </row>
    <row r="255" spans="1:56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7"/>
        <v>0</v>
      </c>
      <c r="S255" s="200"/>
      <c r="T255" s="200"/>
      <c r="U255" s="201"/>
      <c r="V255" s="202"/>
      <c r="W255" s="246"/>
      <c r="X255" s="246"/>
      <c r="Y255" s="246"/>
      <c r="BC255"/>
      <c r="BD255"/>
    </row>
    <row r="256" spans="1:56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7"/>
        <v>0</v>
      </c>
      <c r="S256" s="200"/>
      <c r="T256" s="200"/>
      <c r="U256" s="201"/>
      <c r="V256" s="202"/>
      <c r="W256" s="246"/>
      <c r="X256" s="246"/>
      <c r="Y256" s="246"/>
      <c r="BC256"/>
      <c r="BD256"/>
    </row>
    <row r="257" spans="1:56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7"/>
        <v>0</v>
      </c>
      <c r="S257" s="200"/>
      <c r="T257" s="200"/>
      <c r="U257" s="201"/>
      <c r="V257" s="202"/>
      <c r="W257" s="246"/>
      <c r="X257" s="246"/>
      <c r="Y257" s="246"/>
      <c r="BC257"/>
      <c r="BD257"/>
    </row>
    <row r="258" spans="1:56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7"/>
        <v>0</v>
      </c>
      <c r="S258" s="200"/>
      <c r="T258" s="200"/>
      <c r="U258" s="201"/>
      <c r="V258" s="202"/>
      <c r="W258" s="246"/>
      <c r="X258" s="246"/>
      <c r="Y258" s="246"/>
      <c r="BC258"/>
      <c r="BD258"/>
    </row>
    <row r="259" spans="1:56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7"/>
        <v>0</v>
      </c>
      <c r="S259" s="200"/>
      <c r="T259" s="200"/>
      <c r="U259" s="201"/>
      <c r="V259" s="202"/>
      <c r="W259" s="246"/>
      <c r="X259" s="246"/>
      <c r="Y259" s="246"/>
      <c r="BC259"/>
      <c r="BD259"/>
    </row>
    <row r="260" spans="1:56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7"/>
        <v>0</v>
      </c>
      <c r="S260" s="200"/>
      <c r="T260" s="200"/>
      <c r="U260" s="201"/>
      <c r="V260" s="202"/>
      <c r="W260" s="246"/>
      <c r="X260" s="246"/>
      <c r="Y260" s="246"/>
      <c r="BC260"/>
      <c r="BD260"/>
    </row>
    <row r="261" spans="1:56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7"/>
        <v>0</v>
      </c>
      <c r="S261" s="200"/>
      <c r="T261" s="200"/>
      <c r="U261" s="201"/>
      <c r="V261" s="202"/>
      <c r="W261" s="246"/>
      <c r="X261" s="246"/>
      <c r="Y261" s="246"/>
      <c r="BC261"/>
      <c r="BD261"/>
    </row>
    <row r="262" spans="1:56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7"/>
        <v>0</v>
      </c>
      <c r="S262" s="200"/>
      <c r="T262" s="200"/>
      <c r="U262" s="201"/>
      <c r="V262" s="202"/>
      <c r="W262" s="246"/>
      <c r="X262" s="246"/>
      <c r="Y262" s="246"/>
      <c r="BC262"/>
      <c r="BD262"/>
    </row>
    <row r="263" spans="1:56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7"/>
        <v>0</v>
      </c>
      <c r="S263" s="200"/>
      <c r="T263" s="200"/>
      <c r="U263" s="201"/>
      <c r="V263" s="202"/>
      <c r="W263" s="246"/>
      <c r="X263" s="246"/>
      <c r="Y263" s="246"/>
      <c r="BC263"/>
      <c r="BD263"/>
    </row>
    <row r="264" spans="1:56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7"/>
        <v>0</v>
      </c>
      <c r="S264" s="200"/>
      <c r="T264" s="200"/>
      <c r="U264" s="201"/>
      <c r="V264" s="202"/>
      <c r="W264" s="246"/>
      <c r="X264" s="246"/>
      <c r="Y264" s="246"/>
      <c r="BC264"/>
      <c r="BD264"/>
    </row>
    <row r="265" spans="1:56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7"/>
        <v>0</v>
      </c>
      <c r="S265" s="200"/>
      <c r="T265" s="200"/>
      <c r="U265" s="201"/>
      <c r="V265" s="202"/>
      <c r="W265" s="246"/>
      <c r="X265" s="246"/>
      <c r="Y265" s="246"/>
      <c r="BC265"/>
      <c r="BD265"/>
    </row>
    <row r="266" spans="1:56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7"/>
        <v>0</v>
      </c>
      <c r="S266" s="200"/>
      <c r="T266" s="200"/>
      <c r="U266" s="201"/>
      <c r="V266" s="202"/>
      <c r="W266" s="246"/>
      <c r="X266" s="246"/>
      <c r="Y266" s="246"/>
      <c r="BC266"/>
      <c r="BD266"/>
    </row>
    <row r="267" spans="1:56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7"/>
        <v>0</v>
      </c>
      <c r="S267" s="200"/>
      <c r="T267" s="200"/>
      <c r="U267" s="201"/>
      <c r="V267" s="202"/>
      <c r="W267" s="246"/>
      <c r="X267" s="246"/>
      <c r="Y267" s="246"/>
      <c r="BC267"/>
      <c r="BD267"/>
    </row>
    <row r="268" spans="1:56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7"/>
        <v>0</v>
      </c>
      <c r="S268" s="200"/>
      <c r="T268" s="200"/>
      <c r="U268" s="201"/>
      <c r="V268" s="202"/>
      <c r="W268" s="246"/>
      <c r="X268" s="246"/>
      <c r="Y268" s="246"/>
      <c r="BC268"/>
      <c r="BD268"/>
    </row>
    <row r="269" spans="1:56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7"/>
        <v>0</v>
      </c>
      <c r="S269" s="200"/>
      <c r="T269" s="200"/>
      <c r="U269" s="201"/>
      <c r="V269" s="202"/>
      <c r="W269" s="246"/>
      <c r="X269" s="246"/>
      <c r="Y269" s="246"/>
      <c r="BC269"/>
      <c r="BD269"/>
    </row>
    <row r="270" spans="1:56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7"/>
        <v>0</v>
      </c>
      <c r="S270" s="200"/>
      <c r="T270" s="200"/>
      <c r="U270" s="201"/>
      <c r="V270" s="202"/>
      <c r="W270" s="246"/>
      <c r="X270" s="246"/>
      <c r="Y270" s="246"/>
      <c r="BC270"/>
      <c r="BD270"/>
    </row>
    <row r="271" spans="1:56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7"/>
        <v>0</v>
      </c>
      <c r="S271" s="200"/>
      <c r="T271" s="200"/>
      <c r="U271" s="201"/>
      <c r="V271" s="202"/>
      <c r="W271" s="246"/>
      <c r="X271" s="246"/>
      <c r="Y271" s="246"/>
      <c r="BC271"/>
      <c r="BD271"/>
    </row>
    <row r="272" spans="1:56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7"/>
        <v>0</v>
      </c>
      <c r="S272" s="200"/>
      <c r="T272" s="200"/>
      <c r="U272" s="201"/>
      <c r="V272" s="202"/>
      <c r="W272" s="246"/>
      <c r="X272" s="246"/>
      <c r="Y272" s="246"/>
      <c r="BC272"/>
      <c r="BD272"/>
    </row>
    <row r="273" spans="1:56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7"/>
        <v>0</v>
      </c>
      <c r="S273" s="200"/>
      <c r="T273" s="200"/>
      <c r="U273" s="201"/>
      <c r="V273" s="202"/>
      <c r="W273" s="246"/>
      <c r="X273" s="246"/>
      <c r="Y273" s="246"/>
      <c r="BC273"/>
      <c r="BD273"/>
    </row>
    <row r="274" spans="1:56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7"/>
        <v>0</v>
      </c>
      <c r="S274" s="200"/>
      <c r="T274" s="200"/>
      <c r="U274" s="201"/>
      <c r="V274" s="202"/>
      <c r="W274" s="246"/>
      <c r="X274" s="246"/>
      <c r="Y274" s="246"/>
      <c r="BC274"/>
      <c r="BD274"/>
    </row>
    <row r="275" spans="1:56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7"/>
        <v>0</v>
      </c>
      <c r="S275" s="200"/>
      <c r="T275" s="200"/>
      <c r="U275" s="201"/>
      <c r="V275" s="202"/>
      <c r="W275" s="246"/>
      <c r="X275" s="246"/>
      <c r="Y275" s="246"/>
      <c r="BC275"/>
      <c r="BD275"/>
    </row>
    <row r="276" spans="1:56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7"/>
        <v>0</v>
      </c>
      <c r="S276" s="200"/>
      <c r="T276" s="200"/>
      <c r="U276" s="201"/>
      <c r="V276" s="202"/>
      <c r="W276" s="246"/>
      <c r="X276" s="246"/>
      <c r="Y276" s="246"/>
      <c r="BC276"/>
      <c r="BD276"/>
    </row>
    <row r="277" spans="1:56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7"/>
        <v>0</v>
      </c>
      <c r="S277" s="200"/>
      <c r="T277" s="200"/>
      <c r="U277" s="201"/>
      <c r="V277" s="202"/>
      <c r="W277" s="246"/>
      <c r="X277" s="246"/>
      <c r="Y277" s="246"/>
      <c r="BC277"/>
      <c r="BD277"/>
    </row>
    <row r="278" spans="1:56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7"/>
        <v>0</v>
      </c>
      <c r="S278" s="200"/>
      <c r="T278" s="200"/>
      <c r="U278" s="201"/>
      <c r="V278" s="202"/>
      <c r="W278" s="246"/>
      <c r="X278" s="246"/>
      <c r="Y278" s="246"/>
      <c r="BC278"/>
      <c r="BD278"/>
    </row>
    <row r="279" spans="1:56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7"/>
        <v>0</v>
      </c>
      <c r="S279" s="200"/>
      <c r="T279" s="200"/>
      <c r="U279" s="201"/>
      <c r="V279" s="202"/>
      <c r="W279" s="246"/>
      <c r="X279" s="246"/>
      <c r="Y279" s="246"/>
      <c r="BC279"/>
      <c r="BD279"/>
    </row>
    <row r="280" spans="1:56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7"/>
        <v>0</v>
      </c>
      <c r="S280" s="200"/>
      <c r="T280" s="200"/>
      <c r="U280" s="201"/>
      <c r="V280" s="202"/>
      <c r="W280" s="246"/>
      <c r="X280" s="246"/>
      <c r="Y280" s="246"/>
      <c r="BC280"/>
      <c r="BD280"/>
    </row>
    <row r="281" spans="1:56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7"/>
        <v>0</v>
      </c>
      <c r="S281" s="200"/>
      <c r="T281" s="200"/>
      <c r="U281" s="201"/>
      <c r="V281" s="202"/>
      <c r="W281" s="246"/>
      <c r="X281" s="246"/>
      <c r="Y281" s="246"/>
      <c r="BC281"/>
      <c r="BD281"/>
    </row>
    <row r="282" spans="1:56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7"/>
        <v>0</v>
      </c>
      <c r="S282" s="200"/>
      <c r="T282" s="200"/>
      <c r="U282" s="201"/>
      <c r="V282" s="202"/>
      <c r="W282" s="246"/>
      <c r="X282" s="246"/>
      <c r="Y282" s="246"/>
      <c r="BC282"/>
      <c r="BD282"/>
    </row>
    <row r="283" spans="1:56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7"/>
        <v>0</v>
      </c>
      <c r="S283" s="200"/>
      <c r="T283" s="200"/>
      <c r="U283" s="201"/>
      <c r="V283" s="202"/>
      <c r="W283" s="246"/>
      <c r="X283" s="246"/>
      <c r="Y283" s="246"/>
      <c r="BC283"/>
      <c r="BD283"/>
    </row>
    <row r="284" spans="1:56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7"/>
        <v>0</v>
      </c>
      <c r="S284" s="200"/>
      <c r="T284" s="200"/>
      <c r="U284" s="201"/>
      <c r="V284" s="202"/>
      <c r="W284" s="246"/>
      <c r="X284" s="246"/>
      <c r="Y284" s="246"/>
      <c r="BC284"/>
      <c r="BD284"/>
    </row>
    <row r="285" spans="1:56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7"/>
        <v>0</v>
      </c>
      <c r="S285" s="200"/>
      <c r="T285" s="200"/>
      <c r="U285" s="201"/>
      <c r="V285" s="202"/>
      <c r="W285" s="246"/>
      <c r="X285" s="246"/>
      <c r="Y285" s="246"/>
      <c r="BC285"/>
      <c r="BD285"/>
    </row>
    <row r="286" spans="1:56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7"/>
        <v>0</v>
      </c>
      <c r="S286" s="200"/>
      <c r="T286" s="200"/>
      <c r="U286" s="201"/>
      <c r="V286" s="202"/>
      <c r="W286" s="246"/>
      <c r="X286" s="246"/>
      <c r="Y286" s="246"/>
      <c r="BC286"/>
      <c r="BD286"/>
    </row>
    <row r="287" spans="1:56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7"/>
        <v>0</v>
      </c>
      <c r="S287" s="200"/>
      <c r="T287" s="200"/>
      <c r="U287" s="201"/>
      <c r="V287" s="202"/>
      <c r="W287" s="246"/>
      <c r="X287" s="246"/>
      <c r="Y287" s="246"/>
      <c r="BC287"/>
      <c r="BD287"/>
    </row>
    <row r="288" spans="1:56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7"/>
        <v>0</v>
      </c>
      <c r="S288" s="200"/>
      <c r="T288" s="200"/>
      <c r="U288" s="201"/>
      <c r="V288" s="202"/>
      <c r="W288" s="246"/>
      <c r="X288" s="246"/>
      <c r="Y288" s="246"/>
      <c r="BC288"/>
      <c r="BD288"/>
    </row>
    <row r="289" spans="1:56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7"/>
        <v>0</v>
      </c>
      <c r="S289" s="200"/>
      <c r="T289" s="200"/>
      <c r="U289" s="201"/>
      <c r="V289" s="202"/>
      <c r="W289" s="246"/>
      <c r="X289" s="246"/>
      <c r="Y289" s="246"/>
      <c r="BC289"/>
      <c r="BD289"/>
    </row>
    <row r="290" spans="1:56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7"/>
        <v>0</v>
      </c>
      <c r="S290" s="200"/>
      <c r="T290" s="200"/>
      <c r="U290" s="201"/>
      <c r="V290" s="202"/>
      <c r="W290" s="246"/>
      <c r="X290" s="246"/>
      <c r="Y290" s="246"/>
      <c r="BC290"/>
      <c r="BD290"/>
    </row>
    <row r="291" spans="1:56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7"/>
        <v>0</v>
      </c>
      <c r="S291" s="200"/>
      <c r="T291" s="200"/>
      <c r="U291" s="201"/>
      <c r="V291" s="202"/>
      <c r="W291" s="246"/>
      <c r="X291" s="246"/>
      <c r="Y291" s="246"/>
      <c r="BC291"/>
      <c r="BD291"/>
    </row>
    <row r="292" spans="1:56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7"/>
        <v>0</v>
      </c>
      <c r="S292" s="200"/>
      <c r="T292" s="200"/>
      <c r="U292" s="201"/>
      <c r="V292" s="202"/>
      <c r="W292" s="246"/>
      <c r="X292" s="246"/>
      <c r="Y292" s="246"/>
      <c r="BC292"/>
      <c r="BD292"/>
    </row>
    <row r="293" spans="1:56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7"/>
        <v>0</v>
      </c>
      <c r="S293" s="200"/>
      <c r="T293" s="200"/>
      <c r="U293" s="201"/>
      <c r="V293" s="202"/>
      <c r="W293" s="246"/>
      <c r="X293" s="246"/>
      <c r="Y293" s="246"/>
      <c r="BC293"/>
      <c r="BD293"/>
    </row>
    <row r="294" spans="1:56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7"/>
        <v>0</v>
      </c>
      <c r="S294" s="200"/>
      <c r="T294" s="200"/>
      <c r="U294" s="201"/>
      <c r="V294" s="202"/>
      <c r="W294" s="246"/>
      <c r="X294" s="246"/>
      <c r="Y294" s="246"/>
      <c r="BC294"/>
      <c r="BD294"/>
    </row>
    <row r="295" spans="1:56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7"/>
        <v>0</v>
      </c>
      <c r="S295" s="200"/>
      <c r="T295" s="200"/>
      <c r="U295" s="201"/>
      <c r="V295" s="202"/>
      <c r="W295" s="246"/>
      <c r="X295" s="246"/>
      <c r="Y295" s="246"/>
      <c r="BC295"/>
      <c r="BD295"/>
    </row>
    <row r="296" spans="1:56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7"/>
        <v>0</v>
      </c>
      <c r="S296" s="200"/>
      <c r="T296" s="200"/>
      <c r="U296" s="201"/>
      <c r="V296" s="202"/>
      <c r="W296" s="246"/>
      <c r="X296" s="246"/>
      <c r="Y296" s="246"/>
      <c r="BC296"/>
      <c r="BD296"/>
    </row>
    <row r="297" spans="1:56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7"/>
        <v>0</v>
      </c>
      <c r="S297" s="200"/>
      <c r="T297" s="200"/>
      <c r="U297" s="201"/>
      <c r="V297" s="202"/>
      <c r="W297" s="246"/>
      <c r="X297" s="246"/>
      <c r="Y297" s="246"/>
      <c r="BC297"/>
      <c r="BD297"/>
    </row>
    <row r="298" spans="1:56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7"/>
        <v>0</v>
      </c>
      <c r="S298" s="200"/>
      <c r="T298" s="200"/>
      <c r="U298" s="201"/>
      <c r="V298" s="202"/>
      <c r="W298" s="246"/>
      <c r="X298" s="246"/>
      <c r="Y298" s="246"/>
      <c r="BC298"/>
      <c r="BD298"/>
    </row>
    <row r="299" spans="1:56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7"/>
        <v>0</v>
      </c>
      <c r="S299" s="200"/>
      <c r="T299" s="200"/>
      <c r="U299" s="201"/>
      <c r="V299" s="202"/>
      <c r="W299" s="246"/>
      <c r="X299" s="246"/>
      <c r="Y299" s="246"/>
      <c r="BC299"/>
      <c r="BD299"/>
    </row>
    <row r="300" spans="1:56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7"/>
        <v>0</v>
      </c>
      <c r="S300" s="200"/>
      <c r="T300" s="200"/>
      <c r="U300" s="201"/>
      <c r="V300" s="202"/>
      <c r="W300" s="246"/>
      <c r="X300" s="246"/>
      <c r="Y300" s="246"/>
      <c r="BC300"/>
      <c r="BD300"/>
    </row>
    <row r="301" spans="1:56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7"/>
        <v>0</v>
      </c>
      <c r="S301" s="200"/>
      <c r="T301" s="200"/>
      <c r="U301" s="201"/>
      <c r="V301" s="202"/>
      <c r="W301" s="246"/>
      <c r="X301" s="246"/>
      <c r="Y301" s="246"/>
      <c r="BC301"/>
      <c r="BD301"/>
    </row>
    <row r="302" spans="1:56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7"/>
        <v>0</v>
      </c>
      <c r="S302" s="200"/>
      <c r="T302" s="200"/>
      <c r="U302" s="201"/>
      <c r="V302" s="202"/>
      <c r="W302" s="246"/>
      <c r="X302" s="246"/>
      <c r="Y302" s="246"/>
      <c r="BC302"/>
      <c r="BD302"/>
    </row>
    <row r="303" spans="1:56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7"/>
        <v>0</v>
      </c>
      <c r="S303" s="200"/>
      <c r="T303" s="200"/>
      <c r="U303" s="201"/>
      <c r="V303" s="202"/>
      <c r="W303" s="246"/>
      <c r="X303" s="246"/>
      <c r="Y303" s="246"/>
      <c r="BC303"/>
      <c r="BD303"/>
    </row>
    <row r="304" spans="1:56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7"/>
        <v>0</v>
      </c>
      <c r="S304" s="200"/>
      <c r="T304" s="200"/>
      <c r="U304" s="201"/>
      <c r="V304" s="202"/>
      <c r="W304" s="246"/>
      <c r="X304" s="246"/>
      <c r="Y304" s="246"/>
      <c r="BC304"/>
      <c r="BD304"/>
    </row>
    <row r="305" spans="1:56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7"/>
        <v>0</v>
      </c>
      <c r="S305" s="200"/>
      <c r="T305" s="200"/>
      <c r="U305" s="201"/>
      <c r="V305" s="202"/>
      <c r="W305" s="246"/>
      <c r="X305" s="246"/>
      <c r="Y305" s="246"/>
      <c r="BC305"/>
      <c r="BD305"/>
    </row>
    <row r="306" spans="1:56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7"/>
        <v>0</v>
      </c>
      <c r="S306" s="200"/>
      <c r="T306" s="200"/>
      <c r="U306" s="201"/>
      <c r="V306" s="202"/>
      <c r="W306" s="246"/>
      <c r="X306" s="246"/>
      <c r="Y306" s="246"/>
      <c r="BC306"/>
      <c r="BD306"/>
    </row>
    <row r="307" spans="1:56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7"/>
        <v>0</v>
      </c>
      <c r="S307" s="200"/>
      <c r="T307" s="200"/>
      <c r="U307" s="201"/>
      <c r="V307" s="202"/>
      <c r="W307" s="246"/>
      <c r="X307" s="246"/>
      <c r="Y307" s="246"/>
      <c r="BC307"/>
      <c r="BD307"/>
    </row>
    <row r="308" spans="1:56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7"/>
        <v>0</v>
      </c>
      <c r="S308" s="200"/>
      <c r="T308" s="200"/>
      <c r="U308" s="201"/>
      <c r="V308" s="202"/>
      <c r="W308" s="246"/>
      <c r="X308" s="246"/>
      <c r="Y308" s="246"/>
      <c r="BC308"/>
      <c r="BD308"/>
    </row>
    <row r="309" spans="1:56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7"/>
        <v>0</v>
      </c>
      <c r="S309" s="200"/>
      <c r="T309" s="200"/>
      <c r="U309" s="201"/>
      <c r="V309" s="202"/>
      <c r="W309" s="246"/>
      <c r="X309" s="246"/>
      <c r="Y309" s="246"/>
      <c r="BC309"/>
      <c r="BD309"/>
    </row>
    <row r="310" spans="1:56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ref="R310:R373" si="8">SUM(F310:Q310)</f>
        <v>0</v>
      </c>
      <c r="S310" s="200"/>
      <c r="T310" s="200"/>
      <c r="U310" s="201"/>
      <c r="V310" s="202"/>
      <c r="W310" s="246"/>
      <c r="X310" s="246"/>
      <c r="Y310" s="246"/>
      <c r="BC310"/>
      <c r="BD310"/>
    </row>
    <row r="311" spans="1:56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8"/>
        <v>0</v>
      </c>
      <c r="S311" s="200"/>
      <c r="T311" s="200"/>
      <c r="U311" s="201"/>
      <c r="V311" s="202"/>
      <c r="W311" s="246"/>
      <c r="X311" s="246"/>
      <c r="Y311" s="246"/>
      <c r="BC311"/>
      <c r="BD311"/>
    </row>
    <row r="312" spans="1:56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8"/>
        <v>0</v>
      </c>
      <c r="S312" s="200"/>
      <c r="T312" s="200"/>
      <c r="U312" s="201"/>
      <c r="V312" s="202"/>
      <c r="W312" s="246"/>
      <c r="X312" s="246"/>
      <c r="Y312" s="246"/>
      <c r="BC312"/>
      <c r="BD312"/>
    </row>
    <row r="313" spans="1:56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8"/>
        <v>0</v>
      </c>
      <c r="S313" s="200"/>
      <c r="T313" s="200"/>
      <c r="U313" s="201"/>
      <c r="V313" s="202"/>
      <c r="W313" s="246"/>
      <c r="X313" s="246"/>
      <c r="Y313" s="246"/>
      <c r="BC313"/>
      <c r="BD313"/>
    </row>
    <row r="314" spans="1:56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8"/>
        <v>0</v>
      </c>
      <c r="S314" s="200"/>
      <c r="T314" s="200"/>
      <c r="U314" s="201"/>
      <c r="V314" s="202"/>
      <c r="W314" s="246"/>
      <c r="X314" s="246"/>
      <c r="Y314" s="246"/>
      <c r="BC314"/>
      <c r="BD314"/>
    </row>
    <row r="315" spans="1:56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8"/>
        <v>0</v>
      </c>
      <c r="S315" s="200"/>
      <c r="T315" s="200"/>
      <c r="U315" s="201"/>
      <c r="V315" s="202"/>
      <c r="W315" s="246"/>
      <c r="X315" s="246"/>
      <c r="Y315" s="246"/>
      <c r="BC315"/>
      <c r="BD315"/>
    </row>
    <row r="316" spans="1:56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8"/>
        <v>0</v>
      </c>
      <c r="S316" s="200"/>
      <c r="T316" s="200"/>
      <c r="U316" s="201"/>
      <c r="V316" s="202"/>
      <c r="W316" s="246"/>
      <c r="X316" s="246"/>
      <c r="Y316" s="246"/>
      <c r="BC316"/>
      <c r="BD316"/>
    </row>
    <row r="317" spans="1:56" s="191" customFormat="1" ht="13.5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240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00">
        <f t="shared" si="8"/>
        <v>0</v>
      </c>
      <c r="S317" s="200"/>
      <c r="T317" s="200"/>
      <c r="U317" s="201"/>
      <c r="V317" s="202"/>
      <c r="W317" s="246"/>
      <c r="X317" s="246"/>
      <c r="Y317" s="246"/>
      <c r="BC317"/>
      <c r="BD317"/>
    </row>
    <row r="318" spans="1:56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8"/>
        <v>0</v>
      </c>
      <c r="S318" s="200"/>
      <c r="T318" s="200"/>
      <c r="U318" s="201"/>
      <c r="V318" s="202"/>
      <c r="W318" s="246"/>
      <c r="X318" s="246"/>
      <c r="Y318" s="246"/>
      <c r="BC318"/>
      <c r="BD318"/>
    </row>
    <row r="319" spans="1:56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8"/>
        <v>0</v>
      </c>
      <c r="S319" s="200"/>
      <c r="T319" s="200"/>
      <c r="U319" s="201"/>
      <c r="V319" s="202"/>
      <c r="W319" s="246"/>
      <c r="X319" s="246"/>
      <c r="Y319" s="246"/>
      <c r="BC319"/>
      <c r="BD319"/>
    </row>
    <row r="320" spans="1:56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8"/>
        <v>0</v>
      </c>
      <c r="S320" s="200"/>
      <c r="T320" s="200"/>
      <c r="U320" s="201"/>
      <c r="V320" s="202"/>
      <c r="W320" s="246"/>
      <c r="X320" s="246"/>
      <c r="Y320" s="246"/>
      <c r="BC320"/>
      <c r="BD320"/>
    </row>
    <row r="321" spans="1:56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8"/>
        <v>0</v>
      </c>
      <c r="S321" s="200"/>
      <c r="T321" s="200"/>
      <c r="U321" s="201"/>
      <c r="V321" s="202"/>
      <c r="W321" s="246"/>
      <c r="X321" s="246"/>
      <c r="Y321" s="246"/>
      <c r="BC321"/>
      <c r="BD321"/>
    </row>
    <row r="322" spans="1:56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8"/>
        <v>0</v>
      </c>
      <c r="S322" s="200"/>
      <c r="T322" s="200"/>
      <c r="U322" s="201"/>
      <c r="V322" s="202"/>
      <c r="W322" s="246"/>
      <c r="X322" s="246"/>
      <c r="Y322" s="246"/>
      <c r="BC322"/>
      <c r="BD322"/>
    </row>
    <row r="323" spans="1:56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8"/>
        <v>0</v>
      </c>
      <c r="S323" s="200"/>
      <c r="T323" s="200"/>
      <c r="U323" s="201"/>
      <c r="V323" s="202"/>
      <c r="W323" s="246"/>
      <c r="X323" s="246"/>
      <c r="Y323" s="246"/>
      <c r="BC323"/>
      <c r="BD323"/>
    </row>
    <row r="324" spans="1:56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8"/>
        <v>0</v>
      </c>
      <c r="S324" s="200"/>
      <c r="T324" s="200"/>
      <c r="U324" s="201"/>
      <c r="V324" s="202"/>
      <c r="W324" s="246"/>
      <c r="X324" s="246"/>
      <c r="Y324" s="246"/>
      <c r="BC324"/>
      <c r="BD324"/>
    </row>
    <row r="325" spans="1:56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8"/>
        <v>0</v>
      </c>
      <c r="S325" s="200"/>
      <c r="T325" s="200"/>
      <c r="U325" s="201"/>
      <c r="V325" s="202"/>
      <c r="W325" s="246"/>
      <c r="X325" s="246"/>
      <c r="Y325" s="246"/>
      <c r="BC325"/>
      <c r="BD325"/>
    </row>
    <row r="326" spans="1:56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8"/>
        <v>0</v>
      </c>
      <c r="S326" s="200"/>
      <c r="T326" s="200"/>
      <c r="U326" s="201"/>
      <c r="V326" s="202"/>
      <c r="W326" s="246"/>
      <c r="X326" s="246"/>
      <c r="Y326" s="246"/>
      <c r="BC326"/>
      <c r="BD326"/>
    </row>
    <row r="327" spans="1:56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8"/>
        <v>0</v>
      </c>
      <c r="S327" s="200"/>
      <c r="T327" s="200"/>
      <c r="U327" s="201"/>
      <c r="V327" s="202"/>
      <c r="W327" s="246"/>
      <c r="X327" s="246"/>
      <c r="Y327" s="246"/>
      <c r="BC327"/>
      <c r="BD327"/>
    </row>
    <row r="328" spans="1:56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8"/>
        <v>0</v>
      </c>
      <c r="S328" s="200"/>
      <c r="T328" s="200"/>
      <c r="U328" s="201"/>
      <c r="V328" s="202"/>
      <c r="W328" s="246"/>
      <c r="X328" s="246"/>
      <c r="Y328" s="246"/>
      <c r="BC328"/>
      <c r="BD328"/>
    </row>
    <row r="329" spans="1:56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8"/>
        <v>0</v>
      </c>
      <c r="S329" s="200"/>
      <c r="T329" s="200"/>
      <c r="U329" s="201"/>
      <c r="V329" s="202"/>
      <c r="W329" s="246"/>
      <c r="X329" s="246"/>
      <c r="Y329" s="246"/>
      <c r="BC329"/>
      <c r="BD329"/>
    </row>
    <row r="330" spans="1:56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8"/>
        <v>0</v>
      </c>
      <c r="S330" s="200"/>
      <c r="T330" s="200"/>
      <c r="U330" s="201"/>
      <c r="V330" s="202"/>
      <c r="W330" s="246"/>
      <c r="X330" s="246"/>
      <c r="Y330" s="246"/>
      <c r="BC330"/>
      <c r="BD330"/>
    </row>
    <row r="331" spans="1:56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8"/>
        <v>0</v>
      </c>
      <c r="S331" s="200"/>
      <c r="T331" s="200"/>
      <c r="U331" s="201"/>
      <c r="V331" s="202"/>
      <c r="W331" s="246"/>
      <c r="X331" s="246"/>
      <c r="Y331" s="246"/>
      <c r="BC331"/>
      <c r="BD331"/>
    </row>
    <row r="332" spans="1:56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8"/>
        <v>0</v>
      </c>
      <c r="S332" s="200"/>
      <c r="T332" s="200"/>
      <c r="U332" s="201"/>
      <c r="V332" s="202"/>
      <c r="W332" s="246"/>
      <c r="X332" s="246"/>
      <c r="Y332" s="246"/>
      <c r="BC332"/>
      <c r="BD332"/>
    </row>
    <row r="333" spans="1:56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8"/>
        <v>0</v>
      </c>
      <c r="S333" s="200"/>
      <c r="T333" s="200"/>
      <c r="U333" s="201"/>
      <c r="V333" s="202"/>
      <c r="W333" s="246"/>
      <c r="X333" s="246"/>
      <c r="Y333" s="246"/>
      <c r="BC333"/>
      <c r="BD333"/>
    </row>
    <row r="334" spans="1:56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8"/>
        <v>0</v>
      </c>
      <c r="S334" s="200"/>
      <c r="T334" s="200"/>
      <c r="U334" s="201"/>
      <c r="V334" s="202"/>
      <c r="W334" s="246"/>
      <c r="X334" s="246"/>
      <c r="Y334" s="246"/>
      <c r="BC334"/>
      <c r="BD334"/>
    </row>
    <row r="335" spans="1:56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8"/>
        <v>0</v>
      </c>
      <c r="S335" s="200"/>
      <c r="T335" s="200"/>
      <c r="U335" s="201"/>
      <c r="V335" s="202"/>
      <c r="W335" s="246"/>
      <c r="X335" s="246"/>
      <c r="Y335" s="246"/>
      <c r="BC335"/>
      <c r="BD335"/>
    </row>
    <row r="336" spans="1:56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8"/>
        <v>0</v>
      </c>
      <c r="S336" s="200"/>
      <c r="T336" s="200"/>
      <c r="U336" s="201"/>
      <c r="V336" s="202"/>
      <c r="W336" s="246"/>
      <c r="X336" s="246"/>
      <c r="Y336" s="246"/>
      <c r="BC336"/>
      <c r="BD336"/>
    </row>
    <row r="337" spans="1:56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8"/>
        <v>0</v>
      </c>
      <c r="S337" s="200"/>
      <c r="T337" s="200"/>
      <c r="U337" s="201"/>
      <c r="V337" s="202"/>
      <c r="W337" s="246"/>
      <c r="X337" s="246"/>
      <c r="Y337" s="246"/>
      <c r="BC337"/>
      <c r="BD337"/>
    </row>
    <row r="338" spans="1:56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8"/>
        <v>0</v>
      </c>
      <c r="S338" s="200"/>
      <c r="T338" s="200"/>
      <c r="U338" s="201"/>
      <c r="V338" s="202"/>
      <c r="W338" s="246"/>
      <c r="X338" s="246"/>
      <c r="Y338" s="246"/>
      <c r="BC338"/>
      <c r="BD338"/>
    </row>
    <row r="339" spans="1:56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8"/>
        <v>0</v>
      </c>
      <c r="S339" s="200"/>
      <c r="T339" s="200"/>
      <c r="U339" s="201"/>
      <c r="V339" s="202"/>
      <c r="W339" s="246"/>
      <c r="X339" s="246"/>
      <c r="Y339" s="246"/>
      <c r="BC339"/>
      <c r="BD339"/>
    </row>
    <row r="340" spans="1:56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8"/>
        <v>0</v>
      </c>
      <c r="S340" s="200"/>
      <c r="T340" s="200"/>
      <c r="U340" s="201"/>
      <c r="V340" s="202"/>
      <c r="W340" s="246"/>
      <c r="X340" s="246"/>
      <c r="Y340" s="246"/>
      <c r="BC340"/>
      <c r="BD340"/>
    </row>
    <row r="341" spans="1:56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8"/>
        <v>0</v>
      </c>
      <c r="S341" s="200"/>
      <c r="T341" s="200"/>
      <c r="U341" s="201"/>
      <c r="V341" s="202"/>
      <c r="W341" s="246"/>
      <c r="X341" s="246"/>
      <c r="Y341" s="246"/>
      <c r="BC341"/>
      <c r="BD341"/>
    </row>
    <row r="342" spans="1:56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8"/>
        <v>0</v>
      </c>
      <c r="S342" s="200"/>
      <c r="T342" s="200"/>
      <c r="U342" s="201"/>
      <c r="V342" s="202"/>
      <c r="W342" s="246"/>
      <c r="X342" s="246"/>
      <c r="Y342" s="246"/>
      <c r="BC342"/>
      <c r="BD342"/>
    </row>
    <row r="343" spans="1:56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8"/>
        <v>0</v>
      </c>
      <c r="S343" s="200"/>
      <c r="T343" s="200"/>
      <c r="U343" s="201"/>
      <c r="V343" s="202"/>
      <c r="W343" s="246"/>
      <c r="X343" s="246"/>
      <c r="Y343" s="246"/>
      <c r="BC343"/>
      <c r="BD343"/>
    </row>
    <row r="344" spans="1:56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8"/>
        <v>0</v>
      </c>
      <c r="S344" s="200"/>
      <c r="T344" s="200"/>
      <c r="U344" s="201"/>
      <c r="V344" s="202"/>
      <c r="W344" s="246"/>
      <c r="X344" s="246"/>
      <c r="Y344" s="246"/>
      <c r="BC344"/>
      <c r="BD344"/>
    </row>
    <row r="345" spans="1:56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8"/>
        <v>0</v>
      </c>
      <c r="S345" s="200"/>
      <c r="T345" s="200"/>
      <c r="U345" s="201"/>
      <c r="V345" s="202"/>
      <c r="W345" s="246"/>
      <c r="X345" s="246"/>
      <c r="Y345" s="246"/>
      <c r="BC345"/>
      <c r="BD345"/>
    </row>
    <row r="346" spans="1:56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8"/>
        <v>0</v>
      </c>
      <c r="S346" s="200"/>
      <c r="T346" s="200"/>
      <c r="U346" s="201"/>
      <c r="V346" s="202"/>
      <c r="W346" s="246"/>
      <c r="X346" s="246"/>
      <c r="Y346" s="246"/>
      <c r="BC346"/>
      <c r="BD346"/>
    </row>
    <row r="347" spans="1:56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8"/>
        <v>0</v>
      </c>
      <c r="S347" s="200"/>
      <c r="T347" s="200"/>
      <c r="U347" s="201"/>
      <c r="V347" s="202"/>
      <c r="W347" s="246"/>
      <c r="X347" s="246"/>
      <c r="Y347" s="246"/>
      <c r="BC347"/>
      <c r="BD347"/>
    </row>
    <row r="348" spans="1:56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8"/>
        <v>0</v>
      </c>
      <c r="S348" s="200"/>
      <c r="T348" s="200"/>
      <c r="U348" s="201"/>
      <c r="V348" s="202"/>
      <c r="W348" s="246"/>
      <c r="X348" s="246"/>
      <c r="Y348" s="246"/>
      <c r="BC348"/>
      <c r="BD348"/>
    </row>
    <row r="349" spans="1:56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8"/>
        <v>0</v>
      </c>
      <c r="S349" s="200"/>
      <c r="T349" s="200"/>
      <c r="U349" s="201"/>
      <c r="V349" s="202"/>
      <c r="W349" s="246"/>
      <c r="X349" s="246"/>
      <c r="Y349" s="246"/>
      <c r="BC349"/>
      <c r="BD349"/>
    </row>
    <row r="350" spans="1:56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8"/>
        <v>0</v>
      </c>
      <c r="S350" s="200"/>
      <c r="T350" s="200"/>
      <c r="U350" s="201"/>
      <c r="V350" s="202"/>
      <c r="W350" s="246"/>
      <c r="X350" s="246"/>
      <c r="Y350" s="246"/>
      <c r="BC350"/>
      <c r="BD350"/>
    </row>
    <row r="351" spans="1:56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8"/>
        <v>0</v>
      </c>
      <c r="S351" s="200"/>
      <c r="T351" s="200"/>
      <c r="U351" s="201"/>
      <c r="V351" s="202"/>
      <c r="W351" s="246"/>
      <c r="X351" s="246"/>
      <c r="Y351" s="246"/>
      <c r="BC351"/>
      <c r="BD351"/>
    </row>
    <row r="352" spans="1:56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8"/>
        <v>0</v>
      </c>
      <c r="S352" s="200"/>
      <c r="T352" s="200"/>
      <c r="U352" s="201"/>
      <c r="V352" s="202"/>
      <c r="W352" s="246"/>
      <c r="X352" s="246"/>
      <c r="Y352" s="246"/>
      <c r="BC352"/>
      <c r="BD352"/>
    </row>
    <row r="353" spans="1:56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8"/>
        <v>0</v>
      </c>
      <c r="S353" s="200"/>
      <c r="T353" s="200"/>
      <c r="U353" s="201"/>
      <c r="V353" s="202"/>
      <c r="W353" s="246"/>
      <c r="X353" s="246"/>
      <c r="Y353" s="246"/>
      <c r="BC353"/>
      <c r="BD353"/>
    </row>
    <row r="354" spans="1:56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8"/>
        <v>0</v>
      </c>
      <c r="S354" s="200"/>
      <c r="T354" s="200"/>
      <c r="U354" s="201"/>
      <c r="V354" s="202"/>
      <c r="W354" s="246"/>
      <c r="X354" s="246"/>
      <c r="Y354" s="246"/>
      <c r="BC354"/>
      <c r="BD354"/>
    </row>
    <row r="355" spans="1:56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8"/>
        <v>0</v>
      </c>
      <c r="S355" s="200"/>
      <c r="T355" s="200"/>
      <c r="U355" s="201"/>
      <c r="V355" s="202"/>
      <c r="W355" s="246"/>
      <c r="X355" s="246"/>
      <c r="Y355" s="246"/>
      <c r="BC355"/>
      <c r="BD355"/>
    </row>
    <row r="356" spans="1:56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8"/>
        <v>0</v>
      </c>
      <c r="S356" s="200"/>
      <c r="T356" s="200"/>
      <c r="U356" s="201"/>
      <c r="V356" s="202"/>
      <c r="W356" s="246"/>
      <c r="X356" s="246"/>
      <c r="Y356" s="246"/>
      <c r="BC356"/>
      <c r="BD356"/>
    </row>
    <row r="357" spans="1:56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8"/>
        <v>0</v>
      </c>
      <c r="S357" s="200"/>
      <c r="T357" s="200"/>
      <c r="U357" s="201"/>
      <c r="V357" s="202"/>
      <c r="W357" s="246"/>
      <c r="X357" s="246"/>
      <c r="Y357" s="246"/>
      <c r="BC357"/>
      <c r="BD357"/>
    </row>
    <row r="358" spans="1:56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8"/>
        <v>0</v>
      </c>
      <c r="S358" s="200"/>
      <c r="T358" s="200"/>
      <c r="U358" s="201"/>
      <c r="V358" s="202"/>
      <c r="W358" s="246"/>
      <c r="X358" s="246"/>
      <c r="Y358" s="246"/>
      <c r="BC358"/>
      <c r="BD358"/>
    </row>
    <row r="359" spans="1:56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8"/>
        <v>0</v>
      </c>
      <c r="S359" s="200"/>
      <c r="T359" s="200"/>
      <c r="U359" s="201"/>
      <c r="V359" s="202"/>
      <c r="W359" s="246"/>
      <c r="X359" s="246"/>
      <c r="Y359" s="246"/>
      <c r="BC359"/>
      <c r="BD359"/>
    </row>
    <row r="360" spans="1:56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8"/>
        <v>0</v>
      </c>
      <c r="S360" s="200"/>
      <c r="T360" s="200"/>
      <c r="U360" s="201"/>
      <c r="V360" s="202"/>
      <c r="W360" s="246"/>
      <c r="X360" s="246"/>
      <c r="Y360" s="246"/>
      <c r="BC360"/>
      <c r="BD360"/>
    </row>
    <row r="361" spans="1:56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8"/>
        <v>0</v>
      </c>
      <c r="S361" s="200"/>
      <c r="T361" s="200"/>
      <c r="U361" s="201"/>
      <c r="V361" s="202"/>
      <c r="W361" s="246"/>
      <c r="X361" s="246"/>
      <c r="Y361" s="246"/>
      <c r="BC361"/>
      <c r="BD361"/>
    </row>
    <row r="362" spans="1:56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8"/>
        <v>0</v>
      </c>
      <c r="S362" s="200"/>
      <c r="T362" s="200"/>
      <c r="U362" s="201"/>
      <c r="V362" s="202"/>
      <c r="W362" s="246"/>
      <c r="X362" s="246"/>
      <c r="Y362" s="246"/>
      <c r="BC362"/>
      <c r="BD362"/>
    </row>
    <row r="363" spans="1:56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8"/>
        <v>0</v>
      </c>
      <c r="S363" s="200"/>
      <c r="T363" s="200"/>
      <c r="U363" s="201"/>
      <c r="V363" s="202"/>
      <c r="W363" s="246"/>
      <c r="X363" s="246"/>
      <c r="Y363" s="246"/>
      <c r="BC363"/>
      <c r="BD363"/>
    </row>
    <row r="364" spans="1:56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8"/>
        <v>0</v>
      </c>
      <c r="S364" s="200"/>
      <c r="T364" s="200"/>
      <c r="U364" s="201"/>
      <c r="V364" s="202"/>
      <c r="W364" s="246"/>
      <c r="X364" s="246"/>
      <c r="Y364" s="246"/>
      <c r="BC364"/>
      <c r="BD364"/>
    </row>
    <row r="365" spans="1:56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8"/>
        <v>0</v>
      </c>
      <c r="S365" s="200"/>
      <c r="T365" s="200"/>
      <c r="U365" s="201"/>
      <c r="V365" s="202"/>
      <c r="W365" s="246"/>
      <c r="X365" s="246"/>
      <c r="Y365" s="246"/>
      <c r="BC365"/>
      <c r="BD365"/>
    </row>
    <row r="366" spans="1:56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8"/>
        <v>0</v>
      </c>
      <c r="S366" s="200"/>
      <c r="T366" s="200"/>
      <c r="U366" s="201"/>
      <c r="V366" s="202"/>
      <c r="W366" s="246"/>
      <c r="X366" s="246"/>
      <c r="Y366" s="246"/>
      <c r="BC366"/>
      <c r="BD366"/>
    </row>
    <row r="367" spans="1:56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8"/>
        <v>0</v>
      </c>
      <c r="S367" s="200"/>
      <c r="T367" s="200"/>
      <c r="U367" s="201"/>
      <c r="V367" s="202"/>
      <c r="W367" s="246"/>
      <c r="X367" s="246"/>
      <c r="Y367" s="246"/>
      <c r="BC367"/>
      <c r="BD367"/>
    </row>
    <row r="368" spans="1:56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8"/>
        <v>0</v>
      </c>
      <c r="S368" s="200"/>
      <c r="T368" s="200"/>
      <c r="U368" s="201"/>
      <c r="V368" s="202"/>
      <c r="W368" s="246"/>
      <c r="X368" s="246"/>
      <c r="Y368" s="246"/>
      <c r="BC368"/>
      <c r="BD368"/>
    </row>
    <row r="369" spans="1:56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8"/>
        <v>0</v>
      </c>
      <c r="S369" s="200"/>
      <c r="T369" s="200"/>
      <c r="U369" s="201"/>
      <c r="V369" s="202"/>
      <c r="W369" s="246"/>
      <c r="X369" s="246"/>
      <c r="Y369" s="246"/>
      <c r="BC369"/>
      <c r="BD369"/>
    </row>
    <row r="370" spans="1:56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8"/>
        <v>0</v>
      </c>
      <c r="S370" s="200"/>
      <c r="T370" s="200"/>
      <c r="U370" s="201"/>
      <c r="V370" s="202"/>
      <c r="W370" s="246"/>
      <c r="X370" s="246"/>
      <c r="Y370" s="246"/>
      <c r="BC370"/>
      <c r="BD370"/>
    </row>
    <row r="371" spans="1:56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8"/>
        <v>0</v>
      </c>
      <c r="S371" s="200"/>
      <c r="T371" s="200"/>
      <c r="U371" s="201"/>
      <c r="V371" s="202"/>
      <c r="W371" s="246"/>
      <c r="X371" s="246"/>
      <c r="Y371" s="246"/>
      <c r="BC371"/>
      <c r="BD371"/>
    </row>
    <row r="372" spans="1:56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8"/>
        <v>0</v>
      </c>
      <c r="S372" s="200"/>
      <c r="T372" s="200"/>
      <c r="U372" s="201"/>
      <c r="V372" s="202"/>
      <c r="W372" s="246"/>
      <c r="X372" s="246"/>
      <c r="Y372" s="246"/>
      <c r="BC372"/>
      <c r="BD372"/>
    </row>
    <row r="373" spans="1:56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8"/>
        <v>0</v>
      </c>
      <c r="S373" s="200"/>
      <c r="T373" s="200"/>
      <c r="U373" s="201"/>
      <c r="V373" s="202"/>
      <c r="W373" s="246"/>
      <c r="X373" s="246"/>
      <c r="Y373" s="246"/>
      <c r="BC373"/>
      <c r="BD373"/>
    </row>
    <row r="374" spans="1:56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ref="R374:R437" si="9">SUM(F374:Q374)</f>
        <v>0</v>
      </c>
      <c r="S374" s="200"/>
      <c r="T374" s="200"/>
      <c r="U374" s="201"/>
      <c r="V374" s="202"/>
      <c r="W374" s="246"/>
      <c r="X374" s="246"/>
      <c r="Y374" s="246"/>
      <c r="BC374"/>
      <c r="BD374"/>
    </row>
    <row r="375" spans="1:56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9"/>
        <v>0</v>
      </c>
      <c r="S375" s="200"/>
      <c r="T375" s="200"/>
      <c r="U375" s="201"/>
      <c r="V375" s="202"/>
      <c r="W375" s="246"/>
      <c r="X375" s="246"/>
      <c r="Y375" s="246"/>
      <c r="BC375"/>
      <c r="BD375"/>
    </row>
    <row r="376" spans="1:56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9"/>
        <v>0</v>
      </c>
      <c r="S376" s="200"/>
      <c r="T376" s="200"/>
      <c r="U376" s="201"/>
      <c r="V376" s="202"/>
      <c r="W376" s="246"/>
      <c r="X376" s="246"/>
      <c r="Y376" s="246"/>
      <c r="BC376"/>
      <c r="BD376"/>
    </row>
    <row r="377" spans="1:56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9"/>
        <v>0</v>
      </c>
      <c r="S377" s="200"/>
      <c r="T377" s="200"/>
      <c r="U377" s="201"/>
      <c r="V377" s="202"/>
      <c r="W377" s="246"/>
      <c r="X377" s="246"/>
      <c r="Y377" s="246"/>
      <c r="BC377"/>
      <c r="BD377"/>
    </row>
    <row r="378" spans="1:56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9"/>
        <v>0</v>
      </c>
      <c r="S378" s="200"/>
      <c r="T378" s="200"/>
      <c r="U378" s="201"/>
      <c r="V378" s="202"/>
      <c r="W378" s="246"/>
      <c r="X378" s="246"/>
      <c r="Y378" s="246"/>
      <c r="BC378"/>
      <c r="BD378"/>
    </row>
    <row r="379" spans="1:56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9"/>
        <v>0</v>
      </c>
      <c r="S379" s="200"/>
      <c r="T379" s="200"/>
      <c r="U379" s="201"/>
      <c r="V379" s="202"/>
      <c r="W379" s="246"/>
      <c r="X379" s="246"/>
      <c r="Y379" s="246"/>
      <c r="BC379"/>
      <c r="BD379"/>
    </row>
    <row r="380" spans="1:56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9"/>
        <v>0</v>
      </c>
      <c r="S380" s="200"/>
      <c r="T380" s="200"/>
      <c r="U380" s="201"/>
      <c r="V380" s="202"/>
      <c r="W380" s="246"/>
      <c r="X380" s="246"/>
      <c r="Y380" s="246"/>
      <c r="BC380"/>
      <c r="BD380"/>
    </row>
    <row r="381" spans="1:56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9"/>
        <v>0</v>
      </c>
      <c r="S381" s="200"/>
      <c r="T381" s="200"/>
      <c r="U381" s="201"/>
      <c r="V381" s="202"/>
      <c r="W381" s="246"/>
      <c r="X381" s="246"/>
      <c r="Y381" s="246"/>
      <c r="BC381"/>
      <c r="BD381"/>
    </row>
    <row r="382" spans="1:56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9"/>
        <v>0</v>
      </c>
      <c r="S382" s="200"/>
      <c r="T382" s="200"/>
      <c r="U382" s="201"/>
      <c r="V382" s="202"/>
      <c r="W382" s="246"/>
      <c r="X382" s="246"/>
      <c r="Y382" s="246"/>
      <c r="BC382"/>
      <c r="BD382"/>
    </row>
    <row r="383" spans="1:56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9"/>
        <v>0</v>
      </c>
      <c r="S383" s="200"/>
      <c r="T383" s="200"/>
      <c r="U383" s="201"/>
      <c r="V383" s="202"/>
      <c r="W383" s="246"/>
      <c r="X383" s="246"/>
      <c r="Y383" s="246"/>
      <c r="BC383"/>
      <c r="BD383"/>
    </row>
    <row r="384" spans="1:56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9"/>
        <v>0</v>
      </c>
      <c r="S384" s="200"/>
      <c r="T384" s="200"/>
      <c r="U384" s="201"/>
      <c r="V384" s="202"/>
      <c r="W384" s="246"/>
      <c r="X384" s="246"/>
      <c r="Y384" s="246"/>
      <c r="BC384"/>
      <c r="BD384"/>
    </row>
    <row r="385" spans="1:56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9"/>
        <v>0</v>
      </c>
      <c r="S385" s="200"/>
      <c r="T385" s="200"/>
      <c r="U385" s="201"/>
      <c r="V385" s="202"/>
      <c r="W385" s="246"/>
      <c r="X385" s="246"/>
      <c r="Y385" s="246"/>
      <c r="BC385"/>
      <c r="BD385"/>
    </row>
    <row r="386" spans="1:56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9"/>
        <v>0</v>
      </c>
      <c r="S386" s="200"/>
      <c r="T386" s="200"/>
      <c r="U386" s="201"/>
      <c r="V386" s="202"/>
      <c r="W386" s="246"/>
      <c r="X386" s="246"/>
      <c r="Y386" s="246"/>
      <c r="BC386"/>
      <c r="BD386"/>
    </row>
    <row r="387" spans="1:56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9"/>
        <v>0</v>
      </c>
      <c r="S387" s="200"/>
      <c r="T387" s="200"/>
      <c r="U387" s="201"/>
      <c r="V387" s="202"/>
      <c r="W387" s="246"/>
      <c r="X387" s="246"/>
      <c r="Y387" s="246"/>
      <c r="BC387"/>
      <c r="BD387"/>
    </row>
    <row r="388" spans="1:56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9"/>
        <v>0</v>
      </c>
      <c r="S388" s="200"/>
      <c r="T388" s="200"/>
      <c r="U388" s="201"/>
      <c r="V388" s="202"/>
      <c r="W388" s="246"/>
      <c r="X388" s="246"/>
      <c r="Y388" s="246"/>
      <c r="BC388"/>
      <c r="BD388"/>
    </row>
    <row r="389" spans="1:56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9"/>
        <v>0</v>
      </c>
      <c r="S389" s="200"/>
      <c r="T389" s="200"/>
      <c r="U389" s="201"/>
      <c r="V389" s="202"/>
      <c r="W389" s="246"/>
      <c r="X389" s="246"/>
      <c r="Y389" s="246"/>
      <c r="BC389"/>
      <c r="BD389"/>
    </row>
    <row r="390" spans="1:56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9"/>
        <v>0</v>
      </c>
      <c r="S390" s="200"/>
      <c r="T390" s="200"/>
      <c r="U390" s="201"/>
      <c r="V390" s="202"/>
      <c r="W390" s="246"/>
      <c r="X390" s="246"/>
      <c r="Y390" s="246"/>
      <c r="BC390"/>
      <c r="BD390"/>
    </row>
    <row r="391" spans="1:56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9"/>
        <v>0</v>
      </c>
      <c r="S391" s="200"/>
      <c r="T391" s="200"/>
      <c r="U391" s="201"/>
      <c r="V391" s="202"/>
      <c r="W391" s="246"/>
      <c r="X391" s="246"/>
      <c r="Y391" s="246"/>
      <c r="BC391"/>
      <c r="BD391"/>
    </row>
    <row r="392" spans="1:56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9"/>
        <v>0</v>
      </c>
      <c r="S392" s="200"/>
      <c r="T392" s="200"/>
      <c r="U392" s="201"/>
      <c r="V392" s="202"/>
      <c r="W392" s="246"/>
      <c r="X392" s="246"/>
      <c r="Y392" s="246"/>
      <c r="BC392"/>
      <c r="BD392"/>
    </row>
    <row r="393" spans="1:56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9"/>
        <v>0</v>
      </c>
      <c r="S393" s="200"/>
      <c r="T393" s="200"/>
      <c r="U393" s="201"/>
      <c r="V393" s="202"/>
      <c r="W393" s="246"/>
      <c r="X393" s="246"/>
      <c r="Y393" s="246"/>
      <c r="BC393"/>
      <c r="BD393"/>
    </row>
    <row r="394" spans="1:56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9"/>
        <v>0</v>
      </c>
      <c r="S394" s="200"/>
      <c r="T394" s="200"/>
      <c r="U394" s="201"/>
      <c r="V394" s="202"/>
      <c r="W394" s="246"/>
      <c r="X394" s="246"/>
      <c r="Y394" s="246"/>
      <c r="BC394"/>
      <c r="BD394"/>
    </row>
    <row r="395" spans="1:56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9"/>
        <v>0</v>
      </c>
      <c r="S395" s="200"/>
      <c r="T395" s="200"/>
      <c r="U395" s="201"/>
      <c r="V395" s="202"/>
      <c r="W395" s="246"/>
      <c r="X395" s="246"/>
      <c r="Y395" s="246"/>
      <c r="BC395"/>
      <c r="BD395"/>
    </row>
    <row r="396" spans="1:56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9"/>
        <v>0</v>
      </c>
      <c r="S396" s="200"/>
      <c r="T396" s="200"/>
      <c r="U396" s="201"/>
      <c r="V396" s="202"/>
      <c r="W396" s="246"/>
      <c r="X396" s="246"/>
      <c r="Y396" s="246"/>
      <c r="BC396"/>
      <c r="BD396"/>
    </row>
    <row r="397" spans="1:56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9"/>
        <v>0</v>
      </c>
      <c r="S397" s="200"/>
      <c r="T397" s="200"/>
      <c r="U397" s="201"/>
      <c r="V397" s="202"/>
      <c r="W397" s="246"/>
      <c r="X397" s="246"/>
      <c r="Y397" s="246"/>
      <c r="BC397"/>
      <c r="BD397"/>
    </row>
    <row r="398" spans="1:56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9"/>
        <v>0</v>
      </c>
      <c r="S398" s="200"/>
      <c r="T398" s="200"/>
      <c r="U398" s="201"/>
      <c r="V398" s="202"/>
      <c r="W398" s="246"/>
      <c r="X398" s="246"/>
      <c r="Y398" s="246"/>
      <c r="BC398"/>
      <c r="BD398"/>
    </row>
    <row r="399" spans="1:56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9"/>
        <v>0</v>
      </c>
      <c r="S399" s="200"/>
      <c r="T399" s="200"/>
      <c r="U399" s="201"/>
      <c r="V399" s="202"/>
      <c r="W399" s="246"/>
      <c r="X399" s="246"/>
      <c r="Y399" s="246"/>
      <c r="BC399"/>
      <c r="BD399"/>
    </row>
    <row r="400" spans="1:56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9"/>
        <v>0</v>
      </c>
      <c r="S400" s="200"/>
      <c r="T400" s="200"/>
      <c r="U400" s="201"/>
      <c r="V400" s="202"/>
      <c r="W400" s="246"/>
      <c r="X400" s="246"/>
      <c r="Y400" s="246"/>
      <c r="BC400"/>
      <c r="BD400"/>
    </row>
    <row r="401" spans="1:56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9"/>
        <v>0</v>
      </c>
      <c r="S401" s="200"/>
      <c r="T401" s="200"/>
      <c r="U401" s="201"/>
      <c r="V401" s="202"/>
      <c r="W401" s="246"/>
      <c r="X401" s="246"/>
      <c r="Y401" s="246"/>
      <c r="BC401"/>
      <c r="BD401"/>
    </row>
    <row r="402" spans="1:56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9"/>
        <v>0</v>
      </c>
      <c r="S402" s="200"/>
      <c r="T402" s="200"/>
      <c r="U402" s="201"/>
      <c r="V402" s="202"/>
      <c r="W402" s="246"/>
      <c r="X402" s="246"/>
      <c r="Y402" s="246"/>
      <c r="BC402"/>
      <c r="BD402"/>
    </row>
    <row r="403" spans="1:56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9"/>
        <v>0</v>
      </c>
      <c r="S403" s="200"/>
      <c r="T403" s="200"/>
      <c r="U403" s="201"/>
      <c r="V403" s="202"/>
      <c r="W403" s="246"/>
      <c r="X403" s="246"/>
      <c r="Y403" s="246"/>
      <c r="BC403"/>
      <c r="BD403"/>
    </row>
    <row r="404" spans="1:56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9"/>
        <v>0</v>
      </c>
      <c r="S404" s="200"/>
      <c r="T404" s="200"/>
      <c r="U404" s="201"/>
      <c r="V404" s="202"/>
      <c r="W404" s="246"/>
      <c r="X404" s="246"/>
      <c r="Y404" s="246"/>
      <c r="BC404"/>
      <c r="BD404"/>
    </row>
    <row r="405" spans="1:56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9"/>
        <v>0</v>
      </c>
      <c r="S405" s="200"/>
      <c r="T405" s="200"/>
      <c r="U405" s="201"/>
      <c r="V405" s="202"/>
      <c r="W405" s="246"/>
      <c r="X405" s="246"/>
      <c r="Y405" s="246"/>
      <c r="BC405"/>
      <c r="BD405"/>
    </row>
    <row r="406" spans="1:56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9"/>
        <v>0</v>
      </c>
      <c r="S406" s="200"/>
      <c r="T406" s="200"/>
      <c r="U406" s="201"/>
      <c r="V406" s="202"/>
      <c r="W406" s="246"/>
      <c r="X406" s="246"/>
      <c r="Y406" s="246"/>
      <c r="BC406"/>
      <c r="BD406"/>
    </row>
    <row r="407" spans="1:56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9"/>
        <v>0</v>
      </c>
      <c r="S407" s="200"/>
      <c r="T407" s="200"/>
      <c r="U407" s="201"/>
      <c r="V407" s="202"/>
      <c r="W407" s="246"/>
      <c r="X407" s="246"/>
      <c r="Y407" s="246"/>
      <c r="BC407"/>
      <c r="BD407"/>
    </row>
    <row r="408" spans="1:56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9"/>
        <v>0</v>
      </c>
      <c r="S408" s="200"/>
      <c r="T408" s="200"/>
      <c r="U408" s="201"/>
      <c r="V408" s="202"/>
      <c r="W408" s="246"/>
      <c r="X408" s="246"/>
      <c r="Y408" s="246"/>
      <c r="BC408"/>
      <c r="BD408"/>
    </row>
    <row r="409" spans="1:56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9"/>
        <v>0</v>
      </c>
      <c r="S409" s="200"/>
      <c r="T409" s="200"/>
      <c r="U409" s="201"/>
      <c r="V409" s="202"/>
      <c r="W409" s="246"/>
      <c r="X409" s="246"/>
      <c r="Y409" s="246"/>
      <c r="BC409"/>
      <c r="BD409"/>
    </row>
    <row r="410" spans="1:56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9"/>
        <v>0</v>
      </c>
      <c r="S410" s="200"/>
      <c r="T410" s="200"/>
      <c r="U410" s="201"/>
      <c r="V410" s="202"/>
      <c r="W410" s="246"/>
      <c r="X410" s="246"/>
      <c r="Y410" s="246"/>
      <c r="BC410"/>
      <c r="BD410"/>
    </row>
    <row r="411" spans="1:56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9"/>
        <v>0</v>
      </c>
      <c r="S411" s="200"/>
      <c r="T411" s="200"/>
      <c r="U411" s="201"/>
      <c r="V411" s="202"/>
      <c r="W411" s="246"/>
      <c r="X411" s="246"/>
      <c r="Y411" s="246"/>
      <c r="BC411"/>
      <c r="BD411"/>
    </row>
    <row r="412" spans="1:56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9"/>
        <v>0</v>
      </c>
      <c r="S412" s="200"/>
      <c r="T412" s="200"/>
      <c r="U412" s="201"/>
      <c r="V412" s="202"/>
      <c r="W412" s="246"/>
      <c r="X412" s="246"/>
      <c r="Y412" s="246"/>
      <c r="BC412"/>
      <c r="BD412"/>
    </row>
    <row r="413" spans="1:56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9"/>
        <v>0</v>
      </c>
      <c r="S413" s="200"/>
      <c r="T413" s="200"/>
      <c r="U413" s="201"/>
      <c r="V413" s="202"/>
      <c r="W413" s="246"/>
      <c r="X413" s="246"/>
      <c r="Y413" s="246"/>
      <c r="BC413"/>
      <c r="BD413"/>
    </row>
    <row r="414" spans="1:56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9"/>
        <v>0</v>
      </c>
      <c r="S414" s="200"/>
      <c r="T414" s="200"/>
      <c r="U414" s="201"/>
      <c r="V414" s="202"/>
      <c r="W414" s="246"/>
      <c r="X414" s="246"/>
      <c r="Y414" s="246"/>
      <c r="BC414"/>
      <c r="BD414"/>
    </row>
    <row r="415" spans="1:56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9"/>
        <v>0</v>
      </c>
      <c r="S415" s="200"/>
      <c r="T415" s="200"/>
      <c r="U415" s="201"/>
      <c r="V415" s="202"/>
      <c r="W415" s="246"/>
      <c r="X415" s="246"/>
      <c r="Y415" s="246"/>
      <c r="BC415"/>
      <c r="BD415"/>
    </row>
    <row r="416" spans="1:56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9"/>
        <v>0</v>
      </c>
      <c r="S416" s="200"/>
      <c r="T416" s="200"/>
      <c r="U416" s="201"/>
      <c r="V416" s="202"/>
      <c r="W416" s="246"/>
      <c r="X416" s="246"/>
      <c r="Y416" s="246"/>
      <c r="BC416"/>
      <c r="BD416"/>
    </row>
    <row r="417" spans="1:56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9"/>
        <v>0</v>
      </c>
      <c r="S417" s="200"/>
      <c r="T417" s="200"/>
      <c r="U417" s="201"/>
      <c r="V417" s="202"/>
      <c r="W417" s="246"/>
      <c r="X417" s="246"/>
      <c r="Y417" s="246"/>
      <c r="BC417"/>
      <c r="BD417"/>
    </row>
    <row r="418" spans="1:56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9"/>
        <v>0</v>
      </c>
      <c r="S418" s="200"/>
      <c r="T418" s="200"/>
      <c r="U418" s="201"/>
      <c r="V418" s="202"/>
      <c r="W418" s="246"/>
      <c r="X418" s="246"/>
      <c r="Y418" s="246"/>
      <c r="BC418"/>
      <c r="BD418"/>
    </row>
    <row r="419" spans="1:56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9"/>
        <v>0</v>
      </c>
      <c r="S419" s="200"/>
      <c r="T419" s="200"/>
      <c r="U419" s="201"/>
      <c r="V419" s="202"/>
      <c r="W419" s="246"/>
      <c r="X419" s="246"/>
      <c r="Y419" s="246"/>
      <c r="BC419"/>
      <c r="BD419"/>
    </row>
    <row r="420" spans="1:56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9"/>
        <v>0</v>
      </c>
      <c r="S420" s="200"/>
      <c r="T420" s="200"/>
      <c r="U420" s="201"/>
      <c r="V420" s="202"/>
      <c r="W420" s="246"/>
      <c r="X420" s="246"/>
      <c r="Y420" s="246"/>
      <c r="BC420"/>
      <c r="BD420"/>
    </row>
    <row r="421" spans="1:56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9"/>
        <v>0</v>
      </c>
      <c r="S421" s="200"/>
      <c r="T421" s="200"/>
      <c r="U421" s="201"/>
      <c r="V421" s="202"/>
      <c r="W421" s="246"/>
      <c r="X421" s="246"/>
      <c r="Y421" s="246"/>
      <c r="BC421"/>
      <c r="BD421"/>
    </row>
    <row r="422" spans="1:56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9"/>
        <v>0</v>
      </c>
      <c r="S422" s="200"/>
      <c r="T422" s="200"/>
      <c r="U422" s="201"/>
      <c r="V422" s="202"/>
      <c r="W422" s="246"/>
      <c r="X422" s="246"/>
      <c r="Y422" s="246"/>
      <c r="BC422"/>
      <c r="BD422"/>
    </row>
    <row r="423" spans="1:56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9"/>
        <v>0</v>
      </c>
      <c r="S423" s="200"/>
      <c r="T423" s="200"/>
      <c r="U423" s="201"/>
      <c r="V423" s="202"/>
      <c r="W423" s="246"/>
      <c r="X423" s="246"/>
      <c r="Y423" s="246"/>
      <c r="BC423"/>
      <c r="BD423"/>
    </row>
    <row r="424" spans="1:56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9"/>
        <v>0</v>
      </c>
      <c r="S424" s="200"/>
      <c r="T424" s="200"/>
      <c r="U424" s="201"/>
      <c r="V424" s="202"/>
      <c r="W424" s="246"/>
      <c r="X424" s="246"/>
      <c r="Y424" s="246"/>
      <c r="BC424"/>
      <c r="BD424"/>
    </row>
    <row r="425" spans="1:56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9"/>
        <v>0</v>
      </c>
      <c r="S425" s="200"/>
      <c r="T425" s="200"/>
      <c r="U425" s="201"/>
      <c r="V425" s="202"/>
      <c r="W425" s="246"/>
      <c r="X425" s="246"/>
      <c r="Y425" s="246"/>
      <c r="BC425"/>
      <c r="BD425"/>
    </row>
    <row r="426" spans="1:56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9"/>
        <v>0</v>
      </c>
      <c r="S426" s="200"/>
      <c r="T426" s="200"/>
      <c r="U426" s="201"/>
      <c r="V426" s="202"/>
      <c r="W426" s="246"/>
      <c r="X426" s="246"/>
      <c r="Y426" s="246"/>
      <c r="BC426"/>
      <c r="BD426"/>
    </row>
    <row r="427" spans="1:56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9"/>
        <v>0</v>
      </c>
      <c r="S427" s="200"/>
      <c r="T427" s="200"/>
      <c r="U427" s="201"/>
      <c r="V427" s="202"/>
      <c r="W427" s="246"/>
      <c r="X427" s="246"/>
      <c r="Y427" s="246"/>
      <c r="BC427"/>
      <c r="BD427"/>
    </row>
    <row r="428" spans="1:56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9"/>
        <v>0</v>
      </c>
      <c r="S428" s="200"/>
      <c r="T428" s="200"/>
      <c r="U428" s="201"/>
      <c r="V428" s="202"/>
      <c r="W428" s="246"/>
      <c r="X428" s="246"/>
      <c r="Y428" s="246"/>
      <c r="BC428"/>
      <c r="BD428"/>
    </row>
    <row r="429" spans="1:56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9"/>
        <v>0</v>
      </c>
      <c r="S429" s="200"/>
      <c r="T429" s="200"/>
      <c r="U429" s="201"/>
      <c r="V429" s="202"/>
      <c r="W429" s="246"/>
      <c r="X429" s="246"/>
      <c r="Y429" s="246"/>
      <c r="BC429"/>
      <c r="BD429"/>
    </row>
    <row r="430" spans="1:56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9"/>
        <v>0</v>
      </c>
      <c r="S430" s="200"/>
      <c r="T430" s="200"/>
      <c r="U430" s="201"/>
      <c r="V430" s="202"/>
      <c r="W430" s="246"/>
      <c r="X430" s="246"/>
      <c r="Y430" s="246"/>
      <c r="BC430"/>
      <c r="BD430"/>
    </row>
    <row r="431" spans="1:56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9"/>
        <v>0</v>
      </c>
      <c r="S431" s="200"/>
      <c r="T431" s="200"/>
      <c r="U431" s="201"/>
      <c r="V431" s="202"/>
      <c r="W431" s="246"/>
      <c r="X431" s="246"/>
      <c r="Y431" s="246"/>
      <c r="BC431"/>
      <c r="BD431"/>
    </row>
    <row r="432" spans="1:56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9"/>
        <v>0</v>
      </c>
      <c r="S432" s="200"/>
      <c r="T432" s="200"/>
      <c r="U432" s="201"/>
      <c r="V432" s="202"/>
      <c r="W432" s="246"/>
      <c r="X432" s="246"/>
      <c r="Y432" s="246"/>
      <c r="BC432"/>
      <c r="BD432"/>
    </row>
    <row r="433" spans="1:56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9"/>
        <v>0</v>
      </c>
      <c r="S433" s="200"/>
      <c r="T433" s="200"/>
      <c r="U433" s="201"/>
      <c r="V433" s="202"/>
      <c r="W433" s="246"/>
      <c r="X433" s="246"/>
      <c r="Y433" s="246"/>
      <c r="BC433"/>
      <c r="BD433"/>
    </row>
    <row r="434" spans="1:56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9"/>
        <v>0</v>
      </c>
      <c r="S434" s="200"/>
      <c r="T434" s="200"/>
      <c r="U434" s="201"/>
      <c r="V434" s="202"/>
      <c r="W434" s="246"/>
      <c r="X434" s="246"/>
      <c r="Y434" s="246"/>
      <c r="BC434"/>
      <c r="BD434"/>
    </row>
    <row r="435" spans="1:56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9"/>
        <v>0</v>
      </c>
      <c r="S435" s="200"/>
      <c r="T435" s="200"/>
      <c r="U435" s="201"/>
      <c r="V435" s="202"/>
      <c r="W435" s="246"/>
      <c r="X435" s="246"/>
      <c r="Y435" s="246"/>
      <c r="BC435"/>
      <c r="BD435"/>
    </row>
    <row r="436" spans="1:56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9"/>
        <v>0</v>
      </c>
      <c r="S436" s="200"/>
      <c r="T436" s="200"/>
      <c r="U436" s="201"/>
      <c r="V436" s="202"/>
      <c r="W436" s="246"/>
      <c r="X436" s="246"/>
      <c r="Y436" s="246"/>
      <c r="BC436"/>
      <c r="BD436"/>
    </row>
    <row r="437" spans="1:56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9"/>
        <v>0</v>
      </c>
      <c r="S437" s="200"/>
      <c r="T437" s="200"/>
      <c r="U437" s="201"/>
      <c r="V437" s="202"/>
      <c r="W437" s="246"/>
      <c r="X437" s="246"/>
      <c r="Y437" s="246"/>
      <c r="BC437"/>
      <c r="BD437"/>
    </row>
    <row r="438" spans="1:56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ref="R438:R501" si="10">SUM(F438:Q438)</f>
        <v>0</v>
      </c>
      <c r="S438" s="200"/>
      <c r="T438" s="200"/>
      <c r="U438" s="201"/>
      <c r="V438" s="202"/>
      <c r="W438" s="246"/>
      <c r="X438" s="246"/>
      <c r="Y438" s="246"/>
      <c r="BC438"/>
      <c r="BD438"/>
    </row>
    <row r="439" spans="1:56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10"/>
        <v>0</v>
      </c>
      <c r="S439" s="200"/>
      <c r="T439" s="200"/>
      <c r="U439" s="201"/>
      <c r="V439" s="202"/>
      <c r="W439" s="246"/>
      <c r="X439" s="246"/>
      <c r="Y439" s="246"/>
      <c r="BC439"/>
      <c r="BD439"/>
    </row>
    <row r="440" spans="1:56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0"/>
        <v>0</v>
      </c>
      <c r="S440" s="200"/>
      <c r="T440" s="200"/>
      <c r="U440" s="201"/>
      <c r="V440" s="202"/>
      <c r="W440" s="246"/>
      <c r="X440" s="246"/>
      <c r="Y440" s="246"/>
      <c r="BC440"/>
      <c r="BD440"/>
    </row>
    <row r="441" spans="1:56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0"/>
        <v>0</v>
      </c>
      <c r="S441" s="200"/>
      <c r="T441" s="200"/>
      <c r="U441" s="201"/>
      <c r="V441" s="202"/>
      <c r="W441" s="246"/>
      <c r="X441" s="246"/>
      <c r="Y441" s="246"/>
      <c r="BC441"/>
      <c r="BD441"/>
    </row>
    <row r="442" spans="1:56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0"/>
        <v>0</v>
      </c>
      <c r="S442" s="200"/>
      <c r="T442" s="200"/>
      <c r="U442" s="201"/>
      <c r="V442" s="202"/>
      <c r="W442" s="246"/>
      <c r="X442" s="246"/>
      <c r="Y442" s="246"/>
      <c r="BC442"/>
      <c r="BD442"/>
    </row>
    <row r="443" spans="1:56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0"/>
        <v>0</v>
      </c>
      <c r="S443" s="200"/>
      <c r="T443" s="200"/>
      <c r="U443" s="201"/>
      <c r="V443" s="202"/>
      <c r="W443" s="246"/>
      <c r="X443" s="246"/>
      <c r="Y443" s="246"/>
      <c r="BC443"/>
      <c r="BD443"/>
    </row>
    <row r="444" spans="1:56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0"/>
        <v>0</v>
      </c>
      <c r="S444" s="200"/>
      <c r="T444" s="200"/>
      <c r="U444" s="201"/>
      <c r="V444" s="202"/>
      <c r="W444" s="246"/>
      <c r="X444" s="246"/>
      <c r="Y444" s="246"/>
      <c r="BC444"/>
      <c r="BD444"/>
    </row>
    <row r="445" spans="1:56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0"/>
        <v>0</v>
      </c>
      <c r="S445" s="200"/>
      <c r="T445" s="200"/>
      <c r="U445" s="201"/>
      <c r="V445" s="202"/>
      <c r="W445" s="246"/>
      <c r="X445" s="246"/>
      <c r="Y445" s="246"/>
      <c r="BC445"/>
      <c r="BD445"/>
    </row>
    <row r="446" spans="1:56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0"/>
        <v>0</v>
      </c>
      <c r="S446" s="200"/>
      <c r="T446" s="200"/>
      <c r="U446" s="201"/>
      <c r="V446" s="202"/>
      <c r="W446" s="246"/>
      <c r="X446" s="246"/>
      <c r="Y446" s="246"/>
      <c r="BC446"/>
      <c r="BD446"/>
    </row>
    <row r="447" spans="1:56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0"/>
        <v>0</v>
      </c>
      <c r="S447" s="200"/>
      <c r="T447" s="200"/>
      <c r="U447" s="201"/>
      <c r="V447" s="202"/>
      <c r="W447" s="246"/>
      <c r="X447" s="246"/>
      <c r="Y447" s="246"/>
      <c r="BC447"/>
      <c r="BD447"/>
    </row>
    <row r="448" spans="1:56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0"/>
        <v>0</v>
      </c>
      <c r="S448" s="200"/>
      <c r="T448" s="200"/>
      <c r="U448" s="201"/>
      <c r="V448" s="202"/>
      <c r="W448" s="246"/>
      <c r="X448" s="246"/>
      <c r="Y448" s="246"/>
      <c r="BC448"/>
      <c r="BD448"/>
    </row>
    <row r="449" spans="1:56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0"/>
        <v>0</v>
      </c>
      <c r="S449" s="200"/>
      <c r="T449" s="200"/>
      <c r="U449" s="201"/>
      <c r="V449" s="202"/>
      <c r="W449" s="246"/>
      <c r="X449" s="246"/>
      <c r="Y449" s="246"/>
      <c r="BC449"/>
      <c r="BD449"/>
    </row>
    <row r="450" spans="1:56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0"/>
        <v>0</v>
      </c>
      <c r="S450" s="200"/>
      <c r="T450" s="200"/>
      <c r="U450" s="201"/>
      <c r="V450" s="202"/>
      <c r="W450" s="246"/>
      <c r="X450" s="246"/>
      <c r="Y450" s="246"/>
      <c r="BC450"/>
      <c r="BD450"/>
    </row>
    <row r="451" spans="1:56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0"/>
        <v>0</v>
      </c>
      <c r="S451" s="200"/>
      <c r="T451" s="200"/>
      <c r="U451" s="201"/>
      <c r="V451" s="202"/>
      <c r="W451" s="246"/>
      <c r="X451" s="246"/>
      <c r="Y451" s="246"/>
      <c r="BC451"/>
      <c r="BD451"/>
    </row>
    <row r="452" spans="1:56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0"/>
        <v>0</v>
      </c>
      <c r="S452" s="200"/>
      <c r="T452" s="200"/>
      <c r="U452" s="201"/>
      <c r="V452" s="202"/>
      <c r="W452" s="246"/>
      <c r="X452" s="246"/>
      <c r="Y452" s="246"/>
      <c r="BC452"/>
      <c r="BD452"/>
    </row>
    <row r="453" spans="1:56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0"/>
        <v>0</v>
      </c>
      <c r="S453" s="200"/>
      <c r="T453" s="200"/>
      <c r="U453" s="201"/>
      <c r="V453" s="202"/>
      <c r="W453" s="246"/>
      <c r="X453" s="246"/>
      <c r="Y453" s="246"/>
      <c r="BC453"/>
      <c r="BD453"/>
    </row>
    <row r="454" spans="1:56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0"/>
        <v>0</v>
      </c>
      <c r="S454" s="200"/>
      <c r="T454" s="200"/>
      <c r="U454" s="201"/>
      <c r="V454" s="202"/>
      <c r="W454" s="246"/>
      <c r="X454" s="246"/>
      <c r="Y454" s="246"/>
      <c r="BC454"/>
      <c r="BD454"/>
    </row>
    <row r="455" spans="1:56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0"/>
        <v>0</v>
      </c>
      <c r="S455" s="200"/>
      <c r="T455" s="200"/>
      <c r="U455" s="201"/>
      <c r="V455" s="202"/>
      <c r="W455" s="246"/>
      <c r="X455" s="246"/>
      <c r="Y455" s="246"/>
      <c r="BC455"/>
      <c r="BD455"/>
    </row>
    <row r="456" spans="1:56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0"/>
        <v>0</v>
      </c>
      <c r="S456" s="200"/>
      <c r="T456" s="200"/>
      <c r="U456" s="201"/>
      <c r="V456" s="202"/>
      <c r="W456" s="246"/>
      <c r="X456" s="246"/>
      <c r="Y456" s="246"/>
      <c r="BC456"/>
      <c r="BD456"/>
    </row>
    <row r="457" spans="1:56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0"/>
        <v>0</v>
      </c>
      <c r="S457" s="200"/>
      <c r="T457" s="200"/>
      <c r="U457" s="201"/>
      <c r="V457" s="202"/>
      <c r="W457" s="246"/>
      <c r="X457" s="246"/>
      <c r="Y457" s="246"/>
      <c r="BC457"/>
      <c r="BD457"/>
    </row>
    <row r="458" spans="1:56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0"/>
        <v>0</v>
      </c>
      <c r="S458" s="200"/>
      <c r="T458" s="200"/>
      <c r="U458" s="201"/>
      <c r="V458" s="202"/>
      <c r="W458" s="246"/>
      <c r="X458" s="246"/>
      <c r="Y458" s="246"/>
      <c r="BC458"/>
      <c r="BD458"/>
    </row>
    <row r="459" spans="1:56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0"/>
        <v>0</v>
      </c>
      <c r="S459" s="200"/>
      <c r="T459" s="200"/>
      <c r="U459" s="201"/>
      <c r="V459" s="202"/>
      <c r="W459" s="246"/>
      <c r="X459" s="246"/>
      <c r="Y459" s="246"/>
      <c r="BC459"/>
      <c r="BD459"/>
    </row>
    <row r="460" spans="1:56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0"/>
        <v>0</v>
      </c>
      <c r="S460" s="200"/>
      <c r="T460" s="200"/>
      <c r="U460" s="201"/>
      <c r="V460" s="202"/>
      <c r="W460" s="246"/>
      <c r="X460" s="246"/>
      <c r="Y460" s="246"/>
      <c r="BC460"/>
      <c r="BD460"/>
    </row>
    <row r="461" spans="1:56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0"/>
        <v>0</v>
      </c>
      <c r="S461" s="200"/>
      <c r="T461" s="200"/>
      <c r="U461" s="201"/>
      <c r="V461" s="202"/>
      <c r="W461" s="246"/>
      <c r="X461" s="246"/>
      <c r="Y461" s="246"/>
      <c r="BC461"/>
      <c r="BD461"/>
    </row>
    <row r="462" spans="1:56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0"/>
        <v>0</v>
      </c>
      <c r="S462" s="200"/>
      <c r="T462" s="200"/>
      <c r="U462" s="201"/>
      <c r="V462" s="202"/>
      <c r="W462" s="246"/>
      <c r="X462" s="246"/>
      <c r="Y462" s="246"/>
      <c r="BC462"/>
      <c r="BD462"/>
    </row>
    <row r="463" spans="1:56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0"/>
        <v>0</v>
      </c>
      <c r="S463" s="200"/>
      <c r="T463" s="200"/>
      <c r="U463" s="201"/>
      <c r="V463" s="202"/>
      <c r="W463" s="246"/>
      <c r="X463" s="246"/>
      <c r="Y463" s="246"/>
      <c r="BC463"/>
      <c r="BD463"/>
    </row>
    <row r="464" spans="1:56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0"/>
        <v>0</v>
      </c>
      <c r="S464" s="200"/>
      <c r="T464" s="200"/>
      <c r="U464" s="201"/>
      <c r="V464" s="202"/>
      <c r="W464" s="246"/>
      <c r="X464" s="246"/>
      <c r="Y464" s="246"/>
      <c r="BC464"/>
      <c r="BD464"/>
    </row>
    <row r="465" spans="1:56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0"/>
        <v>0</v>
      </c>
      <c r="S465" s="200"/>
      <c r="T465" s="200"/>
      <c r="U465" s="201"/>
      <c r="V465" s="202"/>
      <c r="W465" s="246"/>
      <c r="X465" s="246"/>
      <c r="Y465" s="246"/>
      <c r="BC465"/>
      <c r="BD465"/>
    </row>
    <row r="466" spans="1:56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0"/>
        <v>0</v>
      </c>
      <c r="S466" s="200"/>
      <c r="T466" s="200"/>
      <c r="U466" s="201"/>
      <c r="V466" s="202"/>
      <c r="W466" s="246"/>
      <c r="X466" s="246"/>
      <c r="Y466" s="246"/>
      <c r="BC466"/>
      <c r="BD466"/>
    </row>
    <row r="467" spans="1:56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0"/>
        <v>0</v>
      </c>
      <c r="S467" s="200"/>
      <c r="T467" s="200"/>
      <c r="U467" s="201"/>
      <c r="V467" s="202"/>
      <c r="W467" s="246"/>
      <c r="X467" s="246"/>
      <c r="Y467" s="246"/>
      <c r="BC467"/>
      <c r="BD467"/>
    </row>
    <row r="468" spans="1:56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0"/>
        <v>0</v>
      </c>
      <c r="S468" s="200"/>
      <c r="T468" s="200"/>
      <c r="U468" s="201"/>
      <c r="V468" s="202"/>
      <c r="W468" s="246"/>
      <c r="X468" s="246"/>
      <c r="Y468" s="246"/>
      <c r="BC468"/>
      <c r="BD468"/>
    </row>
    <row r="469" spans="1:56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0"/>
        <v>0</v>
      </c>
      <c r="S469" s="200"/>
      <c r="T469" s="200"/>
      <c r="U469" s="201"/>
      <c r="V469" s="202"/>
      <c r="W469" s="246"/>
      <c r="X469" s="246"/>
      <c r="Y469" s="246"/>
      <c r="BC469"/>
      <c r="BD469"/>
    </row>
    <row r="470" spans="1:56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0"/>
        <v>0</v>
      </c>
      <c r="S470" s="200"/>
      <c r="T470" s="200"/>
      <c r="U470" s="201"/>
      <c r="V470" s="202"/>
      <c r="W470" s="246"/>
      <c r="X470" s="246"/>
      <c r="Y470" s="246"/>
      <c r="BC470"/>
      <c r="BD470"/>
    </row>
    <row r="471" spans="1:56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0"/>
        <v>0</v>
      </c>
      <c r="S471" s="200"/>
      <c r="T471" s="200"/>
      <c r="U471" s="201"/>
      <c r="V471" s="202"/>
      <c r="W471" s="246"/>
      <c r="X471" s="246"/>
      <c r="Y471" s="246"/>
      <c r="BC471"/>
      <c r="BD471"/>
    </row>
    <row r="472" spans="1:56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0"/>
        <v>0</v>
      </c>
      <c r="S472" s="200"/>
      <c r="T472" s="200"/>
      <c r="U472" s="201"/>
      <c r="V472" s="202"/>
      <c r="W472" s="246"/>
      <c r="X472" s="246"/>
      <c r="Y472" s="246"/>
      <c r="BC472"/>
      <c r="BD472"/>
    </row>
    <row r="473" spans="1:56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0"/>
        <v>0</v>
      </c>
      <c r="S473" s="200"/>
      <c r="T473" s="200"/>
      <c r="U473" s="201"/>
      <c r="V473" s="202"/>
      <c r="W473" s="246"/>
      <c r="X473" s="246"/>
      <c r="Y473" s="246"/>
      <c r="BC473"/>
      <c r="BD473"/>
    </row>
    <row r="474" spans="1:56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0"/>
        <v>0</v>
      </c>
      <c r="S474" s="200"/>
      <c r="T474" s="200"/>
      <c r="U474" s="201"/>
      <c r="V474" s="202"/>
      <c r="W474" s="246"/>
      <c r="X474" s="246"/>
      <c r="Y474" s="246"/>
      <c r="BC474"/>
      <c r="BD474"/>
    </row>
    <row r="475" spans="1:56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0"/>
        <v>0</v>
      </c>
      <c r="S475" s="200"/>
      <c r="T475" s="200"/>
      <c r="U475" s="201"/>
      <c r="V475" s="202"/>
      <c r="W475" s="246"/>
      <c r="X475" s="246"/>
      <c r="Y475" s="246"/>
      <c r="BC475"/>
      <c r="BD475"/>
    </row>
    <row r="476" spans="1:56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0"/>
        <v>0</v>
      </c>
      <c r="S476" s="200"/>
      <c r="T476" s="200"/>
      <c r="U476" s="201"/>
      <c r="V476" s="202"/>
      <c r="W476" s="246"/>
      <c r="X476" s="246"/>
      <c r="Y476" s="246"/>
      <c r="BC476"/>
      <c r="BD476"/>
    </row>
    <row r="477" spans="1:56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0"/>
        <v>0</v>
      </c>
      <c r="S477" s="200"/>
      <c r="T477" s="200"/>
      <c r="U477" s="201"/>
      <c r="V477" s="202"/>
      <c r="W477" s="246"/>
      <c r="X477" s="246"/>
      <c r="Y477" s="246"/>
      <c r="BC477"/>
      <c r="BD477"/>
    </row>
    <row r="478" spans="1:56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0"/>
        <v>0</v>
      </c>
      <c r="S478" s="200"/>
      <c r="T478" s="200"/>
      <c r="U478" s="201"/>
      <c r="V478" s="202"/>
      <c r="W478" s="246"/>
      <c r="X478" s="246"/>
      <c r="Y478" s="246"/>
      <c r="BC478"/>
      <c r="BD478"/>
    </row>
    <row r="479" spans="1:56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0"/>
        <v>0</v>
      </c>
      <c r="S479" s="200"/>
      <c r="T479" s="200"/>
      <c r="U479" s="201"/>
      <c r="V479" s="202"/>
      <c r="W479" s="246"/>
      <c r="X479" s="246"/>
      <c r="Y479" s="246"/>
      <c r="BC479"/>
      <c r="BD479"/>
    </row>
    <row r="480" spans="1:56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0"/>
        <v>0</v>
      </c>
      <c r="S480" s="200"/>
      <c r="T480" s="200"/>
      <c r="U480" s="201"/>
      <c r="V480" s="202"/>
      <c r="W480" s="246"/>
      <c r="X480" s="246"/>
      <c r="Y480" s="246"/>
      <c r="BC480"/>
      <c r="BD480"/>
    </row>
    <row r="481" spans="1:56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0"/>
        <v>0</v>
      </c>
      <c r="S481" s="200"/>
      <c r="T481" s="200"/>
      <c r="U481" s="201"/>
      <c r="V481" s="202"/>
      <c r="W481" s="246"/>
      <c r="X481" s="246"/>
      <c r="Y481" s="246"/>
      <c r="BC481"/>
      <c r="BD481"/>
    </row>
    <row r="482" spans="1:56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0"/>
        <v>0</v>
      </c>
      <c r="S482" s="200"/>
      <c r="T482" s="200"/>
      <c r="U482" s="201"/>
      <c r="V482" s="202"/>
      <c r="W482" s="246"/>
      <c r="X482" s="246"/>
      <c r="Y482" s="246"/>
      <c r="BC482"/>
      <c r="BD482"/>
    </row>
    <row r="483" spans="1:56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0"/>
        <v>0</v>
      </c>
      <c r="S483" s="200"/>
      <c r="T483" s="200"/>
      <c r="U483" s="201"/>
      <c r="V483" s="202"/>
      <c r="W483" s="246"/>
      <c r="X483" s="246"/>
      <c r="Y483" s="246"/>
      <c r="BC483"/>
      <c r="BD483"/>
    </row>
    <row r="484" spans="1:56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0"/>
        <v>0</v>
      </c>
      <c r="S484" s="200"/>
      <c r="T484" s="200"/>
      <c r="U484" s="201"/>
      <c r="V484" s="202"/>
      <c r="W484" s="246"/>
      <c r="X484" s="246"/>
      <c r="Y484" s="246"/>
      <c r="BC484"/>
      <c r="BD484"/>
    </row>
    <row r="485" spans="1:56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0"/>
        <v>0</v>
      </c>
      <c r="S485" s="200"/>
      <c r="T485" s="200"/>
      <c r="U485" s="201"/>
      <c r="V485" s="202"/>
      <c r="W485" s="246"/>
      <c r="X485" s="246"/>
      <c r="Y485" s="246"/>
      <c r="BC485"/>
      <c r="BD485"/>
    </row>
    <row r="486" spans="1:56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0"/>
        <v>0</v>
      </c>
      <c r="S486" s="200"/>
      <c r="T486" s="200"/>
      <c r="U486" s="201"/>
      <c r="V486" s="202"/>
      <c r="W486" s="246"/>
      <c r="X486" s="246"/>
      <c r="Y486" s="246"/>
      <c r="BC486"/>
      <c r="BD486"/>
    </row>
    <row r="487" spans="1:56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0"/>
        <v>0</v>
      </c>
      <c r="S487" s="200"/>
      <c r="T487" s="200"/>
      <c r="U487" s="201"/>
      <c r="V487" s="202"/>
      <c r="W487" s="246"/>
      <c r="X487" s="246"/>
      <c r="Y487" s="246"/>
      <c r="BC487"/>
      <c r="BD487"/>
    </row>
    <row r="488" spans="1:56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0"/>
        <v>0</v>
      </c>
      <c r="S488" s="200"/>
      <c r="T488" s="200"/>
      <c r="U488" s="201"/>
      <c r="V488" s="202"/>
      <c r="W488" s="246"/>
      <c r="X488" s="246"/>
      <c r="Y488" s="246"/>
      <c r="BC488"/>
      <c r="BD488"/>
    </row>
    <row r="489" spans="1:56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0"/>
        <v>0</v>
      </c>
      <c r="S489" s="200"/>
      <c r="T489" s="200"/>
      <c r="U489" s="201"/>
      <c r="V489" s="202"/>
      <c r="W489" s="246"/>
      <c r="X489" s="246"/>
      <c r="Y489" s="246"/>
      <c r="BC489"/>
      <c r="BD489"/>
    </row>
    <row r="490" spans="1:56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0"/>
        <v>0</v>
      </c>
      <c r="S490" s="200"/>
      <c r="T490" s="200"/>
      <c r="U490" s="201"/>
      <c r="V490" s="202"/>
      <c r="W490" s="246"/>
      <c r="X490" s="246"/>
      <c r="Y490" s="246"/>
      <c r="BC490"/>
      <c r="BD490"/>
    </row>
    <row r="491" spans="1:56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0"/>
        <v>0</v>
      </c>
      <c r="S491" s="200"/>
      <c r="T491" s="200"/>
      <c r="U491" s="201"/>
      <c r="V491" s="202"/>
      <c r="W491" s="246"/>
      <c r="X491" s="246"/>
      <c r="Y491" s="246"/>
      <c r="BC491"/>
      <c r="BD491"/>
    </row>
    <row r="492" spans="1:56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0"/>
        <v>0</v>
      </c>
      <c r="S492" s="200"/>
      <c r="T492" s="200"/>
      <c r="U492" s="201"/>
      <c r="V492" s="202"/>
      <c r="W492" s="246"/>
      <c r="X492" s="246"/>
      <c r="Y492" s="246"/>
      <c r="BC492"/>
      <c r="BD492"/>
    </row>
    <row r="493" spans="1:56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0"/>
        <v>0</v>
      </c>
      <c r="S493" s="200"/>
      <c r="T493" s="200"/>
      <c r="U493" s="201"/>
      <c r="V493" s="202"/>
      <c r="W493" s="246"/>
      <c r="X493" s="246"/>
      <c r="Y493" s="246"/>
      <c r="BC493"/>
      <c r="BD493"/>
    </row>
    <row r="494" spans="1:56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0"/>
        <v>0</v>
      </c>
      <c r="S494" s="200"/>
      <c r="T494" s="200"/>
      <c r="U494" s="201"/>
      <c r="V494" s="202"/>
      <c r="W494" s="246"/>
      <c r="X494" s="246"/>
      <c r="Y494" s="246"/>
      <c r="BC494"/>
      <c r="BD494"/>
    </row>
    <row r="495" spans="1:56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0"/>
        <v>0</v>
      </c>
      <c r="S495" s="200"/>
      <c r="T495" s="200"/>
      <c r="U495" s="201"/>
      <c r="V495" s="202"/>
      <c r="W495" s="246"/>
      <c r="X495" s="246"/>
      <c r="Y495" s="246"/>
      <c r="BC495"/>
      <c r="BD495"/>
    </row>
    <row r="496" spans="1:56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0"/>
        <v>0</v>
      </c>
      <c r="S496" s="200"/>
      <c r="T496" s="200"/>
      <c r="U496" s="201"/>
      <c r="V496" s="202"/>
      <c r="W496" s="246"/>
      <c r="X496" s="246"/>
      <c r="Y496" s="246"/>
      <c r="BC496"/>
      <c r="BD496"/>
    </row>
    <row r="497" spans="1:56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0"/>
        <v>0</v>
      </c>
      <c r="S497" s="200"/>
      <c r="T497" s="200"/>
      <c r="U497" s="201"/>
      <c r="V497" s="202"/>
      <c r="W497" s="246"/>
      <c r="X497" s="246"/>
      <c r="Y497" s="246"/>
      <c r="BC497"/>
      <c r="BD497"/>
    </row>
    <row r="498" spans="1:56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0"/>
        <v>0</v>
      </c>
      <c r="S498" s="200"/>
      <c r="T498" s="200"/>
      <c r="U498" s="201"/>
      <c r="V498" s="202"/>
      <c r="W498" s="246"/>
      <c r="X498" s="246"/>
      <c r="Y498" s="246"/>
      <c r="BC498"/>
      <c r="BD498"/>
    </row>
    <row r="499" spans="1:56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0"/>
        <v>0</v>
      </c>
      <c r="S499" s="200"/>
      <c r="T499" s="200"/>
      <c r="U499" s="201"/>
      <c r="V499" s="202"/>
      <c r="W499" s="246"/>
      <c r="X499" s="246"/>
      <c r="Y499" s="246"/>
      <c r="BC499"/>
      <c r="BD499"/>
    </row>
    <row r="500" spans="1:56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0"/>
        <v>0</v>
      </c>
      <c r="S500" s="200"/>
      <c r="T500" s="200"/>
      <c r="U500" s="201"/>
      <c r="V500" s="202"/>
      <c r="W500" s="246"/>
      <c r="X500" s="246"/>
      <c r="Y500" s="246"/>
      <c r="BC500"/>
      <c r="BD500"/>
    </row>
    <row r="501" spans="1:56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0"/>
        <v>0</v>
      </c>
      <c r="S501" s="200"/>
      <c r="T501" s="200"/>
      <c r="U501" s="201"/>
      <c r="V501" s="202"/>
      <c r="W501" s="246"/>
      <c r="X501" s="246"/>
      <c r="Y501" s="246"/>
      <c r="BC501"/>
      <c r="BD501"/>
    </row>
    <row r="502" spans="1:56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ref="R502:R565" si="11">SUM(F502:Q502)</f>
        <v>0</v>
      </c>
      <c r="S502" s="200"/>
      <c r="T502" s="200"/>
      <c r="U502" s="201"/>
      <c r="V502" s="202"/>
      <c r="W502" s="246"/>
      <c r="X502" s="246"/>
      <c r="Y502" s="246"/>
      <c r="BC502"/>
      <c r="BD502"/>
    </row>
    <row r="503" spans="1:56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11"/>
        <v>0</v>
      </c>
      <c r="S503" s="200"/>
      <c r="T503" s="200"/>
      <c r="U503" s="201"/>
      <c r="V503" s="202"/>
      <c r="W503" s="246"/>
      <c r="X503" s="246"/>
      <c r="Y503" s="246"/>
      <c r="BC503"/>
      <c r="BD503"/>
    </row>
    <row r="504" spans="1:56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1"/>
        <v>0</v>
      </c>
      <c r="S504" s="200"/>
      <c r="T504" s="200"/>
      <c r="U504" s="201"/>
      <c r="V504" s="202"/>
      <c r="W504" s="246"/>
      <c r="X504" s="246"/>
      <c r="Y504" s="246"/>
      <c r="BC504"/>
      <c r="BD504"/>
    </row>
    <row r="505" spans="1:56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1"/>
        <v>0</v>
      </c>
      <c r="S505" s="200"/>
      <c r="T505" s="200"/>
      <c r="U505" s="201"/>
      <c r="V505" s="202"/>
      <c r="W505" s="246"/>
      <c r="X505" s="246"/>
      <c r="Y505" s="246"/>
      <c r="BC505"/>
      <c r="BD505"/>
    </row>
    <row r="506" spans="1:56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1"/>
        <v>0</v>
      </c>
      <c r="S506" s="200"/>
      <c r="T506" s="200"/>
      <c r="U506" s="201"/>
      <c r="V506" s="202"/>
      <c r="W506" s="246"/>
      <c r="X506" s="246"/>
      <c r="Y506" s="246"/>
      <c r="BC506"/>
      <c r="BD506"/>
    </row>
    <row r="507" spans="1:56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1"/>
        <v>0</v>
      </c>
      <c r="S507" s="200"/>
      <c r="T507" s="200"/>
      <c r="U507" s="201"/>
      <c r="V507" s="202"/>
      <c r="W507" s="246"/>
      <c r="X507" s="246"/>
      <c r="Y507" s="246"/>
      <c r="BC507"/>
      <c r="BD507"/>
    </row>
    <row r="508" spans="1:56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1"/>
        <v>0</v>
      </c>
      <c r="S508" s="200"/>
      <c r="T508" s="200"/>
      <c r="U508" s="201"/>
      <c r="V508" s="202"/>
      <c r="W508" s="246"/>
      <c r="X508" s="246"/>
      <c r="Y508" s="246"/>
      <c r="BC508"/>
      <c r="BD508"/>
    </row>
    <row r="509" spans="1:56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1"/>
        <v>0</v>
      </c>
      <c r="S509" s="200"/>
      <c r="T509" s="200"/>
      <c r="U509" s="201"/>
      <c r="V509" s="202"/>
      <c r="W509" s="246"/>
      <c r="X509" s="246"/>
      <c r="Y509" s="246"/>
      <c r="BC509"/>
      <c r="BD509"/>
    </row>
    <row r="510" spans="1:56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1"/>
        <v>0</v>
      </c>
      <c r="S510" s="200"/>
      <c r="T510" s="200"/>
      <c r="U510" s="201"/>
      <c r="V510" s="202"/>
      <c r="W510" s="246"/>
      <c r="X510" s="246"/>
      <c r="Y510" s="246"/>
      <c r="BC510"/>
      <c r="BD510"/>
    </row>
    <row r="511" spans="1:56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1"/>
        <v>0</v>
      </c>
      <c r="S511" s="200"/>
      <c r="T511" s="200"/>
      <c r="U511" s="201"/>
      <c r="V511" s="202"/>
      <c r="W511" s="246"/>
      <c r="X511" s="246"/>
      <c r="Y511" s="246"/>
      <c r="BC511"/>
      <c r="BD511"/>
    </row>
    <row r="512" spans="1:56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1"/>
        <v>0</v>
      </c>
      <c r="S512" s="200"/>
      <c r="T512" s="200"/>
      <c r="U512" s="201"/>
      <c r="V512" s="202"/>
      <c r="W512" s="246"/>
      <c r="X512" s="246"/>
      <c r="Y512" s="246"/>
      <c r="BC512"/>
      <c r="BD512"/>
    </row>
    <row r="513" spans="1:56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1"/>
        <v>0</v>
      </c>
      <c r="S513" s="200"/>
      <c r="T513" s="200"/>
      <c r="U513" s="201"/>
      <c r="V513" s="202"/>
      <c r="W513" s="246"/>
      <c r="X513" s="246"/>
      <c r="Y513" s="246"/>
      <c r="BC513"/>
      <c r="BD513"/>
    </row>
    <row r="514" spans="1:56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1"/>
        <v>0</v>
      </c>
      <c r="S514" s="200"/>
      <c r="T514" s="200"/>
      <c r="U514" s="201"/>
      <c r="V514" s="202"/>
      <c r="W514" s="246"/>
      <c r="X514" s="246"/>
      <c r="Y514" s="246"/>
      <c r="BC514"/>
      <c r="BD514"/>
    </row>
    <row r="515" spans="1:56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1"/>
        <v>0</v>
      </c>
      <c r="S515" s="200"/>
      <c r="T515" s="200"/>
      <c r="U515" s="201"/>
      <c r="V515" s="202"/>
      <c r="W515" s="246"/>
      <c r="X515" s="246"/>
      <c r="Y515" s="246"/>
      <c r="BC515"/>
      <c r="BD515"/>
    </row>
    <row r="516" spans="1:56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1"/>
        <v>0</v>
      </c>
      <c r="S516" s="200"/>
      <c r="T516" s="200"/>
      <c r="U516" s="201"/>
      <c r="V516" s="202"/>
      <c r="W516" s="246"/>
      <c r="X516" s="246"/>
      <c r="Y516" s="246"/>
      <c r="BC516"/>
      <c r="BD516"/>
    </row>
    <row r="517" spans="1:56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1"/>
        <v>0</v>
      </c>
      <c r="S517" s="200"/>
      <c r="T517" s="200"/>
      <c r="U517" s="201"/>
      <c r="V517" s="202"/>
      <c r="W517" s="246"/>
      <c r="X517" s="246"/>
      <c r="Y517" s="246"/>
      <c r="BC517"/>
      <c r="BD517"/>
    </row>
    <row r="518" spans="1:56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1"/>
        <v>0</v>
      </c>
      <c r="S518" s="200"/>
      <c r="T518" s="200"/>
      <c r="U518" s="201"/>
      <c r="V518" s="202"/>
      <c r="W518" s="246"/>
      <c r="X518" s="246"/>
      <c r="Y518" s="246"/>
      <c r="BC518"/>
      <c r="BD518"/>
    </row>
    <row r="519" spans="1:56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1"/>
        <v>0</v>
      </c>
      <c r="S519" s="200"/>
      <c r="T519" s="200"/>
      <c r="U519" s="201"/>
      <c r="V519" s="202"/>
      <c r="W519" s="246"/>
      <c r="X519" s="246"/>
      <c r="Y519" s="246"/>
      <c r="BC519"/>
      <c r="BD519"/>
    </row>
    <row r="520" spans="1:56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1"/>
        <v>0</v>
      </c>
      <c r="S520" s="200"/>
      <c r="T520" s="200"/>
      <c r="U520" s="201"/>
      <c r="V520" s="202"/>
      <c r="W520" s="246"/>
      <c r="X520" s="246"/>
      <c r="Y520" s="246"/>
      <c r="BC520"/>
      <c r="BD520"/>
    </row>
    <row r="521" spans="1:56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1"/>
        <v>0</v>
      </c>
      <c r="S521" s="200"/>
      <c r="T521" s="200"/>
      <c r="U521" s="201"/>
      <c r="V521" s="202"/>
      <c r="W521" s="246"/>
      <c r="X521" s="246"/>
      <c r="Y521" s="246"/>
      <c r="BC521"/>
      <c r="BD521"/>
    </row>
    <row r="522" spans="1:56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1"/>
        <v>0</v>
      </c>
      <c r="S522" s="200"/>
      <c r="T522" s="200"/>
      <c r="U522" s="201"/>
      <c r="V522" s="202"/>
      <c r="W522" s="246"/>
      <c r="X522" s="246"/>
      <c r="Y522" s="246"/>
      <c r="BC522"/>
      <c r="BD522"/>
    </row>
    <row r="523" spans="1:56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1"/>
        <v>0</v>
      </c>
      <c r="S523" s="200"/>
      <c r="T523" s="200"/>
      <c r="U523" s="201"/>
      <c r="V523" s="202"/>
      <c r="W523" s="246"/>
      <c r="X523" s="246"/>
      <c r="Y523" s="246"/>
      <c r="BC523"/>
      <c r="BD523"/>
    </row>
    <row r="524" spans="1:56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1"/>
        <v>0</v>
      </c>
      <c r="S524" s="200"/>
      <c r="T524" s="200"/>
      <c r="U524" s="201"/>
      <c r="V524" s="202"/>
      <c r="W524" s="246"/>
      <c r="X524" s="246"/>
      <c r="Y524" s="246"/>
      <c r="BC524"/>
      <c r="BD524"/>
    </row>
    <row r="525" spans="1:56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1"/>
        <v>0</v>
      </c>
      <c r="S525" s="200"/>
      <c r="T525" s="200"/>
      <c r="U525" s="201"/>
      <c r="V525" s="202"/>
      <c r="W525" s="246"/>
      <c r="X525" s="246"/>
      <c r="Y525" s="246"/>
      <c r="BC525"/>
      <c r="BD525"/>
    </row>
    <row r="526" spans="1:56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1"/>
        <v>0</v>
      </c>
      <c r="S526" s="200"/>
      <c r="T526" s="200"/>
      <c r="U526" s="201"/>
      <c r="V526" s="202"/>
      <c r="W526" s="246"/>
      <c r="X526" s="246"/>
      <c r="Y526" s="246"/>
      <c r="BC526"/>
      <c r="BD526"/>
    </row>
    <row r="527" spans="1:56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1"/>
        <v>0</v>
      </c>
      <c r="S527" s="200"/>
      <c r="T527" s="200"/>
      <c r="U527" s="201"/>
      <c r="V527" s="202"/>
      <c r="W527" s="246"/>
      <c r="X527" s="246"/>
      <c r="Y527" s="246"/>
      <c r="BC527"/>
      <c r="BD527"/>
    </row>
    <row r="528" spans="1:56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1"/>
        <v>0</v>
      </c>
      <c r="S528" s="200"/>
      <c r="T528" s="200"/>
      <c r="U528" s="201"/>
      <c r="V528" s="202"/>
      <c r="W528" s="246"/>
      <c r="X528" s="246"/>
      <c r="Y528" s="246"/>
      <c r="BC528"/>
      <c r="BD528"/>
    </row>
    <row r="529" spans="1:56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1"/>
        <v>0</v>
      </c>
      <c r="S529" s="200"/>
      <c r="T529" s="200"/>
      <c r="U529" s="201"/>
      <c r="V529" s="202"/>
      <c r="W529" s="246"/>
      <c r="X529" s="246"/>
      <c r="Y529" s="246"/>
      <c r="BC529"/>
      <c r="BD529"/>
    </row>
    <row r="530" spans="1:56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1"/>
        <v>0</v>
      </c>
      <c r="S530" s="200"/>
      <c r="T530" s="200"/>
      <c r="U530" s="201"/>
      <c r="V530" s="202"/>
      <c r="W530" s="246"/>
      <c r="X530" s="246"/>
      <c r="Y530" s="246"/>
      <c r="BC530"/>
      <c r="BD530"/>
    </row>
    <row r="531" spans="1:56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1"/>
        <v>0</v>
      </c>
      <c r="S531" s="200"/>
      <c r="T531" s="200"/>
      <c r="U531" s="201"/>
      <c r="V531" s="202"/>
      <c r="W531" s="246"/>
      <c r="X531" s="246"/>
      <c r="Y531" s="246"/>
      <c r="BC531"/>
      <c r="BD531"/>
    </row>
    <row r="532" spans="1:56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1"/>
        <v>0</v>
      </c>
      <c r="S532" s="200"/>
      <c r="T532" s="200"/>
      <c r="U532" s="201"/>
      <c r="V532" s="202"/>
      <c r="W532" s="246"/>
      <c r="X532" s="246"/>
      <c r="Y532" s="246"/>
      <c r="BC532"/>
      <c r="BD532"/>
    </row>
    <row r="533" spans="1:56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1"/>
        <v>0</v>
      </c>
      <c r="S533" s="200"/>
      <c r="T533" s="200"/>
      <c r="U533" s="201"/>
      <c r="V533" s="202"/>
      <c r="W533" s="246"/>
      <c r="X533" s="246"/>
      <c r="Y533" s="246"/>
      <c r="BC533"/>
      <c r="BD533"/>
    </row>
    <row r="534" spans="1:56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1"/>
        <v>0</v>
      </c>
      <c r="S534" s="200"/>
      <c r="T534" s="200"/>
      <c r="U534" s="201"/>
      <c r="V534" s="202"/>
      <c r="W534" s="246"/>
      <c r="X534" s="246"/>
      <c r="Y534" s="246"/>
      <c r="BC534"/>
      <c r="BD534"/>
    </row>
    <row r="535" spans="1:56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1"/>
        <v>0</v>
      </c>
      <c r="S535" s="200"/>
      <c r="T535" s="200"/>
      <c r="U535" s="201"/>
      <c r="V535" s="202"/>
      <c r="W535" s="246"/>
      <c r="X535" s="246"/>
      <c r="Y535" s="246"/>
      <c r="BC535"/>
      <c r="BD535"/>
    </row>
    <row r="536" spans="1:56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1"/>
        <v>0</v>
      </c>
      <c r="S536" s="200"/>
      <c r="T536" s="200"/>
      <c r="U536" s="201"/>
      <c r="V536" s="202"/>
      <c r="W536" s="246"/>
      <c r="X536" s="246"/>
      <c r="Y536" s="246"/>
      <c r="BC536"/>
      <c r="BD536"/>
    </row>
    <row r="537" spans="1:56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1"/>
        <v>0</v>
      </c>
      <c r="S537" s="200"/>
      <c r="T537" s="200"/>
      <c r="U537" s="201"/>
      <c r="V537" s="202"/>
      <c r="W537" s="246"/>
      <c r="X537" s="246"/>
      <c r="Y537" s="246"/>
      <c r="BC537"/>
      <c r="BD537"/>
    </row>
    <row r="538" spans="1:56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1"/>
        <v>0</v>
      </c>
      <c r="S538" s="200"/>
      <c r="T538" s="200"/>
      <c r="U538" s="201"/>
      <c r="V538" s="202"/>
      <c r="W538" s="246"/>
      <c r="X538" s="246"/>
      <c r="Y538" s="246"/>
      <c r="BC538"/>
      <c r="BD538"/>
    </row>
    <row r="539" spans="1:56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1"/>
        <v>0</v>
      </c>
      <c r="S539" s="200"/>
      <c r="T539" s="200"/>
      <c r="U539" s="201"/>
      <c r="V539" s="202"/>
      <c r="W539" s="246"/>
      <c r="X539" s="246"/>
      <c r="Y539" s="246"/>
      <c r="BC539"/>
      <c r="BD539"/>
    </row>
    <row r="540" spans="1:56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1"/>
        <v>0</v>
      </c>
      <c r="S540" s="200"/>
      <c r="T540" s="200"/>
      <c r="U540" s="201"/>
      <c r="V540" s="202"/>
      <c r="W540" s="246"/>
      <c r="X540" s="246"/>
      <c r="Y540" s="246"/>
      <c r="BC540"/>
      <c r="BD540"/>
    </row>
    <row r="541" spans="1:56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1"/>
        <v>0</v>
      </c>
      <c r="S541" s="200"/>
      <c r="T541" s="200"/>
      <c r="U541" s="201"/>
      <c r="V541" s="202"/>
      <c r="W541" s="246"/>
      <c r="X541" s="246"/>
      <c r="Y541" s="246"/>
      <c r="BC541"/>
      <c r="BD541"/>
    </row>
    <row r="542" spans="1:56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1"/>
        <v>0</v>
      </c>
      <c r="S542" s="200"/>
      <c r="T542" s="200"/>
      <c r="U542" s="201"/>
      <c r="V542" s="202"/>
      <c r="W542" s="246"/>
      <c r="X542" s="246"/>
      <c r="Y542" s="246"/>
      <c r="BC542"/>
      <c r="BD542"/>
    </row>
    <row r="543" spans="1:56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1"/>
        <v>0</v>
      </c>
      <c r="S543" s="200"/>
      <c r="T543" s="200"/>
      <c r="U543" s="201"/>
      <c r="V543" s="202"/>
      <c r="W543" s="246"/>
      <c r="X543" s="246"/>
      <c r="Y543" s="246"/>
      <c r="BC543"/>
      <c r="BD543"/>
    </row>
    <row r="544" spans="1:56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1"/>
        <v>0</v>
      </c>
      <c r="S544" s="200"/>
      <c r="T544" s="200"/>
      <c r="U544" s="201"/>
      <c r="V544" s="202"/>
      <c r="W544" s="246"/>
      <c r="X544" s="246"/>
      <c r="Y544" s="246"/>
      <c r="BC544"/>
      <c r="BD544"/>
    </row>
    <row r="545" spans="1:56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1"/>
        <v>0</v>
      </c>
      <c r="S545" s="200"/>
      <c r="T545" s="200"/>
      <c r="U545" s="201"/>
      <c r="V545" s="202"/>
      <c r="W545" s="246"/>
      <c r="X545" s="246"/>
      <c r="Y545" s="246"/>
      <c r="BC545"/>
      <c r="BD545"/>
    </row>
    <row r="546" spans="1:56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1"/>
        <v>0</v>
      </c>
      <c r="S546" s="200"/>
      <c r="T546" s="200"/>
      <c r="U546" s="201"/>
      <c r="V546" s="202"/>
      <c r="W546" s="246"/>
      <c r="X546" s="246"/>
      <c r="Y546" s="246"/>
      <c r="BC546"/>
      <c r="BD546"/>
    </row>
    <row r="547" spans="1:56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1"/>
        <v>0</v>
      </c>
      <c r="S547" s="200"/>
      <c r="T547" s="200"/>
      <c r="U547" s="201"/>
      <c r="V547" s="202"/>
      <c r="W547" s="246"/>
      <c r="X547" s="246"/>
      <c r="Y547" s="246"/>
      <c r="BC547"/>
      <c r="BD547"/>
    </row>
    <row r="548" spans="1:56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1"/>
        <v>0</v>
      </c>
      <c r="S548" s="200"/>
      <c r="T548" s="200"/>
      <c r="U548" s="201"/>
      <c r="V548" s="202"/>
      <c r="W548" s="246"/>
      <c r="X548" s="246"/>
      <c r="Y548" s="246"/>
      <c r="BC548"/>
      <c r="BD548"/>
    </row>
    <row r="549" spans="1:56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1"/>
        <v>0</v>
      </c>
      <c r="S549" s="200"/>
      <c r="T549" s="200"/>
      <c r="U549" s="201"/>
      <c r="V549" s="202"/>
      <c r="W549" s="246"/>
      <c r="X549" s="246"/>
      <c r="Y549" s="246"/>
      <c r="BC549"/>
      <c r="BD549"/>
    </row>
    <row r="550" spans="1:56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1"/>
        <v>0</v>
      </c>
      <c r="S550" s="200"/>
      <c r="T550" s="200"/>
      <c r="U550" s="201"/>
      <c r="V550" s="202"/>
      <c r="W550" s="246"/>
      <c r="X550" s="246"/>
      <c r="Y550" s="246"/>
      <c r="BC550"/>
      <c r="BD550"/>
    </row>
    <row r="551" spans="1:56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1"/>
        <v>0</v>
      </c>
      <c r="S551" s="200"/>
      <c r="T551" s="200"/>
      <c r="U551" s="201"/>
      <c r="V551" s="202"/>
      <c r="W551" s="246"/>
      <c r="X551" s="246"/>
      <c r="Y551" s="246"/>
      <c r="BC551"/>
      <c r="BD551"/>
    </row>
    <row r="552" spans="1:56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1"/>
        <v>0</v>
      </c>
      <c r="S552" s="200"/>
      <c r="T552" s="200"/>
      <c r="U552" s="201"/>
      <c r="V552" s="202"/>
      <c r="W552" s="246"/>
      <c r="X552" s="246"/>
      <c r="Y552" s="246"/>
      <c r="BC552"/>
      <c r="BD552"/>
    </row>
    <row r="553" spans="1:56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1"/>
        <v>0</v>
      </c>
      <c r="S553" s="200"/>
      <c r="T553" s="200"/>
      <c r="U553" s="201"/>
      <c r="V553" s="202"/>
      <c r="W553" s="246"/>
      <c r="X553" s="246"/>
      <c r="Y553" s="246"/>
      <c r="BC553"/>
      <c r="BD553"/>
    </row>
    <row r="554" spans="1:56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1"/>
        <v>0</v>
      </c>
      <c r="S554" s="200"/>
      <c r="T554" s="200"/>
      <c r="U554" s="201"/>
      <c r="V554" s="202"/>
      <c r="W554" s="246"/>
      <c r="X554" s="246"/>
      <c r="Y554" s="246"/>
      <c r="BC554"/>
      <c r="BD554"/>
    </row>
    <row r="555" spans="1:56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1"/>
        <v>0</v>
      </c>
      <c r="S555" s="200"/>
      <c r="T555" s="200"/>
      <c r="U555" s="201"/>
      <c r="V555" s="202"/>
      <c r="W555" s="246"/>
      <c r="X555" s="246"/>
      <c r="Y555" s="246"/>
      <c r="BC555"/>
      <c r="BD555"/>
    </row>
    <row r="556" spans="1:56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1"/>
        <v>0</v>
      </c>
      <c r="S556" s="200"/>
      <c r="T556" s="200"/>
      <c r="U556" s="201"/>
      <c r="V556" s="202"/>
      <c r="W556" s="246"/>
      <c r="X556" s="246"/>
      <c r="Y556" s="246"/>
      <c r="BC556"/>
      <c r="BD556"/>
    </row>
    <row r="557" spans="1:56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1"/>
        <v>0</v>
      </c>
      <c r="S557" s="200"/>
      <c r="T557" s="200"/>
      <c r="U557" s="201"/>
      <c r="V557" s="202"/>
      <c r="W557" s="246"/>
      <c r="X557" s="246"/>
      <c r="Y557" s="246"/>
      <c r="BC557"/>
      <c r="BD557"/>
    </row>
    <row r="558" spans="1:56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1"/>
        <v>0</v>
      </c>
      <c r="S558" s="200"/>
      <c r="T558" s="200"/>
      <c r="U558" s="201"/>
      <c r="V558" s="202"/>
      <c r="W558" s="246"/>
      <c r="X558" s="246"/>
      <c r="Y558" s="246"/>
      <c r="BC558"/>
      <c r="BD558"/>
    </row>
    <row r="559" spans="1:56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1"/>
        <v>0</v>
      </c>
      <c r="S559" s="200"/>
      <c r="T559" s="200"/>
      <c r="U559" s="201"/>
      <c r="V559" s="202"/>
      <c r="W559" s="246"/>
      <c r="X559" s="246"/>
      <c r="Y559" s="246"/>
      <c r="BC559"/>
      <c r="BD559"/>
    </row>
    <row r="560" spans="1:56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1"/>
        <v>0</v>
      </c>
      <c r="S560" s="200"/>
      <c r="T560" s="200"/>
      <c r="U560" s="201"/>
      <c r="V560" s="202"/>
      <c r="W560" s="246"/>
      <c r="X560" s="246"/>
      <c r="Y560" s="246"/>
      <c r="BC560"/>
      <c r="BD560"/>
    </row>
    <row r="561" spans="1:56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1"/>
        <v>0</v>
      </c>
      <c r="S561" s="200"/>
      <c r="T561" s="200"/>
      <c r="U561" s="201"/>
      <c r="V561" s="202"/>
      <c r="W561" s="246"/>
      <c r="X561" s="246"/>
      <c r="Y561" s="246"/>
      <c r="BC561"/>
      <c r="BD561"/>
    </row>
    <row r="562" spans="1:56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1"/>
        <v>0</v>
      </c>
      <c r="S562" s="200"/>
      <c r="T562" s="200"/>
      <c r="U562" s="201"/>
      <c r="V562" s="202"/>
      <c r="W562" s="246"/>
      <c r="X562" s="246"/>
      <c r="Y562" s="246"/>
      <c r="BC562"/>
      <c r="BD562"/>
    </row>
    <row r="563" spans="1:56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1"/>
        <v>0</v>
      </c>
      <c r="S563" s="200"/>
      <c r="T563" s="200"/>
      <c r="U563" s="201"/>
      <c r="V563" s="202"/>
      <c r="W563" s="246"/>
      <c r="X563" s="246"/>
      <c r="Y563" s="246"/>
      <c r="BC563"/>
      <c r="BD563"/>
    </row>
    <row r="564" spans="1:56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1"/>
        <v>0</v>
      </c>
      <c r="S564" s="200"/>
      <c r="T564" s="200"/>
      <c r="U564" s="201"/>
      <c r="V564" s="202"/>
      <c r="W564" s="246"/>
      <c r="X564" s="246"/>
      <c r="Y564" s="246"/>
      <c r="BC564"/>
      <c r="BD564"/>
    </row>
    <row r="565" spans="1:56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1"/>
        <v>0</v>
      </c>
      <c r="S565" s="200"/>
      <c r="T565" s="200"/>
      <c r="U565" s="201"/>
      <c r="V565" s="202"/>
      <c r="W565" s="246"/>
      <c r="X565" s="246"/>
      <c r="Y565" s="246"/>
      <c r="BC565"/>
      <c r="BD565"/>
    </row>
    <row r="566" spans="1:56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ref="R566:R629" si="12">SUM(F566:Q566)</f>
        <v>0</v>
      </c>
      <c r="S566" s="200"/>
      <c r="T566" s="200"/>
      <c r="U566" s="201"/>
      <c r="V566" s="202"/>
      <c r="W566" s="246"/>
      <c r="X566" s="246"/>
      <c r="Y566" s="246"/>
      <c r="BC566"/>
      <c r="BD566"/>
    </row>
    <row r="567" spans="1:56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12"/>
        <v>0</v>
      </c>
      <c r="S567" s="200"/>
      <c r="T567" s="200"/>
      <c r="U567" s="201"/>
      <c r="V567" s="202"/>
      <c r="W567" s="246"/>
      <c r="X567" s="246"/>
      <c r="Y567" s="246"/>
      <c r="BC567"/>
      <c r="BD567"/>
    </row>
    <row r="568" spans="1:56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2"/>
        <v>0</v>
      </c>
      <c r="S568" s="200"/>
      <c r="T568" s="200"/>
      <c r="U568" s="201"/>
      <c r="V568" s="202"/>
      <c r="W568" s="246"/>
      <c r="X568" s="246"/>
      <c r="Y568" s="246"/>
      <c r="BC568"/>
      <c r="BD568"/>
    </row>
    <row r="569" spans="1:56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2"/>
        <v>0</v>
      </c>
      <c r="S569" s="200"/>
      <c r="T569" s="200"/>
      <c r="U569" s="201"/>
      <c r="V569" s="202"/>
      <c r="W569" s="246"/>
      <c r="X569" s="246"/>
      <c r="Y569" s="246"/>
      <c r="BC569"/>
      <c r="BD569"/>
    </row>
    <row r="570" spans="1:56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2"/>
        <v>0</v>
      </c>
      <c r="S570" s="200"/>
      <c r="T570" s="200"/>
      <c r="U570" s="201"/>
      <c r="V570" s="202"/>
      <c r="W570" s="246"/>
      <c r="X570" s="246"/>
      <c r="Y570" s="246"/>
      <c r="BC570"/>
      <c r="BD570"/>
    </row>
    <row r="571" spans="1:56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2"/>
        <v>0</v>
      </c>
      <c r="S571" s="200"/>
      <c r="T571" s="200"/>
      <c r="U571" s="201"/>
      <c r="V571" s="202"/>
      <c r="W571" s="246"/>
      <c r="X571" s="246"/>
      <c r="Y571" s="246"/>
      <c r="BC571"/>
      <c r="BD571"/>
    </row>
    <row r="572" spans="1:56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2"/>
        <v>0</v>
      </c>
      <c r="S572" s="200"/>
      <c r="T572" s="200"/>
      <c r="U572" s="201"/>
      <c r="V572" s="202"/>
      <c r="W572" s="246"/>
      <c r="X572" s="246"/>
      <c r="Y572" s="246"/>
      <c r="BC572"/>
      <c r="BD572"/>
    </row>
    <row r="573" spans="1:56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2"/>
        <v>0</v>
      </c>
      <c r="S573" s="200"/>
      <c r="T573" s="200"/>
      <c r="U573" s="201"/>
      <c r="V573" s="202"/>
      <c r="W573" s="246"/>
      <c r="X573" s="246"/>
      <c r="Y573" s="246"/>
      <c r="BC573"/>
      <c r="BD573"/>
    </row>
    <row r="574" spans="1:56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2"/>
        <v>0</v>
      </c>
      <c r="S574" s="200"/>
      <c r="T574" s="200"/>
      <c r="U574" s="201"/>
      <c r="V574" s="202"/>
      <c r="W574" s="246"/>
      <c r="X574" s="246"/>
      <c r="Y574" s="246"/>
      <c r="BC574"/>
      <c r="BD574"/>
    </row>
    <row r="575" spans="1:56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2"/>
        <v>0</v>
      </c>
      <c r="S575" s="200"/>
      <c r="T575" s="200"/>
      <c r="U575" s="201"/>
      <c r="V575" s="202"/>
      <c r="W575" s="246"/>
      <c r="X575" s="246"/>
      <c r="Y575" s="246"/>
      <c r="BC575"/>
      <c r="BD575"/>
    </row>
    <row r="576" spans="1:56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2"/>
        <v>0</v>
      </c>
      <c r="S576" s="200"/>
      <c r="T576" s="200"/>
      <c r="U576" s="201"/>
      <c r="V576" s="202"/>
      <c r="W576" s="246"/>
      <c r="X576" s="246"/>
      <c r="Y576" s="246"/>
      <c r="BC576"/>
      <c r="BD576"/>
    </row>
    <row r="577" spans="1:56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2"/>
        <v>0</v>
      </c>
      <c r="S577" s="200"/>
      <c r="T577" s="200"/>
      <c r="U577" s="201"/>
      <c r="V577" s="202"/>
      <c r="W577" s="246"/>
      <c r="X577" s="246"/>
      <c r="Y577" s="246"/>
      <c r="BC577"/>
      <c r="BD577"/>
    </row>
    <row r="578" spans="1:56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2"/>
        <v>0</v>
      </c>
      <c r="S578" s="200"/>
      <c r="T578" s="200"/>
      <c r="U578" s="201"/>
      <c r="V578" s="202"/>
      <c r="W578" s="246"/>
      <c r="X578" s="246"/>
      <c r="Y578" s="246"/>
      <c r="BC578"/>
      <c r="BD578"/>
    </row>
    <row r="579" spans="1:56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2"/>
        <v>0</v>
      </c>
      <c r="S579" s="200"/>
      <c r="T579" s="200"/>
      <c r="U579" s="201"/>
      <c r="V579" s="202"/>
      <c r="W579" s="246"/>
      <c r="X579" s="246"/>
      <c r="Y579" s="246"/>
      <c r="BC579"/>
      <c r="BD579"/>
    </row>
    <row r="580" spans="1:56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2"/>
        <v>0</v>
      </c>
      <c r="S580" s="200"/>
      <c r="T580" s="200"/>
      <c r="U580" s="201"/>
      <c r="V580" s="202"/>
      <c r="W580" s="246"/>
      <c r="X580" s="246"/>
      <c r="Y580" s="246"/>
      <c r="BC580"/>
      <c r="BD580"/>
    </row>
    <row r="581" spans="1:56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2"/>
        <v>0</v>
      </c>
      <c r="S581" s="200"/>
      <c r="T581" s="200"/>
      <c r="U581" s="201"/>
      <c r="V581" s="202"/>
      <c r="W581" s="246"/>
      <c r="X581" s="246"/>
      <c r="Y581" s="246"/>
      <c r="BC581"/>
      <c r="BD581"/>
    </row>
    <row r="582" spans="1:56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2"/>
        <v>0</v>
      </c>
      <c r="S582" s="200"/>
      <c r="T582" s="200"/>
      <c r="U582" s="201"/>
      <c r="V582" s="202"/>
      <c r="W582" s="246"/>
      <c r="X582" s="246"/>
      <c r="Y582" s="246"/>
      <c r="BC582"/>
      <c r="BD582"/>
    </row>
    <row r="583" spans="1:56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2"/>
        <v>0</v>
      </c>
      <c r="S583" s="200"/>
      <c r="T583" s="200"/>
      <c r="U583" s="201"/>
      <c r="V583" s="202"/>
      <c r="W583" s="246"/>
      <c r="X583" s="246"/>
      <c r="Y583" s="246"/>
      <c r="BC583"/>
      <c r="BD583"/>
    </row>
    <row r="584" spans="1:56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2"/>
        <v>0</v>
      </c>
      <c r="S584" s="200"/>
      <c r="T584" s="200"/>
      <c r="U584" s="201"/>
      <c r="V584" s="202"/>
      <c r="W584" s="246"/>
      <c r="X584" s="246"/>
      <c r="Y584" s="246"/>
      <c r="BC584"/>
      <c r="BD584"/>
    </row>
    <row r="585" spans="1:56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2"/>
        <v>0</v>
      </c>
      <c r="S585" s="200"/>
      <c r="T585" s="200"/>
      <c r="U585" s="201"/>
      <c r="V585" s="202"/>
      <c r="W585" s="246"/>
      <c r="X585" s="246"/>
      <c r="Y585" s="246"/>
      <c r="BC585"/>
      <c r="BD585"/>
    </row>
    <row r="586" spans="1:56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2"/>
        <v>0</v>
      </c>
      <c r="S586" s="200"/>
      <c r="T586" s="200"/>
      <c r="U586" s="201"/>
      <c r="V586" s="202"/>
      <c r="W586" s="246"/>
      <c r="X586" s="246"/>
      <c r="Y586" s="246"/>
      <c r="BC586"/>
      <c r="BD586"/>
    </row>
    <row r="587" spans="1:56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2"/>
        <v>0</v>
      </c>
      <c r="S587" s="200"/>
      <c r="T587" s="200"/>
      <c r="U587" s="201"/>
      <c r="V587" s="202"/>
      <c r="W587" s="246"/>
      <c r="X587" s="246"/>
      <c r="Y587" s="246"/>
      <c r="BC587"/>
      <c r="BD587"/>
    </row>
    <row r="588" spans="1:56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2"/>
        <v>0</v>
      </c>
      <c r="S588" s="200"/>
      <c r="T588" s="200"/>
      <c r="U588" s="201"/>
      <c r="V588" s="202"/>
      <c r="W588" s="246"/>
      <c r="X588" s="246"/>
      <c r="Y588" s="246"/>
      <c r="BC588"/>
      <c r="BD588"/>
    </row>
    <row r="589" spans="1:56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2"/>
        <v>0</v>
      </c>
      <c r="S589" s="200"/>
      <c r="T589" s="200"/>
      <c r="U589" s="201"/>
      <c r="V589" s="202"/>
      <c r="W589" s="246"/>
      <c r="X589" s="246"/>
      <c r="Y589" s="246"/>
      <c r="BC589"/>
      <c r="BD589"/>
    </row>
    <row r="590" spans="1:56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2"/>
        <v>0</v>
      </c>
      <c r="S590" s="200"/>
      <c r="T590" s="200"/>
      <c r="U590" s="201"/>
      <c r="V590" s="202"/>
      <c r="W590" s="246"/>
      <c r="X590" s="246"/>
      <c r="Y590" s="246"/>
      <c r="BC590"/>
      <c r="BD590"/>
    </row>
    <row r="591" spans="1:56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2"/>
        <v>0</v>
      </c>
      <c r="S591" s="200"/>
      <c r="T591" s="200"/>
      <c r="U591" s="201"/>
      <c r="V591" s="202"/>
      <c r="W591" s="246"/>
      <c r="X591" s="246"/>
      <c r="Y591" s="246"/>
      <c r="BC591"/>
      <c r="BD591"/>
    </row>
    <row r="592" spans="1:56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2"/>
        <v>0</v>
      </c>
      <c r="S592" s="200"/>
      <c r="T592" s="200"/>
      <c r="U592" s="201"/>
      <c r="V592" s="202"/>
      <c r="W592" s="246"/>
      <c r="X592" s="246"/>
      <c r="Y592" s="246"/>
      <c r="BC592"/>
      <c r="BD592"/>
    </row>
    <row r="593" spans="1:56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2"/>
        <v>0</v>
      </c>
      <c r="S593" s="200"/>
      <c r="T593" s="200"/>
      <c r="U593" s="201"/>
      <c r="V593" s="202"/>
      <c r="W593" s="246"/>
      <c r="X593" s="246"/>
      <c r="Y593" s="246"/>
      <c r="BC593"/>
      <c r="BD593"/>
    </row>
    <row r="594" spans="1:56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2"/>
        <v>0</v>
      </c>
      <c r="S594" s="200"/>
      <c r="T594" s="200"/>
      <c r="U594" s="201"/>
      <c r="V594" s="202"/>
      <c r="W594" s="246"/>
      <c r="X594" s="246"/>
      <c r="Y594" s="246"/>
      <c r="BC594"/>
      <c r="BD594"/>
    </row>
    <row r="595" spans="1:56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2"/>
        <v>0</v>
      </c>
      <c r="S595" s="200"/>
      <c r="T595" s="200"/>
      <c r="U595" s="201"/>
      <c r="V595" s="202"/>
      <c r="W595" s="246"/>
      <c r="X595" s="246"/>
      <c r="Y595" s="246"/>
      <c r="BC595"/>
      <c r="BD595"/>
    </row>
    <row r="596" spans="1:56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2"/>
        <v>0</v>
      </c>
      <c r="S596" s="200"/>
      <c r="T596" s="200"/>
      <c r="U596" s="201"/>
      <c r="V596" s="202"/>
      <c r="W596" s="246"/>
      <c r="X596" s="246"/>
      <c r="Y596" s="246"/>
      <c r="BC596"/>
      <c r="BD596"/>
    </row>
    <row r="597" spans="1:56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2"/>
        <v>0</v>
      </c>
      <c r="S597" s="200"/>
      <c r="T597" s="200"/>
      <c r="U597" s="201"/>
      <c r="V597" s="202"/>
      <c r="W597" s="246"/>
      <c r="X597" s="246"/>
      <c r="Y597" s="246"/>
      <c r="BC597"/>
      <c r="BD597"/>
    </row>
    <row r="598" spans="1:56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2"/>
        <v>0</v>
      </c>
      <c r="S598" s="200"/>
      <c r="T598" s="200"/>
      <c r="U598" s="201"/>
      <c r="V598" s="202"/>
      <c r="W598" s="246"/>
      <c r="X598" s="246"/>
      <c r="Y598" s="246"/>
      <c r="BC598"/>
      <c r="BD598"/>
    </row>
    <row r="599" spans="1:56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2"/>
        <v>0</v>
      </c>
      <c r="S599" s="200"/>
      <c r="T599" s="200"/>
      <c r="U599" s="201"/>
      <c r="V599" s="202"/>
      <c r="W599" s="246"/>
      <c r="X599" s="246"/>
      <c r="Y599" s="246"/>
      <c r="BC599"/>
      <c r="BD599"/>
    </row>
    <row r="600" spans="1:56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2"/>
        <v>0</v>
      </c>
      <c r="S600" s="200"/>
      <c r="T600" s="200"/>
      <c r="U600" s="201"/>
      <c r="V600" s="202"/>
      <c r="W600" s="246"/>
      <c r="X600" s="246"/>
      <c r="Y600" s="246"/>
      <c r="BC600"/>
      <c r="BD600"/>
    </row>
    <row r="601" spans="1:56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2"/>
        <v>0</v>
      </c>
      <c r="S601" s="200"/>
      <c r="T601" s="200"/>
      <c r="U601" s="201"/>
      <c r="V601" s="202"/>
      <c r="W601" s="246"/>
      <c r="X601" s="246"/>
      <c r="Y601" s="246"/>
      <c r="BC601"/>
      <c r="BD601"/>
    </row>
    <row r="602" spans="1:56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2"/>
        <v>0</v>
      </c>
      <c r="S602" s="200"/>
      <c r="T602" s="200"/>
      <c r="U602" s="201"/>
      <c r="V602" s="202"/>
      <c r="W602" s="246"/>
      <c r="X602" s="246"/>
      <c r="Y602" s="246"/>
      <c r="BC602"/>
      <c r="BD602"/>
    </row>
    <row r="603" spans="1:56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2"/>
        <v>0</v>
      </c>
      <c r="S603" s="200"/>
      <c r="T603" s="200"/>
      <c r="U603" s="201"/>
      <c r="V603" s="202"/>
      <c r="W603" s="246"/>
      <c r="X603" s="246"/>
      <c r="Y603" s="246"/>
      <c r="BC603"/>
      <c r="BD603"/>
    </row>
    <row r="604" spans="1:56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2"/>
        <v>0</v>
      </c>
      <c r="S604" s="200"/>
      <c r="T604" s="200"/>
      <c r="U604" s="201"/>
      <c r="V604" s="202"/>
      <c r="W604" s="246"/>
      <c r="X604" s="246"/>
      <c r="Y604" s="246"/>
      <c r="BC604"/>
      <c r="BD604"/>
    </row>
    <row r="605" spans="1:56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2"/>
        <v>0</v>
      </c>
      <c r="S605" s="200"/>
      <c r="T605" s="200"/>
      <c r="U605" s="201"/>
      <c r="V605" s="202"/>
      <c r="W605" s="246"/>
      <c r="X605" s="246"/>
      <c r="Y605" s="246"/>
      <c r="BC605"/>
      <c r="BD605"/>
    </row>
    <row r="606" spans="1:56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2"/>
        <v>0</v>
      </c>
      <c r="S606" s="200"/>
      <c r="T606" s="200"/>
      <c r="U606" s="201"/>
      <c r="V606" s="202"/>
      <c r="W606" s="246"/>
      <c r="X606" s="246"/>
      <c r="Y606" s="246"/>
      <c r="BC606"/>
      <c r="BD606"/>
    </row>
    <row r="607" spans="1:56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2"/>
        <v>0</v>
      </c>
      <c r="S607" s="200"/>
      <c r="T607" s="200"/>
      <c r="U607" s="201"/>
      <c r="V607" s="202"/>
      <c r="W607" s="246"/>
      <c r="X607" s="246"/>
      <c r="Y607" s="246"/>
      <c r="BC607"/>
      <c r="BD607"/>
    </row>
    <row r="608" spans="1:56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2"/>
        <v>0</v>
      </c>
      <c r="S608" s="200"/>
      <c r="T608" s="200"/>
      <c r="U608" s="201"/>
      <c r="V608" s="202"/>
      <c r="W608" s="246"/>
      <c r="X608" s="246"/>
      <c r="Y608" s="246"/>
      <c r="BC608"/>
      <c r="BD608"/>
    </row>
    <row r="609" spans="1:56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2"/>
        <v>0</v>
      </c>
      <c r="S609" s="200"/>
      <c r="T609" s="200"/>
      <c r="U609" s="201"/>
      <c r="V609" s="202"/>
      <c r="W609" s="246"/>
      <c r="X609" s="246"/>
      <c r="Y609" s="246"/>
      <c r="BC609"/>
      <c r="BD609"/>
    </row>
    <row r="610" spans="1:56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2"/>
        <v>0</v>
      </c>
      <c r="S610" s="200"/>
      <c r="T610" s="200"/>
      <c r="U610" s="201"/>
      <c r="V610" s="202"/>
      <c r="W610" s="246"/>
      <c r="X610" s="246"/>
      <c r="Y610" s="246"/>
      <c r="BC610"/>
      <c r="BD610"/>
    </row>
    <row r="611" spans="1:56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2"/>
        <v>0</v>
      </c>
      <c r="S611" s="200"/>
      <c r="T611" s="200"/>
      <c r="U611" s="201"/>
      <c r="V611" s="202"/>
      <c r="W611" s="246"/>
      <c r="X611" s="246"/>
      <c r="Y611" s="246"/>
      <c r="BC611"/>
      <c r="BD611"/>
    </row>
    <row r="612" spans="1:56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2"/>
        <v>0</v>
      </c>
      <c r="S612" s="200"/>
      <c r="T612" s="200"/>
      <c r="U612" s="201"/>
      <c r="V612" s="202"/>
      <c r="W612" s="246"/>
      <c r="X612" s="246"/>
      <c r="Y612" s="246"/>
      <c r="BC612"/>
      <c r="BD612"/>
    </row>
    <row r="613" spans="1:56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2"/>
        <v>0</v>
      </c>
      <c r="S613" s="200"/>
      <c r="T613" s="200"/>
      <c r="U613" s="201"/>
      <c r="V613" s="202"/>
      <c r="W613" s="246"/>
      <c r="X613" s="246"/>
      <c r="Y613" s="246"/>
      <c r="BC613"/>
      <c r="BD613"/>
    </row>
    <row r="614" spans="1:56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2"/>
        <v>0</v>
      </c>
      <c r="S614" s="200"/>
      <c r="T614" s="200"/>
      <c r="U614" s="201"/>
      <c r="V614" s="202"/>
      <c r="W614" s="246"/>
      <c r="X614" s="246"/>
      <c r="Y614" s="246"/>
      <c r="BC614"/>
      <c r="BD614"/>
    </row>
    <row r="615" spans="1:56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2"/>
        <v>0</v>
      </c>
      <c r="S615" s="200"/>
      <c r="T615" s="200"/>
      <c r="U615" s="201"/>
      <c r="V615" s="202"/>
      <c r="W615" s="246"/>
      <c r="X615" s="246"/>
      <c r="Y615" s="246"/>
      <c r="BC615"/>
      <c r="BD615"/>
    </row>
    <row r="616" spans="1:56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2"/>
        <v>0</v>
      </c>
      <c r="S616" s="200"/>
      <c r="T616" s="200"/>
      <c r="U616" s="201"/>
      <c r="V616" s="202"/>
      <c r="W616" s="246"/>
      <c r="X616" s="246"/>
      <c r="Y616" s="246"/>
      <c r="BC616"/>
      <c r="BD616"/>
    </row>
    <row r="617" spans="1:56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2"/>
        <v>0</v>
      </c>
      <c r="S617" s="200"/>
      <c r="T617" s="200"/>
      <c r="U617" s="201"/>
      <c r="V617" s="202"/>
      <c r="W617" s="246"/>
      <c r="X617" s="246"/>
      <c r="Y617" s="246"/>
      <c r="BC617"/>
      <c r="BD617"/>
    </row>
    <row r="618" spans="1:56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2"/>
        <v>0</v>
      </c>
      <c r="S618" s="200"/>
      <c r="T618" s="200"/>
      <c r="U618" s="201"/>
      <c r="V618" s="202"/>
      <c r="W618" s="246"/>
      <c r="X618" s="246"/>
      <c r="Y618" s="246"/>
      <c r="BC618"/>
      <c r="BD618"/>
    </row>
    <row r="619" spans="1:56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2"/>
        <v>0</v>
      </c>
      <c r="S619" s="200"/>
      <c r="T619" s="200"/>
      <c r="U619" s="201"/>
      <c r="V619" s="202"/>
      <c r="W619" s="246"/>
      <c r="X619" s="246"/>
      <c r="Y619" s="246"/>
      <c r="BC619"/>
      <c r="BD619"/>
    </row>
    <row r="620" spans="1:56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2"/>
        <v>0</v>
      </c>
      <c r="S620" s="200"/>
      <c r="T620" s="200"/>
      <c r="U620" s="201"/>
      <c r="V620" s="202"/>
      <c r="W620" s="246"/>
      <c r="X620" s="246"/>
      <c r="Y620" s="246"/>
      <c r="BC620"/>
      <c r="BD620"/>
    </row>
    <row r="621" spans="1:56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2"/>
        <v>0</v>
      </c>
      <c r="S621" s="200"/>
      <c r="T621" s="200"/>
      <c r="U621" s="201"/>
      <c r="V621" s="202"/>
      <c r="W621" s="246"/>
      <c r="X621" s="246"/>
      <c r="Y621" s="246"/>
      <c r="BC621"/>
      <c r="BD621"/>
    </row>
    <row r="622" spans="1:56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2"/>
        <v>0</v>
      </c>
      <c r="S622" s="200"/>
      <c r="T622" s="200"/>
      <c r="U622" s="201"/>
      <c r="V622" s="202"/>
      <c r="W622" s="246"/>
      <c r="X622" s="246"/>
      <c r="Y622" s="246"/>
      <c r="BC622"/>
      <c r="BD622"/>
    </row>
    <row r="623" spans="1:56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2"/>
        <v>0</v>
      </c>
      <c r="S623" s="200"/>
      <c r="T623" s="200"/>
      <c r="U623" s="201"/>
      <c r="V623" s="202"/>
      <c r="W623" s="246"/>
      <c r="X623" s="246"/>
      <c r="Y623" s="246"/>
      <c r="BC623"/>
      <c r="BD623"/>
    </row>
    <row r="624" spans="1:56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2"/>
        <v>0</v>
      </c>
      <c r="S624" s="200"/>
      <c r="T624" s="200"/>
      <c r="U624" s="201"/>
      <c r="V624" s="202"/>
      <c r="W624" s="246"/>
      <c r="X624" s="246"/>
      <c r="Y624" s="246"/>
      <c r="BC624"/>
      <c r="BD624"/>
    </row>
    <row r="625" spans="1:56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2"/>
        <v>0</v>
      </c>
      <c r="S625" s="200"/>
      <c r="T625" s="200"/>
      <c r="U625" s="201"/>
      <c r="V625" s="202"/>
      <c r="W625" s="246"/>
      <c r="X625" s="246"/>
      <c r="Y625" s="246"/>
      <c r="BC625"/>
      <c r="BD625"/>
    </row>
    <row r="626" spans="1:56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2"/>
        <v>0</v>
      </c>
      <c r="S626" s="200"/>
      <c r="T626" s="200"/>
      <c r="U626" s="201"/>
      <c r="V626" s="202"/>
      <c r="W626" s="246"/>
      <c r="X626" s="246"/>
      <c r="Y626" s="246"/>
      <c r="BC626"/>
      <c r="BD626"/>
    </row>
    <row r="627" spans="1:56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2"/>
        <v>0</v>
      </c>
      <c r="S627" s="200"/>
      <c r="T627" s="200"/>
      <c r="U627" s="201"/>
      <c r="V627" s="202"/>
      <c r="W627" s="246"/>
      <c r="X627" s="246"/>
      <c r="Y627" s="246"/>
      <c r="BC627"/>
      <c r="BD627"/>
    </row>
    <row r="628" spans="1:56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2"/>
        <v>0</v>
      </c>
      <c r="S628" s="200"/>
      <c r="T628" s="200"/>
      <c r="U628" s="201"/>
      <c r="V628" s="202"/>
      <c r="W628" s="246"/>
      <c r="X628" s="246"/>
      <c r="Y628" s="246"/>
      <c r="BC628"/>
      <c r="BD628"/>
    </row>
    <row r="629" spans="1:56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2"/>
        <v>0</v>
      </c>
      <c r="S629" s="200"/>
      <c r="T629" s="200"/>
      <c r="U629" s="201"/>
      <c r="V629" s="202"/>
      <c r="W629" s="246"/>
      <c r="X629" s="246"/>
      <c r="Y629" s="246"/>
      <c r="BC629"/>
      <c r="BD629"/>
    </row>
    <row r="630" spans="1:56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ref="R630:R693" si="13">SUM(F630:Q630)</f>
        <v>0</v>
      </c>
      <c r="S630" s="200"/>
      <c r="T630" s="200"/>
      <c r="U630" s="201"/>
      <c r="V630" s="202"/>
      <c r="W630" s="246"/>
      <c r="X630" s="246"/>
      <c r="Y630" s="246"/>
      <c r="BC630"/>
      <c r="BD630"/>
    </row>
    <row r="631" spans="1:56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13"/>
        <v>0</v>
      </c>
      <c r="S631" s="200"/>
      <c r="T631" s="200"/>
      <c r="U631" s="201"/>
      <c r="V631" s="202"/>
      <c r="W631" s="246"/>
      <c r="X631" s="246"/>
      <c r="Y631" s="246"/>
      <c r="BC631"/>
      <c r="BD631"/>
    </row>
    <row r="632" spans="1:56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3"/>
        <v>0</v>
      </c>
      <c r="S632" s="200"/>
      <c r="T632" s="200"/>
      <c r="U632" s="201"/>
      <c r="V632" s="202"/>
      <c r="W632" s="246"/>
      <c r="X632" s="246"/>
      <c r="Y632" s="246"/>
      <c r="BC632"/>
      <c r="BD632"/>
    </row>
    <row r="633" spans="1:56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3"/>
        <v>0</v>
      </c>
      <c r="S633" s="200"/>
      <c r="T633" s="200"/>
      <c r="U633" s="201"/>
      <c r="V633" s="202"/>
      <c r="W633" s="246"/>
      <c r="X633" s="246"/>
      <c r="Y633" s="246"/>
      <c r="BC633"/>
      <c r="BD633"/>
    </row>
    <row r="634" spans="1:56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3"/>
        <v>0</v>
      </c>
      <c r="S634" s="200"/>
      <c r="T634" s="200"/>
      <c r="U634" s="201"/>
      <c r="V634" s="202"/>
      <c r="W634" s="246"/>
      <c r="X634" s="246"/>
      <c r="Y634" s="246"/>
      <c r="BC634"/>
      <c r="BD634"/>
    </row>
    <row r="635" spans="1:56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3"/>
        <v>0</v>
      </c>
      <c r="S635" s="200"/>
      <c r="T635" s="200"/>
      <c r="U635" s="201"/>
      <c r="V635" s="202"/>
      <c r="W635" s="246"/>
      <c r="X635" s="246"/>
      <c r="Y635" s="246"/>
      <c r="BC635"/>
      <c r="BD635"/>
    </row>
    <row r="636" spans="1:56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3"/>
        <v>0</v>
      </c>
      <c r="S636" s="200"/>
      <c r="T636" s="200"/>
      <c r="U636" s="201"/>
      <c r="V636" s="202"/>
      <c r="W636" s="246"/>
      <c r="X636" s="246"/>
      <c r="Y636" s="246"/>
      <c r="BC636"/>
      <c r="BD636"/>
    </row>
    <row r="637" spans="1:56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3"/>
        <v>0</v>
      </c>
      <c r="S637" s="200"/>
      <c r="T637" s="200"/>
      <c r="U637" s="201"/>
      <c r="V637" s="202"/>
      <c r="W637" s="246"/>
      <c r="X637" s="246"/>
      <c r="Y637" s="246"/>
      <c r="BC637"/>
      <c r="BD637"/>
    </row>
    <row r="638" spans="1:56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3"/>
        <v>0</v>
      </c>
      <c r="S638" s="200"/>
      <c r="T638" s="200"/>
      <c r="U638" s="201"/>
      <c r="V638" s="202"/>
      <c r="W638" s="246"/>
      <c r="X638" s="246"/>
      <c r="Y638" s="246"/>
      <c r="BC638"/>
      <c r="BD638"/>
    </row>
    <row r="639" spans="1:56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3"/>
        <v>0</v>
      </c>
      <c r="S639" s="200"/>
      <c r="T639" s="200"/>
      <c r="U639" s="201"/>
      <c r="V639" s="202"/>
      <c r="W639" s="246"/>
      <c r="X639" s="246"/>
      <c r="Y639" s="246"/>
      <c r="BC639"/>
      <c r="BD639"/>
    </row>
    <row r="640" spans="1:56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3"/>
        <v>0</v>
      </c>
      <c r="S640" s="200"/>
      <c r="T640" s="200"/>
      <c r="U640" s="201"/>
      <c r="V640" s="202"/>
      <c r="W640" s="246"/>
      <c r="X640" s="246"/>
      <c r="Y640" s="246"/>
      <c r="BC640"/>
      <c r="BD640"/>
    </row>
    <row r="641" spans="1:56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3"/>
        <v>0</v>
      </c>
      <c r="S641" s="200"/>
      <c r="T641" s="200"/>
      <c r="U641" s="201"/>
      <c r="V641" s="202"/>
      <c r="W641" s="246"/>
      <c r="X641" s="246"/>
      <c r="Y641" s="246"/>
      <c r="BC641"/>
      <c r="BD641"/>
    </row>
    <row r="642" spans="1:56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3"/>
        <v>0</v>
      </c>
      <c r="S642" s="200"/>
      <c r="T642" s="200"/>
      <c r="U642" s="201"/>
      <c r="V642" s="202"/>
      <c r="W642" s="246"/>
      <c r="X642" s="246"/>
      <c r="Y642" s="246"/>
      <c r="BC642"/>
      <c r="BD642"/>
    </row>
    <row r="643" spans="1:56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3"/>
        <v>0</v>
      </c>
      <c r="S643" s="200"/>
      <c r="T643" s="200"/>
      <c r="U643" s="201"/>
      <c r="V643" s="202"/>
      <c r="W643" s="246"/>
      <c r="X643" s="246"/>
      <c r="Y643" s="246"/>
      <c r="BC643"/>
      <c r="BD643"/>
    </row>
    <row r="644" spans="1:56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3"/>
        <v>0</v>
      </c>
      <c r="S644" s="200"/>
      <c r="T644" s="200"/>
      <c r="U644" s="201"/>
      <c r="V644" s="202"/>
      <c r="W644" s="246"/>
      <c r="X644" s="246"/>
      <c r="Y644" s="246"/>
      <c r="BC644"/>
      <c r="BD644"/>
    </row>
    <row r="645" spans="1:56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3"/>
        <v>0</v>
      </c>
      <c r="S645" s="200"/>
      <c r="T645" s="200"/>
      <c r="U645" s="201"/>
      <c r="V645" s="202"/>
      <c r="W645" s="246"/>
      <c r="X645" s="246"/>
      <c r="Y645" s="246"/>
      <c r="BC645"/>
      <c r="BD645"/>
    </row>
    <row r="646" spans="1:56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3"/>
        <v>0</v>
      </c>
      <c r="S646" s="200"/>
      <c r="T646" s="200"/>
      <c r="U646" s="201"/>
      <c r="V646" s="202"/>
      <c r="W646" s="246"/>
      <c r="X646" s="246"/>
      <c r="Y646" s="246"/>
      <c r="BC646"/>
      <c r="BD646"/>
    </row>
    <row r="647" spans="1:56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3"/>
        <v>0</v>
      </c>
      <c r="S647" s="200"/>
      <c r="T647" s="200"/>
      <c r="U647" s="201"/>
      <c r="V647" s="202"/>
      <c r="W647" s="246"/>
      <c r="X647" s="246"/>
      <c r="Y647" s="246"/>
      <c r="BC647"/>
      <c r="BD647"/>
    </row>
    <row r="648" spans="1:56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3"/>
        <v>0</v>
      </c>
      <c r="S648" s="200"/>
      <c r="T648" s="200"/>
      <c r="U648" s="201"/>
      <c r="V648" s="202"/>
      <c r="W648" s="246"/>
      <c r="X648" s="246"/>
      <c r="Y648" s="246"/>
      <c r="BC648"/>
      <c r="BD648"/>
    </row>
    <row r="649" spans="1:56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3"/>
        <v>0</v>
      </c>
      <c r="S649" s="200"/>
      <c r="T649" s="200"/>
      <c r="U649" s="201"/>
      <c r="V649" s="202"/>
      <c r="W649" s="246"/>
      <c r="X649" s="246"/>
      <c r="Y649" s="246"/>
      <c r="BC649"/>
      <c r="BD649"/>
    </row>
    <row r="650" spans="1:56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3"/>
        <v>0</v>
      </c>
      <c r="S650" s="200"/>
      <c r="T650" s="200"/>
      <c r="U650" s="201"/>
      <c r="V650" s="202"/>
      <c r="W650" s="246"/>
      <c r="X650" s="246"/>
      <c r="Y650" s="246"/>
      <c r="BC650"/>
      <c r="BD650"/>
    </row>
    <row r="651" spans="1:56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3"/>
        <v>0</v>
      </c>
      <c r="S651" s="200"/>
      <c r="T651" s="200"/>
      <c r="U651" s="201"/>
      <c r="V651" s="202"/>
      <c r="W651" s="246"/>
      <c r="X651" s="246"/>
      <c r="Y651" s="246"/>
      <c r="BC651"/>
      <c r="BD651"/>
    </row>
    <row r="652" spans="1:56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3"/>
        <v>0</v>
      </c>
      <c r="S652" s="200"/>
      <c r="T652" s="200"/>
      <c r="U652" s="201"/>
      <c r="V652" s="202"/>
      <c r="W652" s="246"/>
      <c r="X652" s="246"/>
      <c r="Y652" s="246"/>
      <c r="BC652"/>
      <c r="BD652"/>
    </row>
    <row r="653" spans="1:56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3"/>
        <v>0</v>
      </c>
      <c r="S653" s="200"/>
      <c r="T653" s="200"/>
      <c r="U653" s="201"/>
      <c r="V653" s="202"/>
      <c r="W653" s="246"/>
      <c r="X653" s="246"/>
      <c r="Y653" s="246"/>
      <c r="BC653"/>
      <c r="BD653"/>
    </row>
    <row r="654" spans="1:56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3"/>
        <v>0</v>
      </c>
      <c r="S654" s="200"/>
      <c r="T654" s="200"/>
      <c r="U654" s="201"/>
      <c r="V654" s="202"/>
      <c r="W654" s="246"/>
      <c r="X654" s="246"/>
      <c r="Y654" s="246"/>
      <c r="BC654"/>
      <c r="BD654"/>
    </row>
    <row r="655" spans="1:56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3"/>
        <v>0</v>
      </c>
      <c r="S655" s="200"/>
      <c r="T655" s="200"/>
      <c r="U655" s="201"/>
      <c r="V655" s="202"/>
      <c r="W655" s="246"/>
      <c r="X655" s="246"/>
      <c r="Y655" s="246"/>
      <c r="BC655"/>
      <c r="BD655"/>
    </row>
    <row r="656" spans="1:56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3"/>
        <v>0</v>
      </c>
      <c r="S656" s="200"/>
      <c r="T656" s="200"/>
      <c r="U656" s="201"/>
      <c r="V656" s="202"/>
      <c r="W656" s="246"/>
      <c r="X656" s="246"/>
      <c r="Y656" s="246"/>
      <c r="BC656"/>
      <c r="BD656"/>
    </row>
    <row r="657" spans="1:56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3"/>
        <v>0</v>
      </c>
      <c r="S657" s="200"/>
      <c r="T657" s="200"/>
      <c r="U657" s="201"/>
      <c r="V657" s="202"/>
      <c r="W657" s="246"/>
      <c r="X657" s="246"/>
      <c r="Y657" s="246"/>
      <c r="BC657"/>
      <c r="BD657"/>
    </row>
    <row r="658" spans="1:56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3"/>
        <v>0</v>
      </c>
      <c r="S658" s="200"/>
      <c r="T658" s="200"/>
      <c r="U658" s="201"/>
      <c r="V658" s="202"/>
      <c r="W658" s="246"/>
      <c r="X658" s="246"/>
      <c r="Y658" s="246"/>
      <c r="BC658"/>
      <c r="BD658"/>
    </row>
    <row r="659" spans="1:56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3"/>
        <v>0</v>
      </c>
      <c r="S659" s="200"/>
      <c r="T659" s="200"/>
      <c r="U659" s="201"/>
      <c r="V659" s="202"/>
      <c r="W659" s="246"/>
      <c r="X659" s="246"/>
      <c r="Y659" s="246"/>
      <c r="BC659"/>
      <c r="BD659"/>
    </row>
    <row r="660" spans="1:56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3"/>
        <v>0</v>
      </c>
      <c r="S660" s="200"/>
      <c r="T660" s="200"/>
      <c r="U660" s="201"/>
      <c r="V660" s="202"/>
      <c r="W660" s="246"/>
      <c r="X660" s="246"/>
      <c r="Y660" s="246"/>
      <c r="BC660"/>
      <c r="BD660"/>
    </row>
    <row r="661" spans="1:56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3"/>
        <v>0</v>
      </c>
      <c r="S661" s="200"/>
      <c r="T661" s="200"/>
      <c r="U661" s="201"/>
      <c r="V661" s="202"/>
      <c r="W661" s="246"/>
      <c r="X661" s="246"/>
      <c r="Y661" s="246"/>
      <c r="BC661"/>
      <c r="BD661"/>
    </row>
    <row r="662" spans="1:56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3"/>
        <v>0</v>
      </c>
      <c r="S662" s="200"/>
      <c r="T662" s="200"/>
      <c r="U662" s="201"/>
      <c r="V662" s="202"/>
      <c r="W662" s="246"/>
      <c r="X662" s="246"/>
      <c r="Y662" s="246"/>
      <c r="BC662"/>
      <c r="BD662"/>
    </row>
    <row r="663" spans="1:56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3"/>
        <v>0</v>
      </c>
      <c r="S663" s="200"/>
      <c r="T663" s="200"/>
      <c r="U663" s="201"/>
      <c r="V663" s="202"/>
      <c r="W663" s="246"/>
      <c r="X663" s="246"/>
      <c r="Y663" s="246"/>
      <c r="BC663"/>
      <c r="BD663"/>
    </row>
    <row r="664" spans="1:56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3"/>
        <v>0</v>
      </c>
      <c r="S664" s="200"/>
      <c r="T664" s="200"/>
      <c r="U664" s="201"/>
      <c r="V664" s="202"/>
      <c r="W664" s="246"/>
      <c r="X664" s="246"/>
      <c r="Y664" s="246"/>
      <c r="BC664"/>
      <c r="BD664"/>
    </row>
    <row r="665" spans="1:56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3"/>
        <v>0</v>
      </c>
      <c r="S665" s="200"/>
      <c r="T665" s="200"/>
      <c r="U665" s="201"/>
      <c r="V665" s="202"/>
      <c r="W665" s="246"/>
      <c r="X665" s="246"/>
      <c r="Y665" s="246"/>
      <c r="BC665"/>
      <c r="BD665"/>
    </row>
    <row r="666" spans="1:56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3"/>
        <v>0</v>
      </c>
      <c r="S666" s="200"/>
      <c r="T666" s="200"/>
      <c r="U666" s="201"/>
      <c r="V666" s="202"/>
      <c r="W666" s="246"/>
      <c r="X666" s="246"/>
      <c r="Y666" s="246"/>
      <c r="BC666"/>
      <c r="BD666"/>
    </row>
    <row r="667" spans="1:56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3"/>
        <v>0</v>
      </c>
      <c r="S667" s="200"/>
      <c r="T667" s="200"/>
      <c r="U667" s="201"/>
      <c r="V667" s="202"/>
      <c r="W667" s="246"/>
      <c r="X667" s="246"/>
      <c r="Y667" s="246"/>
      <c r="BC667"/>
      <c r="BD667"/>
    </row>
    <row r="668" spans="1:56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3"/>
        <v>0</v>
      </c>
      <c r="S668" s="200"/>
      <c r="T668" s="200"/>
      <c r="U668" s="201"/>
      <c r="V668" s="202"/>
      <c r="W668" s="246"/>
      <c r="X668" s="246"/>
      <c r="Y668" s="246"/>
      <c r="BC668"/>
      <c r="BD668"/>
    </row>
    <row r="669" spans="1:56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3"/>
        <v>0</v>
      </c>
      <c r="S669" s="200"/>
      <c r="T669" s="200"/>
      <c r="U669" s="201"/>
      <c r="V669" s="202"/>
      <c r="W669" s="246"/>
      <c r="X669" s="246"/>
      <c r="Y669" s="246"/>
      <c r="BC669"/>
      <c r="BD669"/>
    </row>
    <row r="670" spans="1:56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3"/>
        <v>0</v>
      </c>
      <c r="S670" s="200"/>
      <c r="T670" s="200"/>
      <c r="U670" s="201"/>
      <c r="V670" s="202"/>
      <c r="W670" s="246"/>
      <c r="X670" s="246"/>
      <c r="Y670" s="246"/>
      <c r="BC670"/>
      <c r="BD670"/>
    </row>
    <row r="671" spans="1:56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3"/>
        <v>0</v>
      </c>
      <c r="S671" s="200"/>
      <c r="T671" s="200"/>
      <c r="U671" s="201"/>
      <c r="V671" s="202"/>
      <c r="W671" s="246"/>
      <c r="X671" s="246"/>
      <c r="Y671" s="246"/>
      <c r="BC671"/>
      <c r="BD671"/>
    </row>
    <row r="672" spans="1:56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3"/>
        <v>0</v>
      </c>
      <c r="S672" s="200"/>
      <c r="T672" s="200"/>
      <c r="U672" s="201"/>
      <c r="V672" s="202"/>
      <c r="W672" s="246"/>
      <c r="X672" s="246"/>
      <c r="Y672" s="246"/>
      <c r="BC672"/>
      <c r="BD672"/>
    </row>
    <row r="673" spans="1:56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3"/>
        <v>0</v>
      </c>
      <c r="S673" s="200"/>
      <c r="T673" s="200"/>
      <c r="U673" s="201"/>
      <c r="V673" s="202"/>
      <c r="W673" s="246"/>
      <c r="X673" s="246"/>
      <c r="Y673" s="246"/>
      <c r="BC673"/>
      <c r="BD673"/>
    </row>
    <row r="674" spans="1:56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3"/>
        <v>0</v>
      </c>
      <c r="S674" s="200"/>
      <c r="T674" s="200"/>
      <c r="U674" s="201"/>
      <c r="V674" s="202"/>
      <c r="W674" s="246"/>
      <c r="X674" s="246"/>
      <c r="Y674" s="246"/>
      <c r="BC674"/>
      <c r="BD674"/>
    </row>
    <row r="675" spans="1:56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3"/>
        <v>0</v>
      </c>
      <c r="S675" s="200"/>
      <c r="T675" s="200"/>
      <c r="U675" s="201"/>
      <c r="V675" s="202"/>
      <c r="W675" s="246"/>
      <c r="X675" s="246"/>
      <c r="Y675" s="246"/>
      <c r="BC675"/>
      <c r="BD675"/>
    </row>
    <row r="676" spans="1:56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3"/>
        <v>0</v>
      </c>
      <c r="S676" s="200"/>
      <c r="T676" s="200"/>
      <c r="U676" s="201"/>
      <c r="V676" s="202"/>
      <c r="W676" s="246"/>
      <c r="X676" s="246"/>
      <c r="Y676" s="246"/>
      <c r="BC676"/>
      <c r="BD676"/>
    </row>
    <row r="677" spans="1:56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3"/>
        <v>0</v>
      </c>
      <c r="S677" s="200"/>
      <c r="T677" s="200"/>
      <c r="U677" s="201"/>
      <c r="V677" s="202"/>
      <c r="W677" s="246"/>
      <c r="X677" s="246"/>
      <c r="Y677" s="246"/>
      <c r="BC677"/>
      <c r="BD677"/>
    </row>
    <row r="678" spans="1:56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3"/>
        <v>0</v>
      </c>
      <c r="S678" s="200"/>
      <c r="T678" s="200"/>
      <c r="U678" s="201"/>
      <c r="V678" s="202"/>
      <c r="W678" s="246"/>
      <c r="X678" s="246"/>
      <c r="Y678" s="246"/>
      <c r="BC678"/>
      <c r="BD678"/>
    </row>
    <row r="679" spans="1:56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3"/>
        <v>0</v>
      </c>
      <c r="S679" s="200"/>
      <c r="T679" s="200"/>
      <c r="U679" s="201"/>
      <c r="V679" s="202"/>
      <c r="W679" s="246"/>
      <c r="X679" s="246"/>
      <c r="Y679" s="246"/>
      <c r="BC679"/>
      <c r="BD679"/>
    </row>
    <row r="680" spans="1:56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3"/>
        <v>0</v>
      </c>
      <c r="S680" s="200"/>
      <c r="T680" s="200"/>
      <c r="U680" s="201"/>
      <c r="V680" s="202"/>
      <c r="W680" s="246"/>
      <c r="X680" s="246"/>
      <c r="Y680" s="246"/>
      <c r="BC680"/>
      <c r="BD680"/>
    </row>
    <row r="681" spans="1:56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3"/>
        <v>0</v>
      </c>
      <c r="S681" s="200"/>
      <c r="T681" s="200"/>
      <c r="U681" s="201"/>
      <c r="V681" s="202"/>
      <c r="W681" s="246"/>
      <c r="X681" s="246"/>
      <c r="Y681" s="246"/>
      <c r="BC681"/>
      <c r="BD681"/>
    </row>
    <row r="682" spans="1:56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3"/>
        <v>0</v>
      </c>
      <c r="S682" s="200"/>
      <c r="T682" s="200"/>
      <c r="U682" s="201"/>
      <c r="V682" s="202"/>
      <c r="W682" s="246"/>
      <c r="X682" s="246"/>
      <c r="Y682" s="246"/>
      <c r="BC682"/>
      <c r="BD682"/>
    </row>
    <row r="683" spans="1:56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3"/>
        <v>0</v>
      </c>
      <c r="S683" s="200"/>
      <c r="T683" s="200"/>
      <c r="U683" s="201"/>
      <c r="V683" s="202"/>
      <c r="W683" s="246"/>
      <c r="X683" s="246"/>
      <c r="Y683" s="246"/>
      <c r="BC683"/>
      <c r="BD683"/>
    </row>
    <row r="684" spans="1:56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3"/>
        <v>0</v>
      </c>
      <c r="S684" s="200"/>
      <c r="T684" s="200"/>
      <c r="U684" s="201"/>
      <c r="V684" s="202"/>
      <c r="W684" s="246"/>
      <c r="X684" s="246"/>
      <c r="Y684" s="246"/>
      <c r="BC684"/>
      <c r="BD684"/>
    </row>
    <row r="685" spans="1:56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3"/>
        <v>0</v>
      </c>
      <c r="S685" s="200"/>
      <c r="T685" s="200"/>
      <c r="U685" s="201"/>
      <c r="V685" s="202"/>
      <c r="W685" s="246"/>
      <c r="X685" s="246"/>
      <c r="Y685" s="246"/>
      <c r="BC685"/>
      <c r="BD685"/>
    </row>
    <row r="686" spans="1:56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3"/>
        <v>0</v>
      </c>
      <c r="S686" s="200"/>
      <c r="T686" s="200"/>
      <c r="U686" s="201"/>
      <c r="V686" s="202"/>
      <c r="W686" s="246"/>
      <c r="X686" s="246"/>
      <c r="Y686" s="246"/>
      <c r="BC686"/>
      <c r="BD686"/>
    </row>
    <row r="687" spans="1:56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3"/>
        <v>0</v>
      </c>
      <c r="S687" s="200"/>
      <c r="T687" s="200"/>
      <c r="U687" s="201"/>
      <c r="V687" s="202"/>
      <c r="W687" s="246"/>
      <c r="X687" s="246"/>
      <c r="Y687" s="246"/>
      <c r="BC687"/>
      <c r="BD687"/>
    </row>
    <row r="688" spans="1:56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3"/>
        <v>0</v>
      </c>
      <c r="S688" s="200"/>
      <c r="T688" s="200"/>
      <c r="U688" s="201"/>
      <c r="V688" s="202"/>
      <c r="W688" s="246"/>
      <c r="X688" s="246"/>
      <c r="Y688" s="246"/>
      <c r="BC688"/>
      <c r="BD688"/>
    </row>
    <row r="689" spans="1:56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3"/>
        <v>0</v>
      </c>
      <c r="S689" s="200"/>
      <c r="T689" s="200"/>
      <c r="U689" s="201"/>
      <c r="V689" s="202"/>
      <c r="W689" s="246"/>
      <c r="X689" s="246"/>
      <c r="Y689" s="246"/>
      <c r="BC689"/>
      <c r="BD689"/>
    </row>
    <row r="690" spans="1:56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3"/>
        <v>0</v>
      </c>
      <c r="S690" s="200"/>
      <c r="T690" s="200"/>
      <c r="U690" s="201"/>
      <c r="V690" s="202"/>
      <c r="W690" s="246"/>
      <c r="X690" s="246"/>
      <c r="Y690" s="246"/>
      <c r="BC690"/>
      <c r="BD690"/>
    </row>
    <row r="691" spans="1:56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3"/>
        <v>0</v>
      </c>
      <c r="S691" s="200"/>
      <c r="T691" s="200"/>
      <c r="U691" s="201"/>
      <c r="V691" s="202"/>
      <c r="W691" s="246"/>
      <c r="X691" s="246"/>
      <c r="Y691" s="246"/>
      <c r="BC691"/>
      <c r="BD691"/>
    </row>
    <row r="692" spans="1:56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3"/>
        <v>0</v>
      </c>
      <c r="S692" s="200"/>
      <c r="T692" s="200"/>
      <c r="U692" s="201"/>
      <c r="V692" s="202"/>
      <c r="W692" s="246"/>
      <c r="X692" s="246"/>
      <c r="Y692" s="246"/>
      <c r="BC692"/>
      <c r="BD692"/>
    </row>
    <row r="693" spans="1:56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3"/>
        <v>0</v>
      </c>
      <c r="S693" s="200"/>
      <c r="T693" s="200"/>
      <c r="U693" s="201"/>
      <c r="V693" s="202"/>
      <c r="W693" s="246"/>
      <c r="X693" s="246"/>
      <c r="Y693" s="246"/>
      <c r="BC693"/>
      <c r="BD693"/>
    </row>
    <row r="694" spans="1:56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ref="R694:R757" si="14">SUM(F694:Q694)</f>
        <v>0</v>
      </c>
      <c r="S694" s="200"/>
      <c r="T694" s="200"/>
      <c r="U694" s="201"/>
      <c r="V694" s="202"/>
      <c r="W694" s="246"/>
      <c r="X694" s="246"/>
      <c r="Y694" s="246"/>
      <c r="BC694"/>
      <c r="BD694"/>
    </row>
    <row r="695" spans="1:56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14"/>
        <v>0</v>
      </c>
      <c r="S695" s="200"/>
      <c r="T695" s="200"/>
      <c r="U695" s="201"/>
      <c r="V695" s="202"/>
      <c r="W695" s="246"/>
      <c r="X695" s="246"/>
      <c r="Y695" s="246"/>
      <c r="BC695"/>
      <c r="BD695"/>
    </row>
    <row r="696" spans="1:56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4"/>
        <v>0</v>
      </c>
      <c r="S696" s="200"/>
      <c r="T696" s="200"/>
      <c r="U696" s="201"/>
      <c r="V696" s="202"/>
      <c r="W696" s="246"/>
      <c r="X696" s="246"/>
      <c r="Y696" s="246"/>
      <c r="BC696"/>
      <c r="BD696"/>
    </row>
    <row r="697" spans="1:56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4"/>
        <v>0</v>
      </c>
      <c r="S697" s="200"/>
      <c r="T697" s="200"/>
      <c r="U697" s="201"/>
      <c r="V697" s="202"/>
      <c r="W697" s="246"/>
      <c r="X697" s="246"/>
      <c r="Y697" s="246"/>
      <c r="BC697"/>
      <c r="BD697"/>
    </row>
    <row r="698" spans="1:56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4"/>
        <v>0</v>
      </c>
      <c r="S698" s="200"/>
      <c r="T698" s="200"/>
      <c r="U698" s="201"/>
      <c r="V698" s="202"/>
      <c r="W698" s="246"/>
      <c r="X698" s="246"/>
      <c r="Y698" s="246"/>
      <c r="BC698"/>
      <c r="BD698"/>
    </row>
    <row r="699" spans="1:56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4"/>
        <v>0</v>
      </c>
      <c r="S699" s="200"/>
      <c r="T699" s="200"/>
      <c r="U699" s="201"/>
      <c r="V699" s="202"/>
      <c r="W699" s="246"/>
      <c r="X699" s="246"/>
      <c r="Y699" s="246"/>
      <c r="BC699"/>
      <c r="BD699"/>
    </row>
    <row r="700" spans="1:56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4"/>
        <v>0</v>
      </c>
      <c r="S700" s="200"/>
      <c r="T700" s="200"/>
      <c r="U700" s="201"/>
      <c r="V700" s="202"/>
      <c r="W700" s="246"/>
      <c r="X700" s="246"/>
      <c r="Y700" s="246"/>
      <c r="BC700"/>
      <c r="BD700"/>
    </row>
    <row r="701" spans="1:56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4"/>
        <v>0</v>
      </c>
      <c r="S701" s="200"/>
      <c r="T701" s="200"/>
      <c r="U701" s="201"/>
      <c r="V701" s="202"/>
      <c r="W701" s="246"/>
      <c r="X701" s="246"/>
      <c r="Y701" s="246"/>
      <c r="BC701"/>
      <c r="BD701"/>
    </row>
    <row r="702" spans="1:56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4"/>
        <v>0</v>
      </c>
      <c r="S702" s="200"/>
      <c r="T702" s="200"/>
      <c r="U702" s="201"/>
      <c r="V702" s="202"/>
      <c r="W702" s="246"/>
      <c r="X702" s="246"/>
      <c r="Y702" s="246"/>
      <c r="BC702"/>
      <c r="BD702"/>
    </row>
    <row r="703" spans="1:56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4"/>
        <v>0</v>
      </c>
      <c r="S703" s="200"/>
      <c r="T703" s="200"/>
      <c r="U703" s="201"/>
      <c r="V703" s="202"/>
      <c r="W703" s="246"/>
      <c r="X703" s="246"/>
      <c r="Y703" s="246"/>
      <c r="BC703"/>
      <c r="BD703"/>
    </row>
    <row r="704" spans="1:56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4"/>
        <v>0</v>
      </c>
      <c r="S704" s="200"/>
      <c r="T704" s="200"/>
      <c r="U704" s="201"/>
      <c r="V704" s="202"/>
      <c r="W704" s="246"/>
      <c r="X704" s="246"/>
      <c r="Y704" s="246"/>
      <c r="BC704"/>
      <c r="BD704"/>
    </row>
    <row r="705" spans="1:56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4"/>
        <v>0</v>
      </c>
      <c r="S705" s="200"/>
      <c r="T705" s="200"/>
      <c r="U705" s="201"/>
      <c r="V705" s="202"/>
      <c r="W705" s="246"/>
      <c r="X705" s="246"/>
      <c r="Y705" s="246"/>
      <c r="BC705"/>
      <c r="BD705"/>
    </row>
    <row r="706" spans="1:56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4"/>
        <v>0</v>
      </c>
      <c r="S706" s="200"/>
      <c r="T706" s="200"/>
      <c r="U706" s="201"/>
      <c r="V706" s="202"/>
      <c r="W706" s="246"/>
      <c r="X706" s="246"/>
      <c r="Y706" s="246"/>
      <c r="BC706"/>
      <c r="BD706"/>
    </row>
    <row r="707" spans="1:56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4"/>
        <v>0</v>
      </c>
      <c r="S707" s="200"/>
      <c r="T707" s="200"/>
      <c r="U707" s="201"/>
      <c r="V707" s="202"/>
      <c r="W707" s="246"/>
      <c r="X707" s="246"/>
      <c r="Y707" s="246"/>
      <c r="BC707"/>
      <c r="BD707"/>
    </row>
    <row r="708" spans="1:56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4"/>
        <v>0</v>
      </c>
      <c r="S708" s="200"/>
      <c r="T708" s="200"/>
      <c r="U708" s="201"/>
      <c r="V708" s="202"/>
      <c r="W708" s="246"/>
      <c r="X708" s="246"/>
      <c r="Y708" s="246"/>
      <c r="BC708"/>
      <c r="BD708"/>
    </row>
    <row r="709" spans="1:56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4"/>
        <v>0</v>
      </c>
      <c r="S709" s="200"/>
      <c r="T709" s="200"/>
      <c r="U709" s="201"/>
      <c r="V709" s="202"/>
      <c r="W709" s="246"/>
      <c r="X709" s="246"/>
      <c r="Y709" s="246"/>
      <c r="BC709"/>
      <c r="BD709"/>
    </row>
    <row r="710" spans="1:56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4"/>
        <v>0</v>
      </c>
      <c r="S710" s="200"/>
      <c r="T710" s="200"/>
      <c r="U710" s="201"/>
      <c r="V710" s="202"/>
      <c r="W710" s="246"/>
      <c r="X710" s="246"/>
      <c r="Y710" s="246"/>
      <c r="BC710"/>
      <c r="BD710"/>
    </row>
    <row r="711" spans="1:56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4"/>
        <v>0</v>
      </c>
      <c r="S711" s="200"/>
      <c r="T711" s="200"/>
      <c r="U711" s="201"/>
      <c r="V711" s="202"/>
      <c r="W711" s="246"/>
      <c r="X711" s="246"/>
      <c r="Y711" s="246"/>
      <c r="BC711"/>
      <c r="BD711"/>
    </row>
    <row r="712" spans="1:56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4"/>
        <v>0</v>
      </c>
      <c r="S712" s="200"/>
      <c r="T712" s="200"/>
      <c r="U712" s="201"/>
      <c r="V712" s="202"/>
      <c r="W712" s="246"/>
      <c r="X712" s="246"/>
      <c r="Y712" s="246"/>
      <c r="BC712"/>
      <c r="BD712"/>
    </row>
    <row r="713" spans="1:56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4"/>
        <v>0</v>
      </c>
      <c r="S713" s="200"/>
      <c r="T713" s="200"/>
      <c r="U713" s="201"/>
      <c r="V713" s="202"/>
      <c r="W713" s="246"/>
      <c r="X713" s="246"/>
      <c r="Y713" s="246"/>
      <c r="BC713"/>
      <c r="BD713"/>
    </row>
    <row r="714" spans="1:56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4"/>
        <v>0</v>
      </c>
      <c r="S714" s="200"/>
      <c r="T714" s="200"/>
      <c r="U714" s="201"/>
      <c r="V714" s="202"/>
      <c r="W714" s="246"/>
      <c r="X714" s="246"/>
      <c r="Y714" s="246"/>
      <c r="BC714"/>
      <c r="BD714"/>
    </row>
    <row r="715" spans="1:56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4"/>
        <v>0</v>
      </c>
      <c r="S715" s="200"/>
      <c r="T715" s="200"/>
      <c r="U715" s="201"/>
      <c r="V715" s="202"/>
      <c r="W715" s="246"/>
      <c r="X715" s="246"/>
      <c r="Y715" s="246"/>
      <c r="BC715"/>
      <c r="BD715"/>
    </row>
    <row r="716" spans="1:56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4"/>
        <v>0</v>
      </c>
      <c r="S716" s="200"/>
      <c r="T716" s="200"/>
      <c r="U716" s="201"/>
      <c r="V716" s="202"/>
      <c r="W716" s="246"/>
      <c r="X716" s="246"/>
      <c r="Y716" s="246"/>
      <c r="BC716"/>
      <c r="BD716"/>
    </row>
    <row r="717" spans="1:56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4"/>
        <v>0</v>
      </c>
      <c r="S717" s="200"/>
      <c r="T717" s="200"/>
      <c r="U717" s="201"/>
      <c r="V717" s="202"/>
      <c r="W717" s="246"/>
      <c r="X717" s="246"/>
      <c r="Y717" s="246"/>
      <c r="BC717"/>
      <c r="BD717"/>
    </row>
    <row r="718" spans="1:56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4"/>
        <v>0</v>
      </c>
      <c r="S718" s="200"/>
      <c r="T718" s="200"/>
      <c r="U718" s="201"/>
      <c r="V718" s="202"/>
      <c r="W718" s="246"/>
      <c r="X718" s="246"/>
      <c r="Y718" s="246"/>
      <c r="BC718"/>
      <c r="BD718"/>
    </row>
    <row r="719" spans="1:56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4"/>
        <v>0</v>
      </c>
      <c r="S719" s="200"/>
      <c r="T719" s="200"/>
      <c r="U719" s="201"/>
      <c r="V719" s="202"/>
      <c r="W719" s="246"/>
      <c r="X719" s="246"/>
      <c r="Y719" s="246"/>
      <c r="BC719"/>
      <c r="BD719"/>
    </row>
    <row r="720" spans="1:56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4"/>
        <v>0</v>
      </c>
      <c r="S720" s="200"/>
      <c r="T720" s="200"/>
      <c r="U720" s="201"/>
      <c r="V720" s="202"/>
      <c r="W720" s="246"/>
      <c r="X720" s="246"/>
      <c r="Y720" s="246"/>
      <c r="BC720"/>
      <c r="BD720"/>
    </row>
    <row r="721" spans="1:56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4"/>
        <v>0</v>
      </c>
      <c r="S721" s="200"/>
      <c r="T721" s="200"/>
      <c r="U721" s="201"/>
      <c r="V721" s="202"/>
      <c r="W721" s="246"/>
      <c r="X721" s="246"/>
      <c r="Y721" s="246"/>
      <c r="BC721"/>
      <c r="BD721"/>
    </row>
    <row r="722" spans="1:56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4"/>
        <v>0</v>
      </c>
      <c r="S722" s="200"/>
      <c r="T722" s="200"/>
      <c r="U722" s="201"/>
      <c r="V722" s="202"/>
      <c r="W722" s="246"/>
      <c r="X722" s="246"/>
      <c r="Y722" s="246"/>
      <c r="BC722"/>
      <c r="BD722"/>
    </row>
    <row r="723" spans="1:56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4"/>
        <v>0</v>
      </c>
      <c r="S723" s="200"/>
      <c r="T723" s="200"/>
      <c r="U723" s="201"/>
      <c r="V723" s="202"/>
      <c r="W723" s="246"/>
      <c r="X723" s="246"/>
      <c r="Y723" s="246"/>
      <c r="BC723"/>
      <c r="BD723"/>
    </row>
    <row r="724" spans="1:56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4"/>
        <v>0</v>
      </c>
      <c r="S724" s="200"/>
      <c r="T724" s="200"/>
      <c r="U724" s="201"/>
      <c r="V724" s="202"/>
      <c r="W724" s="246"/>
      <c r="X724" s="246"/>
      <c r="Y724" s="246"/>
      <c r="BC724"/>
      <c r="BD724"/>
    </row>
    <row r="725" spans="1:56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4"/>
        <v>0</v>
      </c>
      <c r="S725" s="200"/>
      <c r="T725" s="200"/>
      <c r="U725" s="201"/>
      <c r="V725" s="202"/>
      <c r="W725" s="246"/>
      <c r="X725" s="246"/>
      <c r="Y725" s="246"/>
      <c r="BC725"/>
      <c r="BD725"/>
    </row>
    <row r="726" spans="1:56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4"/>
        <v>0</v>
      </c>
      <c r="S726" s="200"/>
      <c r="T726" s="200"/>
      <c r="U726" s="201"/>
      <c r="V726" s="202"/>
      <c r="W726" s="246"/>
      <c r="X726" s="246"/>
      <c r="Y726" s="246"/>
      <c r="BC726"/>
      <c r="BD726"/>
    </row>
    <row r="727" spans="1:56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4"/>
        <v>0</v>
      </c>
      <c r="S727" s="200"/>
      <c r="T727" s="200"/>
      <c r="U727" s="201"/>
      <c r="V727" s="202"/>
      <c r="W727" s="246"/>
      <c r="X727" s="246"/>
      <c r="Y727" s="246"/>
      <c r="BC727"/>
      <c r="BD727"/>
    </row>
    <row r="728" spans="1:56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4"/>
        <v>0</v>
      </c>
      <c r="S728" s="200"/>
      <c r="T728" s="200"/>
      <c r="U728" s="201"/>
      <c r="V728" s="202"/>
      <c r="W728" s="246"/>
      <c r="X728" s="246"/>
      <c r="Y728" s="246"/>
      <c r="BC728"/>
      <c r="BD728"/>
    </row>
    <row r="729" spans="1:56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4"/>
        <v>0</v>
      </c>
      <c r="S729" s="200"/>
      <c r="T729" s="200"/>
      <c r="U729" s="201"/>
      <c r="V729" s="202"/>
      <c r="W729" s="246"/>
      <c r="X729" s="246"/>
      <c r="Y729" s="246"/>
      <c r="BC729"/>
      <c r="BD729"/>
    </row>
    <row r="730" spans="1:56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4"/>
        <v>0</v>
      </c>
      <c r="S730" s="200"/>
      <c r="T730" s="200"/>
      <c r="U730" s="201"/>
      <c r="V730" s="202"/>
      <c r="W730" s="246"/>
      <c r="X730" s="246"/>
      <c r="Y730" s="246"/>
      <c r="BC730"/>
      <c r="BD730"/>
    </row>
    <row r="731" spans="1:56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4"/>
        <v>0</v>
      </c>
      <c r="S731" s="200"/>
      <c r="T731" s="200"/>
      <c r="U731" s="201"/>
      <c r="V731" s="202"/>
      <c r="W731" s="246"/>
      <c r="X731" s="246"/>
      <c r="Y731" s="246"/>
      <c r="BC731"/>
      <c r="BD731"/>
    </row>
    <row r="732" spans="1:56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4"/>
        <v>0</v>
      </c>
      <c r="S732" s="200"/>
      <c r="T732" s="200"/>
      <c r="U732" s="201"/>
      <c r="V732" s="202"/>
      <c r="W732" s="246"/>
      <c r="X732" s="246"/>
      <c r="Y732" s="246"/>
      <c r="BC732"/>
      <c r="BD732"/>
    </row>
    <row r="733" spans="1:56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4"/>
        <v>0</v>
      </c>
      <c r="S733" s="200"/>
      <c r="T733" s="200"/>
      <c r="U733" s="201"/>
      <c r="V733" s="202"/>
      <c r="W733" s="246"/>
      <c r="X733" s="246"/>
      <c r="Y733" s="246"/>
      <c r="BC733"/>
      <c r="BD733"/>
    </row>
    <row r="734" spans="1:56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4"/>
        <v>0</v>
      </c>
      <c r="S734" s="200"/>
      <c r="T734" s="200"/>
      <c r="U734" s="201"/>
      <c r="V734" s="202"/>
      <c r="W734" s="246"/>
      <c r="X734" s="246"/>
      <c r="Y734" s="246"/>
      <c r="BC734"/>
      <c r="BD734"/>
    </row>
    <row r="735" spans="1:56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4"/>
        <v>0</v>
      </c>
      <c r="S735" s="200"/>
      <c r="T735" s="200"/>
      <c r="U735" s="201"/>
      <c r="V735" s="202"/>
      <c r="W735" s="246"/>
      <c r="X735" s="246"/>
      <c r="Y735" s="246"/>
      <c r="BC735"/>
      <c r="BD735"/>
    </row>
    <row r="736" spans="1:56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4"/>
        <v>0</v>
      </c>
      <c r="S736" s="200"/>
      <c r="T736" s="200"/>
      <c r="U736" s="201"/>
      <c r="V736" s="202"/>
      <c r="W736" s="246"/>
      <c r="X736" s="246"/>
      <c r="Y736" s="246"/>
      <c r="BC736"/>
      <c r="BD736"/>
    </row>
    <row r="737" spans="1:56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4"/>
        <v>0</v>
      </c>
      <c r="S737" s="200"/>
      <c r="T737" s="200"/>
      <c r="U737" s="201"/>
      <c r="V737" s="202"/>
      <c r="W737" s="246"/>
      <c r="X737" s="246"/>
      <c r="Y737" s="246"/>
      <c r="BC737"/>
      <c r="BD737"/>
    </row>
    <row r="738" spans="1:56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4"/>
        <v>0</v>
      </c>
      <c r="S738" s="200"/>
      <c r="T738" s="200"/>
      <c r="U738" s="201"/>
      <c r="V738" s="202"/>
      <c r="W738" s="246"/>
      <c r="X738" s="246"/>
      <c r="Y738" s="246"/>
      <c r="BC738"/>
      <c r="BD738"/>
    </row>
    <row r="739" spans="1:56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4"/>
        <v>0</v>
      </c>
      <c r="S739" s="200"/>
      <c r="T739" s="200"/>
      <c r="U739" s="201"/>
      <c r="V739" s="202"/>
      <c r="W739" s="246"/>
      <c r="X739" s="246"/>
      <c r="Y739" s="246"/>
      <c r="BC739"/>
      <c r="BD739"/>
    </row>
    <row r="740" spans="1:56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4"/>
        <v>0</v>
      </c>
      <c r="S740" s="200"/>
      <c r="T740" s="200"/>
      <c r="U740" s="201"/>
      <c r="V740" s="202"/>
      <c r="W740" s="246"/>
      <c r="X740" s="246"/>
      <c r="Y740" s="246"/>
      <c r="BC740"/>
      <c r="BD740"/>
    </row>
    <row r="741" spans="1:56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4"/>
        <v>0</v>
      </c>
      <c r="S741" s="200"/>
      <c r="T741" s="200"/>
      <c r="U741" s="201"/>
      <c r="V741" s="202"/>
      <c r="W741" s="246"/>
      <c r="X741" s="246"/>
      <c r="Y741" s="246"/>
      <c r="BC741"/>
      <c r="BD741"/>
    </row>
    <row r="742" spans="1:56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4"/>
        <v>0</v>
      </c>
      <c r="S742" s="200"/>
      <c r="T742" s="200"/>
      <c r="U742" s="201"/>
      <c r="V742" s="202"/>
      <c r="W742" s="246"/>
      <c r="X742" s="246"/>
      <c r="Y742" s="246"/>
      <c r="BC742"/>
      <c r="BD742"/>
    </row>
    <row r="743" spans="1:56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4"/>
        <v>0</v>
      </c>
      <c r="S743" s="200"/>
      <c r="T743" s="200"/>
      <c r="U743" s="201"/>
      <c r="V743" s="202"/>
      <c r="W743" s="246"/>
      <c r="X743" s="246"/>
      <c r="Y743" s="246"/>
      <c r="BC743"/>
      <c r="BD743"/>
    </row>
    <row r="744" spans="1:56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4"/>
        <v>0</v>
      </c>
      <c r="S744" s="200"/>
      <c r="T744" s="200"/>
      <c r="U744" s="201"/>
      <c r="V744" s="202"/>
      <c r="W744" s="246"/>
      <c r="X744" s="246"/>
      <c r="Y744" s="246"/>
      <c r="BC744"/>
      <c r="BD744"/>
    </row>
    <row r="745" spans="1:56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4"/>
        <v>0</v>
      </c>
      <c r="S745" s="200"/>
      <c r="T745" s="200"/>
      <c r="U745" s="201"/>
      <c r="V745" s="202"/>
      <c r="W745" s="246"/>
      <c r="X745" s="246"/>
      <c r="Y745" s="246"/>
      <c r="BC745"/>
      <c r="BD745"/>
    </row>
    <row r="746" spans="1:56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4"/>
        <v>0</v>
      </c>
      <c r="S746" s="200"/>
      <c r="T746" s="200"/>
      <c r="U746" s="201"/>
      <c r="V746" s="202"/>
      <c r="W746" s="246"/>
      <c r="X746" s="246"/>
      <c r="Y746" s="246"/>
      <c r="BC746"/>
      <c r="BD746"/>
    </row>
    <row r="747" spans="1:56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4"/>
        <v>0</v>
      </c>
      <c r="S747" s="200"/>
      <c r="T747" s="200"/>
      <c r="U747" s="201"/>
      <c r="V747" s="202"/>
      <c r="W747" s="246"/>
      <c r="X747" s="246"/>
      <c r="Y747" s="246"/>
      <c r="BC747"/>
      <c r="BD747"/>
    </row>
    <row r="748" spans="1:56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4"/>
        <v>0</v>
      </c>
      <c r="S748" s="200"/>
      <c r="T748" s="200"/>
      <c r="U748" s="201"/>
      <c r="V748" s="202"/>
      <c r="W748" s="246"/>
      <c r="X748" s="246"/>
      <c r="Y748" s="246"/>
      <c r="BC748"/>
      <c r="BD748"/>
    </row>
    <row r="749" spans="1:56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4"/>
        <v>0</v>
      </c>
      <c r="S749" s="200"/>
      <c r="T749" s="200"/>
      <c r="U749" s="201"/>
      <c r="V749" s="202"/>
      <c r="W749" s="246"/>
      <c r="X749" s="246"/>
      <c r="Y749" s="246"/>
      <c r="BC749"/>
      <c r="BD749"/>
    </row>
    <row r="750" spans="1:56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4"/>
        <v>0</v>
      </c>
      <c r="S750" s="200"/>
      <c r="T750" s="200"/>
      <c r="U750" s="201"/>
      <c r="V750" s="202"/>
      <c r="W750" s="246"/>
      <c r="X750" s="246"/>
      <c r="Y750" s="246"/>
      <c r="BC750"/>
      <c r="BD750"/>
    </row>
    <row r="751" spans="1:56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4"/>
        <v>0</v>
      </c>
      <c r="S751" s="200"/>
      <c r="T751" s="200"/>
      <c r="U751" s="201"/>
      <c r="V751" s="202"/>
      <c r="W751" s="246"/>
      <c r="X751" s="246"/>
      <c r="Y751" s="246"/>
      <c r="BC751"/>
      <c r="BD751"/>
    </row>
    <row r="752" spans="1:56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4"/>
        <v>0</v>
      </c>
      <c r="S752" s="200"/>
      <c r="T752" s="200"/>
      <c r="U752" s="201"/>
      <c r="V752" s="202"/>
      <c r="W752" s="246"/>
      <c r="X752" s="246"/>
      <c r="Y752" s="246"/>
      <c r="BC752"/>
      <c r="BD752"/>
    </row>
    <row r="753" spans="1:56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4"/>
        <v>0</v>
      </c>
      <c r="S753" s="200"/>
      <c r="T753" s="200"/>
      <c r="U753" s="201"/>
      <c r="V753" s="202"/>
      <c r="W753" s="246"/>
      <c r="X753" s="246"/>
      <c r="Y753" s="246"/>
      <c r="BC753"/>
      <c r="BD753"/>
    </row>
    <row r="754" spans="1:56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4"/>
        <v>0</v>
      </c>
      <c r="S754" s="200"/>
      <c r="T754" s="200"/>
      <c r="U754" s="201"/>
      <c r="V754" s="202"/>
      <c r="W754" s="246"/>
      <c r="X754" s="246"/>
      <c r="Y754" s="246"/>
      <c r="BC754"/>
      <c r="BD754"/>
    </row>
    <row r="755" spans="1:56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4"/>
        <v>0</v>
      </c>
      <c r="S755" s="200"/>
      <c r="T755" s="200"/>
      <c r="U755" s="201"/>
      <c r="V755" s="202"/>
      <c r="W755" s="246"/>
      <c r="X755" s="246"/>
      <c r="Y755" s="246"/>
      <c r="BC755"/>
      <c r="BD755"/>
    </row>
    <row r="756" spans="1:56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4"/>
        <v>0</v>
      </c>
      <c r="S756" s="200"/>
      <c r="T756" s="200"/>
      <c r="U756" s="201"/>
      <c r="V756" s="202"/>
      <c r="W756" s="246"/>
      <c r="X756" s="246"/>
      <c r="Y756" s="246"/>
      <c r="BC756"/>
      <c r="BD756"/>
    </row>
    <row r="757" spans="1:56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4"/>
        <v>0</v>
      </c>
      <c r="S757" s="200"/>
      <c r="T757" s="200"/>
      <c r="U757" s="201"/>
      <c r="V757" s="202"/>
      <c r="W757" s="246"/>
      <c r="X757" s="246"/>
      <c r="Y757" s="246"/>
      <c r="BC757"/>
      <c r="BD757"/>
    </row>
    <row r="758" spans="1:56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ref="R758:R798" si="15">SUM(F758:Q758)</f>
        <v>0</v>
      </c>
      <c r="S758" s="200"/>
      <c r="T758" s="200"/>
      <c r="U758" s="201"/>
      <c r="V758" s="202"/>
      <c r="W758" s="246"/>
      <c r="X758" s="246"/>
      <c r="Y758" s="246"/>
      <c r="BC758"/>
      <c r="BD758"/>
    </row>
    <row r="759" spans="1:56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15"/>
        <v>0</v>
      </c>
      <c r="S759" s="200"/>
      <c r="T759" s="200"/>
      <c r="U759" s="201"/>
      <c r="V759" s="202"/>
      <c r="W759" s="246"/>
      <c r="X759" s="246"/>
      <c r="Y759" s="246"/>
      <c r="BC759"/>
      <c r="BD759"/>
    </row>
    <row r="760" spans="1:56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5"/>
        <v>0</v>
      </c>
      <c r="S760" s="200"/>
      <c r="T760" s="200"/>
      <c r="U760" s="201"/>
      <c r="V760" s="202"/>
      <c r="W760" s="246"/>
      <c r="X760" s="246"/>
      <c r="Y760" s="246"/>
      <c r="BC760"/>
      <c r="BD760"/>
    </row>
    <row r="761" spans="1:56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5"/>
        <v>0</v>
      </c>
      <c r="S761" s="200"/>
      <c r="T761" s="200"/>
      <c r="U761" s="201"/>
      <c r="V761" s="202"/>
      <c r="W761" s="246"/>
      <c r="X761" s="246"/>
      <c r="Y761" s="246"/>
      <c r="BC761"/>
      <c r="BD761"/>
    </row>
    <row r="762" spans="1:56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5"/>
        <v>0</v>
      </c>
      <c r="S762" s="200"/>
      <c r="T762" s="200"/>
      <c r="U762" s="201"/>
      <c r="V762" s="202"/>
      <c r="W762" s="246"/>
      <c r="X762" s="246"/>
      <c r="Y762" s="246"/>
      <c r="BC762"/>
      <c r="BD762"/>
    </row>
    <row r="763" spans="1:56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5"/>
        <v>0</v>
      </c>
      <c r="S763" s="200"/>
      <c r="T763" s="200"/>
      <c r="U763" s="201"/>
      <c r="V763" s="202"/>
      <c r="W763" s="246"/>
      <c r="X763" s="246"/>
      <c r="Y763" s="246"/>
      <c r="BC763"/>
      <c r="BD763"/>
    </row>
    <row r="764" spans="1:56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5"/>
        <v>0</v>
      </c>
      <c r="S764" s="200"/>
      <c r="T764" s="200"/>
      <c r="U764" s="201"/>
      <c r="V764" s="202"/>
      <c r="W764" s="246"/>
      <c r="X764" s="246"/>
      <c r="Y764" s="246"/>
      <c r="BC764"/>
      <c r="BD764"/>
    </row>
    <row r="765" spans="1:56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5"/>
        <v>0</v>
      </c>
      <c r="S765" s="200"/>
      <c r="T765" s="200"/>
      <c r="U765" s="201"/>
      <c r="V765" s="202"/>
      <c r="W765" s="246"/>
      <c r="X765" s="246"/>
      <c r="Y765" s="246"/>
      <c r="BC765"/>
      <c r="BD765"/>
    </row>
    <row r="766" spans="1:56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5"/>
        <v>0</v>
      </c>
      <c r="S766" s="200"/>
      <c r="T766" s="200"/>
      <c r="U766" s="201"/>
      <c r="V766" s="202"/>
      <c r="W766" s="246"/>
      <c r="X766" s="246"/>
      <c r="Y766" s="246"/>
      <c r="BC766"/>
      <c r="BD766"/>
    </row>
    <row r="767" spans="1:56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5"/>
        <v>0</v>
      </c>
      <c r="S767" s="200"/>
      <c r="T767" s="200"/>
      <c r="U767" s="201"/>
      <c r="V767" s="202"/>
      <c r="W767" s="246"/>
      <c r="X767" s="246"/>
      <c r="Y767" s="246"/>
      <c r="BC767"/>
      <c r="BD767"/>
    </row>
    <row r="768" spans="1:56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5"/>
        <v>0</v>
      </c>
      <c r="S768" s="200"/>
      <c r="T768" s="200"/>
      <c r="U768" s="201"/>
      <c r="V768" s="202"/>
      <c r="W768" s="246"/>
      <c r="X768" s="246"/>
      <c r="Y768" s="246"/>
      <c r="BC768"/>
      <c r="BD768"/>
    </row>
    <row r="769" spans="1:56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5"/>
        <v>0</v>
      </c>
      <c r="S769" s="200"/>
      <c r="T769" s="200"/>
      <c r="U769" s="201"/>
      <c r="V769" s="202"/>
      <c r="W769" s="246"/>
      <c r="X769" s="246"/>
      <c r="Y769" s="246"/>
      <c r="BC769"/>
      <c r="BD769"/>
    </row>
    <row r="770" spans="1:56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5"/>
        <v>0</v>
      </c>
      <c r="S770" s="200"/>
      <c r="T770" s="200"/>
      <c r="U770" s="201"/>
      <c r="V770" s="202"/>
      <c r="W770" s="246"/>
      <c r="X770" s="246"/>
      <c r="Y770" s="246"/>
      <c r="BC770"/>
      <c r="BD770"/>
    </row>
    <row r="771" spans="1:56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5"/>
        <v>0</v>
      </c>
      <c r="S771" s="200"/>
      <c r="T771" s="200"/>
      <c r="U771" s="201"/>
      <c r="V771" s="202"/>
      <c r="W771" s="246"/>
      <c r="X771" s="246"/>
      <c r="Y771" s="246"/>
      <c r="BC771"/>
      <c r="BD771"/>
    </row>
    <row r="772" spans="1:56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5"/>
        <v>0</v>
      </c>
      <c r="S772" s="200"/>
      <c r="T772" s="200"/>
      <c r="U772" s="201"/>
      <c r="V772" s="202"/>
      <c r="W772" s="246"/>
      <c r="X772" s="246"/>
      <c r="Y772" s="246"/>
      <c r="BC772"/>
      <c r="BD772"/>
    </row>
    <row r="773" spans="1:56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5"/>
        <v>0</v>
      </c>
      <c r="S773" s="200"/>
      <c r="T773" s="200"/>
      <c r="U773" s="201"/>
      <c r="V773" s="202"/>
      <c r="W773" s="246"/>
      <c r="X773" s="246"/>
      <c r="Y773" s="246"/>
      <c r="BC773"/>
      <c r="BD773"/>
    </row>
    <row r="774" spans="1:56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5"/>
        <v>0</v>
      </c>
      <c r="S774" s="200"/>
      <c r="T774" s="200"/>
      <c r="U774" s="201"/>
      <c r="V774" s="202"/>
      <c r="W774" s="246"/>
      <c r="X774" s="246"/>
      <c r="Y774" s="246"/>
      <c r="BC774"/>
      <c r="BD774"/>
    </row>
    <row r="775" spans="1:56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5"/>
        <v>0</v>
      </c>
      <c r="S775" s="200"/>
      <c r="T775" s="200"/>
      <c r="U775" s="201"/>
      <c r="V775" s="202"/>
      <c r="W775" s="246"/>
      <c r="X775" s="246"/>
      <c r="Y775" s="246"/>
      <c r="BC775"/>
      <c r="BD775"/>
    </row>
    <row r="776" spans="1:56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5"/>
        <v>0</v>
      </c>
      <c r="S776" s="200"/>
      <c r="T776" s="200"/>
      <c r="U776" s="201"/>
      <c r="V776" s="202"/>
      <c r="W776" s="246"/>
      <c r="X776" s="246"/>
      <c r="Y776" s="246"/>
      <c r="BC776"/>
      <c r="BD776"/>
    </row>
    <row r="777" spans="1:56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5"/>
        <v>0</v>
      </c>
      <c r="S777" s="200"/>
      <c r="T777" s="200"/>
      <c r="U777" s="201"/>
      <c r="V777" s="202"/>
      <c r="W777" s="246"/>
      <c r="X777" s="246"/>
      <c r="Y777" s="246"/>
      <c r="BC777"/>
      <c r="BD777"/>
    </row>
    <row r="778" spans="1:56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5"/>
        <v>0</v>
      </c>
      <c r="S778" s="200"/>
      <c r="T778" s="200"/>
      <c r="U778" s="201"/>
      <c r="V778" s="202"/>
      <c r="W778" s="246"/>
      <c r="X778" s="246"/>
      <c r="Y778" s="246"/>
      <c r="BC778"/>
      <c r="BD778"/>
    </row>
    <row r="779" spans="1:56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5"/>
        <v>0</v>
      </c>
      <c r="S779" s="200"/>
      <c r="T779" s="200"/>
      <c r="U779" s="201"/>
      <c r="V779" s="202"/>
      <c r="W779" s="246"/>
      <c r="X779" s="246"/>
      <c r="Y779" s="246"/>
      <c r="BC779"/>
      <c r="BD779"/>
    </row>
    <row r="780" spans="1:56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5"/>
        <v>0</v>
      </c>
      <c r="S780" s="200"/>
      <c r="T780" s="200"/>
      <c r="U780" s="201"/>
      <c r="V780" s="202"/>
      <c r="W780" s="246"/>
      <c r="X780" s="246"/>
      <c r="Y780" s="246"/>
      <c r="BC780"/>
      <c r="BD780"/>
    </row>
    <row r="781" spans="1:56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5"/>
        <v>0</v>
      </c>
      <c r="S781" s="200"/>
      <c r="T781" s="200"/>
      <c r="U781" s="201"/>
      <c r="V781" s="202"/>
      <c r="W781" s="246"/>
      <c r="X781" s="246"/>
      <c r="Y781" s="246"/>
      <c r="BC781"/>
      <c r="BD781"/>
    </row>
    <row r="782" spans="1:56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5"/>
        <v>0</v>
      </c>
      <c r="S782" s="200"/>
      <c r="T782" s="200"/>
      <c r="U782" s="201"/>
      <c r="V782" s="202"/>
      <c r="W782" s="246"/>
      <c r="X782" s="246"/>
      <c r="Y782" s="246"/>
      <c r="BC782"/>
      <c r="BD782"/>
    </row>
    <row r="783" spans="1:56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5"/>
        <v>0</v>
      </c>
      <c r="S783" s="200"/>
      <c r="T783" s="200"/>
      <c r="U783" s="201"/>
      <c r="V783" s="202"/>
      <c r="W783" s="246"/>
      <c r="X783" s="246"/>
      <c r="Y783" s="246"/>
      <c r="BC783"/>
      <c r="BD783"/>
    </row>
    <row r="784" spans="1:56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5"/>
        <v>0</v>
      </c>
      <c r="S784" s="200"/>
      <c r="T784" s="200"/>
      <c r="U784" s="201"/>
      <c r="V784" s="202"/>
      <c r="W784" s="246"/>
      <c r="X784" s="246"/>
      <c r="Y784" s="246"/>
      <c r="BC784"/>
      <c r="BD784"/>
    </row>
    <row r="785" spans="1:56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5"/>
        <v>0</v>
      </c>
      <c r="S785" s="200"/>
      <c r="T785" s="200"/>
      <c r="U785" s="201"/>
      <c r="V785" s="202"/>
      <c r="W785" s="246"/>
      <c r="X785" s="246"/>
      <c r="Y785" s="246"/>
      <c r="BC785"/>
      <c r="BD785"/>
    </row>
    <row r="786" spans="1:56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5"/>
        <v>0</v>
      </c>
      <c r="S786" s="200"/>
      <c r="T786" s="200"/>
      <c r="U786" s="201"/>
      <c r="V786" s="202"/>
      <c r="W786" s="246"/>
      <c r="X786" s="246"/>
      <c r="Y786" s="246"/>
      <c r="BC786"/>
      <c r="BD786"/>
    </row>
    <row r="787" spans="1:56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5"/>
        <v>0</v>
      </c>
      <c r="S787" s="200"/>
      <c r="T787" s="200"/>
      <c r="U787" s="201"/>
      <c r="V787" s="202"/>
      <c r="W787" s="246"/>
      <c r="X787" s="246"/>
      <c r="Y787" s="246"/>
      <c r="BC787"/>
      <c r="BD787"/>
    </row>
    <row r="788" spans="1:56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5"/>
        <v>0</v>
      </c>
      <c r="S788" s="200"/>
      <c r="T788" s="200"/>
      <c r="U788" s="201"/>
      <c r="V788" s="202"/>
      <c r="W788" s="246"/>
      <c r="X788" s="246"/>
      <c r="Y788" s="246"/>
      <c r="BC788"/>
      <c r="BD788"/>
    </row>
    <row r="789" spans="1:56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5"/>
        <v>0</v>
      </c>
      <c r="S789" s="200"/>
      <c r="T789" s="200"/>
      <c r="U789" s="201"/>
      <c r="V789" s="202"/>
      <c r="W789" s="246"/>
      <c r="X789" s="246"/>
      <c r="Y789" s="246"/>
      <c r="BC789"/>
      <c r="BD789"/>
    </row>
    <row r="790" spans="1:56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5"/>
        <v>0</v>
      </c>
      <c r="S790" s="200"/>
      <c r="T790" s="200"/>
      <c r="U790" s="201"/>
      <c r="V790" s="202"/>
      <c r="W790" s="246"/>
      <c r="X790" s="246"/>
      <c r="Y790" s="246"/>
      <c r="BC790"/>
      <c r="BD790"/>
    </row>
    <row r="791" spans="1:56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5"/>
        <v>0</v>
      </c>
      <c r="S791" s="200"/>
      <c r="T791" s="200"/>
      <c r="U791" s="201"/>
      <c r="V791" s="202"/>
      <c r="W791" s="246"/>
      <c r="X791" s="246"/>
      <c r="Y791" s="246"/>
      <c r="BC791"/>
      <c r="BD791"/>
    </row>
    <row r="792" spans="1:56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5"/>
        <v>0</v>
      </c>
      <c r="S792" s="200"/>
      <c r="T792" s="200"/>
      <c r="U792" s="201"/>
      <c r="V792" s="202"/>
      <c r="W792" s="246"/>
      <c r="X792" s="246"/>
      <c r="Y792" s="246"/>
      <c r="BC792"/>
      <c r="BD792"/>
    </row>
    <row r="793" spans="1:56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5"/>
        <v>0</v>
      </c>
      <c r="S793" s="200"/>
      <c r="T793" s="200"/>
      <c r="U793" s="201"/>
      <c r="V793" s="202"/>
      <c r="W793" s="246"/>
      <c r="X793" s="246"/>
      <c r="Y793" s="246"/>
      <c r="BC793"/>
      <c r="BD793"/>
    </row>
    <row r="794" spans="1:56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5"/>
        <v>0</v>
      </c>
      <c r="S794" s="200"/>
      <c r="T794" s="200"/>
      <c r="U794" s="201"/>
      <c r="V794" s="202"/>
      <c r="W794" s="246"/>
      <c r="X794" s="246"/>
      <c r="Y794" s="246"/>
      <c r="BC794"/>
      <c r="BD794"/>
    </row>
    <row r="795" spans="1:56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5"/>
        <v>0</v>
      </c>
      <c r="S795" s="200"/>
      <c r="T795" s="200"/>
      <c r="U795" s="201"/>
      <c r="V795" s="202"/>
      <c r="W795" s="246"/>
      <c r="X795" s="246"/>
      <c r="Y795" s="246"/>
      <c r="BC795"/>
      <c r="BD795"/>
    </row>
    <row r="796" spans="1:56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5"/>
        <v>0</v>
      </c>
      <c r="S796" s="200"/>
      <c r="T796" s="200"/>
      <c r="U796" s="201"/>
      <c r="V796" s="202"/>
      <c r="W796" s="246"/>
      <c r="X796" s="246"/>
      <c r="Y796" s="246"/>
      <c r="BC796"/>
      <c r="BD796"/>
    </row>
    <row r="797" spans="1:56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5"/>
        <v>0</v>
      </c>
      <c r="S797" s="200"/>
      <c r="T797" s="200"/>
      <c r="U797" s="201"/>
      <c r="V797" s="202"/>
      <c r="W797" s="246"/>
      <c r="X797" s="246"/>
      <c r="Y797" s="246"/>
      <c r="BC797"/>
      <c r="BD797"/>
    </row>
    <row r="798" spans="1:56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5"/>
        <v>0</v>
      </c>
      <c r="S798" s="200"/>
      <c r="T798" s="200"/>
      <c r="U798" s="201"/>
      <c r="V798" s="202"/>
      <c r="W798" s="246"/>
      <c r="X798" s="246"/>
      <c r="Y798" s="246"/>
      <c r="BC798"/>
      <c r="BD798"/>
    </row>
    <row r="799" spans="1:56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0"/>
      <c r="T799" s="200"/>
      <c r="U799" s="201"/>
      <c r="V799" s="202"/>
      <c r="W799" s="246"/>
      <c r="X799" s="246"/>
      <c r="Y799" s="246"/>
      <c r="BC799"/>
      <c r="BD799"/>
    </row>
    <row r="800" spans="1:56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0"/>
      <c r="T800" s="200"/>
      <c r="U800" s="201"/>
      <c r="V800" s="202"/>
      <c r="W800" s="246"/>
      <c r="X800" s="246"/>
      <c r="Y800" s="246"/>
      <c r="BC800"/>
      <c r="BD800"/>
    </row>
    <row r="801" spans="1:56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0"/>
      <c r="T801" s="200"/>
      <c r="U801" s="201"/>
      <c r="V801" s="202"/>
      <c r="W801" s="246"/>
      <c r="X801" s="246"/>
      <c r="Y801" s="246"/>
      <c r="BC801"/>
      <c r="BD801"/>
    </row>
    <row r="802" spans="1:56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0"/>
      <c r="T802" s="200"/>
      <c r="U802" s="201"/>
      <c r="V802" s="202"/>
      <c r="W802" s="246"/>
      <c r="X802" s="246"/>
      <c r="Y802" s="246"/>
      <c r="BC802"/>
      <c r="BD802"/>
    </row>
    <row r="803" spans="1:56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0"/>
      <c r="T803" s="200"/>
      <c r="U803" s="201"/>
      <c r="V803" s="202"/>
      <c r="W803" s="246"/>
      <c r="X803" s="246"/>
      <c r="Y803" s="246"/>
      <c r="BC803"/>
      <c r="BD803"/>
    </row>
    <row r="804" spans="1:56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0"/>
      <c r="T804" s="200"/>
      <c r="U804" s="201"/>
      <c r="V804" s="202"/>
      <c r="W804" s="246"/>
      <c r="X804" s="246"/>
      <c r="Y804" s="246"/>
      <c r="BC804"/>
      <c r="BD804"/>
    </row>
    <row r="805" spans="1:56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0"/>
      <c r="T805" s="200"/>
      <c r="U805" s="201"/>
      <c r="V805" s="202"/>
      <c r="W805" s="246"/>
      <c r="X805" s="246"/>
      <c r="Y805" s="246"/>
      <c r="BC805"/>
      <c r="BD805"/>
    </row>
    <row r="806" spans="1:56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0"/>
      <c r="T806" s="200"/>
      <c r="U806" s="201"/>
      <c r="V806" s="202"/>
      <c r="W806" s="246"/>
      <c r="X806" s="246"/>
      <c r="Y806" s="246"/>
      <c r="BC806"/>
      <c r="BD806"/>
    </row>
    <row r="807" spans="1:56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0"/>
      <c r="T807" s="200"/>
      <c r="U807" s="201"/>
      <c r="V807" s="202"/>
      <c r="W807" s="246"/>
      <c r="X807" s="246"/>
      <c r="Y807" s="246"/>
      <c r="BC807"/>
      <c r="BD807"/>
    </row>
    <row r="808" spans="1:56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0"/>
      <c r="T808" s="200"/>
      <c r="U808" s="201"/>
      <c r="V808" s="202"/>
      <c r="W808" s="246"/>
      <c r="X808" s="246"/>
      <c r="Y808" s="246"/>
      <c r="BC808"/>
      <c r="BD808"/>
    </row>
    <row r="809" spans="1:56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0"/>
      <c r="T809" s="200"/>
      <c r="U809" s="201"/>
      <c r="V809" s="202"/>
      <c r="W809" s="246"/>
      <c r="X809" s="246"/>
      <c r="Y809" s="246"/>
      <c r="BC809"/>
      <c r="BD809"/>
    </row>
    <row r="810" spans="1:56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0"/>
      <c r="T810" s="200"/>
      <c r="U810" s="201"/>
      <c r="V810" s="202"/>
      <c r="W810" s="246"/>
      <c r="X810" s="246"/>
      <c r="Y810" s="246"/>
      <c r="BC810"/>
      <c r="BD810"/>
    </row>
    <row r="811" spans="1:56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0"/>
      <c r="T811" s="200"/>
      <c r="U811" s="201"/>
      <c r="V811" s="202"/>
      <c r="W811" s="246"/>
      <c r="X811" s="246"/>
      <c r="Y811" s="246"/>
      <c r="BC811"/>
      <c r="BD811"/>
    </row>
    <row r="812" spans="1:56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0"/>
      <c r="T812" s="200"/>
      <c r="U812" s="201"/>
      <c r="V812" s="202"/>
      <c r="W812" s="246"/>
      <c r="X812" s="246"/>
      <c r="Y812" s="246"/>
      <c r="BC812"/>
      <c r="BD812"/>
    </row>
    <row r="813" spans="1:56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0"/>
      <c r="T813" s="200"/>
      <c r="U813" s="201"/>
      <c r="V813" s="202"/>
      <c r="W813" s="246"/>
      <c r="X813" s="246"/>
      <c r="Y813" s="246"/>
      <c r="BC813"/>
      <c r="BD813"/>
    </row>
    <row r="814" spans="1:56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0"/>
      <c r="T814" s="200"/>
      <c r="U814" s="201"/>
      <c r="V814" s="202"/>
      <c r="W814" s="246"/>
      <c r="X814" s="246"/>
      <c r="Y814" s="246"/>
      <c r="BC814"/>
      <c r="BD814"/>
    </row>
    <row r="815" spans="1:56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0"/>
      <c r="T815" s="200"/>
      <c r="U815" s="201"/>
      <c r="V815" s="202"/>
      <c r="W815" s="246"/>
      <c r="X815" s="246"/>
      <c r="Y815" s="246"/>
      <c r="BC815"/>
      <c r="BD815"/>
    </row>
    <row r="816" spans="1:56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0"/>
      <c r="T816" s="200"/>
      <c r="U816" s="201"/>
      <c r="V816" s="202"/>
      <c r="W816" s="246"/>
      <c r="X816" s="246"/>
      <c r="Y816" s="246"/>
      <c r="BC816"/>
      <c r="BD816"/>
    </row>
    <row r="817" spans="1:56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0"/>
      <c r="T817" s="200"/>
      <c r="U817" s="201"/>
      <c r="V817" s="202"/>
      <c r="W817" s="246"/>
      <c r="X817" s="246"/>
      <c r="Y817" s="246"/>
      <c r="BC817"/>
      <c r="BD817"/>
    </row>
    <row r="818" spans="1:56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0"/>
      <c r="T818" s="200"/>
      <c r="U818" s="201"/>
      <c r="V818" s="202"/>
      <c r="W818" s="246"/>
      <c r="X818" s="246"/>
      <c r="Y818" s="246"/>
      <c r="BC818"/>
      <c r="BD818"/>
    </row>
    <row r="819" spans="1:56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0"/>
      <c r="T819" s="200"/>
      <c r="U819" s="201"/>
      <c r="V819" s="202"/>
      <c r="W819" s="246"/>
      <c r="X819" s="246"/>
      <c r="Y819" s="246"/>
      <c r="BC819"/>
      <c r="BD819"/>
    </row>
    <row r="820" spans="1:56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0"/>
      <c r="T820" s="200"/>
      <c r="U820" s="201"/>
      <c r="V820" s="202"/>
      <c r="W820" s="246"/>
      <c r="X820" s="246"/>
      <c r="Y820" s="246"/>
      <c r="BC820"/>
      <c r="BD820"/>
    </row>
    <row r="821" spans="1:56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0"/>
      <c r="T821" s="200"/>
      <c r="U821" s="201"/>
      <c r="V821" s="202"/>
      <c r="W821" s="246"/>
      <c r="X821" s="246"/>
      <c r="Y821" s="246"/>
      <c r="BC821"/>
      <c r="BD821"/>
    </row>
    <row r="822" spans="1:56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0"/>
      <c r="T822" s="200"/>
      <c r="U822" s="201"/>
      <c r="V822" s="202"/>
      <c r="W822" s="246"/>
      <c r="X822" s="246"/>
      <c r="Y822" s="246"/>
      <c r="BC822"/>
      <c r="BD822"/>
    </row>
    <row r="823" spans="1:56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0"/>
      <c r="T823" s="200"/>
      <c r="U823" s="201"/>
      <c r="V823" s="202"/>
      <c r="W823" s="246"/>
      <c r="X823" s="246"/>
      <c r="Y823" s="246"/>
      <c r="BC823"/>
      <c r="BD823"/>
    </row>
    <row r="824" spans="1:56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0"/>
      <c r="T824" s="200"/>
      <c r="U824" s="201"/>
      <c r="V824" s="202"/>
      <c r="W824" s="246"/>
      <c r="X824" s="246"/>
      <c r="Y824" s="246"/>
      <c r="BC824"/>
      <c r="BD824"/>
    </row>
    <row r="825" spans="1:56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0"/>
      <c r="T825" s="200"/>
      <c r="U825" s="201"/>
      <c r="V825" s="202"/>
      <c r="W825" s="246"/>
      <c r="X825" s="246"/>
      <c r="Y825" s="246"/>
      <c r="BC825"/>
      <c r="BD825"/>
    </row>
    <row r="826" spans="1:56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0"/>
      <c r="T826" s="200"/>
      <c r="U826" s="201"/>
      <c r="V826" s="202"/>
      <c r="W826" s="246"/>
      <c r="X826" s="246"/>
      <c r="Y826" s="246"/>
      <c r="BC826"/>
      <c r="BD826"/>
    </row>
    <row r="827" spans="1:56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0"/>
      <c r="T827" s="200"/>
      <c r="U827" s="201"/>
      <c r="V827" s="202"/>
      <c r="W827" s="246"/>
      <c r="X827" s="246"/>
      <c r="Y827" s="246"/>
      <c r="BC827"/>
      <c r="BD827"/>
    </row>
    <row r="828" spans="1:56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0"/>
      <c r="T828" s="200"/>
      <c r="U828" s="201"/>
      <c r="V828" s="202"/>
      <c r="W828" s="246"/>
      <c r="X828" s="246"/>
      <c r="Y828" s="246"/>
      <c r="BC828"/>
      <c r="BD828"/>
    </row>
    <row r="829" spans="1:56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0"/>
      <c r="T829" s="200"/>
      <c r="U829" s="201"/>
      <c r="V829" s="202"/>
      <c r="W829" s="246"/>
      <c r="X829" s="246"/>
      <c r="Y829" s="246"/>
      <c r="BC829"/>
      <c r="BD829"/>
    </row>
    <row r="830" spans="1:56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0"/>
      <c r="T830" s="200"/>
      <c r="U830" s="201"/>
      <c r="V830" s="202"/>
      <c r="W830" s="246"/>
      <c r="X830" s="246"/>
      <c r="Y830" s="246"/>
      <c r="BC830"/>
      <c r="BD830"/>
    </row>
    <row r="831" spans="1:56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0"/>
      <c r="T831" s="200"/>
      <c r="U831" s="201"/>
      <c r="V831" s="202"/>
      <c r="W831" s="246"/>
      <c r="X831" s="246"/>
      <c r="Y831" s="246"/>
      <c r="BC831"/>
      <c r="BD831"/>
    </row>
    <row r="832" spans="1:56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0"/>
      <c r="T832" s="200"/>
      <c r="U832" s="201"/>
      <c r="V832" s="202"/>
      <c r="W832" s="246"/>
      <c r="X832" s="246"/>
      <c r="Y832" s="246"/>
      <c r="BC832"/>
      <c r="BD832"/>
    </row>
    <row r="833" spans="1:56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0"/>
      <c r="T833" s="200"/>
      <c r="U833" s="201"/>
      <c r="V833" s="202"/>
      <c r="W833" s="246"/>
      <c r="X833" s="246"/>
      <c r="Y833" s="246"/>
      <c r="BC833"/>
      <c r="BD833"/>
    </row>
    <row r="834" spans="1:56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0"/>
      <c r="T834" s="200"/>
      <c r="U834" s="201"/>
      <c r="V834" s="202"/>
      <c r="W834" s="246"/>
      <c r="X834" s="246"/>
      <c r="Y834" s="246"/>
      <c r="BC834"/>
      <c r="BD834"/>
    </row>
    <row r="835" spans="1:56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0"/>
      <c r="T835" s="200"/>
      <c r="U835" s="201"/>
      <c r="V835" s="202"/>
      <c r="W835" s="246"/>
      <c r="X835" s="246"/>
      <c r="Y835" s="246"/>
      <c r="BC835"/>
      <c r="BD835"/>
    </row>
    <row r="836" spans="1:56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0"/>
      <c r="T836" s="200"/>
      <c r="U836" s="201"/>
      <c r="V836" s="202"/>
      <c r="W836" s="246"/>
      <c r="X836" s="246"/>
      <c r="Y836" s="246"/>
      <c r="BC836"/>
      <c r="BD836"/>
    </row>
    <row r="837" spans="1:56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0"/>
      <c r="T837" s="200"/>
      <c r="U837" s="201"/>
      <c r="V837" s="202"/>
      <c r="W837" s="246"/>
      <c r="X837" s="246"/>
      <c r="Y837" s="246"/>
      <c r="BC837"/>
      <c r="BD837"/>
    </row>
    <row r="838" spans="1:56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0"/>
      <c r="T838" s="200"/>
      <c r="U838" s="201"/>
      <c r="V838" s="202"/>
      <c r="W838" s="246"/>
      <c r="X838" s="246"/>
      <c r="Y838" s="246"/>
      <c r="BC838"/>
      <c r="BD838"/>
    </row>
    <row r="839" spans="1:56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0"/>
      <c r="T839" s="200"/>
      <c r="U839" s="201"/>
      <c r="V839" s="202"/>
      <c r="W839" s="246"/>
      <c r="X839" s="246"/>
      <c r="Y839" s="246"/>
      <c r="BC839"/>
      <c r="BD839"/>
    </row>
    <row r="840" spans="1:56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0"/>
      <c r="T840" s="200"/>
      <c r="U840" s="201"/>
      <c r="V840" s="202"/>
      <c r="W840" s="246"/>
      <c r="X840" s="246"/>
      <c r="Y840" s="246"/>
      <c r="BC840"/>
      <c r="BD840"/>
    </row>
    <row r="841" spans="1:56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0"/>
      <c r="T841" s="200"/>
      <c r="U841" s="201"/>
      <c r="V841" s="202"/>
      <c r="W841" s="246"/>
      <c r="X841" s="246"/>
      <c r="Y841" s="246"/>
      <c r="BC841"/>
      <c r="BD841"/>
    </row>
    <row r="842" spans="1:56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0"/>
      <c r="T842" s="200"/>
      <c r="U842" s="201"/>
      <c r="V842" s="202"/>
      <c r="W842" s="246"/>
      <c r="X842" s="246"/>
      <c r="Y842" s="246"/>
      <c r="BC842"/>
      <c r="BD842"/>
    </row>
    <row r="843" spans="1:56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0"/>
      <c r="T843" s="200"/>
      <c r="U843" s="201"/>
      <c r="V843" s="202"/>
      <c r="W843" s="246"/>
      <c r="X843" s="246"/>
      <c r="Y843" s="246"/>
      <c r="BC843"/>
      <c r="BD843"/>
    </row>
    <row r="844" spans="1:56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0"/>
      <c r="T844" s="200"/>
      <c r="U844" s="201"/>
      <c r="V844" s="202"/>
      <c r="W844" s="246"/>
      <c r="X844" s="246"/>
      <c r="Y844" s="246"/>
      <c r="BC844"/>
      <c r="BD844"/>
    </row>
    <row r="845" spans="1:56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0"/>
      <c r="T845" s="200"/>
      <c r="U845" s="201"/>
      <c r="V845" s="202"/>
      <c r="W845" s="246"/>
      <c r="X845" s="246"/>
      <c r="Y845" s="246"/>
      <c r="BC845"/>
      <c r="BD845"/>
    </row>
    <row r="846" spans="1:56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0"/>
      <c r="T846" s="200"/>
      <c r="U846" s="201"/>
      <c r="V846" s="202"/>
      <c r="W846" s="246"/>
      <c r="X846" s="246"/>
      <c r="Y846" s="246"/>
      <c r="BC846"/>
      <c r="BD846"/>
    </row>
    <row r="847" spans="1:56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0"/>
      <c r="T847" s="200"/>
      <c r="U847" s="201"/>
      <c r="V847" s="202"/>
      <c r="W847" s="246"/>
      <c r="X847" s="246"/>
      <c r="Y847" s="246"/>
      <c r="BC847"/>
      <c r="BD847"/>
    </row>
    <row r="848" spans="1:56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0"/>
      <c r="T848" s="200"/>
      <c r="U848" s="201"/>
      <c r="V848" s="202"/>
      <c r="W848" s="246"/>
      <c r="X848" s="246"/>
      <c r="Y848" s="246"/>
      <c r="BC848"/>
      <c r="BD848"/>
    </row>
    <row r="849" spans="1:56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0"/>
      <c r="T849" s="200"/>
      <c r="U849" s="201"/>
      <c r="V849" s="202"/>
      <c r="W849" s="246"/>
      <c r="X849" s="246"/>
      <c r="Y849" s="246"/>
      <c r="BC849"/>
      <c r="BD849"/>
    </row>
    <row r="850" spans="1:56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0"/>
      <c r="T850" s="200"/>
      <c r="U850" s="201"/>
      <c r="V850" s="202"/>
      <c r="W850" s="246"/>
      <c r="X850" s="246"/>
      <c r="Y850" s="246"/>
      <c r="BC850"/>
      <c r="BD850"/>
    </row>
    <row r="851" spans="1:56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0"/>
      <c r="T851" s="200"/>
      <c r="U851" s="201"/>
      <c r="V851" s="202"/>
      <c r="W851" s="246"/>
      <c r="X851" s="246"/>
      <c r="Y851" s="246"/>
      <c r="BC851"/>
      <c r="BD851"/>
    </row>
    <row r="852" spans="1:56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0"/>
      <c r="T852" s="200"/>
      <c r="U852" s="201"/>
      <c r="V852" s="202"/>
      <c r="W852" s="246"/>
      <c r="X852" s="246"/>
      <c r="Y852" s="246"/>
      <c r="BC852"/>
      <c r="BD852"/>
    </row>
    <row r="853" spans="1:56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0"/>
      <c r="T853" s="200"/>
      <c r="U853" s="201"/>
      <c r="V853" s="202"/>
      <c r="W853" s="246"/>
      <c r="X853" s="246"/>
      <c r="Y853" s="246"/>
      <c r="BC853"/>
      <c r="BD853"/>
    </row>
    <row r="854" spans="1:56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0"/>
      <c r="T854" s="200"/>
      <c r="U854" s="201"/>
      <c r="V854" s="202"/>
      <c r="W854" s="246"/>
      <c r="X854" s="246"/>
      <c r="Y854" s="246"/>
      <c r="BC854"/>
      <c r="BD854"/>
    </row>
    <row r="855" spans="1:56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0"/>
      <c r="T855" s="200"/>
      <c r="U855" s="201"/>
      <c r="V855" s="202"/>
      <c r="W855" s="246"/>
      <c r="X855" s="246"/>
      <c r="Y855" s="246"/>
      <c r="BC855"/>
      <c r="BD855"/>
    </row>
    <row r="856" spans="1:56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0"/>
      <c r="T856" s="200"/>
      <c r="U856" s="201"/>
      <c r="V856" s="202"/>
      <c r="W856" s="246"/>
      <c r="X856" s="246"/>
      <c r="Y856" s="246"/>
      <c r="BC856"/>
      <c r="BD856"/>
    </row>
    <row r="857" spans="1:56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0"/>
      <c r="T857" s="200"/>
      <c r="U857" s="201"/>
      <c r="V857" s="202"/>
      <c r="W857" s="246"/>
      <c r="X857" s="246"/>
      <c r="Y857" s="246"/>
      <c r="BC857"/>
      <c r="BD857"/>
    </row>
    <row r="858" spans="1:56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0"/>
      <c r="T858" s="200"/>
      <c r="U858" s="201"/>
      <c r="V858" s="202"/>
      <c r="W858" s="246"/>
      <c r="X858" s="246"/>
      <c r="Y858" s="246"/>
      <c r="BC858"/>
      <c r="BD858"/>
    </row>
    <row r="859" spans="1:56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0"/>
      <c r="T859" s="200"/>
      <c r="U859" s="201"/>
      <c r="V859" s="202"/>
      <c r="W859" s="246"/>
      <c r="X859" s="246"/>
      <c r="Y859" s="246"/>
      <c r="BC859"/>
      <c r="BD859"/>
    </row>
    <row r="860" spans="1:56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0"/>
      <c r="T860" s="200"/>
      <c r="U860" s="201"/>
      <c r="V860" s="202"/>
      <c r="W860" s="246"/>
      <c r="X860" s="246"/>
      <c r="Y860" s="246"/>
      <c r="BC860"/>
      <c r="BD860"/>
    </row>
    <row r="861" spans="1:56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0"/>
      <c r="T861" s="200"/>
      <c r="U861" s="201"/>
      <c r="V861" s="202"/>
      <c r="W861" s="246"/>
      <c r="X861" s="246"/>
      <c r="Y861" s="246"/>
      <c r="BC861"/>
      <c r="BD861"/>
    </row>
    <row r="862" spans="1:56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0"/>
      <c r="T862" s="200"/>
      <c r="U862" s="201"/>
      <c r="V862" s="202"/>
      <c r="W862" s="246"/>
      <c r="X862" s="246"/>
      <c r="Y862" s="246"/>
      <c r="BC862"/>
      <c r="BD862"/>
    </row>
    <row r="863" spans="1:56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0"/>
      <c r="T863" s="200"/>
      <c r="U863" s="201"/>
      <c r="V863" s="202"/>
      <c r="W863" s="246"/>
      <c r="X863" s="246"/>
      <c r="Y863" s="246"/>
      <c r="BC863"/>
      <c r="BD863"/>
    </row>
    <row r="864" spans="1:56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0"/>
      <c r="T864" s="200"/>
      <c r="U864" s="201"/>
      <c r="V864" s="202"/>
      <c r="W864" s="246"/>
      <c r="X864" s="246"/>
      <c r="Y864" s="246"/>
      <c r="BC864"/>
      <c r="BD864"/>
    </row>
    <row r="865" spans="1:56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0"/>
      <c r="T865" s="200"/>
      <c r="U865" s="201"/>
      <c r="V865" s="202"/>
      <c r="W865" s="246"/>
      <c r="X865" s="246"/>
      <c r="Y865" s="246"/>
      <c r="BC865"/>
      <c r="BD865"/>
    </row>
    <row r="866" spans="1:56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0"/>
      <c r="T866" s="200"/>
      <c r="U866" s="201"/>
      <c r="V866" s="202"/>
      <c r="W866" s="246"/>
      <c r="X866" s="246"/>
      <c r="Y866" s="246"/>
      <c r="BC866"/>
      <c r="BD866"/>
    </row>
    <row r="867" spans="1:56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0"/>
      <c r="T867" s="200"/>
      <c r="U867" s="201"/>
      <c r="V867" s="202"/>
      <c r="W867" s="246"/>
      <c r="X867" s="246"/>
      <c r="Y867" s="246"/>
      <c r="BC867"/>
      <c r="BD867"/>
    </row>
    <row r="868" spans="1:56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0"/>
      <c r="T868" s="200"/>
      <c r="U868" s="201"/>
      <c r="V868" s="202"/>
      <c r="W868" s="246"/>
      <c r="X868" s="246"/>
      <c r="Y868" s="246"/>
      <c r="BC868"/>
      <c r="BD868"/>
    </row>
    <row r="869" spans="1:56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0"/>
      <c r="T869" s="200"/>
      <c r="U869" s="201"/>
      <c r="V869" s="202"/>
      <c r="W869" s="246"/>
      <c r="X869" s="246"/>
      <c r="Y869" s="246"/>
      <c r="BC869"/>
      <c r="BD869"/>
    </row>
    <row r="870" spans="1:56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0"/>
      <c r="T870" s="200"/>
      <c r="U870" s="201"/>
      <c r="V870" s="202"/>
      <c r="W870" s="246"/>
      <c r="X870" s="246"/>
      <c r="Y870" s="246"/>
      <c r="BC870"/>
      <c r="BD870"/>
    </row>
    <row r="871" spans="1:56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0"/>
      <c r="T871" s="200"/>
      <c r="U871" s="201"/>
      <c r="V871" s="202"/>
      <c r="W871" s="246"/>
      <c r="X871" s="246"/>
      <c r="Y871" s="246"/>
      <c r="BC871"/>
      <c r="BD871"/>
    </row>
    <row r="872" spans="1:56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0"/>
      <c r="T872" s="200"/>
      <c r="U872" s="201"/>
      <c r="V872" s="202"/>
      <c r="W872" s="246"/>
      <c r="X872" s="246"/>
      <c r="Y872" s="246"/>
      <c r="BC872"/>
      <c r="BD872"/>
    </row>
    <row r="873" spans="1:56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0"/>
      <c r="T873" s="200"/>
      <c r="U873" s="201"/>
      <c r="V873" s="202"/>
      <c r="W873" s="246"/>
      <c r="X873" s="246"/>
      <c r="Y873" s="246"/>
      <c r="BC873"/>
      <c r="BD873"/>
    </row>
    <row r="874" spans="1:56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0"/>
      <c r="T874" s="200"/>
      <c r="U874" s="201"/>
      <c r="V874" s="202"/>
      <c r="W874" s="246"/>
      <c r="X874" s="246"/>
      <c r="Y874" s="246"/>
      <c r="BC874"/>
      <c r="BD874"/>
    </row>
    <row r="875" spans="1:56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0"/>
      <c r="T875" s="200"/>
      <c r="U875" s="201"/>
      <c r="V875" s="202"/>
      <c r="W875" s="246"/>
      <c r="X875" s="246"/>
      <c r="Y875" s="246"/>
      <c r="BC875"/>
      <c r="BD875"/>
    </row>
    <row r="876" spans="1:56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0"/>
      <c r="T876" s="200"/>
      <c r="U876" s="201"/>
      <c r="V876" s="202"/>
      <c r="W876" s="246"/>
      <c r="X876" s="246"/>
      <c r="Y876" s="246"/>
      <c r="BC876"/>
      <c r="BD876"/>
    </row>
    <row r="877" spans="1:56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0"/>
      <c r="T877" s="200"/>
      <c r="U877" s="201"/>
      <c r="V877" s="202"/>
      <c r="W877" s="246"/>
      <c r="X877" s="246"/>
      <c r="Y877" s="246"/>
      <c r="BC877"/>
      <c r="BD877"/>
    </row>
    <row r="878" spans="1:56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0"/>
      <c r="T878" s="200"/>
      <c r="U878" s="201"/>
      <c r="V878" s="202"/>
      <c r="W878" s="246"/>
      <c r="X878" s="246"/>
      <c r="Y878" s="246"/>
      <c r="BC878"/>
      <c r="BD878"/>
    </row>
    <row r="879" spans="1:56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0"/>
      <c r="T879" s="200"/>
      <c r="U879" s="201"/>
      <c r="V879" s="202"/>
      <c r="W879" s="246"/>
      <c r="X879" s="246"/>
      <c r="Y879" s="246"/>
      <c r="BC879"/>
      <c r="BD879"/>
    </row>
    <row r="880" spans="1:56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0"/>
      <c r="T880" s="200"/>
      <c r="U880" s="201"/>
      <c r="V880" s="202"/>
      <c r="W880" s="246"/>
      <c r="X880" s="246"/>
      <c r="Y880" s="246"/>
      <c r="BC880"/>
      <c r="BD880"/>
    </row>
    <row r="881" spans="1:56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0"/>
      <c r="T881" s="200"/>
      <c r="U881" s="201"/>
      <c r="V881" s="202"/>
      <c r="W881" s="246"/>
      <c r="X881" s="246"/>
      <c r="Y881" s="246"/>
      <c r="BC881"/>
      <c r="BD881"/>
    </row>
    <row r="882" spans="1:56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0"/>
      <c r="T882" s="200"/>
      <c r="U882" s="201"/>
      <c r="V882" s="202"/>
      <c r="W882" s="246"/>
      <c r="X882" s="246"/>
      <c r="Y882" s="246"/>
      <c r="BC882"/>
      <c r="BD882"/>
    </row>
    <row r="883" spans="1:56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0"/>
      <c r="T883" s="200"/>
      <c r="U883" s="201"/>
      <c r="V883" s="202"/>
      <c r="W883" s="246"/>
      <c r="X883" s="246"/>
      <c r="Y883" s="246"/>
      <c r="BC883"/>
      <c r="BD883"/>
    </row>
    <row r="884" spans="1:56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0"/>
      <c r="T884" s="200"/>
      <c r="U884" s="201"/>
      <c r="V884" s="202"/>
      <c r="W884" s="246"/>
      <c r="X884" s="246"/>
      <c r="Y884" s="246"/>
      <c r="BC884"/>
      <c r="BD884"/>
    </row>
    <row r="885" spans="1:56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0"/>
      <c r="T885" s="200"/>
      <c r="U885" s="201"/>
      <c r="V885" s="202"/>
      <c r="W885" s="246"/>
      <c r="X885" s="246"/>
      <c r="Y885" s="246"/>
      <c r="BC885"/>
      <c r="BD885"/>
    </row>
    <row r="886" spans="1:56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0"/>
      <c r="T886" s="200"/>
      <c r="U886" s="201"/>
      <c r="V886" s="202"/>
      <c r="W886" s="246"/>
      <c r="X886" s="246"/>
      <c r="Y886" s="246"/>
      <c r="BC886"/>
      <c r="BD886"/>
    </row>
    <row r="887" spans="1:56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0"/>
      <c r="T887" s="200"/>
      <c r="U887" s="201"/>
      <c r="V887" s="202"/>
      <c r="W887" s="246"/>
      <c r="X887" s="246"/>
      <c r="Y887" s="246"/>
      <c r="BC887"/>
      <c r="BD887"/>
    </row>
    <row r="888" spans="1:56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0"/>
      <c r="T888" s="200"/>
      <c r="U888" s="201"/>
      <c r="V888" s="202"/>
      <c r="W888" s="246"/>
      <c r="X888" s="246"/>
      <c r="Y888" s="246"/>
      <c r="BC888"/>
      <c r="BD888"/>
    </row>
    <row r="889" spans="1:56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0"/>
      <c r="T889" s="200"/>
      <c r="U889" s="201"/>
      <c r="V889" s="202"/>
      <c r="W889" s="246"/>
      <c r="X889" s="246"/>
      <c r="Y889" s="246"/>
      <c r="BC889"/>
      <c r="BD889"/>
    </row>
    <row r="890" spans="1:56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0"/>
      <c r="T890" s="200"/>
      <c r="U890" s="201"/>
      <c r="V890" s="202"/>
      <c r="W890" s="246"/>
      <c r="X890" s="246"/>
      <c r="Y890" s="246"/>
      <c r="BC890"/>
      <c r="BD890"/>
    </row>
    <row r="891" spans="1:56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0"/>
      <c r="T891" s="200"/>
      <c r="U891" s="201"/>
      <c r="V891" s="202"/>
      <c r="W891" s="246"/>
      <c r="X891" s="246"/>
      <c r="Y891" s="246"/>
      <c r="BC891"/>
      <c r="BD891"/>
    </row>
    <row r="892" spans="1:56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0"/>
      <c r="T892" s="200"/>
      <c r="U892" s="201"/>
      <c r="V892" s="202"/>
      <c r="W892" s="246"/>
      <c r="X892" s="246"/>
      <c r="Y892" s="246"/>
      <c r="BC892"/>
      <c r="BD892"/>
    </row>
    <row r="893" spans="1:56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0"/>
      <c r="T893" s="200"/>
      <c r="U893" s="201"/>
      <c r="V893" s="202"/>
      <c r="W893" s="246"/>
      <c r="X893" s="246"/>
      <c r="Y893" s="246"/>
      <c r="BC893"/>
      <c r="BD893"/>
    </row>
    <row r="894" spans="1:56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0"/>
      <c r="T894" s="200"/>
      <c r="U894" s="201"/>
      <c r="V894" s="202"/>
      <c r="W894" s="246"/>
      <c r="X894" s="246"/>
      <c r="Y894" s="246"/>
      <c r="BC894"/>
      <c r="BD894"/>
    </row>
    <row r="895" spans="1:56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0"/>
      <c r="T895" s="200"/>
      <c r="U895" s="201"/>
      <c r="V895" s="202"/>
      <c r="W895" s="246"/>
      <c r="X895" s="246"/>
      <c r="Y895" s="246"/>
      <c r="BC895"/>
      <c r="BD895"/>
    </row>
    <row r="896" spans="1:56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0"/>
      <c r="T896" s="200"/>
      <c r="U896" s="201"/>
      <c r="V896" s="202"/>
      <c r="W896" s="246"/>
      <c r="X896" s="246"/>
      <c r="Y896" s="246"/>
      <c r="BC896"/>
      <c r="BD896"/>
    </row>
    <row r="897" spans="1:56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0"/>
      <c r="T897" s="200"/>
      <c r="U897" s="201"/>
      <c r="V897" s="202"/>
      <c r="W897" s="246"/>
      <c r="X897" s="246"/>
      <c r="Y897" s="246"/>
      <c r="BC897"/>
      <c r="BD897"/>
    </row>
    <row r="898" spans="1:56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0"/>
      <c r="T898" s="200"/>
      <c r="U898" s="201"/>
      <c r="V898" s="202"/>
      <c r="W898" s="246"/>
      <c r="X898" s="246"/>
      <c r="Y898" s="246"/>
      <c r="BC898"/>
      <c r="BD898"/>
    </row>
    <row r="899" spans="1:56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0"/>
      <c r="T899" s="200"/>
      <c r="U899" s="201"/>
      <c r="V899" s="202"/>
      <c r="W899" s="246"/>
      <c r="X899" s="246"/>
      <c r="Y899" s="246"/>
      <c r="BC899"/>
      <c r="BD899"/>
    </row>
    <row r="900" spans="1:56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0"/>
      <c r="T900" s="200"/>
      <c r="U900" s="201"/>
      <c r="V900" s="202"/>
      <c r="W900" s="246"/>
      <c r="X900" s="246"/>
      <c r="Y900" s="246"/>
      <c r="BC900"/>
      <c r="BD900"/>
    </row>
    <row r="901" spans="1:56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0"/>
      <c r="T901" s="200"/>
      <c r="U901" s="201"/>
      <c r="V901" s="202"/>
      <c r="W901" s="246"/>
      <c r="X901" s="246"/>
      <c r="Y901" s="246"/>
      <c r="BC901"/>
      <c r="BD901"/>
    </row>
    <row r="902" spans="1:56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0"/>
      <c r="T902" s="200"/>
      <c r="U902" s="201"/>
      <c r="V902" s="202"/>
      <c r="W902" s="246"/>
      <c r="X902" s="246"/>
      <c r="Y902" s="246"/>
      <c r="BC902"/>
      <c r="BD902"/>
    </row>
    <row r="903" spans="1:56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0"/>
      <c r="T903" s="200"/>
      <c r="U903" s="201"/>
      <c r="V903" s="202"/>
      <c r="W903" s="246"/>
      <c r="X903" s="246"/>
      <c r="Y903" s="246"/>
      <c r="BC903"/>
      <c r="BD903"/>
    </row>
    <row r="904" spans="1:56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0"/>
      <c r="T904" s="200"/>
      <c r="U904" s="201"/>
      <c r="V904" s="202"/>
      <c r="W904" s="246"/>
      <c r="X904" s="246"/>
      <c r="Y904" s="246"/>
      <c r="BC904"/>
      <c r="BD904"/>
    </row>
    <row r="905" spans="1:56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0"/>
      <c r="T905" s="200"/>
      <c r="U905" s="201"/>
      <c r="V905" s="202"/>
      <c r="W905" s="246"/>
      <c r="X905" s="246"/>
      <c r="Y905" s="246"/>
      <c r="BC905"/>
      <c r="BD905"/>
    </row>
    <row r="906" spans="1:56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0"/>
      <c r="T906" s="200"/>
      <c r="U906" s="201"/>
      <c r="V906" s="202"/>
      <c r="W906" s="246"/>
      <c r="X906" s="246"/>
      <c r="Y906" s="246"/>
      <c r="BC906"/>
      <c r="BD906"/>
    </row>
    <row r="907" spans="1:56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0"/>
      <c r="T907" s="200"/>
      <c r="U907" s="201"/>
      <c r="V907" s="202"/>
      <c r="W907" s="246"/>
      <c r="X907" s="246"/>
      <c r="Y907" s="246"/>
      <c r="BC907"/>
      <c r="BD907"/>
    </row>
    <row r="908" spans="1:56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0"/>
      <c r="T908" s="200"/>
      <c r="U908" s="201"/>
      <c r="V908" s="202"/>
      <c r="W908" s="246"/>
      <c r="X908" s="246"/>
      <c r="Y908" s="246"/>
      <c r="BC908"/>
      <c r="BD908"/>
    </row>
    <row r="909" spans="1:56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0"/>
      <c r="T909" s="200"/>
      <c r="U909" s="201"/>
      <c r="V909" s="202"/>
      <c r="W909" s="246"/>
      <c r="X909" s="246"/>
      <c r="Y909" s="246"/>
      <c r="BC909"/>
      <c r="BD909"/>
    </row>
    <row r="910" spans="1:56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0"/>
      <c r="T910" s="200"/>
      <c r="U910" s="201"/>
      <c r="V910" s="202"/>
      <c r="W910" s="246"/>
      <c r="X910" s="246"/>
      <c r="Y910" s="246"/>
      <c r="BC910"/>
      <c r="BD910"/>
    </row>
    <row r="911" spans="1:56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0"/>
      <c r="T911" s="200"/>
      <c r="U911" s="201"/>
      <c r="V911" s="202"/>
      <c r="W911" s="246"/>
      <c r="X911" s="246"/>
      <c r="Y911" s="246"/>
      <c r="BC911"/>
      <c r="BD911"/>
    </row>
    <row r="912" spans="1:56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0"/>
      <c r="T912" s="200"/>
      <c r="U912" s="201"/>
      <c r="V912" s="202"/>
      <c r="W912" s="246"/>
      <c r="X912" s="246"/>
      <c r="Y912" s="246"/>
      <c r="BC912"/>
      <c r="BD912"/>
    </row>
    <row r="913" spans="1:56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0"/>
      <c r="T913" s="200"/>
      <c r="U913" s="201"/>
      <c r="V913" s="202"/>
      <c r="W913" s="246"/>
      <c r="X913" s="246"/>
      <c r="Y913" s="246"/>
      <c r="BC913"/>
      <c r="BD913"/>
    </row>
    <row r="914" spans="1:56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0"/>
      <c r="T914" s="200"/>
      <c r="U914" s="201"/>
      <c r="V914" s="202"/>
      <c r="W914" s="246"/>
      <c r="X914" s="246"/>
      <c r="Y914" s="246"/>
      <c r="BC914"/>
      <c r="BD914"/>
    </row>
    <row r="915" spans="1:56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0"/>
      <c r="T915" s="200"/>
      <c r="U915" s="201"/>
      <c r="V915" s="202"/>
      <c r="W915" s="246"/>
      <c r="X915" s="246"/>
      <c r="Y915" s="246"/>
      <c r="BC915"/>
      <c r="BD915"/>
    </row>
    <row r="916" spans="1:56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0"/>
      <c r="T916" s="200"/>
      <c r="U916" s="201"/>
      <c r="V916" s="202"/>
      <c r="W916" s="246"/>
      <c r="X916" s="246"/>
      <c r="Y916" s="246"/>
      <c r="BC916"/>
      <c r="BD916"/>
    </row>
    <row r="917" spans="1:56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0"/>
      <c r="T917" s="200"/>
      <c r="U917" s="201"/>
      <c r="V917" s="202"/>
      <c r="W917" s="246"/>
      <c r="X917" s="246"/>
      <c r="Y917" s="246"/>
      <c r="BC917"/>
      <c r="BD917"/>
    </row>
    <row r="918" spans="1:56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0"/>
      <c r="T918" s="200"/>
      <c r="U918" s="201"/>
      <c r="V918" s="202"/>
      <c r="W918" s="246"/>
      <c r="X918" s="246"/>
      <c r="Y918" s="246"/>
      <c r="BC918"/>
      <c r="BD918"/>
    </row>
    <row r="919" spans="1:56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0"/>
      <c r="T919" s="200"/>
      <c r="U919" s="201"/>
      <c r="V919" s="202"/>
      <c r="W919" s="246"/>
      <c r="X919" s="246"/>
      <c r="Y919" s="246"/>
      <c r="BC919"/>
      <c r="BD919"/>
    </row>
    <row r="920" spans="1:56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0"/>
      <c r="T920" s="200"/>
      <c r="U920" s="201"/>
      <c r="V920" s="202"/>
      <c r="W920" s="246"/>
      <c r="X920" s="246"/>
      <c r="Y920" s="246"/>
      <c r="BC920"/>
      <c r="BD920"/>
    </row>
    <row r="921" spans="1:56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0"/>
      <c r="T921" s="200"/>
      <c r="U921" s="201"/>
      <c r="V921" s="202"/>
      <c r="W921" s="246"/>
      <c r="X921" s="246"/>
      <c r="Y921" s="246"/>
      <c r="BC921"/>
      <c r="BD921"/>
    </row>
    <row r="922" spans="1:56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0"/>
      <c r="T922" s="200"/>
      <c r="U922" s="201"/>
      <c r="V922" s="202"/>
      <c r="W922" s="246"/>
      <c r="X922" s="246"/>
      <c r="Y922" s="246"/>
      <c r="BC922"/>
      <c r="BD922"/>
    </row>
    <row r="923" spans="1:56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0"/>
      <c r="T923" s="200"/>
      <c r="U923" s="201"/>
      <c r="V923" s="202"/>
      <c r="W923" s="246"/>
      <c r="X923" s="246"/>
      <c r="Y923" s="246"/>
      <c r="BC923"/>
      <c r="BD923"/>
    </row>
    <row r="924" spans="1:56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0"/>
      <c r="T924" s="200"/>
      <c r="U924" s="201"/>
      <c r="V924" s="202"/>
      <c r="W924" s="246"/>
      <c r="X924" s="246"/>
      <c r="Y924" s="246"/>
      <c r="BC924"/>
      <c r="BD924"/>
    </row>
    <row r="925" spans="1:56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0"/>
      <c r="T925" s="200"/>
      <c r="U925" s="201"/>
      <c r="V925" s="202"/>
      <c r="W925" s="246"/>
      <c r="X925" s="246"/>
      <c r="Y925" s="246"/>
      <c r="BC925"/>
      <c r="BD925"/>
    </row>
    <row r="926" spans="1:56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0"/>
      <c r="T926" s="200"/>
      <c r="U926" s="201"/>
      <c r="V926" s="202"/>
      <c r="W926" s="246"/>
      <c r="X926" s="246"/>
      <c r="Y926" s="246"/>
      <c r="BC926"/>
      <c r="BD926"/>
    </row>
    <row r="927" spans="1:56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0"/>
      <c r="T927" s="200"/>
      <c r="U927" s="201"/>
      <c r="V927" s="202"/>
      <c r="W927" s="246"/>
      <c r="X927" s="246"/>
      <c r="Y927" s="246"/>
      <c r="BC927"/>
      <c r="BD927"/>
    </row>
    <row r="928" spans="1:56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0"/>
      <c r="T928" s="200"/>
      <c r="U928" s="201"/>
      <c r="V928" s="202"/>
      <c r="W928" s="246"/>
      <c r="X928" s="246"/>
      <c r="Y928" s="246"/>
      <c r="BC928"/>
      <c r="BD928"/>
    </row>
    <row r="929" spans="1:56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0"/>
      <c r="T929" s="200"/>
      <c r="U929" s="201"/>
      <c r="V929" s="202"/>
      <c r="W929" s="246"/>
      <c r="X929" s="246"/>
      <c r="Y929" s="246"/>
      <c r="BC929"/>
      <c r="BD929"/>
    </row>
    <row r="930" spans="1:56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0"/>
      <c r="T930" s="200"/>
      <c r="U930" s="201"/>
      <c r="V930" s="202"/>
      <c r="W930" s="246"/>
      <c r="X930" s="246"/>
      <c r="Y930" s="246"/>
      <c r="BC930"/>
      <c r="BD930"/>
    </row>
    <row r="931" spans="1:56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0"/>
      <c r="T931" s="200"/>
      <c r="U931" s="201"/>
      <c r="V931" s="202"/>
      <c r="W931" s="246"/>
      <c r="X931" s="246"/>
      <c r="Y931" s="246"/>
      <c r="BC931"/>
      <c r="BD931"/>
    </row>
    <row r="932" spans="1:56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0"/>
      <c r="T932" s="200"/>
      <c r="U932" s="201"/>
      <c r="V932" s="202"/>
      <c r="W932" s="246"/>
      <c r="X932" s="246"/>
      <c r="Y932" s="246"/>
      <c r="BC932"/>
      <c r="BD932"/>
    </row>
    <row r="933" spans="1:56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0"/>
      <c r="T933" s="200"/>
      <c r="U933" s="201"/>
      <c r="V933" s="202"/>
      <c r="W933" s="246"/>
      <c r="X933" s="246"/>
      <c r="Y933" s="246"/>
      <c r="BC933"/>
      <c r="BD933"/>
    </row>
    <row r="934" spans="1:56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0"/>
      <c r="T934" s="200"/>
      <c r="U934" s="201"/>
      <c r="V934" s="202"/>
      <c r="W934" s="246"/>
      <c r="X934" s="246"/>
      <c r="Y934" s="246"/>
      <c r="BC934"/>
      <c r="BD934"/>
    </row>
    <row r="935" spans="1:56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0"/>
      <c r="T935" s="200"/>
      <c r="U935" s="201"/>
      <c r="V935" s="202"/>
      <c r="W935" s="246"/>
      <c r="X935" s="246"/>
      <c r="Y935" s="246"/>
      <c r="BC935"/>
      <c r="BD935"/>
    </row>
    <row r="936" spans="1:56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0"/>
      <c r="T936" s="200"/>
      <c r="U936" s="201"/>
      <c r="V936" s="202"/>
      <c r="W936" s="246"/>
      <c r="X936" s="246"/>
      <c r="Y936" s="246"/>
      <c r="BC936"/>
      <c r="BD936"/>
    </row>
    <row r="937" spans="1:56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0"/>
      <c r="T937" s="200"/>
      <c r="U937" s="201"/>
      <c r="V937" s="202"/>
      <c r="W937" s="246"/>
      <c r="X937" s="246"/>
      <c r="Y937" s="246"/>
      <c r="BC937"/>
      <c r="BD937"/>
    </row>
    <row r="938" spans="1:56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0"/>
      <c r="T938" s="200"/>
      <c r="U938" s="201"/>
      <c r="V938" s="202"/>
      <c r="W938" s="246"/>
      <c r="X938" s="246"/>
      <c r="Y938" s="246"/>
      <c r="BC938"/>
      <c r="BD938"/>
    </row>
    <row r="939" spans="1:56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0"/>
      <c r="T939" s="200"/>
      <c r="U939" s="201"/>
      <c r="V939" s="202"/>
      <c r="W939" s="246"/>
      <c r="X939" s="246"/>
      <c r="Y939" s="246"/>
      <c r="BC939"/>
      <c r="BD939"/>
    </row>
    <row r="940" spans="1:56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0"/>
      <c r="T940" s="200"/>
      <c r="U940" s="201"/>
      <c r="V940" s="202"/>
      <c r="W940" s="246"/>
      <c r="X940" s="246"/>
      <c r="Y940" s="246"/>
      <c r="BC940"/>
      <c r="BD940"/>
    </row>
    <row r="941" spans="1:56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0"/>
      <c r="T941" s="200"/>
      <c r="U941" s="201"/>
      <c r="V941" s="202"/>
      <c r="W941" s="246"/>
      <c r="X941" s="246"/>
      <c r="Y941" s="246"/>
      <c r="BC941"/>
      <c r="BD941"/>
    </row>
    <row r="942" spans="1:56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0"/>
      <c r="T942" s="200"/>
      <c r="U942" s="201"/>
      <c r="V942" s="202"/>
      <c r="W942" s="246"/>
      <c r="X942" s="246"/>
      <c r="Y942" s="246"/>
      <c r="BC942"/>
      <c r="BD942"/>
    </row>
    <row r="943" spans="1:56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0"/>
      <c r="T943" s="200"/>
      <c r="U943" s="201"/>
      <c r="V943" s="202"/>
      <c r="W943" s="246"/>
      <c r="X943" s="246"/>
      <c r="Y943" s="246"/>
      <c r="BC943"/>
      <c r="BD943"/>
    </row>
    <row r="944" spans="1:56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0"/>
      <c r="T944" s="200"/>
      <c r="U944" s="201"/>
      <c r="V944" s="202"/>
      <c r="W944" s="246"/>
      <c r="X944" s="246"/>
      <c r="Y944" s="246"/>
      <c r="BC944"/>
      <c r="BD944"/>
    </row>
    <row r="945" spans="1:56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0"/>
      <c r="T945" s="200"/>
      <c r="U945" s="201"/>
      <c r="V945" s="202"/>
      <c r="W945" s="246"/>
      <c r="X945" s="246"/>
      <c r="Y945" s="246"/>
      <c r="BC945"/>
      <c r="BD945"/>
    </row>
    <row r="946" spans="1:56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0"/>
      <c r="T946" s="200"/>
      <c r="U946" s="201"/>
      <c r="V946" s="202"/>
      <c r="W946" s="246"/>
      <c r="X946" s="246"/>
      <c r="Y946" s="246"/>
      <c r="BC946"/>
      <c r="BD946"/>
    </row>
    <row r="947" spans="1:56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0"/>
      <c r="T947" s="200"/>
      <c r="U947" s="201"/>
      <c r="V947" s="202"/>
      <c r="W947" s="246"/>
      <c r="X947" s="246"/>
      <c r="Y947" s="246"/>
      <c r="BC947"/>
      <c r="BD947"/>
    </row>
    <row r="948" spans="1:56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0"/>
      <c r="T948" s="200"/>
      <c r="U948" s="201"/>
      <c r="V948" s="202"/>
      <c r="W948" s="246"/>
      <c r="X948" s="246"/>
      <c r="Y948" s="246"/>
      <c r="BC948"/>
      <c r="BD948"/>
    </row>
    <row r="949" spans="1:56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0"/>
      <c r="T949" s="200"/>
      <c r="U949" s="201"/>
      <c r="V949" s="202"/>
      <c r="W949" s="246"/>
      <c r="X949" s="246"/>
      <c r="Y949" s="246"/>
      <c r="BC949"/>
      <c r="BD949"/>
    </row>
    <row r="950" spans="1:56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0"/>
      <c r="T950" s="200"/>
      <c r="U950" s="201"/>
      <c r="V950" s="202"/>
      <c r="W950" s="246"/>
      <c r="X950" s="246"/>
      <c r="Y950" s="246"/>
      <c r="BC950"/>
      <c r="BD950"/>
    </row>
    <row r="951" spans="1:56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0"/>
      <c r="T951" s="200"/>
      <c r="U951" s="201"/>
      <c r="V951" s="202"/>
      <c r="W951" s="246"/>
      <c r="X951" s="246"/>
      <c r="Y951" s="246"/>
      <c r="BC951"/>
      <c r="BD951"/>
    </row>
    <row r="952" spans="1:56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0"/>
      <c r="T952" s="200"/>
      <c r="U952" s="201"/>
      <c r="V952" s="202"/>
      <c r="W952" s="246"/>
      <c r="X952" s="246"/>
      <c r="Y952" s="246"/>
      <c r="BC952"/>
      <c r="BD952"/>
    </row>
    <row r="953" spans="1:56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0"/>
      <c r="T953" s="200"/>
      <c r="U953" s="201"/>
      <c r="V953" s="202"/>
      <c r="W953" s="246"/>
      <c r="X953" s="246"/>
      <c r="Y953" s="246"/>
      <c r="BC953"/>
      <c r="BD953"/>
    </row>
    <row r="954" spans="1:56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0"/>
      <c r="T954" s="200"/>
      <c r="U954" s="201"/>
      <c r="V954" s="202"/>
      <c r="W954" s="246"/>
      <c r="X954" s="246"/>
      <c r="Y954" s="246"/>
      <c r="BC954"/>
      <c r="BD954"/>
    </row>
    <row r="955" spans="1:56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0"/>
      <c r="T955" s="200"/>
      <c r="U955" s="201"/>
      <c r="V955" s="202"/>
      <c r="W955" s="246"/>
      <c r="X955" s="246"/>
      <c r="Y955" s="246"/>
      <c r="BC955"/>
      <c r="BD955"/>
    </row>
    <row r="956" spans="1:56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0"/>
      <c r="T956" s="200"/>
      <c r="U956" s="201"/>
      <c r="V956" s="202"/>
      <c r="W956" s="246"/>
      <c r="X956" s="246"/>
      <c r="Y956" s="246"/>
      <c r="BC956"/>
      <c r="BD956"/>
    </row>
    <row r="957" spans="1:56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0"/>
      <c r="T957" s="200"/>
      <c r="U957" s="201"/>
      <c r="V957" s="202"/>
      <c r="W957" s="246"/>
      <c r="X957" s="246"/>
      <c r="Y957" s="246"/>
      <c r="BC957"/>
      <c r="BD957"/>
    </row>
    <row r="958" spans="1:56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0"/>
      <c r="T958" s="200"/>
      <c r="U958" s="201"/>
      <c r="V958" s="202"/>
      <c r="W958" s="246"/>
      <c r="X958" s="246"/>
      <c r="Y958" s="246"/>
      <c r="BC958"/>
      <c r="BD958"/>
    </row>
    <row r="959" spans="1:56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0"/>
      <c r="T959" s="200"/>
      <c r="U959" s="201"/>
      <c r="V959" s="202"/>
      <c r="W959" s="246"/>
      <c r="X959" s="246"/>
      <c r="Y959" s="246"/>
      <c r="BC959"/>
      <c r="BD959"/>
    </row>
    <row r="960" spans="1:56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0"/>
      <c r="T960" s="200"/>
      <c r="U960" s="201"/>
      <c r="V960" s="202"/>
      <c r="W960" s="246"/>
      <c r="X960" s="246"/>
      <c r="Y960" s="246"/>
      <c r="BC960"/>
      <c r="BD960"/>
    </row>
    <row r="961" spans="1:56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0"/>
      <c r="T961" s="200"/>
      <c r="U961" s="201"/>
      <c r="V961" s="202"/>
      <c r="W961" s="246"/>
      <c r="X961" s="246"/>
      <c r="Y961" s="246"/>
      <c r="BC961"/>
      <c r="BD961"/>
    </row>
    <row r="962" spans="1:56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0"/>
      <c r="T962" s="200"/>
      <c r="U962" s="201"/>
      <c r="V962" s="202"/>
      <c r="W962" s="246"/>
      <c r="X962" s="246"/>
      <c r="Y962" s="246"/>
      <c r="BC962"/>
      <c r="BD962"/>
    </row>
    <row r="963" spans="1:56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0"/>
      <c r="T963" s="200"/>
      <c r="U963" s="201"/>
      <c r="V963" s="202"/>
      <c r="W963" s="246"/>
      <c r="X963" s="246"/>
      <c r="Y963" s="246"/>
      <c r="BC963"/>
      <c r="BD963"/>
    </row>
    <row r="964" spans="1:56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0"/>
      <c r="T964" s="200"/>
      <c r="U964" s="201"/>
      <c r="V964" s="202"/>
      <c r="W964" s="246"/>
      <c r="X964" s="246"/>
      <c r="Y964" s="246"/>
      <c r="BC964"/>
      <c r="BD964"/>
    </row>
    <row r="965" spans="1:56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0"/>
      <c r="T965" s="200"/>
      <c r="U965" s="201"/>
      <c r="V965" s="202"/>
      <c r="W965" s="246"/>
      <c r="X965" s="246"/>
      <c r="Y965" s="246"/>
      <c r="BC965"/>
      <c r="BD965"/>
    </row>
    <row r="966" spans="1:56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0"/>
      <c r="T966" s="200"/>
      <c r="U966" s="201"/>
      <c r="V966" s="202"/>
      <c r="W966" s="246"/>
      <c r="X966" s="246"/>
      <c r="Y966" s="246"/>
      <c r="BC966"/>
      <c r="BD966"/>
    </row>
    <row r="967" spans="1:56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0"/>
      <c r="T967" s="200"/>
      <c r="U967" s="201"/>
      <c r="V967" s="202"/>
      <c r="W967" s="246"/>
      <c r="X967" s="246"/>
      <c r="Y967" s="246"/>
      <c r="BC967"/>
      <c r="BD967"/>
    </row>
    <row r="968" spans="1:56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0"/>
      <c r="T968" s="200"/>
      <c r="U968" s="201"/>
      <c r="V968" s="202"/>
      <c r="W968" s="246"/>
      <c r="X968" s="246"/>
      <c r="Y968" s="246"/>
      <c r="BC968"/>
      <c r="BD968"/>
    </row>
    <row r="969" spans="1:56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0"/>
      <c r="T969" s="200"/>
      <c r="U969" s="201"/>
      <c r="V969" s="202"/>
      <c r="W969" s="246"/>
      <c r="X969" s="246"/>
      <c r="Y969" s="246"/>
      <c r="BC969"/>
      <c r="BD969"/>
    </row>
    <row r="970" spans="1:56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0"/>
      <c r="T970" s="200"/>
      <c r="U970" s="201"/>
      <c r="V970" s="202"/>
      <c r="W970" s="246"/>
      <c r="X970" s="246"/>
      <c r="Y970" s="246"/>
      <c r="BC970"/>
      <c r="BD970"/>
    </row>
    <row r="971" spans="1:56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0"/>
      <c r="T971" s="200"/>
      <c r="U971" s="201"/>
      <c r="V971" s="202"/>
      <c r="W971" s="246"/>
      <c r="X971" s="246"/>
      <c r="Y971" s="246"/>
      <c r="BC971"/>
      <c r="BD971"/>
    </row>
    <row r="972" spans="1:56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0"/>
      <c r="T972" s="200"/>
      <c r="U972" s="201"/>
      <c r="V972" s="202"/>
      <c r="W972" s="246"/>
      <c r="X972" s="246"/>
      <c r="Y972" s="246"/>
      <c r="BC972"/>
      <c r="BD972"/>
    </row>
    <row r="973" spans="1:56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0"/>
      <c r="T973" s="200"/>
      <c r="U973" s="201"/>
      <c r="V973" s="202"/>
      <c r="W973" s="246"/>
      <c r="X973" s="246"/>
      <c r="Y973" s="246"/>
      <c r="BC973"/>
      <c r="BD973"/>
    </row>
    <row r="974" spans="1:56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0"/>
      <c r="T974" s="200"/>
      <c r="U974" s="201"/>
      <c r="V974" s="202"/>
      <c r="W974" s="246"/>
      <c r="X974" s="246"/>
      <c r="Y974" s="246"/>
      <c r="BC974"/>
      <c r="BD974"/>
    </row>
    <row r="975" spans="1:56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0"/>
      <c r="T975" s="200"/>
      <c r="U975" s="201"/>
      <c r="V975" s="202"/>
      <c r="W975" s="246"/>
      <c r="X975" s="246"/>
      <c r="Y975" s="246"/>
      <c r="BC975"/>
      <c r="BD975"/>
    </row>
    <row r="976" spans="1:56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0"/>
      <c r="T976" s="200"/>
      <c r="U976" s="201"/>
      <c r="V976" s="202"/>
      <c r="W976" s="246"/>
      <c r="X976" s="246"/>
      <c r="Y976" s="246"/>
      <c r="BC976"/>
      <c r="BD976"/>
    </row>
    <row r="977" spans="1:56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0"/>
      <c r="T977" s="200"/>
      <c r="U977" s="201"/>
      <c r="V977" s="202"/>
      <c r="W977" s="246"/>
      <c r="X977" s="246"/>
      <c r="Y977" s="246"/>
      <c r="BC977"/>
      <c r="BD977"/>
    </row>
    <row r="978" spans="1:56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0"/>
      <c r="T978" s="200"/>
      <c r="U978" s="201"/>
      <c r="V978" s="202"/>
      <c r="W978" s="246"/>
      <c r="X978" s="246"/>
      <c r="Y978" s="246"/>
      <c r="BC978"/>
      <c r="BD978"/>
    </row>
    <row r="979" spans="1:56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0"/>
      <c r="T979" s="200"/>
      <c r="U979" s="201"/>
      <c r="V979" s="202"/>
      <c r="W979" s="246"/>
      <c r="X979" s="246"/>
      <c r="Y979" s="246"/>
      <c r="BC979"/>
      <c r="BD979"/>
    </row>
    <row r="980" spans="1:56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0"/>
      <c r="T980" s="200"/>
      <c r="U980" s="201"/>
      <c r="V980" s="202"/>
      <c r="W980" s="246"/>
      <c r="X980" s="246"/>
      <c r="Y980" s="246"/>
      <c r="BC980"/>
      <c r="BD980"/>
    </row>
    <row r="981" spans="1:56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0"/>
      <c r="T981" s="200"/>
      <c r="U981" s="201"/>
      <c r="V981" s="202"/>
      <c r="W981" s="246"/>
      <c r="X981" s="246"/>
      <c r="Y981" s="246"/>
      <c r="BC981"/>
      <c r="BD981"/>
    </row>
    <row r="982" spans="1:56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0"/>
      <c r="T982" s="200"/>
      <c r="U982" s="201"/>
      <c r="V982" s="202"/>
      <c r="W982" s="246"/>
      <c r="X982" s="246"/>
      <c r="Y982" s="246"/>
      <c r="BC982"/>
      <c r="BD982"/>
    </row>
    <row r="983" spans="1:56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0"/>
      <c r="T983" s="200"/>
      <c r="U983" s="201"/>
      <c r="V983" s="202"/>
      <c r="W983" s="246"/>
      <c r="X983" s="246"/>
      <c r="Y983" s="246"/>
      <c r="BC983"/>
      <c r="BD983"/>
    </row>
    <row r="984" spans="1:56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0"/>
      <c r="T984" s="200"/>
      <c r="U984" s="201"/>
      <c r="V984" s="202"/>
      <c r="W984" s="246"/>
      <c r="X984" s="246"/>
      <c r="Y984" s="246"/>
      <c r="BC984"/>
      <c r="BD984"/>
    </row>
    <row r="985" spans="1:56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0"/>
      <c r="T985" s="200"/>
      <c r="U985" s="201"/>
      <c r="V985" s="202"/>
      <c r="W985" s="246"/>
      <c r="X985" s="246"/>
      <c r="Y985" s="246"/>
      <c r="BC985"/>
      <c r="BD985"/>
    </row>
    <row r="986" spans="1:56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0"/>
      <c r="T986" s="200"/>
      <c r="U986" s="201"/>
      <c r="V986" s="202"/>
      <c r="W986" s="246"/>
      <c r="X986" s="246"/>
      <c r="Y986" s="246"/>
      <c r="BC986"/>
      <c r="BD986"/>
    </row>
    <row r="987" spans="1:56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0"/>
      <c r="T987" s="200"/>
      <c r="U987" s="201"/>
      <c r="V987" s="202"/>
      <c r="W987" s="246"/>
      <c r="X987" s="246"/>
      <c r="Y987" s="246"/>
      <c r="BC987"/>
      <c r="BD987"/>
    </row>
    <row r="988" spans="1:56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0"/>
      <c r="T988" s="200"/>
      <c r="U988" s="201"/>
      <c r="V988" s="202"/>
      <c r="W988" s="246"/>
      <c r="X988" s="246"/>
      <c r="Y988" s="246"/>
      <c r="BC988"/>
      <c r="BD988"/>
    </row>
    <row r="989" spans="1:56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0"/>
      <c r="T989" s="200"/>
      <c r="U989" s="201"/>
      <c r="V989" s="202"/>
      <c r="W989" s="246"/>
      <c r="X989" s="246"/>
      <c r="Y989" s="246"/>
      <c r="BC989"/>
      <c r="BD989"/>
    </row>
    <row r="990" spans="1:56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0"/>
      <c r="T990" s="200"/>
      <c r="U990" s="201"/>
      <c r="V990" s="202"/>
      <c r="W990" s="246"/>
      <c r="X990" s="246"/>
      <c r="Y990" s="246"/>
      <c r="BC990"/>
      <c r="BD990"/>
    </row>
    <row r="991" spans="1:56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0"/>
      <c r="T991" s="200"/>
      <c r="U991" s="201"/>
      <c r="V991" s="202"/>
      <c r="W991" s="246"/>
      <c r="X991" s="246"/>
      <c r="Y991" s="246"/>
      <c r="BC991"/>
      <c r="BD991"/>
    </row>
    <row r="992" spans="1:56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0"/>
      <c r="T992" s="200"/>
      <c r="U992" s="201"/>
      <c r="V992" s="202"/>
      <c r="W992" s="246"/>
      <c r="X992" s="246"/>
      <c r="Y992" s="246"/>
      <c r="BC992"/>
      <c r="BD992"/>
    </row>
    <row r="993" spans="1:56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0"/>
      <c r="T993" s="200"/>
      <c r="U993" s="201"/>
      <c r="V993" s="202"/>
      <c r="W993" s="246"/>
      <c r="X993" s="246"/>
      <c r="Y993" s="246"/>
      <c r="BC993"/>
      <c r="BD993"/>
    </row>
    <row r="994" spans="1:56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0"/>
      <c r="T994" s="200"/>
      <c r="U994" s="201"/>
      <c r="V994" s="202"/>
      <c r="W994" s="246"/>
      <c r="X994" s="246"/>
      <c r="Y994" s="246"/>
      <c r="BC994"/>
      <c r="BD994"/>
    </row>
    <row r="995" spans="1:56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0"/>
      <c r="T995" s="200"/>
      <c r="U995" s="201"/>
      <c r="V995" s="202"/>
      <c r="W995" s="246"/>
      <c r="X995" s="246"/>
      <c r="Y995" s="246"/>
      <c r="BC995"/>
      <c r="BD995"/>
    </row>
    <row r="996" spans="1:56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0"/>
      <c r="T996" s="200"/>
      <c r="U996" s="201"/>
      <c r="V996" s="202"/>
      <c r="W996" s="246"/>
      <c r="X996" s="246"/>
      <c r="Y996" s="246"/>
      <c r="BC996"/>
      <c r="BD996"/>
    </row>
    <row r="997" spans="1:56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0"/>
      <c r="T997" s="200"/>
      <c r="U997" s="201"/>
      <c r="V997" s="202"/>
      <c r="W997" s="246"/>
      <c r="X997" s="246"/>
      <c r="Y997" s="246"/>
      <c r="BC997"/>
      <c r="BD997"/>
    </row>
    <row r="998" spans="1:56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0"/>
      <c r="T998" s="200"/>
      <c r="U998" s="201"/>
      <c r="V998" s="202"/>
      <c r="W998" s="246"/>
      <c r="X998" s="246"/>
      <c r="Y998" s="246"/>
      <c r="BC998"/>
      <c r="BD998"/>
    </row>
    <row r="999" spans="1:56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0"/>
      <c r="T999" s="200"/>
      <c r="U999" s="201"/>
      <c r="V999" s="202"/>
      <c r="W999" s="246"/>
      <c r="X999" s="246"/>
      <c r="Y999" s="246"/>
      <c r="BC999"/>
      <c r="BD999"/>
    </row>
  </sheetData>
  <autoFilter ref="A7:V798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V8:V798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第2資材課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Trần Tuấn Anh (Tran Tuan Anh )</cp:lastModifiedBy>
  <cp:lastPrinted>2017-10-06T02:39:42Z</cp:lastPrinted>
  <dcterms:created xsi:type="dcterms:W3CDTF">2002-04-10T08:05:47Z</dcterms:created>
  <dcterms:modified xsi:type="dcterms:W3CDTF">2025-01-07T08:02:22Z</dcterms:modified>
</cp:coreProperties>
</file>