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.kdtvn.local\Data\10_Purchasing(資材部)\Master plan FY2026\MP\2. Chi phí (7.Jan.2025)\"/>
    </mc:Choice>
  </mc:AlternateContent>
  <xr:revisionPtr revIDLastSave="0" documentId="13_ncr:1_{CA5A18AC-AAE7-458D-8FC7-D1A0CCBF675E}" xr6:coauthVersionLast="47" xr6:coauthVersionMax="47" xr10:uidLastSave="{00000000-0000-0000-0000-000000000000}"/>
  <bookViews>
    <workbookView xWindow="-120" yWindow="-120" windowWidth="20730" windowHeight="11040" tabRatio="702" firstSheet="1" activeTab="2" xr2:uid="{61FEFCAC-0C82-4C37-967A-8073D7EC484A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'内訳ﾘｽﾄ(4～3月)'!$A$7:$T$800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3" i="10" l="1"/>
  <c r="G72" i="10" l="1"/>
  <c r="M63" i="10" l="1"/>
  <c r="F85" i="10"/>
  <c r="F84" i="10"/>
  <c r="N66" i="10"/>
  <c r="P60" i="10"/>
  <c r="M62" i="10"/>
  <c r="L67" i="10"/>
  <c r="K68" i="10"/>
  <c r="I69" i="10"/>
  <c r="G61" i="10"/>
  <c r="L58" i="10"/>
  <c r="P59" i="10"/>
  <c r="M58" i="10" l="1"/>
  <c r="F39" i="10"/>
  <c r="G38" i="10" l="1"/>
  <c r="H38" i="10" l="1"/>
  <c r="G24" i="10"/>
  <c r="G16" i="10"/>
  <c r="G8" i="10"/>
  <c r="H8" i="10" l="1"/>
  <c r="I38" i="10"/>
  <c r="H24" i="10"/>
  <c r="E87" i="5" s="1"/>
  <c r="E87" i="32" s="1"/>
  <c r="H16" i="10"/>
  <c r="E74" i="5" s="1"/>
  <c r="E74" i="32" s="1"/>
  <c r="F2" i="10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319" i="10" s="1"/>
  <c r="D319" i="10" s="1"/>
  <c r="D5" i="10"/>
  <c r="O62" i="5" s="1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I98" i="32" s="1"/>
  <c r="H98" i="5"/>
  <c r="H98" i="32" s="1"/>
  <c r="G98" i="5"/>
  <c r="G98" i="32" s="1"/>
  <c r="F98" i="5"/>
  <c r="F98" i="32" s="1"/>
  <c r="E98" i="5"/>
  <c r="E98" i="32" s="1"/>
  <c r="D98" i="5"/>
  <c r="D98" i="32" s="1"/>
  <c r="C98" i="5"/>
  <c r="C98" i="32" s="1"/>
  <c r="E97" i="5"/>
  <c r="E97" i="32" s="1"/>
  <c r="D97" i="5"/>
  <c r="D97" i="32" s="1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I93" i="32" s="1"/>
  <c r="H93" i="5"/>
  <c r="H93" i="32" s="1"/>
  <c r="G93" i="5"/>
  <c r="G93" i="32" s="1"/>
  <c r="F93" i="5"/>
  <c r="F93" i="32" s="1"/>
  <c r="E93" i="5"/>
  <c r="E93" i="32" s="1"/>
  <c r="D93" i="5"/>
  <c r="D93" i="32" s="1"/>
  <c r="C93" i="5"/>
  <c r="E92" i="5"/>
  <c r="D92" i="5"/>
  <c r="D92" i="32" s="1"/>
  <c r="C92" i="5"/>
  <c r="C92" i="32" s="1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H88" i="32" s="1"/>
  <c r="G88" i="5"/>
  <c r="G88" i="32" s="1"/>
  <c r="F88" i="5"/>
  <c r="F88" i="32" s="1"/>
  <c r="E88" i="5"/>
  <c r="E88" i="32" s="1"/>
  <c r="D88" i="5"/>
  <c r="D88" i="32" s="1"/>
  <c r="C88" i="5"/>
  <c r="C88" i="32" s="1"/>
  <c r="D87" i="5"/>
  <c r="C87" i="5"/>
  <c r="C87" i="32" s="1"/>
  <c r="D74" i="5"/>
  <c r="D74" i="32" s="1"/>
  <c r="C74" i="5"/>
  <c r="C74" i="32" s="1"/>
  <c r="E68" i="5"/>
  <c r="E68" i="32" s="1"/>
  <c r="D68" i="5"/>
  <c r="C68" i="5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P29" i="10"/>
  <c r="O29" i="10"/>
  <c r="N29" i="10"/>
  <c r="M29" i="10"/>
  <c r="L29" i="10"/>
  <c r="K29" i="10"/>
  <c r="J29" i="10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 s="1"/>
  <c r="R37" i="10"/>
  <c r="R35" i="10"/>
  <c r="R25" i="10"/>
  <c r="O88" i="5" s="1"/>
  <c r="R23" i="10"/>
  <c r="R22" i="10"/>
  <c r="R21" i="10"/>
  <c r="R20" i="10"/>
  <c r="R19" i="10"/>
  <c r="R18" i="10"/>
  <c r="R17" i="10"/>
  <c r="R15" i="10"/>
  <c r="R14" i="10"/>
  <c r="R13" i="10"/>
  <c r="R12" i="10"/>
  <c r="R11" i="10"/>
  <c r="R10" i="10"/>
  <c r="R9" i="10"/>
  <c r="C5" i="10"/>
  <c r="B2" i="5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C37" i="10"/>
  <c r="D37" i="10" s="1"/>
  <c r="C453" i="10"/>
  <c r="D453" i="10" s="1"/>
  <c r="C939" i="10"/>
  <c r="D939" i="10" s="1"/>
  <c r="C147" i="10" l="1"/>
  <c r="D147" i="10" s="1"/>
  <c r="C305" i="10"/>
  <c r="D305" i="10" s="1"/>
  <c r="C671" i="10"/>
  <c r="D671" i="10" s="1"/>
  <c r="C93" i="10"/>
  <c r="D93" i="10" s="1"/>
  <c r="B2" i="32"/>
  <c r="I24" i="10"/>
  <c r="I8" i="10"/>
  <c r="J38" i="10"/>
  <c r="J5" i="10" s="1"/>
  <c r="I16" i="10"/>
  <c r="C87" i="10"/>
  <c r="D87" i="10" s="1"/>
  <c r="C838" i="10"/>
  <c r="D838" i="10" s="1"/>
  <c r="C932" i="10"/>
  <c r="D932" i="10" s="1"/>
  <c r="C788" i="10"/>
  <c r="D788" i="10" s="1"/>
  <c r="N64" i="5"/>
  <c r="N64" i="32" s="1"/>
  <c r="C748" i="10"/>
  <c r="D748" i="10" s="1"/>
  <c r="C290" i="10"/>
  <c r="D290" i="10" s="1"/>
  <c r="C903" i="10"/>
  <c r="D903" i="10" s="1"/>
  <c r="C72" i="10"/>
  <c r="D72" i="10" s="1"/>
  <c r="C736" i="10"/>
  <c r="D736" i="10" s="1"/>
  <c r="C792" i="10"/>
  <c r="D792" i="10" s="1"/>
  <c r="C92" i="10"/>
  <c r="D92" i="10" s="1"/>
  <c r="C131" i="10"/>
  <c r="D131" i="10" s="1"/>
  <c r="C466" i="10"/>
  <c r="D466" i="10" s="1"/>
  <c r="C337" i="10"/>
  <c r="D337" i="10" s="1"/>
  <c r="C417" i="10"/>
  <c r="D417" i="10" s="1"/>
  <c r="C895" i="10"/>
  <c r="D895" i="10" s="1"/>
  <c r="C577" i="10"/>
  <c r="D577" i="10" s="1"/>
  <c r="C534" i="10"/>
  <c r="D534" i="10" s="1"/>
  <c r="C715" i="10"/>
  <c r="D715" i="10" s="1"/>
  <c r="C643" i="10"/>
  <c r="D643" i="10" s="1"/>
  <c r="C368" i="10"/>
  <c r="D368" i="10" s="1"/>
  <c r="E72" i="5"/>
  <c r="E72" i="32" s="1"/>
  <c r="C178" i="10"/>
  <c r="D178" i="10" s="1"/>
  <c r="C655" i="10"/>
  <c r="D655" i="10" s="1"/>
  <c r="C755" i="10"/>
  <c r="D755" i="10" s="1"/>
  <c r="C385" i="10"/>
  <c r="D385" i="10" s="1"/>
  <c r="C802" i="10"/>
  <c r="D802" i="10" s="1"/>
  <c r="C459" i="10"/>
  <c r="D459" i="10" s="1"/>
  <c r="C396" i="10"/>
  <c r="D396" i="10" s="1"/>
  <c r="C762" i="10"/>
  <c r="D762" i="10" s="1"/>
  <c r="D1" i="21"/>
  <c r="I75" i="5"/>
  <c r="I75" i="32" s="1"/>
  <c r="C68" i="10"/>
  <c r="D68" i="10" s="1"/>
  <c r="C194" i="10"/>
  <c r="D194" i="10" s="1"/>
  <c r="C630" i="10"/>
  <c r="D630" i="10" s="1"/>
  <c r="C480" i="10"/>
  <c r="D480" i="10" s="1"/>
  <c r="C887" i="10"/>
  <c r="D887" i="10" s="1"/>
  <c r="C264" i="10"/>
  <c r="D264" i="10" s="1"/>
  <c r="C159" i="10"/>
  <c r="D159" i="10" s="1"/>
  <c r="C952" i="10"/>
  <c r="D952" i="10" s="1"/>
  <c r="C860" i="10"/>
  <c r="D860" i="10" s="1"/>
  <c r="C209" i="10"/>
  <c r="D209" i="10" s="1"/>
  <c r="C357" i="10"/>
  <c r="D357" i="10" s="1"/>
  <c r="C292" i="10"/>
  <c r="D292" i="10" s="1"/>
  <c r="C826" i="10"/>
  <c r="D826" i="10" s="1"/>
  <c r="C56" i="10"/>
  <c r="D56" i="10" s="1"/>
  <c r="C646" i="10"/>
  <c r="D646" i="10" s="1"/>
  <c r="C449" i="10"/>
  <c r="D449" i="10" s="1"/>
  <c r="C807" i="10"/>
  <c r="D807" i="10" s="1"/>
  <c r="C28" i="10"/>
  <c r="D28" i="10" s="1"/>
  <c r="H69" i="5"/>
  <c r="H69" i="32" s="1"/>
  <c r="C951" i="10"/>
  <c r="D951" i="10" s="1"/>
  <c r="C256" i="10"/>
  <c r="D256" i="10" s="1"/>
  <c r="C166" i="10"/>
  <c r="D166" i="10" s="1"/>
  <c r="C171" i="10"/>
  <c r="D171" i="10" s="1"/>
  <c r="C193" i="10"/>
  <c r="D193" i="10" s="1"/>
  <c r="C98" i="10"/>
  <c r="D98" i="10" s="1"/>
  <c r="C798" i="10"/>
  <c r="D798" i="10" s="1"/>
  <c r="C210" i="10"/>
  <c r="D210" i="10" s="1"/>
  <c r="C653" i="10"/>
  <c r="D653" i="10" s="1"/>
  <c r="C904" i="10"/>
  <c r="D904" i="10" s="1"/>
  <c r="C444" i="10"/>
  <c r="D444" i="10" s="1"/>
  <c r="L61" i="5"/>
  <c r="L61" i="32" s="1"/>
  <c r="C780" i="10"/>
  <c r="D780" i="10" s="1"/>
  <c r="C403" i="10"/>
  <c r="D403" i="10" s="1"/>
  <c r="C845" i="10"/>
  <c r="D845" i="10" s="1"/>
  <c r="C284" i="10"/>
  <c r="D284" i="10" s="1"/>
  <c r="C345" i="10"/>
  <c r="D345" i="10" s="1"/>
  <c r="C122" i="10"/>
  <c r="D122" i="10" s="1"/>
  <c r="E78" i="5"/>
  <c r="E78" i="32" s="1"/>
  <c r="C150" i="10"/>
  <c r="D150" i="10" s="1"/>
  <c r="C615" i="10"/>
  <c r="D615" i="10" s="1"/>
  <c r="C929" i="10"/>
  <c r="D929" i="10" s="1"/>
  <c r="I70" i="5"/>
  <c r="I70" i="32" s="1"/>
  <c r="C936" i="10"/>
  <c r="D936" i="10" s="1"/>
  <c r="C800" i="10"/>
  <c r="D800" i="10" s="1"/>
  <c r="C529" i="10"/>
  <c r="D529" i="10" s="1"/>
  <c r="C192" i="10"/>
  <c r="D192" i="10" s="1"/>
  <c r="C883" i="10"/>
  <c r="D883" i="10" s="1"/>
  <c r="C31" i="10"/>
  <c r="D31" i="10" s="1"/>
  <c r="C233" i="10"/>
  <c r="D233" i="10" s="1"/>
  <c r="C475" i="10"/>
  <c r="D475" i="10" s="1"/>
  <c r="C415" i="10"/>
  <c r="D415" i="10" s="1"/>
  <c r="C443" i="10"/>
  <c r="D443" i="10" s="1"/>
  <c r="C324" i="10"/>
  <c r="D324" i="10" s="1"/>
  <c r="C737" i="10"/>
  <c r="D737" i="10" s="1"/>
  <c r="C928" i="10"/>
  <c r="D928" i="10" s="1"/>
  <c r="C462" i="10"/>
  <c r="D462" i="10" s="1"/>
  <c r="C981" i="10"/>
  <c r="D981" i="10" s="1"/>
  <c r="C959" i="10"/>
  <c r="D959" i="10" s="1"/>
  <c r="C406" i="10"/>
  <c r="D406" i="10" s="1"/>
  <c r="C243" i="10"/>
  <c r="D243" i="10" s="1"/>
  <c r="C723" i="10"/>
  <c r="D723" i="10" s="1"/>
  <c r="C373" i="10"/>
  <c r="D373" i="10" s="1"/>
  <c r="C625" i="10"/>
  <c r="D625" i="10" s="1"/>
  <c r="C702" i="10"/>
  <c r="D702" i="10" s="1"/>
  <c r="C700" i="10"/>
  <c r="D700" i="10" s="1"/>
  <c r="C698" i="10"/>
  <c r="D698" i="10" s="1"/>
  <c r="E61" i="5"/>
  <c r="E61" i="32" s="1"/>
  <c r="N76" i="5"/>
  <c r="N76" i="32" s="1"/>
  <c r="M61" i="5"/>
  <c r="M61" i="32" s="1"/>
  <c r="C61" i="5"/>
  <c r="C61" i="32" s="1"/>
  <c r="L72" i="5"/>
  <c r="L72" i="32" s="1"/>
  <c r="E62" i="5"/>
  <c r="E62" i="32" s="1"/>
  <c r="N70" i="5"/>
  <c r="N70" i="32" s="1"/>
  <c r="L62" i="5"/>
  <c r="L62" i="32" s="1"/>
  <c r="N75" i="5"/>
  <c r="N75" i="32" s="1"/>
  <c r="D76" i="5"/>
  <c r="D76" i="32" s="1"/>
  <c r="N69" i="5"/>
  <c r="N69" i="32" s="1"/>
  <c r="G70" i="5"/>
  <c r="G70" i="32" s="1"/>
  <c r="G69" i="5"/>
  <c r="G69" i="32" s="1"/>
  <c r="F76" i="5"/>
  <c r="F76" i="32" s="1"/>
  <c r="I76" i="5"/>
  <c r="I76" i="32" s="1"/>
  <c r="F70" i="5"/>
  <c r="F70" i="32" s="1"/>
  <c r="M76" i="5"/>
  <c r="M76" i="32" s="1"/>
  <c r="H70" i="5"/>
  <c r="H70" i="32" s="1"/>
  <c r="K76" i="5"/>
  <c r="K76" i="32" s="1"/>
  <c r="O61" i="5"/>
  <c r="H72" i="5"/>
  <c r="H72" i="32" s="1"/>
  <c r="F62" i="5"/>
  <c r="F62" i="32" s="1"/>
  <c r="M64" i="5"/>
  <c r="M64" i="32" s="1"/>
  <c r="K75" i="5"/>
  <c r="K75" i="32" s="1"/>
  <c r="H64" i="5"/>
  <c r="H64" i="32" s="1"/>
  <c r="K78" i="5"/>
  <c r="K78" i="32" s="1"/>
  <c r="M72" i="5"/>
  <c r="M72" i="32" s="1"/>
  <c r="H76" i="5"/>
  <c r="H76" i="32" s="1"/>
  <c r="E69" i="5"/>
  <c r="E69" i="32" s="1"/>
  <c r="D78" i="5"/>
  <c r="D78" i="32" s="1"/>
  <c r="D72" i="5"/>
  <c r="D72" i="32" s="1"/>
  <c r="J78" i="5"/>
  <c r="J78" i="32" s="1"/>
  <c r="D64" i="5"/>
  <c r="D64" i="32" s="1"/>
  <c r="C76" i="5"/>
  <c r="C76" i="32" s="1"/>
  <c r="D61" i="5"/>
  <c r="D61" i="32" s="1"/>
  <c r="L75" i="5"/>
  <c r="L75" i="32" s="1"/>
  <c r="J72" i="5"/>
  <c r="J72" i="32" s="1"/>
  <c r="E76" i="5"/>
  <c r="E76" i="32" s="1"/>
  <c r="C350" i="10"/>
  <c r="D350" i="10" s="1"/>
  <c r="C75" i="10"/>
  <c r="D75" i="10" s="1"/>
  <c r="O70" i="5"/>
  <c r="H62" i="5"/>
  <c r="H62" i="32" s="1"/>
  <c r="C498" i="10"/>
  <c r="D498" i="10" s="1"/>
  <c r="C206" i="10"/>
  <c r="D206" i="10" s="1"/>
  <c r="C241" i="10"/>
  <c r="D241" i="10" s="1"/>
  <c r="C799" i="10"/>
  <c r="D799" i="10" s="1"/>
  <c r="C358" i="10"/>
  <c r="D358" i="10" s="1"/>
  <c r="C353" i="10"/>
  <c r="D353" i="10" s="1"/>
  <c r="C997" i="10"/>
  <c r="D997" i="10" s="1"/>
  <c r="C482" i="10"/>
  <c r="D482" i="10" s="1"/>
  <c r="C803" i="10"/>
  <c r="D803" i="10" s="1"/>
  <c r="C75" i="5"/>
  <c r="C75" i="32" s="1"/>
  <c r="L76" i="5"/>
  <c r="L76" i="32" s="1"/>
  <c r="C63" i="10"/>
  <c r="D63" i="10" s="1"/>
  <c r="C907" i="10"/>
  <c r="D907" i="10" s="1"/>
  <c r="C424" i="10"/>
  <c r="D424" i="10" s="1"/>
  <c r="C300" i="10"/>
  <c r="D300" i="10" s="1"/>
  <c r="C124" i="10"/>
  <c r="D124" i="10" s="1"/>
  <c r="C64" i="5"/>
  <c r="C64" i="32" s="1"/>
  <c r="C377" i="10"/>
  <c r="D377" i="10" s="1"/>
  <c r="C746" i="10"/>
  <c r="D746" i="10" s="1"/>
  <c r="C917" i="10"/>
  <c r="D917" i="10" s="1"/>
  <c r="C614" i="10"/>
  <c r="D614" i="10" s="1"/>
  <c r="C379" i="10"/>
  <c r="D379" i="10" s="1"/>
  <c r="C712" i="10"/>
  <c r="D712" i="10" s="1"/>
  <c r="C912" i="10"/>
  <c r="D912" i="10" s="1"/>
  <c r="C359" i="10"/>
  <c r="D359" i="10" s="1"/>
  <c r="C862" i="10"/>
  <c r="D862" i="10" s="1"/>
  <c r="C696" i="10"/>
  <c r="D696" i="10" s="1"/>
  <c r="C421" i="10"/>
  <c r="D421" i="10" s="1"/>
  <c r="C876" i="10"/>
  <c r="D876" i="10" s="1"/>
  <c r="C946" i="10"/>
  <c r="D946" i="10" s="1"/>
  <c r="C120" i="10"/>
  <c r="D120" i="10" s="1"/>
  <c r="C992" i="10"/>
  <c r="D992" i="10" s="1"/>
  <c r="C216" i="10"/>
  <c r="D216" i="10" s="1"/>
  <c r="J61" i="5"/>
  <c r="J61" i="32" s="1"/>
  <c r="L78" i="5"/>
  <c r="L78" i="32" s="1"/>
  <c r="C595" i="10"/>
  <c r="D595" i="10" s="1"/>
  <c r="C364" i="10"/>
  <c r="D364" i="10" s="1"/>
  <c r="C102" i="10"/>
  <c r="D102" i="10" s="1"/>
  <c r="C840" i="10"/>
  <c r="D840" i="10" s="1"/>
  <c r="C468" i="10"/>
  <c r="D468" i="10" s="1"/>
  <c r="C35" i="10"/>
  <c r="D35" i="10" s="1"/>
  <c r="C705" i="10"/>
  <c r="D705" i="10" s="1"/>
  <c r="C78" i="10"/>
  <c r="D78" i="10" s="1"/>
  <c r="C426" i="10"/>
  <c r="D426" i="10" s="1"/>
  <c r="C795" i="10"/>
  <c r="D795" i="10" s="1"/>
  <c r="C422" i="10"/>
  <c r="D422" i="10" s="1"/>
  <c r="C603" i="10"/>
  <c r="D603" i="10" s="1"/>
  <c r="C44" i="10"/>
  <c r="D44" i="10" s="1"/>
  <c r="C485" i="10"/>
  <c r="D485" i="10" s="1"/>
  <c r="C287" i="10"/>
  <c r="D287" i="10" s="1"/>
  <c r="C528" i="10"/>
  <c r="D528" i="10" s="1"/>
  <c r="C868" i="10"/>
  <c r="D868" i="10" s="1"/>
  <c r="C581" i="10"/>
  <c r="D581" i="10" s="1"/>
  <c r="C391" i="10"/>
  <c r="D391" i="10" s="1"/>
  <c r="C677" i="10"/>
  <c r="D677" i="10" s="1"/>
  <c r="C670" i="10"/>
  <c r="D670" i="10" s="1"/>
  <c r="C487" i="10"/>
  <c r="D487" i="10" s="1"/>
  <c r="C288" i="10"/>
  <c r="D288" i="10" s="1"/>
  <c r="C262" i="10"/>
  <c r="D262" i="10" s="1"/>
  <c r="C945" i="10"/>
  <c r="D945" i="10" s="1"/>
  <c r="C710" i="10"/>
  <c r="D710" i="10" s="1"/>
  <c r="C644" i="10"/>
  <c r="D644" i="10" s="1"/>
  <c r="C76" i="10"/>
  <c r="D76" i="10" s="1"/>
  <c r="C155" i="10"/>
  <c r="D155" i="10" s="1"/>
  <c r="C220" i="10"/>
  <c r="D220" i="10" s="1"/>
  <c r="C537" i="10"/>
  <c r="D537" i="10" s="1"/>
  <c r="C478" i="10"/>
  <c r="D478" i="10" s="1"/>
  <c r="C978" i="10"/>
  <c r="D978" i="10" s="1"/>
  <c r="C548" i="10"/>
  <c r="D548" i="10" s="1"/>
  <c r="C869" i="10"/>
  <c r="D869" i="10" s="1"/>
  <c r="C29" i="10"/>
  <c r="D29" i="10" s="1"/>
  <c r="C221" i="10"/>
  <c r="D221" i="10" s="1"/>
  <c r="C428" i="10"/>
  <c r="D428" i="10" s="1"/>
  <c r="C735" i="10"/>
  <c r="D735" i="10" s="1"/>
  <c r="C137" i="10"/>
  <c r="D137" i="10" s="1"/>
  <c r="C747" i="10"/>
  <c r="D747" i="10" s="1"/>
  <c r="C107" i="10"/>
  <c r="D107" i="10" s="1"/>
  <c r="C634" i="10"/>
  <c r="D634" i="10" s="1"/>
  <c r="C659" i="10"/>
  <c r="D659" i="10" s="1"/>
  <c r="C709" i="10"/>
  <c r="D709" i="10" s="1"/>
  <c r="C521" i="10"/>
  <c r="D521" i="10" s="1"/>
  <c r="C261" i="10"/>
  <c r="D261" i="10" s="1"/>
  <c r="C767" i="10"/>
  <c r="D767" i="10" s="1"/>
  <c r="C117" i="10"/>
  <c r="D117" i="10" s="1"/>
  <c r="C530" i="10"/>
  <c r="D530" i="10" s="1"/>
  <c r="C719" i="10"/>
  <c r="D719" i="10" s="1"/>
  <c r="C975" i="10"/>
  <c r="D975" i="10" s="1"/>
  <c r="C340" i="10"/>
  <c r="D340" i="10" s="1"/>
  <c r="C189" i="10"/>
  <c r="D189" i="10" s="1"/>
  <c r="C410" i="10"/>
  <c r="D410" i="10" s="1"/>
  <c r="C905" i="10"/>
  <c r="D905" i="10" s="1"/>
  <c r="C785" i="10"/>
  <c r="D785" i="10" s="1"/>
  <c r="C533" i="10"/>
  <c r="D533" i="10" s="1"/>
  <c r="C174" i="10"/>
  <c r="D174" i="10" s="1"/>
  <c r="C1001" i="10"/>
  <c r="D1001" i="10" s="1"/>
  <c r="C99" i="10"/>
  <c r="D99" i="10" s="1"/>
  <c r="C433" i="10"/>
  <c r="D433" i="10" s="1"/>
  <c r="C636" i="10"/>
  <c r="D636" i="10" s="1"/>
  <c r="C759" i="10"/>
  <c r="D759" i="10" s="1"/>
  <c r="C839" i="10"/>
  <c r="D839" i="10" s="1"/>
  <c r="C516" i="10"/>
  <c r="D516" i="10" s="1"/>
  <c r="C837" i="10"/>
  <c r="D837" i="10" s="1"/>
  <c r="C198" i="10"/>
  <c r="D198" i="10" s="1"/>
  <c r="C226" i="10"/>
  <c r="D226" i="10" s="1"/>
  <c r="C977" i="10"/>
  <c r="D977" i="10" s="1"/>
  <c r="C71" i="10"/>
  <c r="D71" i="10" s="1"/>
  <c r="C82" i="10"/>
  <c r="D82" i="10" s="1"/>
  <c r="C427" i="10"/>
  <c r="D427" i="10" s="1"/>
  <c r="C395" i="10"/>
  <c r="D395" i="10" s="1"/>
  <c r="C891" i="10"/>
  <c r="D891" i="10" s="1"/>
  <c r="C541" i="10"/>
  <c r="D541" i="10" s="1"/>
  <c r="C731" i="10"/>
  <c r="D731" i="10" s="1"/>
  <c r="C685" i="10"/>
  <c r="D685" i="10" s="1"/>
  <c r="C425" i="10"/>
  <c r="D425" i="10" s="1"/>
  <c r="C313" i="10"/>
  <c r="D313" i="10" s="1"/>
  <c r="C605" i="10"/>
  <c r="D605" i="10" s="1"/>
  <c r="C606" i="10"/>
  <c r="D606" i="10" s="1"/>
  <c r="C228" i="10"/>
  <c r="D228" i="10" s="1"/>
  <c r="C213" i="10"/>
  <c r="D213" i="10" s="1"/>
  <c r="C547" i="10"/>
  <c r="D547" i="10" s="1"/>
  <c r="C430" i="10"/>
  <c r="D430" i="10" s="1"/>
  <c r="C299" i="10"/>
  <c r="D299" i="10" s="1"/>
  <c r="C591" i="10"/>
  <c r="D591" i="10" s="1"/>
  <c r="C517" i="10"/>
  <c r="D517" i="10" s="1"/>
  <c r="C266" i="10"/>
  <c r="D266" i="10" s="1"/>
  <c r="C36" i="10"/>
  <c r="D36" i="10" s="1"/>
  <c r="C386" i="10"/>
  <c r="D386" i="10" s="1"/>
  <c r="C629" i="10"/>
  <c r="D629" i="10" s="1"/>
  <c r="C744" i="10"/>
  <c r="D744" i="10" s="1"/>
  <c r="C446" i="10"/>
  <c r="D446" i="10" s="1"/>
  <c r="C347" i="10"/>
  <c r="D347" i="10" s="1"/>
  <c r="C253" i="10"/>
  <c r="D253" i="10" s="1"/>
  <c r="C434" i="10"/>
  <c r="D434" i="10" s="1"/>
  <c r="C455" i="10"/>
  <c r="D455" i="10" s="1"/>
  <c r="C225" i="10"/>
  <c r="D225" i="10" s="1"/>
  <c r="C70" i="10"/>
  <c r="D70" i="10" s="1"/>
  <c r="C638" i="10"/>
  <c r="D638" i="10" s="1"/>
  <c r="C713" i="10"/>
  <c r="D713" i="10" s="1"/>
  <c r="C813" i="10"/>
  <c r="D813" i="10" s="1"/>
  <c r="C100" i="10"/>
  <c r="D100" i="10" s="1"/>
  <c r="C911" i="10"/>
  <c r="D911" i="10" s="1"/>
  <c r="C418" i="10"/>
  <c r="D418" i="10" s="1"/>
  <c r="C188" i="10"/>
  <c r="D188" i="10" s="1"/>
  <c r="C793" i="10"/>
  <c r="D793" i="10" s="1"/>
  <c r="C165" i="10"/>
  <c r="D165" i="10" s="1"/>
  <c r="C69" i="10"/>
  <c r="D69" i="10" s="1"/>
  <c r="C570" i="10"/>
  <c r="D570" i="10" s="1"/>
  <c r="C943" i="10"/>
  <c r="D943" i="10" s="1"/>
  <c r="C224" i="10"/>
  <c r="D224" i="10" s="1"/>
  <c r="C573" i="10"/>
  <c r="D573" i="10" s="1"/>
  <c r="C207" i="10"/>
  <c r="D207" i="10" s="1"/>
  <c r="C574" i="10"/>
  <c r="D574" i="10" s="1"/>
  <c r="C293" i="10"/>
  <c r="D293" i="10" s="1"/>
  <c r="C511" i="10"/>
  <c r="D511" i="10" s="1"/>
  <c r="C781" i="10"/>
  <c r="D781" i="10" s="1"/>
  <c r="C976" i="10"/>
  <c r="D976" i="10" s="1"/>
  <c r="C865" i="10"/>
  <c r="D865" i="10" s="1"/>
  <c r="C957" i="10"/>
  <c r="D957" i="10" s="1"/>
  <c r="C509" i="10"/>
  <c r="D509" i="10" s="1"/>
  <c r="C148" i="10"/>
  <c r="D148" i="10" s="1"/>
  <c r="C851" i="10"/>
  <c r="D851" i="10" s="1"/>
  <c r="C801" i="10"/>
  <c r="D801" i="10" s="1"/>
  <c r="C244" i="10"/>
  <c r="D244" i="10" s="1"/>
  <c r="C609" i="10"/>
  <c r="D609" i="10" s="1"/>
  <c r="C49" i="10"/>
  <c r="D49" i="10" s="1"/>
  <c r="C169" i="10"/>
  <c r="D169" i="10" s="1"/>
  <c r="C994" i="10"/>
  <c r="D994" i="10" s="1"/>
  <c r="C624" i="10"/>
  <c r="D624" i="10" s="1"/>
  <c r="C879" i="10"/>
  <c r="D879" i="10" s="1"/>
  <c r="C310" i="10"/>
  <c r="D310" i="10" s="1"/>
  <c r="C382" i="10"/>
  <c r="D382" i="10" s="1"/>
  <c r="C154" i="10"/>
  <c r="D154" i="10" s="1"/>
  <c r="C866" i="10"/>
  <c r="D866" i="10" s="1"/>
  <c r="C438" i="10"/>
  <c r="D438" i="10" s="1"/>
  <c r="C825" i="10"/>
  <c r="D825" i="10" s="1"/>
  <c r="C326" i="10"/>
  <c r="D326" i="10" s="1"/>
  <c r="C279" i="10"/>
  <c r="D279" i="10" s="1"/>
  <c r="C756" i="10"/>
  <c r="D756" i="10" s="1"/>
  <c r="C722" i="10"/>
  <c r="D722" i="10" s="1"/>
  <c r="C214" i="10"/>
  <c r="D214" i="10" s="1"/>
  <c r="C597" i="10"/>
  <c r="D597" i="10" s="1"/>
  <c r="C388" i="10"/>
  <c r="D388" i="10" s="1"/>
  <c r="C283" i="10"/>
  <c r="D283" i="10" s="1"/>
  <c r="C616" i="10"/>
  <c r="D616" i="10" s="1"/>
  <c r="C986" i="10"/>
  <c r="D986" i="10" s="1"/>
  <c r="C177" i="10"/>
  <c r="D177" i="10" s="1"/>
  <c r="C139" i="10"/>
  <c r="D139" i="10" s="1"/>
  <c r="C718" i="10"/>
  <c r="D718" i="10" s="1"/>
  <c r="C330" i="10"/>
  <c r="D330" i="10" s="1"/>
  <c r="C704" i="10"/>
  <c r="D704" i="10" s="1"/>
  <c r="C652" i="10"/>
  <c r="D652" i="10" s="1"/>
  <c r="C808" i="10"/>
  <c r="D808" i="10" s="1"/>
  <c r="C859" i="10"/>
  <c r="D859" i="10" s="1"/>
  <c r="C380" i="10"/>
  <c r="D380" i="10" s="1"/>
  <c r="C897" i="10"/>
  <c r="D897" i="10" s="1"/>
  <c r="C151" i="10"/>
  <c r="D151" i="10" s="1"/>
  <c r="C308" i="10"/>
  <c r="D308" i="10" s="1"/>
  <c r="C888" i="10"/>
  <c r="D888" i="10" s="1"/>
  <c r="C334" i="10"/>
  <c r="D334" i="10" s="1"/>
  <c r="C58" i="10"/>
  <c r="D58" i="10" s="1"/>
  <c r="C572" i="10"/>
  <c r="D572" i="10" s="1"/>
  <c r="C633" i="10"/>
  <c r="D633" i="10" s="1"/>
  <c r="C683" i="10"/>
  <c r="D683" i="10" s="1"/>
  <c r="C961" i="10"/>
  <c r="D961" i="10" s="1"/>
  <c r="C600" i="10"/>
  <c r="D600" i="10" s="1"/>
  <c r="C596" i="10"/>
  <c r="D596" i="10" s="1"/>
  <c r="C383" i="10"/>
  <c r="D383" i="10" s="1"/>
  <c r="C297" i="10"/>
  <c r="D297" i="10" s="1"/>
  <c r="C562" i="10"/>
  <c r="D562" i="10" s="1"/>
  <c r="C278" i="10"/>
  <c r="D278" i="10" s="1"/>
  <c r="C899" i="10"/>
  <c r="D899" i="10" s="1"/>
  <c r="C176" i="10"/>
  <c r="D176" i="10" s="1"/>
  <c r="C680" i="10"/>
  <c r="D680" i="10" s="1"/>
  <c r="C393" i="10"/>
  <c r="D393" i="10" s="1"/>
  <c r="C267" i="10"/>
  <c r="D267" i="10" s="1"/>
  <c r="C477" i="10"/>
  <c r="D477" i="10" s="1"/>
  <c r="C460" i="10"/>
  <c r="D460" i="10" s="1"/>
  <c r="C235" i="10"/>
  <c r="D235" i="10" s="1"/>
  <c r="C52" i="10"/>
  <c r="D52" i="10" s="1"/>
  <c r="C160" i="10"/>
  <c r="D160" i="10" s="1"/>
  <c r="C579" i="10"/>
  <c r="D579" i="10" s="1"/>
  <c r="C607" i="10"/>
  <c r="D607" i="10" s="1"/>
  <c r="C411" i="10"/>
  <c r="D411" i="10" s="1"/>
  <c r="C325" i="10"/>
  <c r="D325" i="10" s="1"/>
  <c r="C688" i="10"/>
  <c r="D688" i="10" s="1"/>
  <c r="C366" i="10"/>
  <c r="D366" i="10" s="1"/>
  <c r="C378" i="10"/>
  <c r="D378" i="10" s="1"/>
  <c r="C187" i="10"/>
  <c r="D187" i="10" s="1"/>
  <c r="C86" i="10"/>
  <c r="D86" i="10" s="1"/>
  <c r="C654" i="10"/>
  <c r="D654" i="10" s="1"/>
  <c r="C740" i="10"/>
  <c r="D740" i="10" s="1"/>
  <c r="C585" i="10"/>
  <c r="D585" i="10" s="1"/>
  <c r="C794" i="10"/>
  <c r="D794" i="10" s="1"/>
  <c r="C796" i="10"/>
  <c r="D796" i="10" s="1"/>
  <c r="C260" i="10"/>
  <c r="D260" i="10" s="1"/>
  <c r="C933" i="10"/>
  <c r="D933" i="10" s="1"/>
  <c r="C854" i="10"/>
  <c r="D854" i="10" s="1"/>
  <c r="C149" i="10"/>
  <c r="D149" i="10" s="1"/>
  <c r="C234" i="10"/>
  <c r="D234" i="10" s="1"/>
  <c r="C720" i="10"/>
  <c r="D720" i="10" s="1"/>
  <c r="C853" i="10"/>
  <c r="D853" i="10" s="1"/>
  <c r="C898" i="10"/>
  <c r="D898" i="10" s="1"/>
  <c r="C302" i="10"/>
  <c r="D302" i="10" s="1"/>
  <c r="C101" i="10"/>
  <c r="D101" i="10" s="1"/>
  <c r="C231" i="10"/>
  <c r="D231" i="10" s="1"/>
  <c r="C431" i="10"/>
  <c r="D431" i="10" s="1"/>
  <c r="C333" i="10"/>
  <c r="D333" i="10" s="1"/>
  <c r="C649" i="10"/>
  <c r="D649" i="10" s="1"/>
  <c r="C336" i="10"/>
  <c r="D336" i="10" s="1"/>
  <c r="C376" i="10"/>
  <c r="D376" i="10" s="1"/>
  <c r="C940" i="10"/>
  <c r="D940" i="10" s="1"/>
  <c r="C65" i="10"/>
  <c r="D65" i="10" s="1"/>
  <c r="C384" i="10"/>
  <c r="D384" i="10" s="1"/>
  <c r="C980" i="10"/>
  <c r="D980" i="10" s="1"/>
  <c r="C342" i="10"/>
  <c r="D342" i="10" s="1"/>
  <c r="C809" i="10"/>
  <c r="D809" i="10" s="1"/>
  <c r="C112" i="10"/>
  <c r="D112" i="10" s="1"/>
  <c r="C901" i="10"/>
  <c r="D901" i="10" s="1"/>
  <c r="C827" i="10"/>
  <c r="D827" i="10" s="1"/>
  <c r="C880" i="10"/>
  <c r="D880" i="10" s="1"/>
  <c r="C920" i="10"/>
  <c r="D920" i="10" s="1"/>
  <c r="C896" i="10"/>
  <c r="D896" i="10" s="1"/>
  <c r="C348" i="10"/>
  <c r="D348" i="10" s="1"/>
  <c r="C90" i="10"/>
  <c r="D90" i="10" s="1"/>
  <c r="C510" i="10"/>
  <c r="D510" i="10" s="1"/>
  <c r="C784" i="10"/>
  <c r="D784" i="10" s="1"/>
  <c r="C33" i="10"/>
  <c r="D33" i="10" s="1"/>
  <c r="C968" i="10"/>
  <c r="D968" i="10" s="1"/>
  <c r="C168" i="10"/>
  <c r="D168" i="10" s="1"/>
  <c r="C200" i="10"/>
  <c r="D200" i="10" s="1"/>
  <c r="C394" i="10"/>
  <c r="D394" i="10" s="1"/>
  <c r="C882" i="10"/>
  <c r="D882" i="10" s="1"/>
  <c r="C356" i="10"/>
  <c r="D356" i="10" s="1"/>
  <c r="C990" i="10"/>
  <c r="D990" i="10" s="1"/>
  <c r="C611" i="10"/>
  <c r="D611" i="10" s="1"/>
  <c r="C691" i="10"/>
  <c r="D691" i="10" s="1"/>
  <c r="C716" i="10"/>
  <c r="D716" i="10" s="1"/>
  <c r="C320" i="10"/>
  <c r="D320" i="10" s="1"/>
  <c r="C110" i="10"/>
  <c r="D110" i="10" s="1"/>
  <c r="C479" i="10"/>
  <c r="D479" i="10" s="1"/>
  <c r="C400" i="10"/>
  <c r="D400" i="10" s="1"/>
  <c r="C161" i="10"/>
  <c r="D161" i="10" s="1"/>
  <c r="C556" i="10"/>
  <c r="D556" i="10" s="1"/>
  <c r="C708" i="10"/>
  <c r="D708" i="10" s="1"/>
  <c r="C730" i="10"/>
  <c r="D730" i="10" s="1"/>
  <c r="C280" i="10"/>
  <c r="D280" i="10" s="1"/>
  <c r="C669" i="10"/>
  <c r="D669" i="10" s="1"/>
  <c r="C703" i="10"/>
  <c r="D703" i="10" s="1"/>
  <c r="C502" i="10"/>
  <c r="D502" i="10" s="1"/>
  <c r="C114" i="10"/>
  <c r="D114" i="10" s="1"/>
  <c r="C135" i="10"/>
  <c r="D135" i="10" s="1"/>
  <c r="C973" i="10"/>
  <c r="D973" i="10" s="1"/>
  <c r="C245" i="10"/>
  <c r="D245" i="10" s="1"/>
  <c r="C512" i="10"/>
  <c r="D512" i="10" s="1"/>
  <c r="C645" i="10"/>
  <c r="D645" i="10" s="1"/>
  <c r="C493" i="10"/>
  <c r="D493" i="10" s="1"/>
  <c r="C265" i="10"/>
  <c r="D265" i="10" s="1"/>
  <c r="C136" i="10"/>
  <c r="D136" i="10" s="1"/>
  <c r="C805" i="10"/>
  <c r="D805" i="10" s="1"/>
  <c r="C582" i="10"/>
  <c r="D582" i="10" s="1"/>
  <c r="C821" i="10"/>
  <c r="D821" i="10" s="1"/>
  <c r="C392" i="10"/>
  <c r="D392" i="10" s="1"/>
  <c r="C742" i="10"/>
  <c r="D742" i="10" s="1"/>
  <c r="C544" i="10"/>
  <c r="D544" i="10" s="1"/>
  <c r="C389" i="10"/>
  <c r="D389" i="10" s="1"/>
  <c r="C586" i="10"/>
  <c r="D586" i="10" s="1"/>
  <c r="C314" i="10"/>
  <c r="D314" i="10" s="1"/>
  <c r="C103" i="10"/>
  <c r="D103" i="10" s="1"/>
  <c r="C761" i="10"/>
  <c r="D761" i="10" s="1"/>
  <c r="C955" i="10"/>
  <c r="D955" i="10" s="1"/>
  <c r="C118" i="10"/>
  <c r="D118" i="10" s="1"/>
  <c r="C982" i="10"/>
  <c r="D982" i="10" s="1"/>
  <c r="C142" i="10"/>
  <c r="D142" i="10" s="1"/>
  <c r="C74" i="10"/>
  <c r="D74" i="10" s="1"/>
  <c r="C697" i="10"/>
  <c r="D697" i="10" s="1"/>
  <c r="C738" i="10"/>
  <c r="D738" i="10" s="1"/>
  <c r="C971" i="10"/>
  <c r="D971" i="10" s="1"/>
  <c r="C682" i="10"/>
  <c r="D682" i="10" s="1"/>
  <c r="C919" i="10"/>
  <c r="D919" i="10" s="1"/>
  <c r="C47" i="10"/>
  <c r="D47" i="10" s="1"/>
  <c r="C725" i="10"/>
  <c r="D725" i="10" s="1"/>
  <c r="C661" i="10"/>
  <c r="D661" i="10" s="1"/>
  <c r="C995" i="10"/>
  <c r="D995" i="10" s="1"/>
  <c r="C363" i="10"/>
  <c r="D363" i="10" s="1"/>
  <c r="C783" i="10"/>
  <c r="D783" i="10" s="1"/>
  <c r="C551" i="10"/>
  <c r="D551" i="10" s="1"/>
  <c r="C186" i="10"/>
  <c r="D186" i="10" s="1"/>
  <c r="C771" i="10"/>
  <c r="D771" i="10" s="1"/>
  <c r="C461" i="10"/>
  <c r="D461" i="10" s="1"/>
  <c r="C323" i="10"/>
  <c r="D323" i="10" s="1"/>
  <c r="C632" i="10"/>
  <c r="D632" i="10" s="1"/>
  <c r="C999" i="10"/>
  <c r="D999" i="10" s="1"/>
  <c r="C123" i="10"/>
  <c r="D123" i="10" s="1"/>
  <c r="C846" i="10"/>
  <c r="D846" i="10" s="1"/>
  <c r="C464" i="10"/>
  <c r="D464" i="10" s="1"/>
  <c r="C531" i="10"/>
  <c r="D531" i="10" s="1"/>
  <c r="C660" i="10"/>
  <c r="D660" i="10" s="1"/>
  <c r="C763" i="10"/>
  <c r="D763" i="10" s="1"/>
  <c r="C967" i="10"/>
  <c r="D967" i="10" s="1"/>
  <c r="C89" i="10"/>
  <c r="D89" i="10" s="1"/>
  <c r="C852" i="10"/>
  <c r="D852" i="10" s="1"/>
  <c r="C143" i="10"/>
  <c r="D143" i="10" s="1"/>
  <c r="C554" i="10"/>
  <c r="D554" i="10" s="1"/>
  <c r="C931" i="10"/>
  <c r="D931" i="10" s="1"/>
  <c r="C402" i="10"/>
  <c r="D402" i="10" s="1"/>
  <c r="C229" i="10"/>
  <c r="D229" i="10" s="1"/>
  <c r="C651" i="10"/>
  <c r="D651" i="10" s="1"/>
  <c r="C773" i="10"/>
  <c r="D773" i="10" s="1"/>
  <c r="C864" i="10"/>
  <c r="D864" i="10" s="1"/>
  <c r="C128" i="10"/>
  <c r="D128" i="10" s="1"/>
  <c r="C584" i="10"/>
  <c r="D584" i="10" s="1"/>
  <c r="C578" i="10"/>
  <c r="D578" i="10" s="1"/>
  <c r="C375" i="10"/>
  <c r="D375" i="10" s="1"/>
  <c r="C273" i="10"/>
  <c r="D273" i="10" s="1"/>
  <c r="C538" i="10"/>
  <c r="D538" i="10" s="1"/>
  <c r="C835" i="10"/>
  <c r="D835" i="10" s="1"/>
  <c r="C954" i="10"/>
  <c r="D954" i="10" s="1"/>
  <c r="C594" i="10"/>
  <c r="D594" i="10" s="1"/>
  <c r="C627" i="10"/>
  <c r="D627" i="10" s="1"/>
  <c r="C381" i="10"/>
  <c r="D381" i="10" s="1"/>
  <c r="C255" i="10"/>
  <c r="D255" i="10" s="1"/>
  <c r="C448" i="10"/>
  <c r="D448" i="10" s="1"/>
  <c r="C436" i="10"/>
  <c r="D436" i="10" s="1"/>
  <c r="C227" i="10"/>
  <c r="D227" i="10" s="1"/>
  <c r="C60" i="10"/>
  <c r="D60" i="10" s="1"/>
  <c r="C969" i="10"/>
  <c r="D969" i="10" s="1"/>
  <c r="C563" i="10"/>
  <c r="D563" i="10" s="1"/>
  <c r="C575" i="10"/>
  <c r="D575" i="10" s="1"/>
  <c r="C401" i="10"/>
  <c r="D401" i="10" s="1"/>
  <c r="C307" i="10"/>
  <c r="D307" i="10" s="1"/>
  <c r="C621" i="10"/>
  <c r="D621" i="10" s="1"/>
  <c r="C707" i="10"/>
  <c r="D707" i="10" s="1"/>
  <c r="C346" i="10"/>
  <c r="D346" i="10" s="1"/>
  <c r="C203" i="10"/>
  <c r="D203" i="10" s="1"/>
  <c r="C95" i="10"/>
  <c r="D95" i="10" s="1"/>
  <c r="C663" i="10"/>
  <c r="D663" i="10" s="1"/>
  <c r="C751" i="10"/>
  <c r="D751" i="10" s="1"/>
  <c r="C484" i="10"/>
  <c r="D484" i="10" s="1"/>
  <c r="C666" i="10"/>
  <c r="D666" i="10" s="1"/>
  <c r="C894" i="10"/>
  <c r="D894" i="10" s="1"/>
  <c r="C57" i="10"/>
  <c r="D57" i="10" s="1"/>
  <c r="C885" i="10"/>
  <c r="D885" i="10" s="1"/>
  <c r="C141" i="10"/>
  <c r="D141" i="10" s="1"/>
  <c r="C276" i="10"/>
  <c r="D276" i="10" s="1"/>
  <c r="C987" i="10"/>
  <c r="D987" i="10" s="1"/>
  <c r="C962" i="10"/>
  <c r="D962" i="10" s="1"/>
  <c r="C250" i="10"/>
  <c r="D250" i="10" s="1"/>
  <c r="C355" i="10"/>
  <c r="D355" i="10" s="1"/>
  <c r="C988" i="10"/>
  <c r="D988" i="10" s="1"/>
  <c r="C841" i="10"/>
  <c r="D841" i="10" s="1"/>
  <c r="C59" i="10"/>
  <c r="D59" i="10" s="1"/>
  <c r="C733" i="10"/>
  <c r="D733" i="10" s="1"/>
  <c r="C858" i="10"/>
  <c r="D858" i="10" s="1"/>
  <c r="C242" i="10"/>
  <c r="D242" i="10" s="1"/>
  <c r="C775" i="10"/>
  <c r="D775" i="10" s="1"/>
  <c r="C758" i="10"/>
  <c r="D758" i="10" s="1"/>
  <c r="C812" i="10"/>
  <c r="D812" i="10" s="1"/>
  <c r="C618" i="10"/>
  <c r="D618" i="10" s="1"/>
  <c r="C910" i="10"/>
  <c r="D910" i="10" s="1"/>
  <c r="C408" i="10"/>
  <c r="D408" i="10" s="1"/>
  <c r="C832" i="10"/>
  <c r="D832" i="10" s="1"/>
  <c r="C365" i="10"/>
  <c r="D365" i="10" s="1"/>
  <c r="C856" i="10"/>
  <c r="D856" i="10" s="1"/>
  <c r="C974" i="10"/>
  <c r="D974" i="10" s="1"/>
  <c r="C791" i="10"/>
  <c r="D791" i="10" s="1"/>
  <c r="C922" i="10"/>
  <c r="D922" i="10" s="1"/>
  <c r="C842" i="10"/>
  <c r="D842" i="10" s="1"/>
  <c r="C604" i="10"/>
  <c r="D604" i="10" s="1"/>
  <c r="C429" i="10"/>
  <c r="D429" i="10" s="1"/>
  <c r="C247" i="10"/>
  <c r="D247" i="10" s="1"/>
  <c r="C116" i="10"/>
  <c r="D116" i="10" s="1"/>
  <c r="C555" i="10"/>
  <c r="D555" i="10" s="1"/>
  <c r="C367" i="10"/>
  <c r="D367" i="10" s="1"/>
  <c r="C501" i="10"/>
  <c r="D501" i="10" s="1"/>
  <c r="C820" i="10"/>
  <c r="D820" i="10" s="1"/>
  <c r="C339" i="10"/>
  <c r="D339" i="10" s="1"/>
  <c r="C414" i="10"/>
  <c r="D414" i="10" s="1"/>
  <c r="C219" i="10"/>
  <c r="D219" i="10" s="1"/>
  <c r="C156" i="10"/>
  <c r="D156" i="10" s="1"/>
  <c r="C546" i="10"/>
  <c r="D546" i="10" s="1"/>
  <c r="C295" i="10"/>
  <c r="D295" i="10" s="1"/>
  <c r="C580" i="10"/>
  <c r="D580" i="10" s="1"/>
  <c r="C30" i="10"/>
  <c r="D30" i="10" s="1"/>
  <c r="C419" i="10"/>
  <c r="D419" i="10" s="1"/>
  <c r="C766" i="10"/>
  <c r="D766" i="10" s="1"/>
  <c r="C993" i="10"/>
  <c r="D993" i="10" s="1"/>
  <c r="C133" i="10"/>
  <c r="D133" i="10" s="1"/>
  <c r="C815" i="10"/>
  <c r="D815" i="10" s="1"/>
  <c r="C925" i="10"/>
  <c r="D925" i="10" s="1"/>
  <c r="C843" i="10"/>
  <c r="D843" i="10" s="1"/>
  <c r="C208" i="10"/>
  <c r="D208" i="10" s="1"/>
  <c r="G76" i="5"/>
  <c r="G76" i="32" s="1"/>
  <c r="C238" i="10"/>
  <c r="D238" i="10" s="1"/>
  <c r="C985" i="10"/>
  <c r="D985" i="10" s="1"/>
  <c r="C772" i="10"/>
  <c r="D772" i="10" s="1"/>
  <c r="C369" i="10"/>
  <c r="D369" i="10" s="1"/>
  <c r="C631" i="10"/>
  <c r="D631" i="10" s="1"/>
  <c r="C855" i="10"/>
  <c r="D855" i="10" s="1"/>
  <c r="C970" i="10"/>
  <c r="D970" i="10" s="1"/>
  <c r="C204" i="10"/>
  <c r="D204" i="10" s="1"/>
  <c r="C870" i="10"/>
  <c r="D870" i="10" s="1"/>
  <c r="C27" i="10"/>
  <c r="D27" i="10" s="1"/>
  <c r="D75" i="5"/>
  <c r="D75" i="32" s="1"/>
  <c r="C72" i="5"/>
  <c r="C72" i="32" s="1"/>
  <c r="C657" i="10"/>
  <c r="D657" i="10" s="1"/>
  <c r="C450" i="10"/>
  <c r="D450" i="10" s="1"/>
  <c r="C201" i="10"/>
  <c r="D201" i="10" s="1"/>
  <c r="C370" i="10"/>
  <c r="D370" i="10" s="1"/>
  <c r="C732" i="10"/>
  <c r="D732" i="10" s="1"/>
  <c r="C258" i="10"/>
  <c r="D258" i="10" s="1"/>
  <c r="C558" i="10"/>
  <c r="D558" i="10" s="1"/>
  <c r="C520" i="10"/>
  <c r="D520" i="10" s="1"/>
  <c r="C354" i="10"/>
  <c r="D354" i="10" s="1"/>
  <c r="C550" i="10"/>
  <c r="D550" i="10" s="1"/>
  <c r="C390" i="10"/>
  <c r="D390" i="10" s="1"/>
  <c r="C539" i="10"/>
  <c r="D539" i="10" s="1"/>
  <c r="C331" i="10"/>
  <c r="D331" i="10" s="1"/>
  <c r="C467" i="10"/>
  <c r="D467" i="10" s="1"/>
  <c r="C906" i="10"/>
  <c r="D906" i="10" s="1"/>
  <c r="C863" i="10"/>
  <c r="D863" i="10" s="1"/>
  <c r="C721" i="10"/>
  <c r="D721" i="10" s="1"/>
  <c r="C452" i="10"/>
  <c r="D452" i="10" s="1"/>
  <c r="C923" i="10"/>
  <c r="D923" i="10" s="1"/>
  <c r="C409" i="10"/>
  <c r="D409" i="10" s="1"/>
  <c r="C918" i="10"/>
  <c r="D918" i="10" s="1"/>
  <c r="C246" i="10"/>
  <c r="D246" i="10" s="1"/>
  <c r="C610" i="10"/>
  <c r="D610" i="10" s="1"/>
  <c r="C180" i="10"/>
  <c r="D180" i="10" s="1"/>
  <c r="C489" i="10"/>
  <c r="D489" i="10" s="1"/>
  <c r="C753" i="10"/>
  <c r="D753" i="10" s="1"/>
  <c r="C303" i="10"/>
  <c r="D303" i="10" s="1"/>
  <c r="C830" i="10"/>
  <c r="D830" i="10" s="1"/>
  <c r="C875" i="10"/>
  <c r="D875" i="10" s="1"/>
  <c r="C934" i="10"/>
  <c r="D934" i="10" s="1"/>
  <c r="C527" i="10"/>
  <c r="D527" i="10" s="1"/>
  <c r="N62" i="5"/>
  <c r="N62" i="32" s="1"/>
  <c r="I64" i="5"/>
  <c r="I64" i="32" s="1"/>
  <c r="O75" i="5"/>
  <c r="M69" i="5"/>
  <c r="M69" i="32" s="1"/>
  <c r="I69" i="5"/>
  <c r="H75" i="5"/>
  <c r="H75" i="32" s="1"/>
  <c r="C315" i="10"/>
  <c r="D315" i="10" s="1"/>
  <c r="C522" i="10"/>
  <c r="D522" i="10" s="1"/>
  <c r="C900" i="10"/>
  <c r="D900" i="10" s="1"/>
  <c r="C545" i="10"/>
  <c r="D545" i="10" s="1"/>
  <c r="C91" i="10"/>
  <c r="D91" i="10" s="1"/>
  <c r="C286" i="10"/>
  <c r="D286" i="10" s="1"/>
  <c r="C817" i="10"/>
  <c r="D817" i="10" s="1"/>
  <c r="C43" i="10"/>
  <c r="D43" i="10" s="1"/>
  <c r="J62" i="5"/>
  <c r="J62" i="32" s="1"/>
  <c r="M70" i="5"/>
  <c r="M70" i="32" s="1"/>
  <c r="L64" i="5"/>
  <c r="L64" i="32" s="1"/>
  <c r="E70" i="5"/>
  <c r="E70" i="32" s="1"/>
  <c r="K64" i="5"/>
  <c r="K64" i="32" s="1"/>
  <c r="G75" i="5"/>
  <c r="G75" i="32" s="1"/>
  <c r="N78" i="5"/>
  <c r="N78" i="32" s="1"/>
  <c r="N72" i="5"/>
  <c r="N72" i="32" s="1"/>
  <c r="C560" i="10"/>
  <c r="D560" i="10" s="1"/>
  <c r="C271" i="10"/>
  <c r="D271" i="10" s="1"/>
  <c r="C306" i="10"/>
  <c r="D306" i="10" s="1"/>
  <c r="C472" i="10"/>
  <c r="D472" i="10" s="1"/>
  <c r="C834" i="10"/>
  <c r="D834" i="10" s="1"/>
  <c r="C857" i="10"/>
  <c r="D857" i="10" s="1"/>
  <c r="C111" i="10"/>
  <c r="D111" i="10" s="1"/>
  <c r="C889" i="10"/>
  <c r="D889" i="10" s="1"/>
  <c r="C566" i="10"/>
  <c r="D566" i="10" s="1"/>
  <c r="C254" i="10"/>
  <c r="D254" i="10" s="1"/>
  <c r="C695" i="10"/>
  <c r="D695" i="10" s="1"/>
  <c r="C62" i="10"/>
  <c r="D62" i="10" s="1"/>
  <c r="C474" i="10"/>
  <c r="D474" i="10" s="1"/>
  <c r="C263" i="10"/>
  <c r="D263" i="10" s="1"/>
  <c r="C465" i="10"/>
  <c r="D465" i="10" s="1"/>
  <c r="C664" i="10"/>
  <c r="D664" i="10" s="1"/>
  <c r="C215" i="10"/>
  <c r="D215" i="10" s="1"/>
  <c r="C599" i="10"/>
  <c r="D599" i="10" s="1"/>
  <c r="C309" i="10"/>
  <c r="D309" i="10" s="1"/>
  <c r="C568" i="10"/>
  <c r="D568" i="10" s="1"/>
  <c r="C690" i="10"/>
  <c r="D690" i="10" s="1"/>
  <c r="C779" i="10"/>
  <c r="D779" i="10" s="1"/>
  <c r="C441" i="10"/>
  <c r="D441" i="10" s="1"/>
  <c r="C776" i="10"/>
  <c r="D776" i="10" s="1"/>
  <c r="C559" i="10"/>
  <c r="D559" i="10" s="1"/>
  <c r="C440" i="10"/>
  <c r="D440" i="10" s="1"/>
  <c r="C104" i="10"/>
  <c r="D104" i="10" s="1"/>
  <c r="C45" i="10"/>
  <c r="D45" i="10" s="1"/>
  <c r="C162" i="10"/>
  <c r="D162" i="10" s="1"/>
  <c r="C966" i="10"/>
  <c r="D966" i="10" s="1"/>
  <c r="C628" i="10"/>
  <c r="D628" i="10" s="1"/>
  <c r="C583" i="10"/>
  <c r="D583" i="10" s="1"/>
  <c r="C764" i="10"/>
  <c r="D764" i="10" s="1"/>
  <c r="C282" i="10"/>
  <c r="D282" i="10" s="1"/>
  <c r="C248" i="10"/>
  <c r="D248" i="10" s="1"/>
  <c r="C944" i="10"/>
  <c r="D944" i="10" s="1"/>
  <c r="C540" i="10"/>
  <c r="D540" i="10" s="1"/>
  <c r="C727" i="10"/>
  <c r="D727" i="10" s="1"/>
  <c r="C294" i="10"/>
  <c r="D294" i="10" s="1"/>
  <c r="C270" i="10"/>
  <c r="D270" i="10" s="1"/>
  <c r="C170" i="10"/>
  <c r="D170" i="10" s="1"/>
  <c r="C656" i="10"/>
  <c r="D656" i="10" s="1"/>
  <c r="C439" i="10"/>
  <c r="D439" i="10" s="1"/>
  <c r="G62" i="5"/>
  <c r="G62" i="32" s="1"/>
  <c r="D69" i="5"/>
  <c r="D69" i="32" s="1"/>
  <c r="G61" i="5"/>
  <c r="G61" i="32" s="1"/>
  <c r="C397" i="10"/>
  <c r="D397" i="10" s="1"/>
  <c r="C312" i="10"/>
  <c r="D312" i="10" s="1"/>
  <c r="C622" i="10"/>
  <c r="D622" i="10" s="1"/>
  <c r="C499" i="10"/>
  <c r="D499" i="10" s="1"/>
  <c r="C525" i="10"/>
  <c r="D525" i="10" s="1"/>
  <c r="C523" i="10"/>
  <c r="D523" i="10" s="1"/>
  <c r="C979" i="10"/>
  <c r="D979" i="10" s="1"/>
  <c r="C729" i="10"/>
  <c r="D729" i="10" s="1"/>
  <c r="C513" i="10"/>
  <c r="D513" i="10" s="1"/>
  <c r="C678" i="10"/>
  <c r="D678" i="10" s="1"/>
  <c r="C543" i="10"/>
  <c r="D543" i="10" s="1"/>
  <c r="C953" i="10"/>
  <c r="D953" i="10" s="1"/>
  <c r="G64" i="5"/>
  <c r="G64" i="32" s="1"/>
  <c r="C637" i="10"/>
  <c r="D637" i="10" s="1"/>
  <c r="C998" i="10"/>
  <c r="D998" i="10" s="1"/>
  <c r="C916" i="10"/>
  <c r="D916" i="10" s="1"/>
  <c r="C490" i="10"/>
  <c r="D490" i="10" s="1"/>
  <c r="K61" i="5"/>
  <c r="K61" i="32" s="1"/>
  <c r="J75" i="5"/>
  <c r="J75" i="32" s="1"/>
  <c r="C515" i="10"/>
  <c r="D515" i="10" s="1"/>
  <c r="C175" i="10"/>
  <c r="D175" i="10" s="1"/>
  <c r="C770" i="10"/>
  <c r="D770" i="10" s="1"/>
  <c r="C125" i="10"/>
  <c r="D125" i="10" s="1"/>
  <c r="C811" i="10"/>
  <c r="D811" i="10" s="1"/>
  <c r="C684" i="10"/>
  <c r="D684" i="10" s="1"/>
  <c r="C505" i="10"/>
  <c r="D505" i="10" s="1"/>
  <c r="C752" i="10"/>
  <c r="D752" i="10" s="1"/>
  <c r="C317" i="10"/>
  <c r="D317" i="10" s="1"/>
  <c r="C132" i="10"/>
  <c r="D132" i="10" s="1"/>
  <c r="C457" i="10"/>
  <c r="D457" i="10" s="1"/>
  <c r="C592" i="10"/>
  <c r="D592" i="10" s="1"/>
  <c r="C942" i="10"/>
  <c r="D942" i="10" s="1"/>
  <c r="C77" i="10"/>
  <c r="D77" i="10" s="1"/>
  <c r="C83" i="10"/>
  <c r="D83" i="10" s="1"/>
  <c r="C481" i="10"/>
  <c r="D481" i="10" s="1"/>
  <c r="C223" i="10"/>
  <c r="D223" i="10" s="1"/>
  <c r="C352" i="10"/>
  <c r="D352" i="10" s="1"/>
  <c r="C948" i="10"/>
  <c r="D948" i="10" s="1"/>
  <c r="E75" i="5"/>
  <c r="E75" i="32" s="1"/>
  <c r="J69" i="5"/>
  <c r="J69" i="32" s="1"/>
  <c r="D70" i="5"/>
  <c r="D70" i="32" s="1"/>
  <c r="O64" i="5"/>
  <c r="M78" i="5"/>
  <c r="M78" i="32" s="1"/>
  <c r="C140" i="10"/>
  <c r="D140" i="10" s="1"/>
  <c r="L69" i="5"/>
  <c r="L69" i="32" s="1"/>
  <c r="C80" i="10"/>
  <c r="D80" i="10" s="1"/>
  <c r="C134" i="10"/>
  <c r="D134" i="10" s="1"/>
  <c r="C524" i="10"/>
  <c r="D524" i="10" s="1"/>
  <c r="C322" i="10"/>
  <c r="D322" i="10" s="1"/>
  <c r="C327" i="10"/>
  <c r="D327" i="10" s="1"/>
  <c r="C105" i="10"/>
  <c r="D105" i="10" s="1"/>
  <c r="C601" i="10"/>
  <c r="D601" i="10" s="1"/>
  <c r="C958" i="10"/>
  <c r="D958" i="10" s="1"/>
  <c r="C626" i="10"/>
  <c r="D626" i="10" s="1"/>
  <c r="C190" i="10"/>
  <c r="D190" i="10" s="1"/>
  <c r="C97" i="10"/>
  <c r="D97" i="10" s="1"/>
  <c r="C908" i="10"/>
  <c r="D908" i="10" s="1"/>
  <c r="C909" i="10"/>
  <c r="D909" i="10" s="1"/>
  <c r="C494" i="10"/>
  <c r="D494" i="10" s="1"/>
  <c r="C78" i="5"/>
  <c r="C78" i="32" s="1"/>
  <c r="C62" i="5"/>
  <c r="C62" i="32" s="1"/>
  <c r="C96" i="10"/>
  <c r="D96" i="10" s="1"/>
  <c r="C884" i="10"/>
  <c r="D884" i="10" s="1"/>
  <c r="C921" i="10"/>
  <c r="D921" i="10" s="1"/>
  <c r="C164" i="10"/>
  <c r="D164" i="10" s="1"/>
  <c r="O76" i="5"/>
  <c r="O69" i="5"/>
  <c r="E64" i="5"/>
  <c r="E64" i="32" s="1"/>
  <c r="F64" i="5"/>
  <c r="F64" i="32" s="1"/>
  <c r="K72" i="5"/>
  <c r="K72" i="32" s="1"/>
  <c r="C251" i="10"/>
  <c r="D251" i="10" s="1"/>
  <c r="C435" i="10"/>
  <c r="D435" i="10" s="1"/>
  <c r="C617" i="10"/>
  <c r="D617" i="10" s="1"/>
  <c r="C937" i="10"/>
  <c r="D937" i="10" s="1"/>
  <c r="C332" i="10"/>
  <c r="D332" i="10" s="1"/>
  <c r="C46" i="10"/>
  <c r="D46" i="10" s="1"/>
  <c r="C275" i="10"/>
  <c r="D275" i="10" s="1"/>
  <c r="C486" i="10"/>
  <c r="D486" i="10" s="1"/>
  <c r="C199" i="10"/>
  <c r="D199" i="10" s="1"/>
  <c r="C741" i="10"/>
  <c r="D741" i="10" s="1"/>
  <c r="C587" i="10"/>
  <c r="D587" i="10" s="1"/>
  <c r="C249" i="10"/>
  <c r="D249" i="10" s="1"/>
  <c r="C816" i="10"/>
  <c r="D816" i="10" s="1"/>
  <c r="C360" i="10"/>
  <c r="D360" i="10" s="1"/>
  <c r="C146" i="10"/>
  <c r="D146" i="10" s="1"/>
  <c r="L70" i="5"/>
  <c r="L70" i="32" s="1"/>
  <c r="C823" i="10"/>
  <c r="D823" i="10" s="1"/>
  <c r="C743" i="10"/>
  <c r="D743" i="10" s="1"/>
  <c r="C129" i="10"/>
  <c r="D129" i="10" s="1"/>
  <c r="C774" i="10"/>
  <c r="D774" i="10" s="1"/>
  <c r="C689" i="10"/>
  <c r="D689" i="10" s="1"/>
  <c r="C53" i="10"/>
  <c r="D53" i="10" s="1"/>
  <c r="C782" i="10"/>
  <c r="D782" i="10" s="1"/>
  <c r="C405" i="10"/>
  <c r="D405" i="10" s="1"/>
  <c r="C152" i="10"/>
  <c r="D152" i="10" s="1"/>
  <c r="C947" i="10"/>
  <c r="D947" i="10" s="1"/>
  <c r="C949" i="10"/>
  <c r="D949" i="10" s="1"/>
  <c r="C437" i="10"/>
  <c r="D437" i="10" s="1"/>
  <c r="C328" i="10"/>
  <c r="D328" i="10" s="1"/>
  <c r="C872" i="10"/>
  <c r="D872" i="10" s="1"/>
  <c r="F78" i="5"/>
  <c r="F78" i="32" s="1"/>
  <c r="G78" i="5"/>
  <c r="G78" i="32" s="1"/>
  <c r="N61" i="5"/>
  <c r="N61" i="32" s="1"/>
  <c r="I72" i="5"/>
  <c r="I72" i="32" s="1"/>
  <c r="M62" i="5"/>
  <c r="M62" i="32" s="1"/>
  <c r="E77" i="5"/>
  <c r="E77" i="32" s="1"/>
  <c r="O72" i="5"/>
  <c r="C564" i="10"/>
  <c r="D564" i="10" s="1"/>
  <c r="C674" i="10"/>
  <c r="D674" i="10" s="1"/>
  <c r="C40" i="10"/>
  <c r="D40" i="10" s="1"/>
  <c r="C412" i="10"/>
  <c r="D412" i="10" s="1"/>
  <c r="C706" i="10"/>
  <c r="D706" i="10" s="1"/>
  <c r="C503" i="10"/>
  <c r="D503" i="10" s="1"/>
  <c r="C157" i="10"/>
  <c r="D157" i="10" s="1"/>
  <c r="K70" i="5"/>
  <c r="K70" i="32" s="1"/>
  <c r="C844" i="10"/>
  <c r="D844" i="10" s="1"/>
  <c r="C717" i="10"/>
  <c r="D717" i="10" s="1"/>
  <c r="C676" i="10"/>
  <c r="D676" i="10" s="1"/>
  <c r="C38" i="10"/>
  <c r="D38" i="10" s="1"/>
  <c r="C542" i="10"/>
  <c r="D542" i="10" s="1"/>
  <c r="C285" i="10"/>
  <c r="D285" i="10" s="1"/>
  <c r="C518" i="10"/>
  <c r="D518" i="10" s="1"/>
  <c r="C789" i="10"/>
  <c r="D789" i="10" s="1"/>
  <c r="C183" i="10"/>
  <c r="D183" i="10" s="1"/>
  <c r="C374" i="10"/>
  <c r="D374" i="10" s="1"/>
  <c r="C329" i="10"/>
  <c r="D329" i="10" s="1"/>
  <c r="C608" i="10"/>
  <c r="D608" i="10" s="1"/>
  <c r="C972" i="10"/>
  <c r="D972" i="10" s="1"/>
  <c r="C257" i="10"/>
  <c r="D257" i="10" s="1"/>
  <c r="C473" i="10"/>
  <c r="D473" i="10" s="1"/>
  <c r="C404" i="10"/>
  <c r="D404" i="10" s="1"/>
  <c r="C552" i="10"/>
  <c r="D552" i="10" s="1"/>
  <c r="C298" i="10"/>
  <c r="D298" i="10" s="1"/>
  <c r="C878" i="10"/>
  <c r="D878" i="10" s="1"/>
  <c r="C127" i="10"/>
  <c r="D127" i="10" s="1"/>
  <c r="C130" i="10"/>
  <c r="D130" i="10" s="1"/>
  <c r="C197" i="10"/>
  <c r="D197" i="10" s="1"/>
  <c r="K62" i="5"/>
  <c r="K62" i="32" s="1"/>
  <c r="C416" i="10"/>
  <c r="D416" i="10" s="1"/>
  <c r="C927" i="10"/>
  <c r="D927" i="10" s="1"/>
  <c r="C724" i="10"/>
  <c r="D724" i="10" s="1"/>
  <c r="C32" i="10"/>
  <c r="D32" i="10" s="1"/>
  <c r="C145" i="10"/>
  <c r="D145" i="10" s="1"/>
  <c r="C236" i="10"/>
  <c r="D236" i="10" s="1"/>
  <c r="C205" i="10"/>
  <c r="D205" i="10" s="1"/>
  <c r="C650" i="10"/>
  <c r="D650" i="10" s="1"/>
  <c r="C121" i="10"/>
  <c r="D121" i="10" s="1"/>
  <c r="C163" i="10"/>
  <c r="D163" i="10" s="1"/>
  <c r="C304" i="10"/>
  <c r="D304" i="10" s="1"/>
  <c r="C442" i="10"/>
  <c r="D442" i="10" s="1"/>
  <c r="K69" i="5"/>
  <c r="K69" i="32" s="1"/>
  <c r="M75" i="5"/>
  <c r="M75" i="32" s="1"/>
  <c r="C69" i="5"/>
  <c r="C69" i="32" s="1"/>
  <c r="I61" i="5"/>
  <c r="I61" i="32" s="1"/>
  <c r="J76" i="5"/>
  <c r="J76" i="32" s="1"/>
  <c r="O78" i="5"/>
  <c r="I78" i="5"/>
  <c r="I78" i="32" s="1"/>
  <c r="J64" i="5"/>
  <c r="J64" i="32" s="1"/>
  <c r="H61" i="5"/>
  <c r="H61" i="32" s="1"/>
  <c r="F72" i="5"/>
  <c r="F72" i="32" s="1"/>
  <c r="F69" i="5"/>
  <c r="F69" i="32" s="1"/>
  <c r="F75" i="5"/>
  <c r="F75" i="32" s="1"/>
  <c r="G72" i="5"/>
  <c r="G72" i="32" s="1"/>
  <c r="J70" i="5"/>
  <c r="J70" i="32" s="1"/>
  <c r="D62" i="5"/>
  <c r="D62" i="32" s="1"/>
  <c r="H78" i="5"/>
  <c r="H78" i="32" s="1"/>
  <c r="C70" i="5"/>
  <c r="C70" i="32" s="1"/>
  <c r="F61" i="5"/>
  <c r="F61" i="32" s="1"/>
  <c r="I62" i="5"/>
  <c r="I62" i="32" s="1"/>
  <c r="C99" i="32"/>
  <c r="O93" i="5"/>
  <c r="R26" i="10"/>
  <c r="C989" i="10"/>
  <c r="D989" i="10" s="1"/>
  <c r="C54" i="10"/>
  <c r="D54" i="10" s="1"/>
  <c r="C218" i="10"/>
  <c r="D218" i="10" s="1"/>
  <c r="C984" i="10"/>
  <c r="D984" i="10" s="1"/>
  <c r="C349" i="10"/>
  <c r="D349" i="10" s="1"/>
  <c r="C470" i="10"/>
  <c r="D470" i="10" s="1"/>
  <c r="C765" i="10"/>
  <c r="D765" i="10" s="1"/>
  <c r="C635" i="10"/>
  <c r="D635" i="10" s="1"/>
  <c r="C451" i="10"/>
  <c r="D451" i="10" s="1"/>
  <c r="C526" i="10"/>
  <c r="D526" i="10" s="1"/>
  <c r="C222" i="10"/>
  <c r="D222" i="10" s="1"/>
  <c r="C420" i="10"/>
  <c r="D420" i="10" s="1"/>
  <c r="C639" i="10"/>
  <c r="D639" i="10" s="1"/>
  <c r="C281" i="10"/>
  <c r="D281" i="10" s="1"/>
  <c r="C335" i="10"/>
  <c r="D335" i="10" s="1"/>
  <c r="C399" i="10"/>
  <c r="D399" i="10" s="1"/>
  <c r="C514" i="10"/>
  <c r="D514" i="10" s="1"/>
  <c r="C26" i="10"/>
  <c r="D26" i="10" s="1"/>
  <c r="C108" i="10"/>
  <c r="D108" i="10" s="1"/>
  <c r="C754" i="10"/>
  <c r="D754" i="10" s="1"/>
  <c r="C181" i="10"/>
  <c r="D181" i="10" s="1"/>
  <c r="C272" i="10"/>
  <c r="D272" i="10" s="1"/>
  <c r="C561" i="10"/>
  <c r="D561" i="10" s="1"/>
  <c r="C311" i="10"/>
  <c r="D311" i="10" s="1"/>
  <c r="C757" i="10"/>
  <c r="D757" i="10" s="1"/>
  <c r="C179" i="10"/>
  <c r="D179" i="10" s="1"/>
  <c r="C598" i="10"/>
  <c r="D598" i="10" s="1"/>
  <c r="C252" i="10"/>
  <c r="D252" i="10" s="1"/>
  <c r="C814" i="10"/>
  <c r="D814" i="10" s="1"/>
  <c r="C935" i="10"/>
  <c r="D935" i="10" s="1"/>
  <c r="C495" i="10"/>
  <c r="D495" i="10" s="1"/>
  <c r="C167" i="10"/>
  <c r="D167" i="10" s="1"/>
  <c r="C790" i="10"/>
  <c r="D790" i="10" s="1"/>
  <c r="C893" i="10"/>
  <c r="D893" i="10" s="1"/>
  <c r="C41" i="10"/>
  <c r="D41" i="10" s="1"/>
  <c r="C786" i="10"/>
  <c r="D786" i="10" s="1"/>
  <c r="C268" i="10"/>
  <c r="D268" i="10" s="1"/>
  <c r="C692" i="10"/>
  <c r="D692" i="10" s="1"/>
  <c r="C341" i="10"/>
  <c r="D341" i="10" s="1"/>
  <c r="C237" i="10"/>
  <c r="D237" i="10" s="1"/>
  <c r="C316" i="10"/>
  <c r="D316" i="10" s="1"/>
  <c r="C867" i="10"/>
  <c r="D867" i="10" s="1"/>
  <c r="C185" i="10"/>
  <c r="D185" i="10" s="1"/>
  <c r="C938" i="10"/>
  <c r="D938" i="10" s="1"/>
  <c r="C172" i="10"/>
  <c r="D172" i="10" s="1"/>
  <c r="C873" i="10"/>
  <c r="D873" i="10" s="1"/>
  <c r="C372" i="10"/>
  <c r="D372" i="10" s="1"/>
  <c r="C687" i="10"/>
  <c r="D687" i="10" s="1"/>
  <c r="C576" i="10"/>
  <c r="D576" i="10" s="1"/>
  <c r="C739" i="10"/>
  <c r="D739" i="10" s="1"/>
  <c r="C64" i="10"/>
  <c r="D64" i="10" s="1"/>
  <c r="C79" i="10"/>
  <c r="D79" i="10" s="1"/>
  <c r="C217" i="10"/>
  <c r="D217" i="10" s="1"/>
  <c r="C886" i="10"/>
  <c r="D886" i="10" s="1"/>
  <c r="C158" i="10"/>
  <c r="D158" i="10" s="1"/>
  <c r="C535" i="10"/>
  <c r="D535" i="10" s="1"/>
  <c r="C675" i="10"/>
  <c r="D675" i="10" s="1"/>
  <c r="C861" i="10"/>
  <c r="D861" i="10" s="1"/>
  <c r="C274" i="10"/>
  <c r="D274" i="10" s="1"/>
  <c r="C1000" i="10"/>
  <c r="D1000" i="10" s="1"/>
  <c r="C874" i="10"/>
  <c r="D874" i="10" s="1"/>
  <c r="C902" i="10"/>
  <c r="D902" i="10" s="1"/>
  <c r="C640" i="10"/>
  <c r="D640" i="10" s="1"/>
  <c r="C469" i="10"/>
  <c r="D469" i="10" s="1"/>
  <c r="C960" i="10"/>
  <c r="D960" i="10" s="1"/>
  <c r="C153" i="10"/>
  <c r="D153" i="10" s="1"/>
  <c r="C833" i="10"/>
  <c r="D833" i="10" s="1"/>
  <c r="C924" i="10"/>
  <c r="D924" i="10" s="1"/>
  <c r="C913" i="10"/>
  <c r="D913" i="10" s="1"/>
  <c r="C51" i="10"/>
  <c r="D51" i="10" s="1"/>
  <c r="C191" i="10"/>
  <c r="D191" i="10" s="1"/>
  <c r="C726" i="10"/>
  <c r="D726" i="10" s="1"/>
  <c r="C571" i="10"/>
  <c r="D571" i="10" s="1"/>
  <c r="C471" i="10"/>
  <c r="D471" i="10" s="1"/>
  <c r="C983" i="10"/>
  <c r="D983" i="10" s="1"/>
  <c r="C745" i="10"/>
  <c r="D745" i="10" s="1"/>
  <c r="C338" i="10"/>
  <c r="D338" i="10" s="1"/>
  <c r="C847" i="10"/>
  <c r="D847" i="10" s="1"/>
  <c r="C549" i="10"/>
  <c r="D549" i="10" s="1"/>
  <c r="C567" i="10"/>
  <c r="D567" i="10" s="1"/>
  <c r="C277" i="10"/>
  <c r="D277" i="10" s="1"/>
  <c r="C361" i="10"/>
  <c r="D361" i="10" s="1"/>
  <c r="C497" i="10"/>
  <c r="D497" i="10" s="1"/>
  <c r="C483" i="10"/>
  <c r="D483" i="10" s="1"/>
  <c r="C693" i="10"/>
  <c r="D693" i="10" s="1"/>
  <c r="C818" i="10"/>
  <c r="D818" i="10" s="1"/>
  <c r="C184" i="10"/>
  <c r="D184" i="10" s="1"/>
  <c r="C508" i="10"/>
  <c r="D508" i="10" s="1"/>
  <c r="C445" i="10"/>
  <c r="D445" i="10" s="1"/>
  <c r="C699" i="10"/>
  <c r="D699" i="10" s="1"/>
  <c r="C343" i="10"/>
  <c r="D343" i="10" s="1"/>
  <c r="C407" i="10"/>
  <c r="D407" i="10" s="1"/>
  <c r="C532" i="10"/>
  <c r="D532" i="10" s="1"/>
  <c r="C491" i="10"/>
  <c r="D491" i="10" s="1"/>
  <c r="C619" i="10"/>
  <c r="D619" i="10" s="1"/>
  <c r="C890" i="10"/>
  <c r="D890" i="10" s="1"/>
  <c r="C476" i="10"/>
  <c r="D476" i="10" s="1"/>
  <c r="C965" i="10"/>
  <c r="D965" i="10" s="1"/>
  <c r="C768" i="10"/>
  <c r="D768" i="10" s="1"/>
  <c r="C500" i="10"/>
  <c r="D500" i="10" s="1"/>
  <c r="C291" i="10"/>
  <c r="D291" i="10" s="1"/>
  <c r="C569" i="10"/>
  <c r="D569" i="10" s="1"/>
  <c r="C211" i="10"/>
  <c r="D211" i="10" s="1"/>
  <c r="C565" i="10"/>
  <c r="D565" i="10" s="1"/>
  <c r="C173" i="10"/>
  <c r="D173" i="10" s="1"/>
  <c r="C750" i="10"/>
  <c r="D750" i="10" s="1"/>
  <c r="C892" i="10"/>
  <c r="D892" i="10" s="1"/>
  <c r="C447" i="10"/>
  <c r="D447" i="10" s="1"/>
  <c r="C113" i="10"/>
  <c r="D113" i="10" s="1"/>
  <c r="C694" i="10"/>
  <c r="D694" i="10" s="1"/>
  <c r="C941" i="10"/>
  <c r="D941" i="10" s="1"/>
  <c r="C230" i="10"/>
  <c r="D230" i="10" s="1"/>
  <c r="C914" i="10"/>
  <c r="D914" i="10" s="1"/>
  <c r="C915" i="10"/>
  <c r="D915" i="10" s="1"/>
  <c r="C362" i="10"/>
  <c r="D362" i="10" s="1"/>
  <c r="C777" i="10"/>
  <c r="D777" i="10" s="1"/>
  <c r="C679" i="10"/>
  <c r="D679" i="10" s="1"/>
  <c r="C620" i="10"/>
  <c r="D620" i="10" s="1"/>
  <c r="C787" i="10"/>
  <c r="D787" i="10" s="1"/>
  <c r="C301" i="10"/>
  <c r="D301" i="10" s="1"/>
  <c r="C195" i="10"/>
  <c r="D195" i="10" s="1"/>
  <c r="C232" i="10"/>
  <c r="D232" i="10" s="1"/>
  <c r="C956" i="10"/>
  <c r="D956" i="10" s="1"/>
  <c r="C61" i="10"/>
  <c r="D61" i="10" s="1"/>
  <c r="C810" i="10"/>
  <c r="D810" i="10" s="1"/>
  <c r="C138" i="10"/>
  <c r="D138" i="10" s="1"/>
  <c r="C519" i="10"/>
  <c r="D519" i="10" s="1"/>
  <c r="C665" i="10"/>
  <c r="D665" i="10" s="1"/>
  <c r="C496" i="10"/>
  <c r="D496" i="10" s="1"/>
  <c r="C553" i="10"/>
  <c r="D553" i="10" s="1"/>
  <c r="C84" i="10"/>
  <c r="D84" i="10" s="1"/>
  <c r="C930" i="10"/>
  <c r="D930" i="10" s="1"/>
  <c r="C926" i="10"/>
  <c r="D926" i="10" s="1"/>
  <c r="C85" i="10"/>
  <c r="D85" i="10" s="1"/>
  <c r="C778" i="10"/>
  <c r="D778" i="10" s="1"/>
  <c r="C126" i="10"/>
  <c r="D126" i="10" s="1"/>
  <c r="C881" i="10"/>
  <c r="D881" i="10" s="1"/>
  <c r="C658" i="10"/>
  <c r="D658" i="10" s="1"/>
  <c r="C701" i="10"/>
  <c r="D701" i="10" s="1"/>
  <c r="C34" i="10"/>
  <c r="D34" i="10" s="1"/>
  <c r="C828" i="10"/>
  <c r="D828" i="10" s="1"/>
  <c r="C662" i="10"/>
  <c r="D662" i="10" s="1"/>
  <c r="C318" i="10"/>
  <c r="D318" i="10" s="1"/>
  <c r="C673" i="10"/>
  <c r="D673" i="10" s="1"/>
  <c r="C239" i="10"/>
  <c r="D239" i="10" s="1"/>
  <c r="C202" i="10"/>
  <c r="D202" i="10" s="1"/>
  <c r="C877" i="10"/>
  <c r="D877" i="10" s="1"/>
  <c r="C589" i="10"/>
  <c r="D589" i="10" s="1"/>
  <c r="C458" i="10"/>
  <c r="D458" i="10" s="1"/>
  <c r="C797" i="10"/>
  <c r="D797" i="10" s="1"/>
  <c r="C590" i="10"/>
  <c r="D590" i="10" s="1"/>
  <c r="C196" i="10"/>
  <c r="D196" i="10" s="1"/>
  <c r="C728" i="10"/>
  <c r="D728" i="10" s="1"/>
  <c r="C668" i="10"/>
  <c r="D668" i="10" s="1"/>
  <c r="C850" i="10"/>
  <c r="D850" i="10" s="1"/>
  <c r="C387" i="10"/>
  <c r="D387" i="10" s="1"/>
  <c r="C371" i="10"/>
  <c r="D371" i="10" s="1"/>
  <c r="C504" i="10"/>
  <c r="D504" i="10" s="1"/>
  <c r="C760" i="10"/>
  <c r="D760" i="10" s="1"/>
  <c r="C144" i="10"/>
  <c r="D144" i="10" s="1"/>
  <c r="C81" i="10"/>
  <c r="D81" i="10" s="1"/>
  <c r="C831" i="10"/>
  <c r="D831" i="10" s="1"/>
  <c r="C734" i="10"/>
  <c r="D734" i="10" s="1"/>
  <c r="C463" i="10"/>
  <c r="D463" i="10" s="1"/>
  <c r="C289" i="10"/>
  <c r="D289" i="10" s="1"/>
  <c r="C351" i="10"/>
  <c r="D351" i="10" s="1"/>
  <c r="C413" i="10"/>
  <c r="D413" i="10" s="1"/>
  <c r="C557" i="10"/>
  <c r="D557" i="10" s="1"/>
  <c r="C507" i="10"/>
  <c r="D507" i="10" s="1"/>
  <c r="C641" i="10"/>
  <c r="D641" i="10" s="1"/>
  <c r="C991" i="10"/>
  <c r="D991" i="10" s="1"/>
  <c r="C806" i="10"/>
  <c r="D806" i="10" s="1"/>
  <c r="C647" i="10"/>
  <c r="D647" i="10" s="1"/>
  <c r="C454" i="10"/>
  <c r="D454" i="10" s="1"/>
  <c r="C269" i="10"/>
  <c r="D269" i="10" s="1"/>
  <c r="C492" i="10"/>
  <c r="D492" i="10" s="1"/>
  <c r="C42" i="10"/>
  <c r="D42" i="10" s="1"/>
  <c r="C506" i="10"/>
  <c r="D506" i="10" s="1"/>
  <c r="C39" i="10"/>
  <c r="D39" i="10" s="1"/>
  <c r="C686" i="10"/>
  <c r="D686" i="10" s="1"/>
  <c r="C849" i="10"/>
  <c r="D849" i="10" s="1"/>
  <c r="C344" i="10"/>
  <c r="D344" i="10" s="1"/>
  <c r="C119" i="10"/>
  <c r="D119" i="10" s="1"/>
  <c r="C182" i="10"/>
  <c r="D182" i="10" s="1"/>
  <c r="C804" i="10"/>
  <c r="D804" i="10" s="1"/>
  <c r="C212" i="10"/>
  <c r="D212" i="10" s="1"/>
  <c r="C296" i="10"/>
  <c r="D296" i="10" s="1"/>
  <c r="C963" i="10"/>
  <c r="D963" i="10" s="1"/>
  <c r="C432" i="10"/>
  <c r="D432" i="10" s="1"/>
  <c r="C769" i="10"/>
  <c r="D769" i="10" s="1"/>
  <c r="C672" i="10"/>
  <c r="D672" i="10" s="1"/>
  <c r="C612" i="10"/>
  <c r="D612" i="10" s="1"/>
  <c r="C613" i="10"/>
  <c r="D613" i="10" s="1"/>
  <c r="C259" i="10"/>
  <c r="D259" i="10" s="1"/>
  <c r="C50" i="10"/>
  <c r="D50" i="10" s="1"/>
  <c r="C55" i="10"/>
  <c r="D55" i="10" s="1"/>
  <c r="C871" i="10"/>
  <c r="D871" i="10" s="1"/>
  <c r="C109" i="10"/>
  <c r="D109" i="10" s="1"/>
  <c r="C714" i="10"/>
  <c r="D714" i="10" s="1"/>
  <c r="C106" i="10"/>
  <c r="D106" i="10" s="1"/>
  <c r="C996" i="10"/>
  <c r="D996" i="10" s="1"/>
  <c r="C824" i="10"/>
  <c r="D824" i="10" s="1"/>
  <c r="C648" i="10"/>
  <c r="D648" i="10" s="1"/>
  <c r="C593" i="10"/>
  <c r="D593" i="10" s="1"/>
  <c r="C398" i="10"/>
  <c r="D398" i="10" s="1"/>
  <c r="C749" i="10"/>
  <c r="D749" i="10" s="1"/>
  <c r="C836" i="10"/>
  <c r="D836" i="10" s="1"/>
  <c r="C115" i="10"/>
  <c r="D115" i="10" s="1"/>
  <c r="C681" i="10"/>
  <c r="D681" i="10" s="1"/>
  <c r="C73" i="10"/>
  <c r="D73" i="10" s="1"/>
  <c r="C829" i="10"/>
  <c r="D829" i="10" s="1"/>
  <c r="C819" i="10"/>
  <c r="D819" i="10" s="1"/>
  <c r="C642" i="10"/>
  <c r="D642" i="10" s="1"/>
  <c r="C488" i="10"/>
  <c r="D488" i="10" s="1"/>
  <c r="C88" i="10"/>
  <c r="D88" i="10" s="1"/>
  <c r="C588" i="10"/>
  <c r="D588" i="10" s="1"/>
  <c r="C848" i="10"/>
  <c r="D848" i="10" s="1"/>
  <c r="C667" i="10"/>
  <c r="D667" i="10" s="1"/>
  <c r="C623" i="10"/>
  <c r="D623" i="10" s="1"/>
  <c r="C48" i="10"/>
  <c r="D48" i="10" s="1"/>
  <c r="C964" i="10"/>
  <c r="D964" i="10" s="1"/>
  <c r="C822" i="10"/>
  <c r="D822" i="10" s="1"/>
  <c r="C67" i="10"/>
  <c r="D67" i="10" s="1"/>
  <c r="C321" i="10"/>
  <c r="D321" i="10" s="1"/>
  <c r="C94" i="10"/>
  <c r="D94" i="10" s="1"/>
  <c r="C711" i="10"/>
  <c r="D711" i="10" s="1"/>
  <c r="C240" i="10"/>
  <c r="D240" i="10" s="1"/>
  <c r="C456" i="10"/>
  <c r="D456" i="10" s="1"/>
  <c r="C66" i="10"/>
  <c r="D66" i="10" s="1"/>
  <c r="C536" i="10"/>
  <c r="D536" i="10" s="1"/>
  <c r="C602" i="10"/>
  <c r="D602" i="10" s="1"/>
  <c r="C423" i="10"/>
  <c r="D423" i="10" s="1"/>
  <c r="C950" i="10"/>
  <c r="D950" i="10" s="1"/>
  <c r="D71" i="5"/>
  <c r="D71" i="32" s="1"/>
  <c r="O98" i="5"/>
  <c r="R29" i="10"/>
  <c r="E89" i="5"/>
  <c r="R27" i="10"/>
  <c r="R28" i="10"/>
  <c r="E89" i="32"/>
  <c r="O88" i="32"/>
  <c r="D89" i="5"/>
  <c r="C89" i="5"/>
  <c r="C89" i="32"/>
  <c r="D87" i="32"/>
  <c r="D89" i="32" s="1"/>
  <c r="O98" i="32"/>
  <c r="D77" i="5"/>
  <c r="D77" i="32" s="1"/>
  <c r="C99" i="5"/>
  <c r="C77" i="5"/>
  <c r="C77" i="32" s="1"/>
  <c r="E99" i="5"/>
  <c r="E94" i="5"/>
  <c r="E71" i="5"/>
  <c r="E71" i="32" s="1"/>
  <c r="D94" i="5"/>
  <c r="E92" i="32"/>
  <c r="E94" i="32" s="1"/>
  <c r="C68" i="32"/>
  <c r="D68" i="32"/>
  <c r="C71" i="5"/>
  <c r="C71" i="32" s="1"/>
  <c r="D94" i="32"/>
  <c r="D99" i="32"/>
  <c r="E99" i="32"/>
  <c r="C93" i="32"/>
  <c r="C94" i="5"/>
  <c r="D99" i="5"/>
  <c r="J41" i="5" l="1"/>
  <c r="J41" i="32" s="1"/>
  <c r="K38" i="10"/>
  <c r="J16" i="10"/>
  <c r="F97" i="5"/>
  <c r="F74" i="5"/>
  <c r="J8" i="10"/>
  <c r="F92" i="5"/>
  <c r="F68" i="5"/>
  <c r="J24" i="10"/>
  <c r="F87" i="5"/>
  <c r="I69" i="32"/>
  <c r="O64" i="32"/>
  <c r="O61" i="32"/>
  <c r="O72" i="32"/>
  <c r="I27" i="5"/>
  <c r="I27" i="32" s="1"/>
  <c r="O75" i="32"/>
  <c r="E79" i="5"/>
  <c r="C79" i="32"/>
  <c r="D79" i="32"/>
  <c r="N27" i="5"/>
  <c r="N27" i="32" s="1"/>
  <c r="O62" i="32"/>
  <c r="F59" i="5"/>
  <c r="F59" i="32" s="1"/>
  <c r="M43" i="5"/>
  <c r="M43" i="32" s="1"/>
  <c r="N16" i="5"/>
  <c r="N16" i="32" s="1"/>
  <c r="J37" i="5"/>
  <c r="J37" i="32" s="1"/>
  <c r="J17" i="5"/>
  <c r="J17" i="32" s="1"/>
  <c r="M19" i="5"/>
  <c r="M19" i="32" s="1"/>
  <c r="K7" i="5"/>
  <c r="K7" i="32" s="1"/>
  <c r="I30" i="5"/>
  <c r="I30" i="32" s="1"/>
  <c r="J31" i="5"/>
  <c r="J31" i="32" s="1"/>
  <c r="O47" i="5"/>
  <c r="D7" i="5"/>
  <c r="D7" i="32" s="1"/>
  <c r="K54" i="5"/>
  <c r="K54" i="32" s="1"/>
  <c r="O16" i="5"/>
  <c r="F40" i="5"/>
  <c r="F40" i="32" s="1"/>
  <c r="J10" i="5"/>
  <c r="J10" i="32" s="1"/>
  <c r="D73" i="5"/>
  <c r="D41" i="5"/>
  <c r="D41" i="32" s="1"/>
  <c r="H20" i="5"/>
  <c r="H20" i="32" s="1"/>
  <c r="H37" i="5"/>
  <c r="H37" i="32" s="1"/>
  <c r="G48" i="5"/>
  <c r="G48" i="32" s="1"/>
  <c r="J39" i="5"/>
  <c r="J39" i="32" s="1"/>
  <c r="F32" i="5"/>
  <c r="F32" i="32" s="1"/>
  <c r="H43" i="5"/>
  <c r="H43" i="32" s="1"/>
  <c r="H59" i="5"/>
  <c r="H59" i="32" s="1"/>
  <c r="H39" i="5"/>
  <c r="H39" i="32" s="1"/>
  <c r="K10" i="5"/>
  <c r="K10" i="32" s="1"/>
  <c r="F51" i="5"/>
  <c r="F51" i="32" s="1"/>
  <c r="C15" i="5"/>
  <c r="C15" i="32" s="1"/>
  <c r="N51" i="5"/>
  <c r="N51" i="32" s="1"/>
  <c r="H57" i="5"/>
  <c r="H57" i="32" s="1"/>
  <c r="K30" i="5"/>
  <c r="K30" i="32" s="1"/>
  <c r="E17" i="5"/>
  <c r="E17" i="32" s="1"/>
  <c r="N18" i="5"/>
  <c r="N18" i="32" s="1"/>
  <c r="C22" i="5"/>
  <c r="C22" i="32" s="1"/>
  <c r="F55" i="5"/>
  <c r="F55" i="32" s="1"/>
  <c r="F17" i="5"/>
  <c r="F17" i="32" s="1"/>
  <c r="O44" i="5"/>
  <c r="M59" i="5"/>
  <c r="M59" i="32" s="1"/>
  <c r="M52" i="5"/>
  <c r="M52" i="32" s="1"/>
  <c r="O57" i="5"/>
  <c r="N46" i="5"/>
  <c r="N46" i="32" s="1"/>
  <c r="O40" i="5"/>
  <c r="J46" i="5"/>
  <c r="J46" i="32" s="1"/>
  <c r="J23" i="5"/>
  <c r="J23" i="32" s="1"/>
  <c r="H50" i="5"/>
  <c r="H50" i="32" s="1"/>
  <c r="J21" i="5"/>
  <c r="J21" i="32" s="1"/>
  <c r="K44" i="5"/>
  <c r="K44" i="32" s="1"/>
  <c r="I20" i="5"/>
  <c r="I20" i="32" s="1"/>
  <c r="I22" i="5"/>
  <c r="I22" i="32" s="1"/>
  <c r="H60" i="5"/>
  <c r="H60" i="32" s="1"/>
  <c r="G23" i="5"/>
  <c r="G23" i="32" s="1"/>
  <c r="C18" i="5"/>
  <c r="C18" i="32" s="1"/>
  <c r="C33" i="5"/>
  <c r="C33" i="32" s="1"/>
  <c r="C43" i="5"/>
  <c r="C43" i="32" s="1"/>
  <c r="H44" i="5"/>
  <c r="H44" i="32" s="1"/>
  <c r="H31" i="5"/>
  <c r="H31" i="32" s="1"/>
  <c r="L6" i="5"/>
  <c r="L6" i="32" s="1"/>
  <c r="I28" i="5"/>
  <c r="I28" i="32" s="1"/>
  <c r="K65" i="5"/>
  <c r="K65" i="32" s="1"/>
  <c r="D59" i="5"/>
  <c r="D59" i="32" s="1"/>
  <c r="E39" i="5"/>
  <c r="E39" i="32" s="1"/>
  <c r="J55" i="5"/>
  <c r="J55" i="32" s="1"/>
  <c r="O21" i="5"/>
  <c r="G21" i="5"/>
  <c r="G21" i="32" s="1"/>
  <c r="L22" i="5"/>
  <c r="L22" i="32" s="1"/>
  <c r="K27" i="5"/>
  <c r="K27" i="32" s="1"/>
  <c r="N57" i="5"/>
  <c r="N57" i="32" s="1"/>
  <c r="G39" i="5"/>
  <c r="G39" i="32" s="1"/>
  <c r="D22" i="5"/>
  <c r="D22" i="32" s="1"/>
  <c r="C24" i="5"/>
  <c r="C24" i="32" s="1"/>
  <c r="C44" i="5"/>
  <c r="C44" i="32" s="1"/>
  <c r="D53" i="5"/>
  <c r="D53" i="32" s="1"/>
  <c r="E7" i="5"/>
  <c r="E7" i="32" s="1"/>
  <c r="I25" i="5"/>
  <c r="I25" i="32" s="1"/>
  <c r="O26" i="5"/>
  <c r="F21" i="5"/>
  <c r="F21" i="32" s="1"/>
  <c r="I10" i="5"/>
  <c r="I10" i="32" s="1"/>
  <c r="L19" i="5"/>
  <c r="L19" i="32" s="1"/>
  <c r="M65" i="5"/>
  <c r="M65" i="32" s="1"/>
  <c r="I38" i="5"/>
  <c r="I38" i="32" s="1"/>
  <c r="K25" i="5"/>
  <c r="K25" i="32" s="1"/>
  <c r="H42" i="5"/>
  <c r="H42" i="32" s="1"/>
  <c r="G52" i="5"/>
  <c r="G52" i="32" s="1"/>
  <c r="N40" i="5"/>
  <c r="N40" i="32" s="1"/>
  <c r="C45" i="5"/>
  <c r="C45" i="32" s="1"/>
  <c r="I41" i="5"/>
  <c r="I41" i="32" s="1"/>
  <c r="E28" i="5"/>
  <c r="E28" i="32" s="1"/>
  <c r="H25" i="5"/>
  <c r="H25" i="32" s="1"/>
  <c r="H52" i="5"/>
  <c r="H52" i="32" s="1"/>
  <c r="C28" i="5"/>
  <c r="C28" i="32" s="1"/>
  <c r="K17" i="5"/>
  <c r="K17" i="32" s="1"/>
  <c r="K35" i="5"/>
  <c r="K35" i="32" s="1"/>
  <c r="I49" i="5"/>
  <c r="I49" i="32" s="1"/>
  <c r="E15" i="5"/>
  <c r="E15" i="32" s="1"/>
  <c r="G15" i="5"/>
  <c r="G15" i="32" s="1"/>
  <c r="O10" i="5"/>
  <c r="E42" i="5"/>
  <c r="E42" i="32" s="1"/>
  <c r="J52" i="5"/>
  <c r="J52" i="32" s="1"/>
  <c r="I34" i="5"/>
  <c r="I34" i="32" s="1"/>
  <c r="E38" i="5"/>
  <c r="E38" i="32" s="1"/>
  <c r="C46" i="5"/>
  <c r="C46" i="32" s="1"/>
  <c r="D51" i="5"/>
  <c r="D51" i="32" s="1"/>
  <c r="M51" i="5"/>
  <c r="M51" i="32" s="1"/>
  <c r="J45" i="5"/>
  <c r="J45" i="32" s="1"/>
  <c r="G46" i="5"/>
  <c r="G46" i="32" s="1"/>
  <c r="J34" i="5"/>
  <c r="J34" i="32" s="1"/>
  <c r="H9" i="5"/>
  <c r="H9" i="32" s="1"/>
  <c r="L16" i="5"/>
  <c r="L16" i="32" s="1"/>
  <c r="F43" i="5"/>
  <c r="F43" i="32" s="1"/>
  <c r="O37" i="5"/>
  <c r="H51" i="5"/>
  <c r="H51" i="32" s="1"/>
  <c r="G29" i="5"/>
  <c r="G29" i="32" s="1"/>
  <c r="N21" i="5"/>
  <c r="N21" i="32" s="1"/>
  <c r="L15" i="5"/>
  <c r="L15" i="32" s="1"/>
  <c r="I39" i="5"/>
  <c r="I39" i="32" s="1"/>
  <c r="M23" i="5"/>
  <c r="M23" i="32" s="1"/>
  <c r="F65" i="5"/>
  <c r="F65" i="32" s="1"/>
  <c r="M29" i="5"/>
  <c r="M29" i="32" s="1"/>
  <c r="G36" i="5"/>
  <c r="G36" i="32" s="1"/>
  <c r="N52" i="5"/>
  <c r="N52" i="32" s="1"/>
  <c r="O59" i="5"/>
  <c r="I53" i="5"/>
  <c r="I53" i="32" s="1"/>
  <c r="D65" i="5"/>
  <c r="D65" i="32" s="1"/>
  <c r="C41" i="5"/>
  <c r="C41" i="32" s="1"/>
  <c r="F31" i="5"/>
  <c r="F31" i="32" s="1"/>
  <c r="H65" i="5"/>
  <c r="H65" i="32" s="1"/>
  <c r="I60" i="5"/>
  <c r="I60" i="32" s="1"/>
  <c r="D9" i="5"/>
  <c r="D9" i="32" s="1"/>
  <c r="G19" i="5"/>
  <c r="G19" i="32" s="1"/>
  <c r="J7" i="5"/>
  <c r="J7" i="32" s="1"/>
  <c r="J54" i="5"/>
  <c r="J54" i="32" s="1"/>
  <c r="D39" i="5"/>
  <c r="D39" i="32" s="1"/>
  <c r="I45" i="5"/>
  <c r="I45" i="32" s="1"/>
  <c r="E32" i="5"/>
  <c r="E32" i="32" s="1"/>
  <c r="F16" i="5"/>
  <c r="F16" i="32" s="1"/>
  <c r="M46" i="5"/>
  <c r="M46" i="32" s="1"/>
  <c r="J43" i="5"/>
  <c r="J43" i="32" s="1"/>
  <c r="D46" i="5"/>
  <c r="D46" i="32" s="1"/>
  <c r="L23" i="5"/>
  <c r="L23" i="32" s="1"/>
  <c r="H22" i="5"/>
  <c r="H22" i="32" s="1"/>
  <c r="H15" i="5"/>
  <c r="H15" i="32" s="1"/>
  <c r="G16" i="5"/>
  <c r="G16" i="32" s="1"/>
  <c r="N24" i="5"/>
  <c r="N24" i="32" s="1"/>
  <c r="F19" i="5"/>
  <c r="F19" i="32" s="1"/>
  <c r="H32" i="5"/>
  <c r="H32" i="32" s="1"/>
  <c r="D43" i="5"/>
  <c r="D43" i="32" s="1"/>
  <c r="L49" i="5"/>
  <c r="L49" i="32" s="1"/>
  <c r="F14" i="5"/>
  <c r="M33" i="5"/>
  <c r="M33" i="32" s="1"/>
  <c r="N35" i="5"/>
  <c r="N35" i="32" s="1"/>
  <c r="M18" i="5"/>
  <c r="M18" i="32" s="1"/>
  <c r="D24" i="5"/>
  <c r="D24" i="32" s="1"/>
  <c r="F36" i="5"/>
  <c r="F36" i="32" s="1"/>
  <c r="L17" i="5"/>
  <c r="L17" i="32" s="1"/>
  <c r="L40" i="5"/>
  <c r="L40" i="32" s="1"/>
  <c r="J36" i="5"/>
  <c r="J36" i="32" s="1"/>
  <c r="J47" i="5"/>
  <c r="J47" i="32" s="1"/>
  <c r="O48" i="5"/>
  <c r="C58" i="5"/>
  <c r="C58" i="32" s="1"/>
  <c r="L9" i="5"/>
  <c r="L9" i="32" s="1"/>
  <c r="M30" i="5"/>
  <c r="M30" i="32" s="1"/>
  <c r="E65" i="5"/>
  <c r="E65" i="32" s="1"/>
  <c r="E24" i="5"/>
  <c r="E24" i="32" s="1"/>
  <c r="K58" i="5"/>
  <c r="K58" i="32" s="1"/>
  <c r="M48" i="5"/>
  <c r="M48" i="32" s="1"/>
  <c r="M25" i="5"/>
  <c r="M25" i="32" s="1"/>
  <c r="I35" i="5"/>
  <c r="I35" i="32" s="1"/>
  <c r="I23" i="5"/>
  <c r="I23" i="32" s="1"/>
  <c r="K51" i="5"/>
  <c r="K51" i="32" s="1"/>
  <c r="L10" i="5"/>
  <c r="L10" i="32" s="1"/>
  <c r="E44" i="5"/>
  <c r="E44" i="32" s="1"/>
  <c r="F6" i="5"/>
  <c r="F6" i="32" s="1"/>
  <c r="M14" i="5"/>
  <c r="M9" i="5"/>
  <c r="M9" i="32" s="1"/>
  <c r="K31" i="5"/>
  <c r="K31" i="32" s="1"/>
  <c r="F41" i="5"/>
  <c r="F41" i="32" s="1"/>
  <c r="N59" i="5"/>
  <c r="N59" i="32" s="1"/>
  <c r="O27" i="5"/>
  <c r="K34" i="5"/>
  <c r="K34" i="32" s="1"/>
  <c r="N22" i="5"/>
  <c r="N22" i="32" s="1"/>
  <c r="F18" i="5"/>
  <c r="F18" i="32" s="1"/>
  <c r="D28" i="5"/>
  <c r="D28" i="32" s="1"/>
  <c r="L18" i="5"/>
  <c r="L18" i="32" s="1"/>
  <c r="N50" i="5"/>
  <c r="N50" i="32" s="1"/>
  <c r="L7" i="5"/>
  <c r="L7" i="32" s="1"/>
  <c r="L8" i="32" s="1"/>
  <c r="M27" i="5"/>
  <c r="M27" i="32" s="1"/>
  <c r="G43" i="5"/>
  <c r="G43" i="32" s="1"/>
  <c r="J28" i="5"/>
  <c r="J28" i="32" s="1"/>
  <c r="L51" i="5"/>
  <c r="L51" i="32" s="1"/>
  <c r="O56" i="5"/>
  <c r="H23" i="5"/>
  <c r="H23" i="32" s="1"/>
  <c r="H28" i="5"/>
  <c r="H28" i="32" s="1"/>
  <c r="I18" i="5"/>
  <c r="I18" i="32" s="1"/>
  <c r="M26" i="5"/>
  <c r="M26" i="32" s="1"/>
  <c r="K21" i="5"/>
  <c r="K21" i="32" s="1"/>
  <c r="L58" i="5"/>
  <c r="L58" i="32" s="1"/>
  <c r="J25" i="5"/>
  <c r="J25" i="32" s="1"/>
  <c r="G57" i="5"/>
  <c r="G57" i="32" s="1"/>
  <c r="N34" i="5"/>
  <c r="N34" i="32" s="1"/>
  <c r="C59" i="5"/>
  <c r="C59" i="32" s="1"/>
  <c r="K45" i="5"/>
  <c r="K45" i="32" s="1"/>
  <c r="J24" i="5"/>
  <c r="J24" i="32" s="1"/>
  <c r="C14" i="5"/>
  <c r="C14" i="32" s="1"/>
  <c r="G41" i="5"/>
  <c r="G41" i="32" s="1"/>
  <c r="F29" i="5"/>
  <c r="F29" i="32" s="1"/>
  <c r="E35" i="5"/>
  <c r="E35" i="32" s="1"/>
  <c r="L52" i="5"/>
  <c r="L52" i="32" s="1"/>
  <c r="N58" i="5"/>
  <c r="N58" i="32" s="1"/>
  <c r="N30" i="5"/>
  <c r="N30" i="32" s="1"/>
  <c r="L43" i="5"/>
  <c r="L43" i="32" s="1"/>
  <c r="J65" i="5"/>
  <c r="J65" i="32" s="1"/>
  <c r="G9" i="5"/>
  <c r="G9" i="32" s="1"/>
  <c r="I6" i="5"/>
  <c r="G20" i="5"/>
  <c r="G20" i="32" s="1"/>
  <c r="I14" i="5"/>
  <c r="N45" i="5"/>
  <c r="N45" i="32" s="1"/>
  <c r="K9" i="5"/>
  <c r="K9" i="32" s="1"/>
  <c r="C6" i="5"/>
  <c r="C6" i="32" s="1"/>
  <c r="D18" i="5"/>
  <c r="D18" i="32" s="1"/>
  <c r="J27" i="5"/>
  <c r="J27" i="32" s="1"/>
  <c r="I44" i="5"/>
  <c r="I44" i="32" s="1"/>
  <c r="D30" i="5"/>
  <c r="D30" i="32" s="1"/>
  <c r="G45" i="5"/>
  <c r="G45" i="32" s="1"/>
  <c r="L31" i="5"/>
  <c r="L31" i="32" s="1"/>
  <c r="N15" i="5"/>
  <c r="N15" i="32" s="1"/>
  <c r="N38" i="5"/>
  <c r="N38" i="32" s="1"/>
  <c r="N25" i="5"/>
  <c r="N25" i="32" s="1"/>
  <c r="C50" i="5"/>
  <c r="C50" i="32" s="1"/>
  <c r="O54" i="5"/>
  <c r="E30" i="5"/>
  <c r="E30" i="32" s="1"/>
  <c r="E26" i="5"/>
  <c r="E26" i="32" s="1"/>
  <c r="L48" i="5"/>
  <c r="L48" i="32" s="1"/>
  <c r="G58" i="5"/>
  <c r="G58" i="32" s="1"/>
  <c r="M57" i="5"/>
  <c r="M57" i="32" s="1"/>
  <c r="I57" i="5"/>
  <c r="I57" i="32" s="1"/>
  <c r="E49" i="5"/>
  <c r="E49" i="32" s="1"/>
  <c r="J6" i="5"/>
  <c r="N26" i="5"/>
  <c r="N26" i="32" s="1"/>
  <c r="C38" i="5"/>
  <c r="C38" i="32" s="1"/>
  <c r="K55" i="5"/>
  <c r="K55" i="32" s="1"/>
  <c r="F28" i="5"/>
  <c r="F28" i="32" s="1"/>
  <c r="D20" i="5"/>
  <c r="D20" i="32" s="1"/>
  <c r="C31" i="5"/>
  <c r="C31" i="32" s="1"/>
  <c r="I31" i="5"/>
  <c r="I31" i="32" s="1"/>
  <c r="F56" i="5"/>
  <c r="F56" i="32" s="1"/>
  <c r="H49" i="5"/>
  <c r="H49" i="32" s="1"/>
  <c r="F46" i="5"/>
  <c r="F46" i="32" s="1"/>
  <c r="D48" i="5"/>
  <c r="D48" i="32" s="1"/>
  <c r="C21" i="5"/>
  <c r="C21" i="32" s="1"/>
  <c r="O36" i="5"/>
  <c r="D14" i="5"/>
  <c r="D14" i="32" s="1"/>
  <c r="J44" i="5"/>
  <c r="J44" i="32" s="1"/>
  <c r="C40" i="5"/>
  <c r="C40" i="32" s="1"/>
  <c r="M32" i="5"/>
  <c r="M32" i="32" s="1"/>
  <c r="L55" i="5"/>
  <c r="L55" i="32" s="1"/>
  <c r="M7" i="5"/>
  <c r="D35" i="5"/>
  <c r="D35" i="32" s="1"/>
  <c r="E22" i="5"/>
  <c r="E22" i="32" s="1"/>
  <c r="C9" i="5"/>
  <c r="C9" i="32" s="1"/>
  <c r="N19" i="5"/>
  <c r="N19" i="32" s="1"/>
  <c r="O28" i="5"/>
  <c r="K26" i="5"/>
  <c r="K26" i="32" s="1"/>
  <c r="F48" i="5"/>
  <c r="F48" i="32" s="1"/>
  <c r="E37" i="5"/>
  <c r="E37" i="32" s="1"/>
  <c r="L20" i="5"/>
  <c r="L20" i="32" s="1"/>
  <c r="L56" i="5"/>
  <c r="L56" i="32" s="1"/>
  <c r="J19" i="5"/>
  <c r="J19" i="32" s="1"/>
  <c r="L26" i="5"/>
  <c r="L26" i="32" s="1"/>
  <c r="F15" i="5"/>
  <c r="F15" i="32" s="1"/>
  <c r="K46" i="5"/>
  <c r="K46" i="32" s="1"/>
  <c r="F9" i="5"/>
  <c r="F9" i="32" s="1"/>
  <c r="G30" i="5"/>
  <c r="G30" i="32" s="1"/>
  <c r="I33" i="5"/>
  <c r="I33" i="32" s="1"/>
  <c r="M34" i="5"/>
  <c r="M34" i="32" s="1"/>
  <c r="I24" i="5"/>
  <c r="I24" i="32" s="1"/>
  <c r="O46" i="5"/>
  <c r="C30" i="5"/>
  <c r="C30" i="32" s="1"/>
  <c r="H40" i="5"/>
  <c r="H40" i="32" s="1"/>
  <c r="G31" i="5"/>
  <c r="G31" i="32" s="1"/>
  <c r="M28" i="5"/>
  <c r="M28" i="32" s="1"/>
  <c r="J15" i="5"/>
  <c r="J15" i="32" s="1"/>
  <c r="H53" i="5"/>
  <c r="H53" i="32" s="1"/>
  <c r="G44" i="5"/>
  <c r="G44" i="32" s="1"/>
  <c r="K49" i="5"/>
  <c r="K49" i="32" s="1"/>
  <c r="H56" i="5"/>
  <c r="H56" i="32" s="1"/>
  <c r="O17" i="5"/>
  <c r="L53" i="5"/>
  <c r="L53" i="32" s="1"/>
  <c r="I19" i="5"/>
  <c r="I19" i="32" s="1"/>
  <c r="I21" i="5"/>
  <c r="I21" i="32" s="1"/>
  <c r="J35" i="5"/>
  <c r="J35" i="32" s="1"/>
  <c r="O14" i="5"/>
  <c r="K43" i="5"/>
  <c r="K43" i="32" s="1"/>
  <c r="E36" i="5"/>
  <c r="E36" i="32" s="1"/>
  <c r="E27" i="5"/>
  <c r="E27" i="32" s="1"/>
  <c r="I15" i="5"/>
  <c r="I15" i="32" s="1"/>
  <c r="M49" i="5"/>
  <c r="M49" i="32" s="1"/>
  <c r="E56" i="5"/>
  <c r="E56" i="32" s="1"/>
  <c r="N9" i="5"/>
  <c r="N9" i="32" s="1"/>
  <c r="M50" i="5"/>
  <c r="M50" i="32" s="1"/>
  <c r="G7" i="5"/>
  <c r="G7" i="32" s="1"/>
  <c r="O43" i="5"/>
  <c r="L24" i="5"/>
  <c r="L24" i="32" s="1"/>
  <c r="O32" i="5"/>
  <c r="K19" i="5"/>
  <c r="K19" i="32" s="1"/>
  <c r="C25" i="5"/>
  <c r="C25" i="32" s="1"/>
  <c r="L29" i="5"/>
  <c r="L29" i="32" s="1"/>
  <c r="O15" i="5"/>
  <c r="F22" i="5"/>
  <c r="F22" i="32" s="1"/>
  <c r="E47" i="5"/>
  <c r="E47" i="32" s="1"/>
  <c r="M20" i="5"/>
  <c r="M20" i="32" s="1"/>
  <c r="I65" i="5"/>
  <c r="I65" i="32" s="1"/>
  <c r="I16" i="5"/>
  <c r="I16" i="32" s="1"/>
  <c r="K20" i="5"/>
  <c r="K20" i="32" s="1"/>
  <c r="H30" i="5"/>
  <c r="H30" i="32" s="1"/>
  <c r="L35" i="5"/>
  <c r="L35" i="32" s="1"/>
  <c r="O18" i="5"/>
  <c r="C7" i="5"/>
  <c r="C7" i="32" s="1"/>
  <c r="C29" i="5"/>
  <c r="C29" i="32" s="1"/>
  <c r="D26" i="5"/>
  <c r="D26" i="32" s="1"/>
  <c r="J22" i="5"/>
  <c r="J22" i="32" s="1"/>
  <c r="N32" i="5"/>
  <c r="N32" i="32" s="1"/>
  <c r="G50" i="5"/>
  <c r="G50" i="32" s="1"/>
  <c r="D58" i="5"/>
  <c r="D58" i="32" s="1"/>
  <c r="E14" i="5"/>
  <c r="E14" i="32" s="1"/>
  <c r="H16" i="5"/>
  <c r="H16" i="32" s="1"/>
  <c r="I50" i="5"/>
  <c r="I50" i="32" s="1"/>
  <c r="D50" i="5"/>
  <c r="D50" i="32" s="1"/>
  <c r="H6" i="5"/>
  <c r="H6" i="32" s="1"/>
  <c r="L36" i="5"/>
  <c r="L36" i="32" s="1"/>
  <c r="L30" i="5"/>
  <c r="L30" i="32" s="1"/>
  <c r="F20" i="5"/>
  <c r="F20" i="32" s="1"/>
  <c r="J57" i="5"/>
  <c r="J57" i="32" s="1"/>
  <c r="G59" i="5"/>
  <c r="G59" i="32" s="1"/>
  <c r="O58" i="5"/>
  <c r="M45" i="5"/>
  <c r="M45" i="32" s="1"/>
  <c r="H38" i="5"/>
  <c r="H38" i="32" s="1"/>
  <c r="C53" i="5"/>
  <c r="C53" i="32" s="1"/>
  <c r="E40" i="5"/>
  <c r="E40" i="32" s="1"/>
  <c r="L33" i="5"/>
  <c r="L33" i="32" s="1"/>
  <c r="L57" i="5"/>
  <c r="L57" i="32" s="1"/>
  <c r="C36" i="5"/>
  <c r="C36" i="32" s="1"/>
  <c r="I29" i="5"/>
  <c r="I29" i="32" s="1"/>
  <c r="D23" i="5"/>
  <c r="D23" i="32" s="1"/>
  <c r="K56" i="5"/>
  <c r="K56" i="32" s="1"/>
  <c r="H46" i="5"/>
  <c r="H46" i="32" s="1"/>
  <c r="F38" i="5"/>
  <c r="F38" i="32" s="1"/>
  <c r="F34" i="5"/>
  <c r="F34" i="32" s="1"/>
  <c r="D10" i="5"/>
  <c r="D10" i="32" s="1"/>
  <c r="D6" i="5"/>
  <c r="O51" i="5"/>
  <c r="O23" i="5"/>
  <c r="K50" i="5"/>
  <c r="K50" i="32" s="1"/>
  <c r="L46" i="5"/>
  <c r="L46" i="32" s="1"/>
  <c r="O50" i="5"/>
  <c r="E25" i="5"/>
  <c r="E25" i="32" s="1"/>
  <c r="O31" i="5"/>
  <c r="M37" i="5"/>
  <c r="M37" i="32" s="1"/>
  <c r="I7" i="5"/>
  <c r="I7" i="32" s="1"/>
  <c r="C60" i="5"/>
  <c r="C60" i="32" s="1"/>
  <c r="K16" i="5"/>
  <c r="K16" i="32" s="1"/>
  <c r="F58" i="5"/>
  <c r="F58" i="32" s="1"/>
  <c r="G37" i="5"/>
  <c r="G37" i="32" s="1"/>
  <c r="H24" i="5"/>
  <c r="H24" i="32" s="1"/>
  <c r="M40" i="5"/>
  <c r="M40" i="32" s="1"/>
  <c r="O52" i="5"/>
  <c r="D37" i="5"/>
  <c r="D37" i="32" s="1"/>
  <c r="J53" i="5"/>
  <c r="J53" i="32" s="1"/>
  <c r="E46" i="5"/>
  <c r="E46" i="32" s="1"/>
  <c r="H34" i="5"/>
  <c r="H34" i="32" s="1"/>
  <c r="I9" i="5"/>
  <c r="I9" i="32" s="1"/>
  <c r="O45" i="5"/>
  <c r="K48" i="5"/>
  <c r="K48" i="32" s="1"/>
  <c r="J49" i="5"/>
  <c r="J49" i="32" s="1"/>
  <c r="K29" i="5"/>
  <c r="K29" i="32" s="1"/>
  <c r="K60" i="5"/>
  <c r="K60" i="32" s="1"/>
  <c r="H19" i="5"/>
  <c r="H19" i="32" s="1"/>
  <c r="O53" i="5"/>
  <c r="H21" i="5"/>
  <c r="H21" i="32" s="1"/>
  <c r="O25" i="5"/>
  <c r="F47" i="5"/>
  <c r="F47" i="32" s="1"/>
  <c r="E51" i="5"/>
  <c r="E51" i="32" s="1"/>
  <c r="L32" i="5"/>
  <c r="L32" i="32" s="1"/>
  <c r="M24" i="5"/>
  <c r="M24" i="32" s="1"/>
  <c r="G49" i="5"/>
  <c r="G49" i="32" s="1"/>
  <c r="G25" i="5"/>
  <c r="G25" i="32" s="1"/>
  <c r="M36" i="5"/>
  <c r="M36" i="32" s="1"/>
  <c r="J51" i="5"/>
  <c r="J51" i="32" s="1"/>
  <c r="F49" i="5"/>
  <c r="F49" i="32" s="1"/>
  <c r="J59" i="5"/>
  <c r="J59" i="32" s="1"/>
  <c r="M16" i="5"/>
  <c r="M16" i="32" s="1"/>
  <c r="J20" i="5"/>
  <c r="J20" i="32" s="1"/>
  <c r="O35" i="5"/>
  <c r="G26" i="5"/>
  <c r="G26" i="32" s="1"/>
  <c r="K18" i="5"/>
  <c r="K18" i="32" s="1"/>
  <c r="M31" i="5"/>
  <c r="M31" i="32" s="1"/>
  <c r="F33" i="5"/>
  <c r="F33" i="32" s="1"/>
  <c r="G54" i="5"/>
  <c r="G54" i="32" s="1"/>
  <c r="I48" i="5"/>
  <c r="I48" i="32" s="1"/>
  <c r="F50" i="5"/>
  <c r="F50" i="32" s="1"/>
  <c r="E48" i="5"/>
  <c r="E48" i="32" s="1"/>
  <c r="L37" i="5"/>
  <c r="L37" i="32" s="1"/>
  <c r="J58" i="5"/>
  <c r="J58" i="32" s="1"/>
  <c r="L27" i="5"/>
  <c r="L27" i="32" s="1"/>
  <c r="E58" i="5"/>
  <c r="E58" i="32" s="1"/>
  <c r="K40" i="5"/>
  <c r="K40" i="32" s="1"/>
  <c r="J60" i="5"/>
  <c r="J60" i="32" s="1"/>
  <c r="J50" i="5"/>
  <c r="J50" i="32" s="1"/>
  <c r="F25" i="5"/>
  <c r="F25" i="32" s="1"/>
  <c r="N55" i="5"/>
  <c r="N55" i="32" s="1"/>
  <c r="O38" i="5"/>
  <c r="L60" i="5"/>
  <c r="L60" i="32" s="1"/>
  <c r="C27" i="5"/>
  <c r="C27" i="32" s="1"/>
  <c r="F24" i="5"/>
  <c r="F24" i="32" s="1"/>
  <c r="L38" i="5"/>
  <c r="L38" i="32" s="1"/>
  <c r="C54" i="5"/>
  <c r="C54" i="32" s="1"/>
  <c r="C39" i="5"/>
  <c r="C39" i="32" s="1"/>
  <c r="E10" i="5"/>
  <c r="E10" i="32" s="1"/>
  <c r="N7" i="5"/>
  <c r="N7" i="32" s="1"/>
  <c r="K6" i="5"/>
  <c r="K6" i="32" s="1"/>
  <c r="M55" i="5"/>
  <c r="M55" i="32" s="1"/>
  <c r="O22" i="5"/>
  <c r="F39" i="5"/>
  <c r="F39" i="32" s="1"/>
  <c r="I32" i="5"/>
  <c r="I32" i="32" s="1"/>
  <c r="O24" i="5"/>
  <c r="D42" i="5"/>
  <c r="D42" i="32" s="1"/>
  <c r="J32" i="5"/>
  <c r="J32" i="32" s="1"/>
  <c r="C49" i="5"/>
  <c r="C49" i="32" s="1"/>
  <c r="F23" i="5"/>
  <c r="F23" i="32" s="1"/>
  <c r="G18" i="5"/>
  <c r="G18" i="32" s="1"/>
  <c r="N65" i="5"/>
  <c r="N65" i="32" s="1"/>
  <c r="M53" i="5"/>
  <c r="M53" i="32" s="1"/>
  <c r="D56" i="5"/>
  <c r="D56" i="32" s="1"/>
  <c r="F54" i="5"/>
  <c r="F54" i="32" s="1"/>
  <c r="K47" i="5"/>
  <c r="K47" i="32" s="1"/>
  <c r="N37" i="5"/>
  <c r="N37" i="32" s="1"/>
  <c r="F44" i="5"/>
  <c r="F44" i="32" s="1"/>
  <c r="G40" i="5"/>
  <c r="G40" i="32" s="1"/>
  <c r="D17" i="5"/>
  <c r="D17" i="32" s="1"/>
  <c r="J38" i="5"/>
  <c r="J38" i="32" s="1"/>
  <c r="L65" i="5"/>
  <c r="L65" i="32" s="1"/>
  <c r="D29" i="5"/>
  <c r="D29" i="32" s="1"/>
  <c r="G42" i="5"/>
  <c r="G42" i="32" s="1"/>
  <c r="N20" i="5"/>
  <c r="N20" i="32" s="1"/>
  <c r="O34" i="5"/>
  <c r="K57" i="5"/>
  <c r="K57" i="32" s="1"/>
  <c r="I54" i="5"/>
  <c r="I54" i="32" s="1"/>
  <c r="K23" i="5"/>
  <c r="K23" i="32" s="1"/>
  <c r="H29" i="5"/>
  <c r="H29" i="32" s="1"/>
  <c r="G35" i="5"/>
  <c r="G35" i="32" s="1"/>
  <c r="L28" i="5"/>
  <c r="L28" i="32" s="1"/>
  <c r="C17" i="5"/>
  <c r="C17" i="32" s="1"/>
  <c r="I40" i="5"/>
  <c r="I40" i="32" s="1"/>
  <c r="O30" i="5"/>
  <c r="G28" i="5"/>
  <c r="G28" i="32" s="1"/>
  <c r="E19" i="5"/>
  <c r="E19" i="32" s="1"/>
  <c r="E31" i="5"/>
  <c r="E31" i="32" s="1"/>
  <c r="M56" i="5"/>
  <c r="M56" i="32" s="1"/>
  <c r="D52" i="5"/>
  <c r="D52" i="32" s="1"/>
  <c r="K15" i="5"/>
  <c r="K15" i="32" s="1"/>
  <c r="M47" i="5"/>
  <c r="M47" i="32" s="1"/>
  <c r="F53" i="5"/>
  <c r="F53" i="32" s="1"/>
  <c r="N53" i="5"/>
  <c r="N53" i="32" s="1"/>
  <c r="C16" i="5"/>
  <c r="C16" i="32" s="1"/>
  <c r="O19" i="5"/>
  <c r="G38" i="5"/>
  <c r="G38" i="32" s="1"/>
  <c r="N29" i="5"/>
  <c r="N29" i="32" s="1"/>
  <c r="N6" i="5"/>
  <c r="D19" i="5"/>
  <c r="D19" i="32" s="1"/>
  <c r="L50" i="5"/>
  <c r="L50" i="32" s="1"/>
  <c r="I51" i="5"/>
  <c r="I51" i="32" s="1"/>
  <c r="N48" i="5"/>
  <c r="N48" i="32" s="1"/>
  <c r="I37" i="5"/>
  <c r="I37" i="32" s="1"/>
  <c r="I26" i="5"/>
  <c r="I26" i="32" s="1"/>
  <c r="D38" i="5"/>
  <c r="D38" i="32" s="1"/>
  <c r="E33" i="5"/>
  <c r="E33" i="32" s="1"/>
  <c r="L39" i="5"/>
  <c r="L39" i="32" s="1"/>
  <c r="F57" i="5"/>
  <c r="F57" i="32" s="1"/>
  <c r="K22" i="5"/>
  <c r="K22" i="32" s="1"/>
  <c r="N60" i="5"/>
  <c r="N60" i="32" s="1"/>
  <c r="D25" i="5"/>
  <c r="D25" i="32" s="1"/>
  <c r="N49" i="5"/>
  <c r="N49" i="32" s="1"/>
  <c r="J48" i="5"/>
  <c r="J48" i="32" s="1"/>
  <c r="E9" i="5"/>
  <c r="E9" i="32" s="1"/>
  <c r="D60" i="5"/>
  <c r="D60" i="32" s="1"/>
  <c r="E21" i="5"/>
  <c r="E21" i="32" s="1"/>
  <c r="G53" i="5"/>
  <c r="G53" i="32" s="1"/>
  <c r="J26" i="5"/>
  <c r="J26" i="32" s="1"/>
  <c r="D16" i="5"/>
  <c r="D16" i="32" s="1"/>
  <c r="C35" i="5"/>
  <c r="C35" i="32" s="1"/>
  <c r="E55" i="5"/>
  <c r="E55" i="32" s="1"/>
  <c r="D33" i="5"/>
  <c r="D33" i="32" s="1"/>
  <c r="J14" i="5"/>
  <c r="J14" i="32" s="1"/>
  <c r="K52" i="5"/>
  <c r="K52" i="32" s="1"/>
  <c r="O60" i="5"/>
  <c r="N31" i="5"/>
  <c r="N31" i="32" s="1"/>
  <c r="M17" i="5"/>
  <c r="M17" i="32" s="1"/>
  <c r="O20" i="5"/>
  <c r="K36" i="5"/>
  <c r="K36" i="32" s="1"/>
  <c r="M10" i="5"/>
  <c r="M10" i="32" s="1"/>
  <c r="E52" i="5"/>
  <c r="E52" i="32" s="1"/>
  <c r="F7" i="5"/>
  <c r="F7" i="32" s="1"/>
  <c r="D27" i="5"/>
  <c r="D27" i="32" s="1"/>
  <c r="E23" i="5"/>
  <c r="E23" i="32" s="1"/>
  <c r="E50" i="5"/>
  <c r="E50" i="32" s="1"/>
  <c r="H7" i="5"/>
  <c r="H7" i="32" s="1"/>
  <c r="F30" i="5"/>
  <c r="F30" i="32" s="1"/>
  <c r="N28" i="5"/>
  <c r="N28" i="32" s="1"/>
  <c r="N56" i="5"/>
  <c r="N56" i="32" s="1"/>
  <c r="E34" i="5"/>
  <c r="E34" i="32" s="1"/>
  <c r="H27" i="5"/>
  <c r="H27" i="32" s="1"/>
  <c r="F60" i="5"/>
  <c r="F60" i="32" s="1"/>
  <c r="I36" i="5"/>
  <c r="I36" i="32" s="1"/>
  <c r="D21" i="5"/>
  <c r="D21" i="32" s="1"/>
  <c r="K28" i="5"/>
  <c r="K28" i="32" s="1"/>
  <c r="G32" i="5"/>
  <c r="G32" i="32" s="1"/>
  <c r="K39" i="5"/>
  <c r="K39" i="32" s="1"/>
  <c r="C42" i="5"/>
  <c r="C42" i="32" s="1"/>
  <c r="E59" i="5"/>
  <c r="E59" i="32" s="1"/>
  <c r="L21" i="5"/>
  <c r="L21" i="32" s="1"/>
  <c r="K33" i="5"/>
  <c r="K33" i="32" s="1"/>
  <c r="F42" i="5"/>
  <c r="F42" i="32" s="1"/>
  <c r="K24" i="5"/>
  <c r="K24" i="32" s="1"/>
  <c r="G14" i="5"/>
  <c r="G14" i="32" s="1"/>
  <c r="O49" i="5"/>
  <c r="C51" i="5"/>
  <c r="C51" i="32" s="1"/>
  <c r="O7" i="5"/>
  <c r="L59" i="5"/>
  <c r="L59" i="32" s="1"/>
  <c r="O39" i="5"/>
  <c r="H54" i="5"/>
  <c r="H54" i="32" s="1"/>
  <c r="D40" i="5"/>
  <c r="D40" i="32" s="1"/>
  <c r="C52" i="5"/>
  <c r="C52" i="32" s="1"/>
  <c r="H10" i="5"/>
  <c r="H10" i="32" s="1"/>
  <c r="M58" i="5"/>
  <c r="M58" i="32" s="1"/>
  <c r="L34" i="5"/>
  <c r="L34" i="32" s="1"/>
  <c r="F35" i="5"/>
  <c r="F35" i="32" s="1"/>
  <c r="C57" i="5"/>
  <c r="C57" i="32" s="1"/>
  <c r="L25" i="5"/>
  <c r="L25" i="32" s="1"/>
  <c r="G65" i="5"/>
  <c r="G65" i="32" s="1"/>
  <c r="J9" i="5"/>
  <c r="J9" i="32" s="1"/>
  <c r="N14" i="5"/>
  <c r="N14" i="32" s="1"/>
  <c r="L54" i="5"/>
  <c r="L54" i="32" s="1"/>
  <c r="G47" i="5"/>
  <c r="G47" i="32" s="1"/>
  <c r="E53" i="5"/>
  <c r="E53" i="32" s="1"/>
  <c r="L14" i="5"/>
  <c r="G10" i="5"/>
  <c r="G10" i="32" s="1"/>
  <c r="G24" i="5"/>
  <c r="G24" i="32" s="1"/>
  <c r="J33" i="5"/>
  <c r="J33" i="32" s="1"/>
  <c r="I47" i="5"/>
  <c r="I47" i="32" s="1"/>
  <c r="D55" i="5"/>
  <c r="D55" i="32" s="1"/>
  <c r="N17" i="5"/>
  <c r="N17" i="32" s="1"/>
  <c r="H33" i="5"/>
  <c r="H33" i="32" s="1"/>
  <c r="N54" i="5"/>
  <c r="N54" i="32" s="1"/>
  <c r="I58" i="5"/>
  <c r="I58" i="32" s="1"/>
  <c r="C47" i="5"/>
  <c r="C47" i="32" s="1"/>
  <c r="M22" i="5"/>
  <c r="M22" i="32" s="1"/>
  <c r="C23" i="5"/>
  <c r="C23" i="32" s="1"/>
  <c r="N23" i="5"/>
  <c r="N23" i="32" s="1"/>
  <c r="D32" i="5"/>
  <c r="D32" i="32" s="1"/>
  <c r="M21" i="5"/>
  <c r="M21" i="32" s="1"/>
  <c r="H26" i="5"/>
  <c r="H26" i="32" s="1"/>
  <c r="H47" i="5"/>
  <c r="H47" i="32" s="1"/>
  <c r="G22" i="5"/>
  <c r="G22" i="32" s="1"/>
  <c r="I43" i="5"/>
  <c r="I43" i="32" s="1"/>
  <c r="H14" i="5"/>
  <c r="H14" i="32" s="1"/>
  <c r="I46" i="5"/>
  <c r="I46" i="32" s="1"/>
  <c r="C55" i="5"/>
  <c r="C55" i="32" s="1"/>
  <c r="N39" i="5"/>
  <c r="N39" i="32" s="1"/>
  <c r="O33" i="5"/>
  <c r="M39" i="5"/>
  <c r="M39" i="32" s="1"/>
  <c r="O29" i="5"/>
  <c r="J16" i="5"/>
  <c r="J16" i="32" s="1"/>
  <c r="E29" i="5"/>
  <c r="E29" i="32" s="1"/>
  <c r="E6" i="5"/>
  <c r="E6" i="32" s="1"/>
  <c r="K38" i="5"/>
  <c r="K38" i="32" s="1"/>
  <c r="H41" i="5"/>
  <c r="H41" i="32" s="1"/>
  <c r="H36" i="5"/>
  <c r="H36" i="32" s="1"/>
  <c r="M35" i="5"/>
  <c r="M35" i="32" s="1"/>
  <c r="D31" i="5"/>
  <c r="D31" i="32" s="1"/>
  <c r="J18" i="5"/>
  <c r="J18" i="32" s="1"/>
  <c r="H35" i="5"/>
  <c r="H35" i="32" s="1"/>
  <c r="I56" i="5"/>
  <c r="I56" i="32" s="1"/>
  <c r="G51" i="5"/>
  <c r="G51" i="32" s="1"/>
  <c r="G6" i="5"/>
  <c r="G6" i="32" s="1"/>
  <c r="G8" i="32" s="1"/>
  <c r="G5" i="32" s="1"/>
  <c r="N43" i="5"/>
  <c r="N43" i="32" s="1"/>
  <c r="M15" i="5"/>
  <c r="M15" i="32" s="1"/>
  <c r="G56" i="5"/>
  <c r="G56" i="32" s="1"/>
  <c r="C34" i="5"/>
  <c r="C34" i="32" s="1"/>
  <c r="C20" i="5"/>
  <c r="C20" i="32" s="1"/>
  <c r="M38" i="5"/>
  <c r="M38" i="32" s="1"/>
  <c r="N10" i="5"/>
  <c r="N10" i="32" s="1"/>
  <c r="F26" i="5"/>
  <c r="F26" i="32" s="1"/>
  <c r="F27" i="5"/>
  <c r="F27" i="32" s="1"/>
  <c r="F45" i="5"/>
  <c r="F45" i="32" s="1"/>
  <c r="H45" i="5"/>
  <c r="H45" i="32" s="1"/>
  <c r="C65" i="5"/>
  <c r="C65" i="32" s="1"/>
  <c r="K53" i="5"/>
  <c r="K53" i="32" s="1"/>
  <c r="E45" i="5"/>
  <c r="E45" i="32" s="1"/>
  <c r="M44" i="5"/>
  <c r="M44" i="32" s="1"/>
  <c r="K37" i="5"/>
  <c r="K37" i="32" s="1"/>
  <c r="O9" i="5"/>
  <c r="I52" i="5"/>
  <c r="I52" i="32" s="1"/>
  <c r="K32" i="5"/>
  <c r="K32" i="32" s="1"/>
  <c r="G17" i="5"/>
  <c r="G17" i="32" s="1"/>
  <c r="H18" i="5"/>
  <c r="H18" i="32" s="1"/>
  <c r="D34" i="5"/>
  <c r="D34" i="32" s="1"/>
  <c r="C48" i="5"/>
  <c r="C48" i="32" s="1"/>
  <c r="J40" i="5"/>
  <c r="J40" i="32" s="1"/>
  <c r="C56" i="5"/>
  <c r="C56" i="32" s="1"/>
  <c r="D49" i="5"/>
  <c r="D49" i="32" s="1"/>
  <c r="M60" i="5"/>
  <c r="M60" i="32" s="1"/>
  <c r="D45" i="5"/>
  <c r="D45" i="32" s="1"/>
  <c r="K14" i="5"/>
  <c r="K14" i="32" s="1"/>
  <c r="E20" i="5"/>
  <c r="E20" i="32" s="1"/>
  <c r="M6" i="5"/>
  <c r="M6" i="32" s="1"/>
  <c r="O55" i="5"/>
  <c r="N44" i="5"/>
  <c r="N44" i="32" s="1"/>
  <c r="C37" i="5"/>
  <c r="C37" i="32" s="1"/>
  <c r="H17" i="5"/>
  <c r="H17" i="32" s="1"/>
  <c r="D47" i="5"/>
  <c r="D47" i="32" s="1"/>
  <c r="E41" i="5"/>
  <c r="E41" i="32" s="1"/>
  <c r="E43" i="5"/>
  <c r="E43" i="32" s="1"/>
  <c r="N47" i="5"/>
  <c r="N47" i="32" s="1"/>
  <c r="O6" i="5"/>
  <c r="C32" i="5"/>
  <c r="C32" i="32" s="1"/>
  <c r="I59" i="5"/>
  <c r="I59" i="32" s="1"/>
  <c r="G55" i="5"/>
  <c r="G55" i="32" s="1"/>
  <c r="N33" i="5"/>
  <c r="N33" i="32" s="1"/>
  <c r="N36" i="5"/>
  <c r="N36" i="32" s="1"/>
  <c r="E18" i="5"/>
  <c r="E18" i="32" s="1"/>
  <c r="D15" i="5"/>
  <c r="D15" i="32" s="1"/>
  <c r="L47" i="5"/>
  <c r="L47" i="32" s="1"/>
  <c r="L45" i="5"/>
  <c r="L45" i="32" s="1"/>
  <c r="I17" i="5"/>
  <c r="I17" i="32" s="1"/>
  <c r="C19" i="5"/>
  <c r="C19" i="32" s="1"/>
  <c r="D44" i="5"/>
  <c r="D44" i="32" s="1"/>
  <c r="E54" i="5"/>
  <c r="E54" i="32" s="1"/>
  <c r="C26" i="5"/>
  <c r="C26" i="32" s="1"/>
  <c r="E60" i="5"/>
  <c r="E60" i="32" s="1"/>
  <c r="H55" i="5"/>
  <c r="H55" i="32" s="1"/>
  <c r="D57" i="5"/>
  <c r="D57" i="32" s="1"/>
  <c r="G27" i="5"/>
  <c r="G27" i="32" s="1"/>
  <c r="F52" i="5"/>
  <c r="F52" i="32" s="1"/>
  <c r="F10" i="5"/>
  <c r="F10" i="32" s="1"/>
  <c r="M54" i="5"/>
  <c r="M54" i="32" s="1"/>
  <c r="G34" i="5"/>
  <c r="G34" i="32" s="1"/>
  <c r="K59" i="5"/>
  <c r="K59" i="32" s="1"/>
  <c r="E16" i="5"/>
  <c r="E16" i="32" s="1"/>
  <c r="H58" i="5"/>
  <c r="H58" i="32" s="1"/>
  <c r="F37" i="5"/>
  <c r="F37" i="32" s="1"/>
  <c r="I55" i="5"/>
  <c r="I55" i="32" s="1"/>
  <c r="H48" i="5"/>
  <c r="H48" i="32" s="1"/>
  <c r="D54" i="5"/>
  <c r="D54" i="32" s="1"/>
  <c r="L44" i="5"/>
  <c r="L44" i="32" s="1"/>
  <c r="J56" i="5"/>
  <c r="J56" i="32" s="1"/>
  <c r="C10" i="5"/>
  <c r="C10" i="32" s="1"/>
  <c r="J30" i="5"/>
  <c r="J30" i="32" s="1"/>
  <c r="E57" i="5"/>
  <c r="E57" i="32" s="1"/>
  <c r="D36" i="5"/>
  <c r="D36" i="32" s="1"/>
  <c r="G33" i="5"/>
  <c r="G33" i="32" s="1"/>
  <c r="J29" i="5"/>
  <c r="J29" i="32" s="1"/>
  <c r="G60" i="5"/>
  <c r="G60" i="32" s="1"/>
  <c r="O65" i="5"/>
  <c r="E73" i="32"/>
  <c r="O78" i="32"/>
  <c r="O70" i="32"/>
  <c r="D79" i="5"/>
  <c r="D67" i="5" s="1"/>
  <c r="D73" i="32"/>
  <c r="D67" i="32" s="1"/>
  <c r="C79" i="5"/>
  <c r="E73" i="5"/>
  <c r="E67" i="5" s="1"/>
  <c r="O69" i="32"/>
  <c r="C73" i="5"/>
  <c r="C73" i="32"/>
  <c r="C67" i="32" s="1"/>
  <c r="M7" i="32"/>
  <c r="J6" i="32"/>
  <c r="I14" i="32"/>
  <c r="I6" i="32"/>
  <c r="C94" i="32"/>
  <c r="O93" i="32"/>
  <c r="F14" i="32"/>
  <c r="L14" i="32"/>
  <c r="O76" i="32"/>
  <c r="E79" i="32"/>
  <c r="N6" i="32"/>
  <c r="D6" i="32"/>
  <c r="N8" i="32" l="1"/>
  <c r="N8" i="5"/>
  <c r="D8" i="5"/>
  <c r="D5" i="5" s="1"/>
  <c r="D12" i="5" s="1"/>
  <c r="D81" i="5" s="1"/>
  <c r="D8" i="32"/>
  <c r="D5" i="32" s="1"/>
  <c r="D12" i="32" s="1"/>
  <c r="D81" i="32" s="1"/>
  <c r="K8" i="5"/>
  <c r="K5" i="5" s="1"/>
  <c r="K12" i="5" s="1"/>
  <c r="E8" i="32"/>
  <c r="E5" i="32" s="1"/>
  <c r="E12" i="32" s="1"/>
  <c r="K8" i="32"/>
  <c r="K5" i="32" s="1"/>
  <c r="K12" i="32" s="1"/>
  <c r="O31" i="32"/>
  <c r="F8" i="32"/>
  <c r="F5" i="32" s="1"/>
  <c r="F12" i="32" s="1"/>
  <c r="F71" i="5"/>
  <c r="F71" i="32" s="1"/>
  <c r="F68" i="32"/>
  <c r="F92" i="32"/>
  <c r="F94" i="5"/>
  <c r="F74" i="32"/>
  <c r="F77" i="5"/>
  <c r="L38" i="10"/>
  <c r="K5" i="10"/>
  <c r="F73" i="5"/>
  <c r="F89" i="5"/>
  <c r="F87" i="32"/>
  <c r="M8" i="32"/>
  <c r="M5" i="32" s="1"/>
  <c r="M12" i="32" s="1"/>
  <c r="K8" i="10"/>
  <c r="G92" i="5"/>
  <c r="G68" i="5"/>
  <c r="F97" i="32"/>
  <c r="F99" i="5"/>
  <c r="K24" i="10"/>
  <c r="G87" i="5"/>
  <c r="K16" i="10"/>
  <c r="K3" i="10" s="1" a="1"/>
  <c r="K3" i="10" s="1"/>
  <c r="G97" i="5"/>
  <c r="G74" i="5"/>
  <c r="H8" i="32"/>
  <c r="H5" i="32" s="1"/>
  <c r="H12" i="32" s="1"/>
  <c r="O27" i="32"/>
  <c r="O8" i="5"/>
  <c r="O5" i="5" s="1"/>
  <c r="O12" i="5" s="1"/>
  <c r="H8" i="5"/>
  <c r="H5" i="5" s="1"/>
  <c r="H12" i="5" s="1"/>
  <c r="O43" i="32"/>
  <c r="G12" i="32"/>
  <c r="O35" i="32"/>
  <c r="E8" i="5"/>
  <c r="E5" i="5" s="1"/>
  <c r="E12" i="5" s="1"/>
  <c r="E81" i="5" s="1"/>
  <c r="L5" i="32"/>
  <c r="O58" i="32"/>
  <c r="F8" i="5"/>
  <c r="F5" i="5" s="1"/>
  <c r="F12" i="5" s="1"/>
  <c r="M8" i="5"/>
  <c r="M5" i="5" s="1"/>
  <c r="M12" i="5" s="1"/>
  <c r="O21" i="32"/>
  <c r="O56" i="32"/>
  <c r="O24" i="32"/>
  <c r="O49" i="32"/>
  <c r="L12" i="32"/>
  <c r="O46" i="32"/>
  <c r="O32" i="32"/>
  <c r="O19" i="32"/>
  <c r="O17" i="32"/>
  <c r="I8" i="5"/>
  <c r="I5" i="5" s="1"/>
  <c r="I12" i="5" s="1"/>
  <c r="I8" i="32"/>
  <c r="I5" i="32" s="1"/>
  <c r="I12" i="32" s="1"/>
  <c r="O36" i="32"/>
  <c r="L8" i="5"/>
  <c r="L5" i="5" s="1"/>
  <c r="L12" i="5" s="1"/>
  <c r="J8" i="5"/>
  <c r="J5" i="5" s="1"/>
  <c r="J12" i="5" s="1"/>
  <c r="O26" i="32"/>
  <c r="O39" i="32"/>
  <c r="O53" i="32"/>
  <c r="O60" i="32"/>
  <c r="O23" i="32"/>
  <c r="O25" i="32"/>
  <c r="O34" i="32"/>
  <c r="O38" i="32"/>
  <c r="O40" i="32"/>
  <c r="O50" i="32"/>
  <c r="O9" i="32"/>
  <c r="O22" i="32"/>
  <c r="O20" i="32"/>
  <c r="O18" i="32"/>
  <c r="O47" i="32"/>
  <c r="O45" i="32"/>
  <c r="O65" i="32"/>
  <c r="O51" i="32"/>
  <c r="O28" i="32"/>
  <c r="O52" i="32"/>
  <c r="O59" i="32"/>
  <c r="J8" i="32"/>
  <c r="J5" i="32" s="1"/>
  <c r="J12" i="32" s="1"/>
  <c r="O29" i="32"/>
  <c r="C63" i="5"/>
  <c r="G8" i="5"/>
  <c r="G5" i="5" s="1"/>
  <c r="G12" i="5" s="1"/>
  <c r="O33" i="32"/>
  <c r="O48" i="32"/>
  <c r="M14" i="32"/>
  <c r="O14" i="32" s="1"/>
  <c r="O55" i="32"/>
  <c r="C8" i="5"/>
  <c r="C5" i="5" s="1"/>
  <c r="C12" i="5" s="1"/>
  <c r="O37" i="32"/>
  <c r="N5" i="32"/>
  <c r="N12" i="32" s="1"/>
  <c r="O30" i="32"/>
  <c r="N5" i="5"/>
  <c r="N12" i="5" s="1"/>
  <c r="O16" i="32"/>
  <c r="O57" i="32"/>
  <c r="G63" i="5"/>
  <c r="O10" i="32"/>
  <c r="O44" i="32"/>
  <c r="O54" i="32"/>
  <c r="D63" i="5"/>
  <c r="E67" i="32"/>
  <c r="F63" i="5"/>
  <c r="E63" i="5"/>
  <c r="H63" i="5"/>
  <c r="C67" i="5"/>
  <c r="O15" i="32"/>
  <c r="O7" i="32"/>
  <c r="G3" i="10" a="1"/>
  <c r="G3" i="10" s="1"/>
  <c r="F3" i="10" a="1"/>
  <c r="F3" i="10" s="1"/>
  <c r="J3" i="10" a="1"/>
  <c r="J3" i="10" s="1"/>
  <c r="C8" i="32"/>
  <c r="C5" i="32" s="1"/>
  <c r="C12" i="32" s="1"/>
  <c r="O6" i="32"/>
  <c r="H13" i="5" l="1"/>
  <c r="G13" i="5"/>
  <c r="G66" i="5" s="1"/>
  <c r="F13" i="5"/>
  <c r="C13" i="5"/>
  <c r="L24" i="10"/>
  <c r="H87" i="5"/>
  <c r="G92" i="32"/>
  <c r="G94" i="32" s="1"/>
  <c r="G94" i="5"/>
  <c r="E13" i="5"/>
  <c r="E66" i="5" s="1"/>
  <c r="E80" i="5" s="1"/>
  <c r="L8" i="10"/>
  <c r="H68" i="5"/>
  <c r="H92" i="5"/>
  <c r="F73" i="32"/>
  <c r="M38" i="10"/>
  <c r="L5" i="10"/>
  <c r="I42" i="5"/>
  <c r="C63" i="32"/>
  <c r="C13" i="32" s="1"/>
  <c r="C66" i="32" s="1"/>
  <c r="C80" i="32" s="1"/>
  <c r="G74" i="32"/>
  <c r="G77" i="5"/>
  <c r="G77" i="32" s="1"/>
  <c r="F89" i="32"/>
  <c r="F77" i="32"/>
  <c r="F79" i="5"/>
  <c r="F67" i="5" s="1"/>
  <c r="F81" i="5" s="1"/>
  <c r="G97" i="32"/>
  <c r="G99" i="32" s="1"/>
  <c r="G99" i="5"/>
  <c r="D13" i="5"/>
  <c r="D66" i="5" s="1"/>
  <c r="D80" i="5" s="1"/>
  <c r="G87" i="32"/>
  <c r="G89" i="32" s="1"/>
  <c r="G89" i="5"/>
  <c r="F99" i="32"/>
  <c r="L16" i="10"/>
  <c r="H74" i="5"/>
  <c r="H97" i="5"/>
  <c r="K41" i="5"/>
  <c r="G68" i="32"/>
  <c r="G71" i="5"/>
  <c r="G71" i="32" s="1"/>
  <c r="F94" i="32"/>
  <c r="H66" i="5"/>
  <c r="G63" i="32"/>
  <c r="G13" i="32" s="1"/>
  <c r="G66" i="32" s="1"/>
  <c r="E81" i="32"/>
  <c r="F66" i="5"/>
  <c r="H63" i="32"/>
  <c r="H13" i="32" s="1"/>
  <c r="H66" i="32" s="1"/>
  <c r="C81" i="5"/>
  <c r="C66" i="5"/>
  <c r="C80" i="5" s="1"/>
  <c r="I3" i="10" a="1"/>
  <c r="I3" i="10" s="1"/>
  <c r="E63" i="32"/>
  <c r="E13" i="32" s="1"/>
  <c r="E66" i="32" s="1"/>
  <c r="E80" i="32" s="1"/>
  <c r="H3" i="10" a="1"/>
  <c r="H3" i="10" s="1"/>
  <c r="F63" i="32"/>
  <c r="F13" i="32" s="1"/>
  <c r="F66" i="32" s="1"/>
  <c r="D63" i="32"/>
  <c r="D13" i="32" s="1"/>
  <c r="D66" i="32" s="1"/>
  <c r="D80" i="32" s="1"/>
  <c r="O8" i="32"/>
  <c r="O5" i="32" s="1"/>
  <c r="O12" i="32" s="1"/>
  <c r="C81" i="32"/>
  <c r="G79" i="32" l="1"/>
  <c r="F80" i="5"/>
  <c r="H74" i="32"/>
  <c r="H77" i="5"/>
  <c r="H77" i="32" s="1"/>
  <c r="G73" i="32"/>
  <c r="M16" i="10"/>
  <c r="I74" i="5"/>
  <c r="I97" i="5"/>
  <c r="H92" i="32"/>
  <c r="H94" i="5"/>
  <c r="H89" i="5"/>
  <c r="H87" i="32"/>
  <c r="K41" i="32"/>
  <c r="I42" i="32"/>
  <c r="I63" i="5"/>
  <c r="H68" i="32"/>
  <c r="H71" i="5"/>
  <c r="H71" i="32" s="1"/>
  <c r="M24" i="10"/>
  <c r="I87" i="5"/>
  <c r="L41" i="5"/>
  <c r="G79" i="5"/>
  <c r="M8" i="10"/>
  <c r="I92" i="5"/>
  <c r="I68" i="5"/>
  <c r="L3" i="10" a="1"/>
  <c r="L3" i="10" s="1"/>
  <c r="G73" i="5"/>
  <c r="H99" i="5"/>
  <c r="H97" i="32"/>
  <c r="F79" i="32"/>
  <c r="F67" i="32" s="1"/>
  <c r="N38" i="10"/>
  <c r="M5" i="10"/>
  <c r="J42" i="5"/>
  <c r="G67" i="32" l="1"/>
  <c r="G81" i="32" s="1"/>
  <c r="H79" i="32"/>
  <c r="G67" i="5"/>
  <c r="F81" i="32"/>
  <c r="F80" i="32"/>
  <c r="H99" i="32"/>
  <c r="H89" i="32"/>
  <c r="L41" i="32"/>
  <c r="I68" i="32"/>
  <c r="I71" i="5"/>
  <c r="I71" i="32" s="1"/>
  <c r="I87" i="32"/>
  <c r="I89" i="32" s="1"/>
  <c r="I89" i="5"/>
  <c r="N8" i="10"/>
  <c r="J92" i="5"/>
  <c r="J68" i="5"/>
  <c r="M3" i="10" a="1"/>
  <c r="M3" i="10" s="1"/>
  <c r="N24" i="10"/>
  <c r="J87" i="5"/>
  <c r="I97" i="32"/>
  <c r="I99" i="32" s="1"/>
  <c r="I99" i="5"/>
  <c r="O38" i="10"/>
  <c r="N5" i="10"/>
  <c r="K42" i="5"/>
  <c r="I92" i="32"/>
  <c r="I94" i="32" s="1"/>
  <c r="I94" i="5"/>
  <c r="H73" i="32"/>
  <c r="H67" i="32" s="1"/>
  <c r="J42" i="32"/>
  <c r="J63" i="5"/>
  <c r="M41" i="5"/>
  <c r="H94" i="32"/>
  <c r="I74" i="32"/>
  <c r="I77" i="5"/>
  <c r="I77" i="32" s="1"/>
  <c r="H79" i="5"/>
  <c r="I13" i="5"/>
  <c r="I66" i="5" s="1"/>
  <c r="I63" i="32"/>
  <c r="N16" i="10"/>
  <c r="J74" i="5"/>
  <c r="J97" i="5"/>
  <c r="H73" i="5"/>
  <c r="H67" i="5" l="1"/>
  <c r="G80" i="32"/>
  <c r="G81" i="5"/>
  <c r="G80" i="5"/>
  <c r="J87" i="32"/>
  <c r="J89" i="32" s="1"/>
  <c r="J89" i="5"/>
  <c r="J92" i="32"/>
  <c r="J94" i="5"/>
  <c r="I79" i="32"/>
  <c r="H81" i="32"/>
  <c r="H80" i="32"/>
  <c r="P38" i="10"/>
  <c r="O5" i="10"/>
  <c r="L42" i="5"/>
  <c r="J68" i="32"/>
  <c r="J71" i="5"/>
  <c r="J71" i="32" s="1"/>
  <c r="J97" i="32"/>
  <c r="J99" i="32" s="1"/>
  <c r="J99" i="5"/>
  <c r="M41" i="32"/>
  <c r="I73" i="5"/>
  <c r="J77" i="5"/>
  <c r="J77" i="32" s="1"/>
  <c r="J74" i="32"/>
  <c r="O24" i="10"/>
  <c r="K87" i="5"/>
  <c r="O8" i="10"/>
  <c r="K92" i="5"/>
  <c r="K68" i="5"/>
  <c r="N3" i="10" a="1"/>
  <c r="N3" i="10" s="1"/>
  <c r="I13" i="32"/>
  <c r="I66" i="32" s="1"/>
  <c r="I73" i="32"/>
  <c r="O16" i="10"/>
  <c r="K74" i="5"/>
  <c r="K97" i="5"/>
  <c r="K42" i="32"/>
  <c r="K63" i="5"/>
  <c r="H81" i="5"/>
  <c r="H80" i="5"/>
  <c r="N41" i="5"/>
  <c r="R65" i="10"/>
  <c r="I79" i="5"/>
  <c r="I67" i="5" s="1"/>
  <c r="I81" i="5" s="1"/>
  <c r="J13" i="5"/>
  <c r="J66" i="5" s="1"/>
  <c r="J63" i="32"/>
  <c r="J13" i="32" s="1"/>
  <c r="J66" i="32" s="1"/>
  <c r="I67" i="32" l="1"/>
  <c r="I81" i="32" s="1"/>
  <c r="J73" i="5"/>
  <c r="J67" i="5" s="1"/>
  <c r="J81" i="5" s="1"/>
  <c r="J73" i="32"/>
  <c r="K13" i="5"/>
  <c r="K66" i="5" s="1"/>
  <c r="K63" i="32"/>
  <c r="K13" i="32" s="1"/>
  <c r="K66" i="32" s="1"/>
  <c r="P16" i="10"/>
  <c r="L97" i="5"/>
  <c r="L74" i="5"/>
  <c r="K87" i="32"/>
  <c r="K89" i="5"/>
  <c r="N41" i="32"/>
  <c r="O41" i="32" s="1"/>
  <c r="K68" i="32"/>
  <c r="K71" i="5"/>
  <c r="K71" i="32" s="1"/>
  <c r="Q38" i="10"/>
  <c r="R38" i="10" s="1"/>
  <c r="P5" i="10"/>
  <c r="M42" i="5"/>
  <c r="K97" i="32"/>
  <c r="K99" i="32" s="1"/>
  <c r="K99" i="5"/>
  <c r="K92" i="32"/>
  <c r="K94" i="32" s="1"/>
  <c r="K94" i="5"/>
  <c r="J79" i="5"/>
  <c r="L42" i="32"/>
  <c r="L63" i="5"/>
  <c r="P24" i="10"/>
  <c r="L87" i="5"/>
  <c r="I80" i="5"/>
  <c r="K74" i="32"/>
  <c r="K77" i="5"/>
  <c r="K77" i="32" s="1"/>
  <c r="J79" i="32"/>
  <c r="J94" i="32"/>
  <c r="O41" i="5"/>
  <c r="P8" i="10"/>
  <c r="L68" i="5"/>
  <c r="L92" i="5"/>
  <c r="O3" i="10" a="1"/>
  <c r="O3" i="10" s="1"/>
  <c r="I80" i="32" l="1"/>
  <c r="J67" i="32"/>
  <c r="J81" i="32" s="1"/>
  <c r="L92" i="32"/>
  <c r="L94" i="32" s="1"/>
  <c r="L94" i="5"/>
  <c r="K79" i="32"/>
  <c r="L89" i="5"/>
  <c r="L87" i="32"/>
  <c r="L89" i="32" s="1"/>
  <c r="K73" i="5"/>
  <c r="L68" i="32"/>
  <c r="L71" i="5"/>
  <c r="L71" i="32" s="1"/>
  <c r="R5" i="10"/>
  <c r="O42" i="5"/>
  <c r="O63" i="5" s="1"/>
  <c r="O13" i="5" s="1"/>
  <c r="O66" i="5" s="1"/>
  <c r="Q24" i="10"/>
  <c r="M87" i="5"/>
  <c r="M42" i="32"/>
  <c r="M63" i="5"/>
  <c r="K73" i="32"/>
  <c r="K89" i="32"/>
  <c r="Q8" i="10"/>
  <c r="M92" i="5"/>
  <c r="M68" i="5"/>
  <c r="P3" i="10" a="1"/>
  <c r="P3" i="10" s="1"/>
  <c r="L13" i="5"/>
  <c r="L66" i="5" s="1"/>
  <c r="L63" i="32"/>
  <c r="L74" i="32"/>
  <c r="L77" i="5"/>
  <c r="L77" i="32" s="1"/>
  <c r="Q5" i="10"/>
  <c r="N42" i="5"/>
  <c r="L97" i="32"/>
  <c r="L99" i="32" s="1"/>
  <c r="L99" i="5"/>
  <c r="J80" i="5"/>
  <c r="K79" i="5"/>
  <c r="Q16" i="10"/>
  <c r="M97" i="5"/>
  <c r="M74" i="5"/>
  <c r="J80" i="32" l="1"/>
  <c r="K67" i="32"/>
  <c r="L73" i="32"/>
  <c r="N42" i="32"/>
  <c r="O42" i="32" s="1"/>
  <c r="N63" i="5"/>
  <c r="M97" i="32"/>
  <c r="M99" i="32" s="1"/>
  <c r="M99" i="5"/>
  <c r="K67" i="5"/>
  <c r="N92" i="5"/>
  <c r="N68" i="5"/>
  <c r="Q3" i="10" a="1"/>
  <c r="Q3" i="10" s="1"/>
  <c r="M74" i="32"/>
  <c r="M77" i="5"/>
  <c r="M77" i="32" s="1"/>
  <c r="L13" i="32"/>
  <c r="L66" i="32" s="1"/>
  <c r="N87" i="5"/>
  <c r="R24" i="10"/>
  <c r="O87" i="5" s="1"/>
  <c r="O89" i="5" s="1"/>
  <c r="R8" i="10"/>
  <c r="N97" i="5"/>
  <c r="N74" i="5"/>
  <c r="R16" i="10"/>
  <c r="M68" i="32"/>
  <c r="M71" i="5"/>
  <c r="M71" i="32" s="1"/>
  <c r="M13" i="5"/>
  <c r="M66" i="5" s="1"/>
  <c r="M63" i="32"/>
  <c r="M13" i="32" s="1"/>
  <c r="M66" i="32" s="1"/>
  <c r="L79" i="5"/>
  <c r="M92" i="32"/>
  <c r="M94" i="5"/>
  <c r="L73" i="5"/>
  <c r="L79" i="32"/>
  <c r="M87" i="32"/>
  <c r="M89" i="32" s="1"/>
  <c r="M89" i="5"/>
  <c r="L67" i="32" l="1"/>
  <c r="L81" i="32" s="1"/>
  <c r="M79" i="5"/>
  <c r="M73" i="32"/>
  <c r="K81" i="32"/>
  <c r="K80" i="32"/>
  <c r="M94" i="32"/>
  <c r="N87" i="32"/>
  <c r="N89" i="5"/>
  <c r="K81" i="5"/>
  <c r="K80" i="5"/>
  <c r="O97" i="5"/>
  <c r="O99" i="5" s="1"/>
  <c r="O74" i="5"/>
  <c r="N74" i="32"/>
  <c r="N77" i="5"/>
  <c r="N77" i="32" s="1"/>
  <c r="O77" i="32" s="1"/>
  <c r="O68" i="5"/>
  <c r="O92" i="5"/>
  <c r="O94" i="5" s="1"/>
  <c r="N68" i="32"/>
  <c r="N71" i="5"/>
  <c r="N71" i="32" s="1"/>
  <c r="O71" i="32" s="1"/>
  <c r="N97" i="32"/>
  <c r="N99" i="5"/>
  <c r="N92" i="32"/>
  <c r="N94" i="32" s="1"/>
  <c r="N94" i="5"/>
  <c r="N13" i="5"/>
  <c r="N66" i="5" s="1"/>
  <c r="N63" i="32"/>
  <c r="L67" i="5"/>
  <c r="M73" i="5"/>
  <c r="M79" i="32"/>
  <c r="M67" i="32" s="1"/>
  <c r="O74" i="32"/>
  <c r="L80" i="32" l="1"/>
  <c r="M67" i="5"/>
  <c r="M81" i="5" s="1"/>
  <c r="O79" i="32"/>
  <c r="M80" i="5"/>
  <c r="M81" i="32"/>
  <c r="M80" i="32"/>
  <c r="N13" i="32"/>
  <c r="N66" i="32" s="1"/>
  <c r="O63" i="32"/>
  <c r="O13" i="32" s="1"/>
  <c r="O66" i="32" s="1"/>
  <c r="N99" i="32"/>
  <c r="O97" i="32"/>
  <c r="O99" i="32" s="1"/>
  <c r="O92" i="32"/>
  <c r="O94" i="32" s="1"/>
  <c r="N79" i="5"/>
  <c r="N73" i="5"/>
  <c r="N79" i="32"/>
  <c r="N89" i="32"/>
  <c r="O87" i="32"/>
  <c r="O89" i="32" s="1"/>
  <c r="L81" i="5"/>
  <c r="L80" i="5"/>
  <c r="O77" i="5"/>
  <c r="O79" i="5" s="1"/>
  <c r="O71" i="5"/>
  <c r="O73" i="5" s="1"/>
  <c r="N73" i="32"/>
  <c r="O68" i="32"/>
  <c r="O73" i="32" s="1"/>
  <c r="O67" i="32" l="1"/>
  <c r="O81" i="32" s="1"/>
  <c r="N67" i="5"/>
  <c r="N81" i="5" s="1"/>
  <c r="N67" i="32"/>
  <c r="N81" i="32" s="1"/>
  <c r="O67" i="5"/>
  <c r="N80" i="5" l="1"/>
  <c r="O80" i="32"/>
  <c r="N80" i="32"/>
  <c r="O81" i="5"/>
  <c r="O8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90BC280C-3E7F-403C-B3B9-EEA125BCCBBF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66887F03-6C30-44D4-9BF9-1B48F30D8C2A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<sst xmlns="http://schemas.openxmlformats.org/spreadsheetml/2006/main" count="1688" uniqueCount="749">
  <si>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</si>
  <si>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</si>
  <si>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</si>
  <si>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</si>
  <si>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</si>
  <si>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</si>
  <si>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</si>
  <si>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</si>
  <si>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</si>
  <si>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</si>
  <si>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</si>
  <si>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</si>
  <si>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</si>
  <si>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</si>
  <si>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</si>
  <si>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</si>
  <si>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</si>
  <si>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</si>
  <si>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</si>
  <si>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</si>
  <si>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</si>
  <si>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</si>
  <si>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</si>
  <si>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</si>
  <si>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</si>
  <si>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</si>
  <si>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</si>
  <si>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</si>
  <si>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</si>
  <si>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</si>
  <si>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</si>
  <si>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</si>
  <si>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</si>
  <si>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</si>
  <si>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</si>
  <si>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</si>
  <si>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</si>
  <si>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</si>
  <si>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</si>
  <si>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</si>
  <si>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</si>
  <si>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</si>
  <si>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</si>
  <si>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</si>
  <si>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</si>
  <si>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</si>
  <si>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</si>
  <si>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</si>
  <si>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</si>
  <si>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</si>
  <si>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</si>
  <si>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</si>
  <si>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</si>
  <si>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</si>
  <si>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</si>
  <si>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</si>
  <si>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</si>
  <si>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</si>
  <si>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</si>
  <si>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</si>
  <si>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</si>
  <si>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</si>
  <si>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</si>
  <si>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</si>
  <si>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</si>
  <si>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</si>
  <si>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</si>
  <si>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</si>
  <si>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</si>
  <si>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</si>
  <si>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</si>
  <si>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</si>
  <si>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</si>
  <si>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</si>
  <si>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</si>
  <si>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</si>
  <si>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</si>
  <si>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</si>
  <si>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</si>
  <si>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</si>
  <si>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</si>
  <si>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</si>
  <si>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</si>
  <si>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</si>
  <si>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</si>
  <si>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</si>
  <si>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</si>
  <si>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</si>
  <si>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</si>
  <si>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</si>
  <si>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</si>
  <si>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</si>
  <si>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</si>
  <si>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</si>
  <si>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</si>
  <si>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</si>
  <si>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</si>
  <si>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</si>
  <si>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</si>
  <si>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</si>
  <si>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</si>
  <si>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</si>
  <si>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</si>
  <si>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</si>
  <si>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</si>
  <si>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</si>
  <si>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</si>
  <si>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</si>
  <si>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</si>
  <si>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</si>
  <si>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</si>
  <si>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</si>
  <si>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</si>
  <si>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</si>
  <si>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</si>
  <si>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</si>
  <si>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</si>
  <si>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</si>
  <si>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</si>
  <si>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</si>
  <si>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</si>
  <si>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</si>
  <si>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</si>
  <si>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</si>
  <si>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</si>
  <si>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</si>
  <si>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</si>
  <si>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</si>
  <si>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</si>
  <si>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</si>
  <si>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</si>
  <si>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</si>
  <si>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</si>
  <si>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</si>
  <si>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</si>
  <si>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</si>
  <si>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</si>
  <si>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</si>
  <si>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</si>
  <si>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</si>
  <si>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</si>
  <si>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</si>
  <si>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</si>
  <si>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</si>
  <si>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</si>
  <si>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</si>
  <si>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</si>
  <si>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</si>
  <si>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</si>
  <si>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</si>
  <si>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</si>
  <si>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</si>
  <si>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</si>
  <si>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</si>
  <si>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</si>
  <si>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</si>
  <si>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</si>
  <si>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</si>
  <si>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</si>
  <si>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</si>
  <si>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</si>
  <si>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</si>
  <si>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</si>
  <si>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</si>
  <si>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</si>
  <si>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</si>
  <si>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</si>
  <si>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</si>
  <si>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</si>
  <si>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</si>
  <si>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</si>
  <si>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</si>
  <si>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</si>
  <si>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</si>
  <si>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</si>
  <si>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</si>
  <si>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</si>
  <si>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</si>
  <si>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</si>
  <si>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</si>
  <si>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</si>
  <si>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</si>
  <si>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</si>
  <si>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</si>
  <si>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</si>
  <si>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</si>
  <si>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</si>
  <si>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</si>
  <si>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</si>
  <si>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</si>
  <si>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</si>
  <si>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</si>
  <si>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</si>
  <si>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</si>
  <si>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</si>
  <si>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</si>
  <si>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</si>
  <si>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</si>
  <si>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</si>
  <si>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</si>
  <si>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</si>
  <si>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</si>
  <si>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</si>
  <si>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</si>
  <si>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</si>
  <si>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</si>
  <si>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</si>
  <si>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</si>
  <si>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</si>
  <si>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</si>
  <si>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</si>
  <si>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</si>
  <si>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</si>
  <si>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</si>
  <si>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</si>
  <si>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</si>
  <si>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</si>
  <si>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</si>
  <si>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</si>
  <si>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</si>
  <si>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</si>
  <si>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</si>
  <si>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</si>
  <si>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</si>
  <si>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</si>
  <si>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</si>
  <si>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</si>
  <si>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</si>
  <si>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</si>
  <si>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</si>
  <si>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</si>
  <si>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</si>
  <si>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</si>
  <si>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</si>
  <si>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</si>
  <si>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</si>
  <si>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</si>
  <si>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</si>
  <si>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</si>
  <si>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</si>
  <si>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</si>
  <si>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</si>
  <si>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</si>
  <si>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</si>
  <si>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</si>
  <si>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</si>
  <si>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</si>
  <si>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</si>
  <si>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</si>
  <si>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</si>
  <si>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</si>
  <si>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</si>
  <si>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</si>
  <si>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</si>
  <si>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</si>
  <si>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</si>
  <si>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</si>
  <si>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</si>
  <si>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</si>
  <si>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</si>
  <si>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</si>
  <si>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</si>
  <si>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</si>
  <si>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</si>
  <si>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</si>
  <si>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</si>
  <si>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</si>
  <si>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</si>
  <si>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</si>
  <si>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</si>
  <si>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</si>
  <si>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</si>
  <si>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</si>
  <si>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</si>
  <si>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</si>
  <si>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</si>
  <si>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</si>
  <si>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</si>
  <si>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</si>
  <si>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</si>
  <si>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</si>
  <si>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</si>
  <si>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</si>
  <si>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</si>
  <si>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</si>
  <si>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</si>
  <si>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</si>
  <si>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</si>
  <si>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</si>
  <si>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</si>
  <si>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</si>
  <si>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</si>
  <si>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</si>
  <si>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</si>
  <si>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</si>
  <si>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</si>
  <si>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</si>
  <si>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</si>
  <si>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</si>
  <si>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</si>
  <si>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</si>
  <si>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</si>
  <si>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</si>
  <si>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</si>
  <si>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</si>
  <si>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</si>
  <si>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</si>
  <si>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</si>
  <si>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</si>
  <si>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</si>
  <si>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</si>
  <si>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</si>
  <si>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</si>
  <si>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</si>
  <si>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</si>
  <si>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</si>
  <si>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</si>
  <si>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</si>
  <si>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</si>
  <si>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</si>
  <si>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</si>
  <si>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</si>
  <si>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</si>
  <si>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</si>
  <si>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</si>
  <si>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</si>
  <si>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</si>
  <si>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</si>
  <si>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</si>
  <si>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</si>
  <si>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</si>
  <si>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</si>
  <si>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</si>
  <si>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</si>
  <si>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</si>
  <si>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</si>
  <si>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</si>
  <si>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</si>
  <si>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</si>
  <si>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</si>
  <si>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</si>
  <si>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</si>
  <si>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</si>
  <si>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</si>
  <si>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</si>
  <si>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</si>
  <si>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</si>
  <si>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</si>
  <si>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</si>
  <si>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</si>
  <si>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</si>
  <si>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</si>
  <si>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</si>
  <si>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</si>
  <si>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</si>
  <si>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</si>
  <si>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</si>
  <si>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</si>
  <si>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</si>
  <si>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</si>
  <si>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</si>
  <si>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</si>
  <si>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</si>
  <si>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</si>
  <si>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</si>
  <si>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</si>
  <si>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</si>
  <si>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</si>
  <si>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</si>
  <si>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</si>
  <si>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</si>
  <si>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</si>
  <si>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</si>
  <si>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</si>
  <si>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</si>
  <si>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</si>
  <si>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</si>
  <si>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</si>
  <si>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</si>
  <si>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</si>
  <si>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</si>
  <si>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</si>
  <si>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</si>
  <si>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</si>
  <si>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</si>
  <si>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</si>
  <si>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</si>
  <si>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</si>
  <si>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</si>
  <si>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</si>
  <si>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</si>
  <si>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</si>
  <si>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</si>
  <si>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</si>
  <si>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</si>
  <si>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</si>
  <si>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</si>
  <si>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</si>
  <si>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</si>
  <si>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</si>
  <si>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</si>
  <si>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</si>
  <si>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</si>
  <si>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</si>
  <si>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</si>
  <si>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</si>
  <si>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</si>
  <si>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</si>
  <si>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</si>
  <si>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</si>
  <si>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</si>
  <si>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</si>
  <si>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</si>
  <si>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</si>
  <si>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</si>
  <si>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</si>
  <si>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</si>
  <si>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</si>
  <si>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</si>
  <si>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</si>
  <si>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</si>
  <si>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</si>
  <si>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</si>
  <si>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</si>
  <si>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</si>
  <si>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</si>
  <si>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</si>
  <si>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</si>
  <si>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</si>
  <si>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</si>
  <si>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</si>
  <si>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</si>
  <si>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</si>
  <si>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</si>
  <si>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</si>
  <si>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</si>
  <si>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</si>
  <si>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</si>
  <si>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</si>
  <si>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</si>
  <si>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</si>
  <si>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</si>
  <si>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</si>
  <si>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</si>
  <si>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</si>
  <si>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</si>
  <si>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</si>
  <si>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</si>
  <si>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</si>
  <si>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</si>
  <si>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</si>
  <si>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</si>
  <si>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</si>
  <si>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</si>
  <si>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</si>
  <si>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</si>
  <si>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</si>
  <si>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</si>
  <si>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</si>
  <si>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</si>
  <si>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</si>
  <si>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</si>
  <si>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</si>
  <si>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</si>
  <si>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</si>
  <si>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</si>
  <si>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</si>
  <si>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</si>
  <si>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</si>
  <si>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</si>
  <si>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</si>
  <si>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</si>
  <si>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</si>
  <si>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</si>
  <si>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</si>
  <si>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</si>
  <si>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</si>
  <si>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</si>
  <si>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</si>
  <si>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</si>
  <si>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</si>
  <si>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</si>
  <si>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</si>
  <si>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</si>
  <si>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</si>
  <si>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</si>
  <si>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</si>
  <si>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</si>
  <si>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</si>
  <si>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</si>
  <si>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</si>
  <si>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</si>
  <si>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</si>
  <si>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</si>
  <si>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</si>
  <si>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</si>
  <si>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</si>
  <si>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</si>
  <si>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</si>
  <si>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</si>
  <si>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</si>
  <si>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</si>
  <si>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</si>
  <si>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</si>
  <si>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</si>
  <si>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</si>
  <si>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</si>
  <si>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</si>
  <si>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</si>
  <si>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</si>
  <si>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</si>
  <si>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</si>
  <si>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</si>
  <si>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</si>
  <si>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</si>
  <si>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</si>
  <si>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</si>
  <si>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</si>
  <si>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</si>
  <si>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</si>
  <si>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</si>
  <si>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</si>
  <si>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</si>
  <si>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</si>
  <si>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</si>
  <si>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</si>
  <si>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</si>
  <si>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</si>
  <si>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</si>
  <si>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</si>
  <si>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</si>
  <si>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</si>
  <si>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</si>
  <si>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</si>
  <si>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</si>
  <si>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</si>
  <si>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</si>
  <si>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</si>
  <si>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</si>
  <si>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</si>
  <si>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</si>
  <si>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</si>
  <si>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</si>
  <si>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</si>
  <si>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</si>
  <si>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</si>
  <si>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</si>
  <si>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</si>
  <si>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</si>
  <si>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</si>
  <si>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</si>
  <si>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</si>
  <si>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</si>
  <si>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</si>
  <si>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</si>
  <si>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</si>
  <si>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</si>
  <si>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</si>
  <si>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</si>
  <si>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</si>
  <si>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</si>
  <si>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</si>
  <si>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</si>
  <si>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</si>
  <si>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</si>
  <si>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</si>
  <si>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</si>
  <si>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</si>
  <si>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</si>
  <si>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</si>
  <si>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</si>
  <si>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</si>
  <si>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</si>
  <si>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</si>
  <si>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</si>
  <si>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</si>
  <si>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</si>
  <si>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</si>
  <si>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</si>
  <si>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</si>
  <si>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</si>
  <si>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</si>
  <si>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</si>
  <si>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</si>
  <si>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</si>
  <si>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</si>
  <si>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</si>
  <si>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</si>
  <si>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</si>
  <si>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</si>
  <si>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</si>
  <si>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</si>
  <si>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</si>
  <si>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</si>
  <si>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</si>
  <si>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</si>
  <si>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</si>
  <si>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</si>
  <si>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</si>
  <si>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</si>
  <si>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</si>
  <si>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</si>
  <si>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</si>
  <si>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</si>
  <si>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</si>
  <si>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</si>
  <si>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</si>
  <si>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</si>
  <si>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</si>
  <si>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</si>
  <si>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</si>
  <si>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</si>
  <si>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</si>
  <si>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</si>
  <si>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</si>
  <si>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</si>
  <si>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</si>
  <si>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</si>
  <si>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</si>
  <si>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</si>
  <si>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</si>
  <si>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</si>
  <si>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</si>
  <si>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</si>
  <si>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</si>
  <si>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</si>
  <si>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</si>
  <si>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</si>
  <si>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</si>
  <si>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</si>
  <si>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</si>
  <si>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</si>
  <si>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</si>
  <si>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</si>
  <si>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</si>
  <si>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</si>
  <si>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</si>
  <si>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</si>
  <si>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</si>
  <si>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</si>
  <si>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</si>
  <si>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</si>
  <si>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</si>
  <si>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</si>
  <si>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</si>
  <si>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</si>
  <si>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</si>
  <si>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</si>
  <si>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</si>
  <si>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</si>
  <si>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</si>
  <si>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</si>
  <si>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</si>
  <si>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</si>
  <si>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</si>
  <si>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</si>
  <si>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</si>
  <si>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</si>
  <si>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</si>
  <si>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</si>
  <si>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</si>
  <si>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</si>
  <si>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</si>
  <si>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</si>
  <si>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</si>
  <si>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</si>
  <si>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</si>
  <si>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</si>
  <si>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</si>
  <si>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</si>
  <si>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</si>
  <si>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</si>
  <si>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</si>
  <si>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</si>
  <si>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</si>
  <si>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</si>
  <si>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</si>
  <si>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</si>
  <si>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</si>
  <si>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</si>
  <si>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</si>
  <si>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</si>
  <si>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</si>
  <si>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</si>
  <si>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</si>
  <si>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</si>
  <si>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</si>
  <si>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</si>
  <si>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</si>
  <si>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</si>
  <si>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</si>
  <si>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</si>
  <si>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</si>
  <si>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システム使用料 SAP/R3, Mail</t>
  </si>
  <si>
    <t>EDI 本社振替 EDI Gate</t>
  </si>
  <si>
    <t>建屋償却費 Building</t>
  </si>
  <si>
    <t>土地使用権償却費 Land</t>
  </si>
  <si>
    <t>固定資産金利（Interest） /建物 Building Interest</t>
  </si>
  <si>
    <t>固定資産金利（Interest） /土地 Land Interest</t>
  </si>
  <si>
    <t>電気代（製）Tiền điện</t>
  </si>
  <si>
    <t>水道代 Tiền nước</t>
  </si>
  <si>
    <t>食堂燃料費（製）Gas</t>
  </si>
  <si>
    <t>手先い費 Nước rửa tay</t>
  </si>
  <si>
    <t>アルコール消毒 Cồn khử trùng</t>
  </si>
  <si>
    <t>トイレットペーパ Giấy vệ sinh</t>
  </si>
  <si>
    <t>清掃費用 Chi phí làm sạch</t>
  </si>
  <si>
    <t xml:space="preserve">出向社員通勤送迎費用 Xe đưa đón người Nhật </t>
  </si>
  <si>
    <t xml:space="preserve">ローカル社員送迎費 Xe đưa đón người Việt </t>
  </si>
  <si>
    <t>残業taxi ( tiền taxi tăng ca của người nhật+ người Việt)</t>
  </si>
  <si>
    <t>tiền taxi công tác trong nước + công tác phí</t>
  </si>
  <si>
    <t>電話代 Tiền điện thoại</t>
  </si>
  <si>
    <t>Tiền cơm trưa 24700/suất 食事費 前月16～当月15日</t>
  </si>
  <si>
    <t>マスク Khẩu trang 前月16日から当月15日までの出勤日( dự tính t5 tính từ ngày 16/04 đến 15/5)対象：bus使用者だけ（chỉ tính ng sử dụng xe bus)</t>
  </si>
  <si>
    <t>お年玉 Tiền lì xì 100,000/人 tháng 2</t>
  </si>
  <si>
    <t>郵送代（製） (chi phí chuyển phát nhanh nước ngoài chốt ngày 20 hàng tháng, theo file XNK)</t>
  </si>
  <si>
    <t xml:space="preserve"> (chi phí chuyển phát nhanh trong nước) theo file HCNS</t>
  </si>
  <si>
    <t>フィロソフィ論文参加賞/ Giải luận văn Philo 100,000VND tháng 7</t>
  </si>
  <si>
    <t>文房具: Văn phòng phẩm</t>
  </si>
  <si>
    <t>FY2024総務課より滞在カードや労働許可書を申請する
thẻ tạm trú, giấy phép lao động cho người nước ngoài FY2024</t>
  </si>
  <si>
    <t>Tiệc khuấy động năm tài chính
FY2024決起コンパ（対象：全部門） 200,000VND/ng, phân bổ vào tháng sau tháng tổ chức</t>
  </si>
  <si>
    <t>10年勤続記念コンパTiệc kỷ niệm 10 năm gắn bó 530,000 VND/ng tháng 10</t>
  </si>
  <si>
    <t>10年勤続記念品Quà kỷ niệm cho CNV 10 năm gắn bó 368,000VND /ng tháng 10</t>
  </si>
  <si>
    <t>Pocket 2023</t>
  </si>
  <si>
    <t>新入社員  社員証（新入社員用・再発行時、写真含む. Thẻ từ chấm công + Ảnh 58,000VND/ng</t>
  </si>
  <si>
    <t>新入社員  フィロソフィ手帳 Sổ tay philosophy 18,000VND quyển 1 + 9,200VND quyển 2</t>
  </si>
  <si>
    <t>新入社員  社員証用ケース Vỏ thẻ + móc thẻ 3,600VND/ng</t>
  </si>
  <si>
    <t>新入社員  ペン Bút 2,200VND</t>
  </si>
  <si>
    <t>新入社員  ノート Số 9,100VND</t>
  </si>
  <si>
    <t>新入社員　机と椅子 bàn ghế</t>
  </si>
  <si>
    <t>新入社員採用時健診 Khám sức khỏe người mới  phân bổ vào tháng tiếp theo</t>
  </si>
  <si>
    <t>新入社員  制服（夏） Đồng phục ngắn tay (Hè) 165,000VND</t>
  </si>
  <si>
    <t>新入社員  制服（冬） Đồng phục dài tay (Đông) 175000VND  , nv vào từ T5-T10 thì tiền đồng phục dài tay tính vào T10</t>
  </si>
  <si>
    <t>新入社員  制服ズボン Quần 116,000 VND</t>
  </si>
  <si>
    <t>新入社員  帽子（白） Mũ trắng 33,500VND</t>
  </si>
  <si>
    <t>新入社員  シューズ（ 女性: VND） Giày vải Nữ: 82,000 VNĐ Nam 82,000 VNĐ từ 1/1/2023</t>
  </si>
  <si>
    <t>Chi phí nhập khẩu hàng mẫu KIT</t>
  </si>
  <si>
    <t>Mua Ram laptop chị Thu 9/2024</t>
  </si>
  <si>
    <t>Lệ phí thi tiếng Anh, tiếng Nhật</t>
  </si>
  <si>
    <t xml:space="preserve">Hỗ trợ bão </t>
  </si>
  <si>
    <t>Tiền sinh nhật 誕生日会　163,000 vnd/人:  Dung, Minh A; T4,thành t5,Thoa T7,Nam T9, Phương+Thảo T10, Thu+Đạt T11</t>
  </si>
  <si>
    <t>社員旅行 / Tourist company1,890,000VND/ng tháng 5</t>
  </si>
  <si>
    <t>京セラフェスティバルLễ hội Kyocera 126,000VND tháng 9</t>
  </si>
  <si>
    <t>運動会 Đại hội thể thao 107,000VND/ng tháng 11</t>
  </si>
  <si>
    <t>忘年会 Tiệc tất niên 300,000/人　tháng 2</t>
  </si>
  <si>
    <t>健康診断（ローカル）/ Khám sức khỏe 189,00VND/nam 204,000VND/nữ tháng 12</t>
  </si>
  <si>
    <t>ポケットカレンダー Lịch bỏ túi 800VND/ng tháng 11</t>
  </si>
  <si>
    <t>月餅 Bánh Trung Thu 56,000VND tháng 10</t>
  </si>
  <si>
    <t>新入社員　PC : Desktop + Office, nâng cấp máy tính</t>
  </si>
  <si>
    <t>Name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</si>
</sst>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;[Red]&quot;¥&quot;\-#,##0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0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175">
    <cellStyle name="_FY2014 MP作成依頼（KDTCN).1207(3)" xfId="1" xr:uid="{011A88B3-39B1-4403-BD68-AABEBDC854B6}"/>
    <cellStyle name="20% - Accent1" xfId="2" xr:uid="{31BD7AF5-06A3-4544-B2A7-375225FA49AE}"/>
    <cellStyle name="20% - Accent2" xfId="3" xr:uid="{5DF40D8F-162B-40ED-804C-F5848939EA96}"/>
    <cellStyle name="20% - Accent3" xfId="4" xr:uid="{7748B660-EB25-4C28-B9A8-26E3E749C065}"/>
    <cellStyle name="20% - Accent4" xfId="5" xr:uid="{B2FE0E01-3B70-49F7-A43A-9CAF063C7A6D}"/>
    <cellStyle name="20% - Accent5" xfId="6" xr:uid="{388288E4-4404-4E44-857F-FCACF1B8EB77}"/>
    <cellStyle name="20% - Accent6" xfId="7" xr:uid="{262A1959-B024-4367-973B-F09625D2413D}"/>
    <cellStyle name="20% - アクセント 1" xfId="8" xr:uid="{6159C12E-4677-40CB-988C-B7F20C3DB720}"/>
    <cellStyle name="20% - アクセント 1 2" xfId="9" xr:uid="{2C89AE6A-A9C6-4001-8651-63F15CBE75FD}"/>
    <cellStyle name="20% - アクセント 2" xfId="10" xr:uid="{61EF9D23-B389-450B-8809-D35832B9A101}"/>
    <cellStyle name="20% - アクセント 2 2" xfId="11" xr:uid="{C322BEC5-D2CF-4485-B82E-C1B2BA2ACD71}"/>
    <cellStyle name="20% - アクセント 3" xfId="12" xr:uid="{1F4E8542-F34B-4DA1-B5E9-27EBFDD8AB0A}"/>
    <cellStyle name="20% - アクセント 3 2" xfId="13" xr:uid="{57DC75B9-ABBE-417D-937C-F30E9992A4C5}"/>
    <cellStyle name="20% - アクセント 4" xfId="14" xr:uid="{7602645F-74B2-4800-9F4E-280F4D702C02}"/>
    <cellStyle name="20% - アクセント 4 2" xfId="15" xr:uid="{FFB92E5A-DFF6-4AB5-8C76-DA44776F9FF5}"/>
    <cellStyle name="20% - アクセント 5" xfId="16" xr:uid="{AE0886C7-0CC6-4F95-8E0A-11146C4E5FE1}"/>
    <cellStyle name="20% - アクセント 5 2" xfId="17" xr:uid="{760FA3F4-E2DF-417D-8F20-901B1278121E}"/>
    <cellStyle name="20% - アクセント 6" xfId="18" xr:uid="{41420C0A-ABD3-4A02-94C2-DD7C146D9099}"/>
    <cellStyle name="20% - アクセント 6 2" xfId="19" xr:uid="{F921C398-8249-44FC-8DF3-6E4443A54035}"/>
    <cellStyle name="3232" xfId="20" xr:uid="{B74FEFB8-411B-48F2-AAA2-0CF7E844DBDE}"/>
    <cellStyle name="40% - Accent1" xfId="21" xr:uid="{9E0B9E06-B6A3-4E6F-AEAC-5F8786D8D946}"/>
    <cellStyle name="40% - Accent2" xfId="22" xr:uid="{345F57FC-97CE-42C4-B464-946D622A17B0}"/>
    <cellStyle name="40% - Accent3" xfId="23" xr:uid="{FB90558E-BC0A-4BC6-BA05-48E3CFC2DB6F}"/>
    <cellStyle name="40% - Accent4" xfId="24" xr:uid="{4512DB43-0F81-4B91-A9BC-3D054593ECA3}"/>
    <cellStyle name="40% - Accent5" xfId="25" xr:uid="{60D74751-2F71-4293-A94F-F4E6422CC855}"/>
    <cellStyle name="40% - Accent6" xfId="26" xr:uid="{4F6C65FF-F73C-491C-A701-CB0807EF025A}"/>
    <cellStyle name="40% - アクセント 1" xfId="27" xr:uid="{82BD3365-10BB-437B-93A8-B1CC697BDFC3}"/>
    <cellStyle name="40% - アクセント 1 2" xfId="28" xr:uid="{C3EA3E5E-0268-40C3-B40C-7935BD006A68}"/>
    <cellStyle name="40% - アクセント 2" xfId="29" xr:uid="{9C2940A5-087D-4BD4-A7AB-68DE234803E1}"/>
    <cellStyle name="40% - アクセント 2 2" xfId="30" xr:uid="{12DE3B3D-705D-4DF4-91AE-ED223B86619F}"/>
    <cellStyle name="40% - アクセント 3" xfId="31" xr:uid="{56980725-39E1-4348-BDEF-68BB46382EB0}"/>
    <cellStyle name="40% - アクセント 3 2" xfId="32" xr:uid="{4A217168-6C3B-49B2-AAE5-39740D63A0D4}"/>
    <cellStyle name="40% - アクセント 4" xfId="33" xr:uid="{FDD1EF3A-0687-471C-8B38-05C1CF6E4E10}"/>
    <cellStyle name="40% - アクセント 4 2" xfId="34" xr:uid="{24F6FE9D-AB9B-4EF6-BF66-3D25FF42FD30}"/>
    <cellStyle name="40% - アクセント 5" xfId="35" xr:uid="{4FF843D6-089E-4849-BC19-339E4B8F1571}"/>
    <cellStyle name="40% - アクセント 5 2" xfId="36" xr:uid="{7C5613C6-19E6-4CA0-A267-DB01A0DB1F81}"/>
    <cellStyle name="40% - アクセント 6" xfId="37" xr:uid="{CA9CDAAD-887A-4F23-A39E-CCCD6A31C7E8}"/>
    <cellStyle name="40% - アクセント 6 2" xfId="38" xr:uid="{B627A89B-7D98-4314-95F7-954F7DAD7D73}"/>
    <cellStyle name="60% - Accent1" xfId="39" xr:uid="{E1A99213-2DB1-455C-8CAD-F0F7E65F2685}"/>
    <cellStyle name="60% - Accent2" xfId="40" xr:uid="{0E2C92D0-D882-4E0A-B3B5-60D47CB70F30}"/>
    <cellStyle name="60% - Accent3" xfId="41" xr:uid="{BE3621C3-0EED-4C73-AC19-2A3CDC3F08F7}"/>
    <cellStyle name="60% - Accent4" xfId="42" xr:uid="{BD891E61-F664-41FE-8687-D16E4DE1007C}"/>
    <cellStyle name="60% - Accent5" xfId="43" xr:uid="{49029493-86D8-4F1E-9F87-9D7E4FE5D0BA}"/>
    <cellStyle name="60% - Accent6" xfId="44" xr:uid="{E9B60274-4273-4F47-AA03-74B1B69A64FC}"/>
    <cellStyle name="60% - アクセント 1" xfId="45" xr:uid="{6B777233-4DA2-48ED-81D9-286CB3C92A92}"/>
    <cellStyle name="60% - アクセント 1 2" xfId="46" xr:uid="{3FF0ABA7-058B-4D04-AB3C-468195B20773}"/>
    <cellStyle name="60% - アクセント 2" xfId="47" xr:uid="{D44F7E11-6DFE-4DB9-8AED-5E6EE3F9A896}"/>
    <cellStyle name="60% - アクセント 2 2" xfId="48" xr:uid="{9A6C07C1-3226-4345-90E6-DFBB4EFE4723}"/>
    <cellStyle name="60% - アクセント 3" xfId="49" xr:uid="{424BDB62-8C52-4BC0-96DB-7293D5150872}"/>
    <cellStyle name="60% - アクセント 3 2" xfId="50" xr:uid="{293A6721-6F5A-4174-808E-391B10907DAF}"/>
    <cellStyle name="60% - アクセント 4" xfId="51" xr:uid="{A4A64D5D-08AA-41D6-8E7A-A87CCD644B1A}"/>
    <cellStyle name="60% - アクセント 4 2" xfId="52" xr:uid="{9E0106E2-5EFF-4CAA-9605-A7C4D4969D1F}"/>
    <cellStyle name="60% - アクセント 5" xfId="53" xr:uid="{FACA9FD6-D42D-41A1-BFAD-2BCB0C954FF5}"/>
    <cellStyle name="60% - アクセント 5 2" xfId="54" xr:uid="{A64017E6-3747-4C54-93E2-DEF40236029A}"/>
    <cellStyle name="60% - アクセント 6" xfId="55" xr:uid="{99425800-7B35-42E4-A6ED-5477FBEB5F15}"/>
    <cellStyle name="60% - アクセント 6 2" xfId="56" xr:uid="{9B22405F-BE4B-4A64-8BBE-678C1FB30B1E}"/>
    <cellStyle name="Accent1" xfId="57" xr:uid="{93148C7B-56C4-43DF-BDBF-8FC4B1C6B40F}"/>
    <cellStyle name="Accent2" xfId="58" xr:uid="{67EBCDB1-D5CE-4AEA-A4E6-AB0974633A93}"/>
    <cellStyle name="Accent3" xfId="59" xr:uid="{6331C22A-8063-4781-A2A4-10A5D748B50D}"/>
    <cellStyle name="Accent4" xfId="60" xr:uid="{DBBE7184-4DA4-4E85-AB14-7CDB899AA367}"/>
    <cellStyle name="Accent5" xfId="61" xr:uid="{F874D305-DF7B-4DB0-BC98-3ED520B5FC4A}"/>
    <cellStyle name="Accent6" xfId="62" xr:uid="{5EAC0003-7519-4947-AF8C-355B76C49D0B}"/>
    <cellStyle name="Bad" xfId="63" xr:uid="{01F41720-C174-4758-BC02-7846EC21EDFE}"/>
    <cellStyle name="Calculation" xfId="64" xr:uid="{14C83FA9-10F6-4A28-B3F5-66D831A99740}"/>
    <cellStyle name="Check Cell" xfId="65" xr:uid="{32F53BBD-E43B-4E9C-A148-F08E7C4DD6D3}"/>
    <cellStyle name="Comma" xfId="66" builtinId="3"/>
    <cellStyle name="Comma [0]" xfId="67" builtinId="6"/>
    <cellStyle name="Comma [0] 2" xfId="68" xr:uid="{40DA65CB-3C05-433A-93CE-50CAD0155D59}"/>
    <cellStyle name="Comma [0] 2 2" xfId="69" xr:uid="{EFE5FF59-30A3-4FC1-B298-C0869DBA0F9A}"/>
    <cellStyle name="Comma [0] 3" xfId="70" xr:uid="{F72DFCE5-4776-4C6B-9B14-B79C7CAF4B60}"/>
    <cellStyle name="Comma [0] 4" xfId="71" xr:uid="{FE12E0D6-F28D-4327-A348-83511CD599DB}"/>
    <cellStyle name="Comma 2" xfId="72" xr:uid="{1A3EF67E-0BD2-4075-9ED8-4E15150300C5}"/>
    <cellStyle name="Comma 2 3" xfId="73" xr:uid="{3EA4A7DE-6C48-4996-9747-DD352A75017F}"/>
    <cellStyle name="Comma 3" xfId="74" xr:uid="{CD04DE45-BC2B-477E-B722-8FEAFDC17953}"/>
    <cellStyle name="Comma 3 2 2" xfId="75" xr:uid="{A2BDABD3-8617-4DBB-BFEA-14F9055BF8B4}"/>
    <cellStyle name="Comma 4" xfId="76" xr:uid="{F7D6280A-0003-4306-A77F-29237717F45A}"/>
    <cellStyle name="Comma 5" xfId="77" xr:uid="{6265F10B-00C0-406D-AE7A-27EAE0A5AD94}"/>
    <cellStyle name="Comma 6" xfId="78" xr:uid="{2CE6A274-0243-43AF-8E8D-65A5BE0FE248}"/>
    <cellStyle name="Currency [0] 2" xfId="79" xr:uid="{41CF12D0-5408-426E-BCC5-9241A8E8AF5E}"/>
    <cellStyle name="Explanatory Text" xfId="80" xr:uid="{1DF55082-8C55-4989-8807-2E5BF3259F25}"/>
    <cellStyle name="Good" xfId="81" xr:uid="{3B59A063-10B2-4CBF-A043-54E1BB905510}"/>
    <cellStyle name="Heading 1" xfId="82" xr:uid="{3AC4DF97-7324-4CAD-B3A8-00665C1F11F2}"/>
    <cellStyle name="Heading 2" xfId="83" xr:uid="{907249AE-F21B-4069-8429-1CFA0FA3BF39}"/>
    <cellStyle name="Heading 3" xfId="84" xr:uid="{2EB158C7-DD51-45F3-A4CC-36D4AF648D29}"/>
    <cellStyle name="Heading 4" xfId="85" xr:uid="{C5EFA849-FDFB-4FC0-AC0A-FC0ECD2C5FD5}"/>
    <cellStyle name="Input" xfId="86" xr:uid="{CB6086FA-43B4-424F-A55A-9B97F0C90D95}"/>
    <cellStyle name="Linked Cell" xfId="87" xr:uid="{C63AC584-78BC-4AC7-858B-7C3721A86EC5}"/>
    <cellStyle name="Neutral" xfId="88" xr:uid="{288255EC-57E4-4B70-B01F-8B15A867502E}"/>
    <cellStyle name="Normal" xfId="0" builtinId="0"/>
    <cellStyle name="Normal 2" xfId="89" xr:uid="{3CB3FEE5-BD6A-4C50-A38C-88E951E61A3E}"/>
    <cellStyle name="Normal 2 2" xfId="90" xr:uid="{3DF7D970-9EFB-44C7-BBC1-7684718B2137}"/>
    <cellStyle name="Normal 3" xfId="91" xr:uid="{03D209CE-FD4F-41FE-8B31-F328C2AAE035}"/>
    <cellStyle name="Normal 4" xfId="92" xr:uid="{D17B132A-8D0A-4F28-8AB5-B08C1F4B77E6}"/>
    <cellStyle name="Normal 5" xfId="93" xr:uid="{99EA02AE-FDC9-40B1-8553-5781024EACFF}"/>
    <cellStyle name="Note" xfId="94" xr:uid="{BBB37CA0-EF1E-486C-A7D2-EB711BA5E094}"/>
    <cellStyle name="Output" xfId="95" xr:uid="{BB490B2A-F48B-4A58-BECE-4D93A46A4AF2}"/>
    <cellStyle name="Percent 2" xfId="96" xr:uid="{DF9FD872-A989-48C6-8C3C-029F71045D0C}"/>
    <cellStyle name="Percent 3" xfId="97" xr:uid="{3A166194-B8A8-4932-84CC-5CCFEA5DB7C4}"/>
    <cellStyle name="Title" xfId="98" xr:uid="{CD6CC06D-C271-400B-A83B-88E664F681AA}"/>
    <cellStyle name="Total" xfId="99" xr:uid="{BCB1E340-25FB-4497-812F-68F2D3DFB9AA}"/>
    <cellStyle name="Warning Text" xfId="100" xr:uid="{D88A1E51-63A2-4582-B66F-83CD2FB45BCC}"/>
    <cellStyle name="アクセント 1" xfId="101" xr:uid="{EDA5F79E-E53A-411F-8502-D9C1FC09F9E8}"/>
    <cellStyle name="アクセント 1 2" xfId="102" xr:uid="{40A880C6-16EB-403F-AC1A-107ED6D79D49}"/>
    <cellStyle name="アクセント 2" xfId="103" xr:uid="{498069CE-6CF3-4743-8F22-7E0323EC1BA5}"/>
    <cellStyle name="アクセント 2 2" xfId="104" xr:uid="{C316BD4B-F082-466B-A859-2021F5D7D8CB}"/>
    <cellStyle name="アクセント 3" xfId="105" xr:uid="{EA5DC6FF-D507-4FBB-9D9F-56530294D553}"/>
    <cellStyle name="アクセント 3 2" xfId="106" xr:uid="{561213CF-BFB2-4CA2-9161-4417B4417D9B}"/>
    <cellStyle name="アクセント 4" xfId="107" xr:uid="{932A96EC-1B6D-487F-9B0F-7720D3AAC09E}"/>
    <cellStyle name="アクセント 4 2" xfId="108" xr:uid="{C9CC8D93-20B2-4384-8A26-08C4763D03D7}"/>
    <cellStyle name="アクセント 5" xfId="109" xr:uid="{6B059CFC-A930-4D88-A9C8-FF0A8E3C436C}"/>
    <cellStyle name="アクセント 5 2" xfId="110" xr:uid="{F65EB7F5-62C2-4D3A-B0CA-4FD2086784E0}"/>
    <cellStyle name="アクセント 6" xfId="111" xr:uid="{6E4D4850-920C-4389-865A-692E3B9CF378}"/>
    <cellStyle name="アクセント 6 2" xfId="112" xr:uid="{921C2751-2404-4BEE-B280-AF0C9081B22A}"/>
    <cellStyle name="タイトル" xfId="113" xr:uid="{2635A312-592B-4876-B4E1-6010B0045A92}"/>
    <cellStyle name="タイトル 2" xfId="114" xr:uid="{84AAEA4E-AC5D-4822-9948-5B4B75E11DA5}"/>
    <cellStyle name="チェック セル" xfId="115" xr:uid="{FE79562F-C006-455D-A757-9AF7FFA523AB}"/>
    <cellStyle name="チェック セル 2" xfId="116" xr:uid="{55F3AE5D-13FC-4033-B88B-7EAABF5C6D0C}"/>
    <cellStyle name="どちらでもない" xfId="117" xr:uid="{A7256BC9-6D0A-4FE1-B0D3-79202CE3ECAA}"/>
    <cellStyle name="どちらでもない 2" xfId="118" xr:uid="{B4D9E83B-BBB4-4FA5-B2CD-84176889A593}"/>
    <cellStyle name="パーセント 2" xfId="119" xr:uid="{CDB7F829-BC81-4B4A-8103-4C1357C0CE81}"/>
    <cellStyle name="パーセント 3" xfId="120" xr:uid="{EF3C71EE-0A73-430A-A94D-48A4D9A44759}"/>
    <cellStyle name="パーセント 3 2" xfId="121" xr:uid="{0E6EE133-9885-4C8D-900B-CCB4937BC27C}"/>
    <cellStyle name="メモ" xfId="122" xr:uid="{4026F0A9-C2F0-4766-80A4-C9C29B18623F}"/>
    <cellStyle name="メモ 2" xfId="123" xr:uid="{3C846677-B8C3-4463-B692-0B096EF2EBED}"/>
    <cellStyle name="リンク セル" xfId="124" xr:uid="{17F7B169-F61C-4660-BE6C-D462F5F0F7F1}"/>
    <cellStyle name="リンク セル 2" xfId="125" xr:uid="{B3099777-F714-4065-BC2B-19FBB9638DD7}"/>
    <cellStyle name="一般_KMHK FY2008 時間当り採算 2007年4月 ( Month Plan )" xfId="128" xr:uid="{046E5C0E-B295-42F4-AFA0-CE108724D03A}"/>
    <cellStyle name="一般_設備投資金額一覽表" xfId="129" xr:uid="{E8F2E593-79BC-4F9A-AFDF-F18A418B4C6D}"/>
    <cellStyle name="入力" xfId="161" xr:uid="{47F88339-831D-4013-B184-DA5E2A9446B8}"/>
    <cellStyle name="入力 2" xfId="162" xr:uid="{427AE020-0936-464D-9100-3F6596AB4DB6}"/>
    <cellStyle name="出力" xfId="154" xr:uid="{00485C57-2126-40D3-96DF-33551EB750C3}"/>
    <cellStyle name="出力 2" xfId="155" xr:uid="{1C682ADE-43FF-4214-AF95-8D050F418D48}"/>
    <cellStyle name="常规_総生産分析(0605-0606)" xfId="156" xr:uid="{925DCB57-3180-4384-A8FF-C3925EEED7C7}"/>
    <cellStyle name="悪い" xfId="126" xr:uid="{EBDCE73A-3F7F-4F81-842E-288764BA3B1F}"/>
    <cellStyle name="悪い 2" xfId="127" xr:uid="{4DE65409-60E1-42BC-9469-3C96CBB16009}"/>
    <cellStyle name="未定義" xfId="172" xr:uid="{CF7AF2E9-049C-4B50-B4C9-3DE22BC2543E}"/>
    <cellStyle name="桁区切り [0.00] 2" xfId="134" xr:uid="{B9FDAB0E-6B8E-4274-8E2D-922CDF606C4E}"/>
    <cellStyle name="桁区切り [0.00] 2 2" xfId="135" xr:uid="{6D46C3B6-66E8-4ACB-A465-C80831CFEF4D}"/>
    <cellStyle name="桁区切り [0.00] 2 3" xfId="136" xr:uid="{6721A8ED-9812-4ACD-A3B6-D29F862A11B9}"/>
    <cellStyle name="桁区切り 2" xfId="137" xr:uid="{A93F78CF-AD09-4490-8D2D-B1C80672D358}"/>
    <cellStyle name="桁区切り 2 2" xfId="138" xr:uid="{87F4D03C-D9E7-4327-8F74-4862CB06F6D6}"/>
    <cellStyle name="桁区切り 2 3" xfId="139" xr:uid="{2520D045-0BC0-477D-9025-8F301D2415BB}"/>
    <cellStyle name="桁区切り 3" xfId="140" xr:uid="{A02BF65B-040D-4803-96FF-9591E8B0FE4D}"/>
    <cellStyle name="桁区切り 4" xfId="141" xr:uid="{0793A593-91CC-488C-83BE-A213C1436B6A}"/>
    <cellStyle name="桁区切り 5" xfId="142" xr:uid="{F903CF7B-A1F1-4461-8938-8B542CDED93B}"/>
    <cellStyle name="桁区切り 6" xfId="143" xr:uid="{DBF39EB3-62FF-4450-89E1-88B1E3DEF043}"/>
    <cellStyle name="標準 2" xfId="163" xr:uid="{FA2295C9-8814-4264-8A62-E52E048B509D}"/>
    <cellStyle name="標準 2 2" xfId="164" xr:uid="{6F11286D-C9B0-48F7-8130-CFA5D9C81637}"/>
    <cellStyle name="標準 3" xfId="165" xr:uid="{FDCCEF7B-5EEB-495E-B5C7-146C4AEF72D4}"/>
    <cellStyle name="標準 3 2" xfId="166" xr:uid="{C57C92FD-904A-4B4A-B0A4-B3B871D96F16}"/>
    <cellStyle name="標準 4" xfId="167" xr:uid="{97618AC1-6533-4FC4-A54C-98DB3661177C}"/>
    <cellStyle name="標準 4 2" xfId="168" xr:uid="{12C5FFAE-38C1-4F52-BFFF-AD146427B1A3}"/>
    <cellStyle name="標準_★予定用採算表フォーム（製造課用）" xfId="169" xr:uid="{0CBF4D71-ACE8-4DFB-9FA0-EEADA290B92B}"/>
    <cellStyle name="標準_03.2012 08 31 KDTVN採算表及集計表 FY2013_09（製技用）" xfId="170" xr:uid="{96A8270C-D06A-4864-9DE7-AD68E7D439DD}"/>
    <cellStyle name="標準_KDTVN 2012年9月1日付原価センタ" xfId="171" xr:uid="{F8A73498-38DB-437B-8C78-F060C8D67BCC}"/>
    <cellStyle name="良い" xfId="173" xr:uid="{3B4775AC-D437-4A13-8E72-315996C06A84}"/>
    <cellStyle name="良い 2" xfId="174" xr:uid="{BACEBD52-AC79-45F1-BD99-9AD21F591581}"/>
    <cellStyle name="見出し 1" xfId="144" xr:uid="{FE11BAD5-3C2C-4884-9228-9494D5011977}"/>
    <cellStyle name="見出し 1 2" xfId="145" xr:uid="{00EF267A-B812-42FC-BCE4-6989B7897100}"/>
    <cellStyle name="見出し 2" xfId="146" xr:uid="{65DC319D-C12D-4DE5-8D22-351B84FCBD90}"/>
    <cellStyle name="見出し 2 2" xfId="147" xr:uid="{C5F6E71F-731C-44DB-99DC-6B580A2ACA32}"/>
    <cellStyle name="見出し 3" xfId="148" xr:uid="{3D187B9B-5A14-45A7-AA62-DBEA603C8A2E}"/>
    <cellStyle name="見出し 3 2" xfId="149" xr:uid="{030768A5-5AAA-4E99-B379-20D3BDC5477B}"/>
    <cellStyle name="見出し 4" xfId="150" xr:uid="{5DC0A0A7-D999-4083-B497-B70777195B4F}"/>
    <cellStyle name="見出し 4 2" xfId="151" xr:uid="{EA372EC8-147F-4B54-BF38-AD9932BE98E2}"/>
    <cellStyle name="計算" xfId="130" xr:uid="{14667FC8-0C29-4492-B6C5-B28F4A42DA36}"/>
    <cellStyle name="計算 2" xfId="131" xr:uid="{C9BF2E00-BC93-44E8-9ECD-669C255DE13A}"/>
    <cellStyle name="説明文" xfId="157" xr:uid="{F0701F40-AF6B-4E91-AE23-BC820B30E806}"/>
    <cellStyle name="説明文 2" xfId="158" xr:uid="{41461001-6EEF-4657-A7F4-CCF89566FAE9}"/>
    <cellStyle name="警告文" xfId="132" xr:uid="{3008D650-BBD0-45E4-81C1-4CD513FC2CFB}"/>
    <cellStyle name="警告文 2" xfId="133" xr:uid="{8C8755E2-DAC4-4780-9519-1986CBE744D6}"/>
    <cellStyle name="通貨 2" xfId="159" xr:uid="{BFF4997B-44E5-463D-8494-D52FC503EEDB}"/>
    <cellStyle name="通貨 3" xfId="160" xr:uid="{CF0CE047-A85A-45AE-B2EF-601526499AA3}"/>
    <cellStyle name="集計" xfId="152" xr:uid="{62298AE8-C1A9-455D-A4C3-C302699081EA}"/>
    <cellStyle name="集計 2" xfId="153" xr:uid="{A9EA1D22-30A6-4F95-8E91-E152F3C2DB55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3DF9-E9A9-43FC-8174-55EA2759D7D8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第4資材課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4.0000000000873115E-2</v>
      </c>
      <c r="D13" s="133">
        <f t="shared" ref="D13:O13" si="3">SUM(D14:D65)</f>
        <v>4.9999999999727152E-2</v>
      </c>
      <c r="E13" s="133">
        <f t="shared" si="3"/>
        <v>1.9999999999527063E-2</v>
      </c>
      <c r="F13" s="133">
        <f t="shared" si="3"/>
        <v>1.999999999998181E-2</v>
      </c>
      <c r="G13" s="133">
        <f t="shared" si="3"/>
        <v>1.9999999999754436E-2</v>
      </c>
      <c r="H13" s="133">
        <f t="shared" si="3"/>
        <v>2.9999999999972715E-2</v>
      </c>
      <c r="I13" s="133">
        <f t="shared" si="3"/>
        <v>3.9999999999736247E-2</v>
      </c>
      <c r="J13" s="133">
        <f t="shared" si="3"/>
        <v>4.9999999999954525E-2</v>
      </c>
      <c r="K13" s="133">
        <f t="shared" si="3"/>
        <v>4.9999999999954525E-2</v>
      </c>
      <c r="L13" s="133">
        <f t="shared" si="3"/>
        <v>2.9999999999972715E-2</v>
      </c>
      <c r="M13" s="133">
        <f t="shared" si="3"/>
        <v>5.0000000000181899E-2</v>
      </c>
      <c r="N13" s="133">
        <f t="shared" si="3"/>
        <v>3.999999999996362E-2</v>
      </c>
      <c r="O13" s="133">
        <f t="shared" si="3"/>
        <v>0.43999999999869033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161.69</v>
      </c>
      <c r="D20" s="136">
        <f>ROUNDUP('採算表(VND)'!D20/$N$1,2)</f>
        <v>160.82999999999998</v>
      </c>
      <c r="E20" s="136">
        <f>ROUNDUP('採算表(VND)'!E20/$N$1,2)</f>
        <v>160.85999999999999</v>
      </c>
      <c r="F20" s="136">
        <f>ROUNDUP('採算表(VND)'!F20/$N$1,2)</f>
        <v>160.69999999999999</v>
      </c>
      <c r="G20" s="136">
        <f>ROUNDUP('採算表(VND)'!G20/$N$1,2)</f>
        <v>160.64999999999998</v>
      </c>
      <c r="H20" s="136">
        <f>ROUNDUP('採算表(VND)'!H20/$N$1,2)</f>
        <v>158.16</v>
      </c>
      <c r="I20" s="136">
        <f>ROUNDUP('採算表(VND)'!I20/$N$1,2)</f>
        <v>157.44999999999999</v>
      </c>
      <c r="J20" s="136">
        <f>ROUNDUP('採算表(VND)'!J20/$N$1,2)</f>
        <v>157.42999999999998</v>
      </c>
      <c r="K20" s="136">
        <f>ROUNDUP('採算表(VND)'!K20/$N$1,2)</f>
        <v>157.44</v>
      </c>
      <c r="L20" s="136">
        <f>ROUNDUP('採算表(VND)'!L20/$N$1,2)</f>
        <v>157.38</v>
      </c>
      <c r="M20" s="136">
        <f>ROUNDUP('採算表(VND)'!M20/$N$1,2)</f>
        <v>157.29</v>
      </c>
      <c r="N20" s="136">
        <f>ROUNDUP('採算表(VND)'!N20/$N$1,2)</f>
        <v>157.38999999999999</v>
      </c>
      <c r="O20" s="136">
        <f t="shared" si="4"/>
        <v>1907.27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6.16</v>
      </c>
      <c r="D25" s="136">
        <f>ROUNDUP('採算表(VND)'!D25/$N$1,2)</f>
        <v>5.95</v>
      </c>
      <c r="E25" s="136">
        <f>ROUNDUP('採算表(VND)'!E25/$N$1,2)</f>
        <v>6.4799999999999995</v>
      </c>
      <c r="F25" s="136">
        <f>ROUNDUP('採算表(VND)'!F25/$N$1,2)</f>
        <v>7.02</v>
      </c>
      <c r="G25" s="136">
        <f>ROUNDUP('採算表(VND)'!G25/$N$1,2)</f>
        <v>6.14</v>
      </c>
      <c r="H25" s="136">
        <f>ROUNDUP('採算表(VND)'!H25/$N$1,2)</f>
        <v>5.8599999999999994</v>
      </c>
      <c r="I25" s="136">
        <f>ROUNDUP('採算表(VND)'!I25/$N$1,2)</f>
        <v>7.01</v>
      </c>
      <c r="J25" s="136">
        <f>ROUNDUP('採算表(VND)'!J25/$N$1,2)</f>
        <v>6.16</v>
      </c>
      <c r="K25" s="136">
        <f>ROUNDUP('採算表(VND)'!K25/$N$1,2)</f>
        <v>6.74</v>
      </c>
      <c r="L25" s="136">
        <f>ROUNDUP('採算表(VND)'!L25/$N$1,2)</f>
        <v>6.16</v>
      </c>
      <c r="M25" s="136">
        <f>ROUNDUP('採算表(VND)'!M25/$N$1,2)</f>
        <v>4.7299999999999995</v>
      </c>
      <c r="N25" s="136">
        <f>ROUNDUP('採算表(VND)'!N25/$N$1,2)</f>
        <v>6.16</v>
      </c>
      <c r="O25" s="136">
        <f t="shared" si="4"/>
        <v>74.570000000000007</v>
      </c>
    </row>
    <row r="26" spans="1:15" ht="11.25" customHeight="1">
      <c r="A26" s="34"/>
      <c r="B26" s="37" t="s">
        <v>104</v>
      </c>
      <c r="C26" s="136">
        <f>ROUNDUP('採算表(VND)'!C26/$N$1,2)</f>
        <v>659.71</v>
      </c>
      <c r="D26" s="136">
        <f>ROUNDUP('採算表(VND)'!D26/$N$1,2)</f>
        <v>659.71</v>
      </c>
      <c r="E26" s="136">
        <f>ROUNDUP('採算表(VND)'!E26/$N$1,2)</f>
        <v>659.71</v>
      </c>
      <c r="F26" s="136">
        <f>ROUNDUP('採算表(VND)'!F26/$N$1,2)</f>
        <v>0</v>
      </c>
      <c r="G26" s="136">
        <f>ROUNDUP('採算表(VND)'!G26/$N$1,2)</f>
        <v>0</v>
      </c>
      <c r="H26" s="136">
        <f>ROUNDUP('採算表(VND)'!H26/$N$1,2)</f>
        <v>0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1979.13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196.92999999999998</v>
      </c>
      <c r="D28" s="136">
        <f>ROUNDUP('採算表(VND)'!D28/$N$1,2)</f>
        <v>196.92999999999998</v>
      </c>
      <c r="E28" s="136">
        <f>ROUNDUP('採算表(VND)'!E28/$N$1,2)</f>
        <v>196.92999999999998</v>
      </c>
      <c r="F28" s="136">
        <f>ROUNDUP('採算表(VND)'!F28/$N$1,2)</f>
        <v>196.92999999999998</v>
      </c>
      <c r="G28" s="136">
        <f>ROUNDUP('採算表(VND)'!G28/$N$1,2)</f>
        <v>196.92999999999998</v>
      </c>
      <c r="H28" s="136">
        <f>ROUNDUP('採算表(VND)'!H28/$N$1,2)</f>
        <v>196.92999999999998</v>
      </c>
      <c r="I28" s="136">
        <f>ROUNDUP('採算表(VND)'!I28/$N$1,2)</f>
        <v>196.92999999999998</v>
      </c>
      <c r="J28" s="136">
        <f>ROUNDUP('採算表(VND)'!J28/$N$1,2)</f>
        <v>196.92999999999998</v>
      </c>
      <c r="K28" s="136">
        <f>ROUNDUP('採算表(VND)'!K28/$N$1,2)</f>
        <v>177.23999999999998</v>
      </c>
      <c r="L28" s="136">
        <f>ROUNDUP('採算表(VND)'!L28/$N$1,2)</f>
        <v>137.85</v>
      </c>
      <c r="M28" s="136">
        <f>ROUNDUP('採算表(VND)'!M28/$N$1,2)</f>
        <v>118.16000000000001</v>
      </c>
      <c r="N28" s="136">
        <f>ROUNDUP('採算表(VND)'!N28/$N$1,2)</f>
        <v>118.16000000000001</v>
      </c>
      <c r="O28" s="136">
        <f t="shared" si="4"/>
        <v>2126.85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46.41</v>
      </c>
      <c r="D30" s="136">
        <f>ROUNDUP('採算表(VND)'!D30/$N$1,2)</f>
        <v>47.64</v>
      </c>
      <c r="E30" s="136">
        <f>ROUNDUP('採算表(VND)'!E30/$N$1,2)</f>
        <v>57.21</v>
      </c>
      <c r="F30" s="136">
        <f>ROUNDUP('採算表(VND)'!F30/$N$1,2)</f>
        <v>65.190000000000012</v>
      </c>
      <c r="G30" s="136">
        <f>ROUNDUP('採算表(VND)'!G30/$N$1,2)</f>
        <v>63.26</v>
      </c>
      <c r="H30" s="136">
        <f>ROUNDUP('採算表(VND)'!H30/$N$1,2)</f>
        <v>57.01</v>
      </c>
      <c r="I30" s="136">
        <f>ROUNDUP('採算表(VND)'!I30/$N$1,2)</f>
        <v>54.97</v>
      </c>
      <c r="J30" s="136">
        <f>ROUNDUP('採算表(VND)'!J30/$N$1,2)</f>
        <v>54.12</v>
      </c>
      <c r="K30" s="136">
        <f>ROUNDUP('採算表(VND)'!K30/$N$1,2)</f>
        <v>53.82</v>
      </c>
      <c r="L30" s="136">
        <f>ROUNDUP('採算表(VND)'!L30/$N$1,2)</f>
        <v>47</v>
      </c>
      <c r="M30" s="136">
        <f>ROUNDUP('採算表(VND)'!M30/$N$1,2)</f>
        <v>41.79</v>
      </c>
      <c r="N30" s="136">
        <f>ROUNDUP('採算表(VND)'!N30/$N$1,2)</f>
        <v>39.919999999999995</v>
      </c>
      <c r="O30" s="136">
        <f t="shared" si="4"/>
        <v>628.3399999999998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17.73</v>
      </c>
      <c r="D39" s="136">
        <f>ROUNDUP('採算表(VND)'!D39/$N$1,2)</f>
        <v>17.8</v>
      </c>
      <c r="E39" s="136">
        <f>ROUNDUP('採算表(VND)'!E39/$N$1,2)</f>
        <v>18.34</v>
      </c>
      <c r="F39" s="136">
        <f>ROUNDUP('採算表(VND)'!F39/$N$1,2)</f>
        <v>16.8</v>
      </c>
      <c r="G39" s="136">
        <f>ROUNDUP('採算表(VND)'!G39/$N$1,2)</f>
        <v>16.360000000000003</v>
      </c>
      <c r="H39" s="136">
        <f>ROUNDUP('採算表(VND)'!H39/$N$1,2)</f>
        <v>15.629999999999999</v>
      </c>
      <c r="I39" s="136">
        <f>ROUNDUP('採算表(VND)'!I39/$N$1,2)</f>
        <v>14.95</v>
      </c>
      <c r="J39" s="136">
        <f>ROUNDUP('採算表(VND)'!J39/$N$1,2)</f>
        <v>14.76</v>
      </c>
      <c r="K39" s="136">
        <f>ROUNDUP('採算表(VND)'!K39/$N$1,2)</f>
        <v>14.81</v>
      </c>
      <c r="L39" s="136">
        <f>ROUNDUP('採算表(VND)'!L39/$N$1,2)</f>
        <v>14.17</v>
      </c>
      <c r="M39" s="136">
        <f>ROUNDUP('採算表(VND)'!M39/$N$1,2)</f>
        <v>13.42</v>
      </c>
      <c r="N39" s="136">
        <f>ROUNDUP('採算表(VND)'!N39/$N$1,2)</f>
        <v>14.04</v>
      </c>
      <c r="O39" s="136">
        <f t="shared" si="4"/>
        <v>188.80999999999997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47.269999999999996</v>
      </c>
      <c r="D41" s="136">
        <f>ROUNDUP('採算表(VND)'!D41/$N$1,2)</f>
        <v>59.91</v>
      </c>
      <c r="E41" s="136">
        <f>ROUNDUP('採算表(VND)'!E41/$N$1,2)</f>
        <v>88.62</v>
      </c>
      <c r="F41" s="136">
        <f>ROUNDUP('採算表(VND)'!F41/$N$1,2)</f>
        <v>47.269999999999996</v>
      </c>
      <c r="G41" s="136">
        <f>ROUNDUP('採算表(VND)'!G41/$N$1,2)</f>
        <v>47.269999999999996</v>
      </c>
      <c r="H41" s="136">
        <f>ROUNDUP('採算表(VND)'!H41/$N$1,2)</f>
        <v>47.269999999999996</v>
      </c>
      <c r="I41" s="136">
        <f>ROUNDUP('採算表(VND)'!I41/$N$1,2)</f>
        <v>47.269999999999996</v>
      </c>
      <c r="J41" s="136">
        <f>ROUNDUP('採算表(VND)'!J41/$N$1,2)</f>
        <v>47.269999999999996</v>
      </c>
      <c r="K41" s="136">
        <f>ROUNDUP('採算表(VND)'!K41/$N$1,2)</f>
        <v>47.269999999999996</v>
      </c>
      <c r="L41" s="136">
        <f>ROUNDUP('採算表(VND)'!L41/$N$1,2)</f>
        <v>47.269999999999996</v>
      </c>
      <c r="M41" s="136">
        <f>ROUNDUP('採算表(VND)'!M41/$N$1,2)</f>
        <v>47.269999999999996</v>
      </c>
      <c r="N41" s="136">
        <f>ROUNDUP('採算表(VND)'!N41/$N$1,2)</f>
        <v>47.269999999999996</v>
      </c>
      <c r="O41" s="136">
        <f t="shared" si="4"/>
        <v>621.2299999999999</v>
      </c>
    </row>
    <row r="42" spans="1:15" ht="11.25" customHeight="1">
      <c r="A42" s="38"/>
      <c r="B42" s="37" t="s">
        <v>98</v>
      </c>
      <c r="C42" s="136">
        <f>ROUNDUP('採算表(VND)'!C42/$N$1,2)</f>
        <v>7708.96</v>
      </c>
      <c r="D42" s="136">
        <f>ROUNDUP('採算表(VND)'!D42/$N$1,2)</f>
        <v>788.72</v>
      </c>
      <c r="E42" s="136">
        <f>ROUNDUP('採算表(VND)'!E42/$N$1,2)</f>
        <v>799.56</v>
      </c>
      <c r="F42" s="136">
        <f>ROUNDUP('採算表(VND)'!F42/$N$1,2)</f>
        <v>788.72</v>
      </c>
      <c r="G42" s="136">
        <f>ROUNDUP('採算表(VND)'!G42/$N$1,2)</f>
        <v>788.72</v>
      </c>
      <c r="H42" s="136">
        <f>ROUNDUP('採算表(VND)'!H42/$N$1,2)</f>
        <v>788.72</v>
      </c>
      <c r="I42" s="136">
        <f>ROUNDUP('採算表(VND)'!I42/$N$1,2)</f>
        <v>788.72</v>
      </c>
      <c r="J42" s="136">
        <f>ROUNDUP('採算表(VND)'!J42/$N$1,2)</f>
        <v>788.98</v>
      </c>
      <c r="K42" s="136">
        <f>ROUNDUP('採算表(VND)'!K42/$N$1,2)</f>
        <v>788.72</v>
      </c>
      <c r="L42" s="136">
        <f>ROUNDUP('採算表(VND)'!L42/$N$1,2)</f>
        <v>788.72</v>
      </c>
      <c r="M42" s="136">
        <f>ROUNDUP('採算表(VND)'!M42/$N$1,2)</f>
        <v>788.72</v>
      </c>
      <c r="N42" s="136">
        <f>ROUNDUP('採算表(VND)'!N42/$N$1,2)</f>
        <v>788.72</v>
      </c>
      <c r="O42" s="136">
        <f t="shared" si="4"/>
        <v>16395.979999999996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328.96999999999997</v>
      </c>
      <c r="D44" s="136">
        <f>ROUNDUP('採算表(VND)'!D44/$N$1,2)</f>
        <v>789.93999999999994</v>
      </c>
      <c r="E44" s="136">
        <f>ROUNDUP('採算表(VND)'!E44/$N$1,2)</f>
        <v>111.74000000000001</v>
      </c>
      <c r="F44" s="136">
        <f>ROUNDUP('採算表(VND)'!F44/$N$1,2)</f>
        <v>155.1</v>
      </c>
      <c r="G44" s="136">
        <f>ROUNDUP('採算表(VND)'!G44/$N$1,2)</f>
        <v>125.12</v>
      </c>
      <c r="H44" s="136">
        <f>ROUNDUP('採算表(VND)'!H44/$N$1,2)</f>
        <v>171.64999999999998</v>
      </c>
      <c r="I44" s="136">
        <f>ROUNDUP('採算表(VND)'!I44/$N$1,2)</f>
        <v>124.60000000000001</v>
      </c>
      <c r="J44" s="136">
        <f>ROUNDUP('採算表(VND)'!J44/$N$1,2)</f>
        <v>160.97999999999999</v>
      </c>
      <c r="K44" s="136">
        <f>ROUNDUP('採算表(VND)'!K44/$N$1,2)</f>
        <v>177.95999999999998</v>
      </c>
      <c r="L44" s="136">
        <f>ROUNDUP('採算表(VND)'!L44/$N$1,2)</f>
        <v>108.62</v>
      </c>
      <c r="M44" s="136">
        <f>ROUNDUP('採算表(VND)'!M44/$N$1,2)</f>
        <v>224.76999999999998</v>
      </c>
      <c r="N44" s="136">
        <f>ROUNDUP('採算表(VND)'!N44/$N$1,2)</f>
        <v>102.11</v>
      </c>
      <c r="O44" s="136">
        <f t="shared" si="4"/>
        <v>2581.56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115.54</v>
      </c>
      <c r="D57" s="139">
        <f>ROUNDUP('採算表(VND)'!D57/$N$1,2)</f>
        <v>109.13000000000001</v>
      </c>
      <c r="E57" s="139">
        <f>ROUNDUP('採算表(VND)'!E57/$N$1,2)</f>
        <v>109.14</v>
      </c>
      <c r="F57" s="139">
        <f>ROUNDUP('採算表(VND)'!F57/$N$1,2)</f>
        <v>109.03</v>
      </c>
      <c r="G57" s="139">
        <f>ROUNDUP('採算表(VND)'!G57/$N$1,2)</f>
        <v>108.99000000000001</v>
      </c>
      <c r="H57" s="139">
        <f>ROUNDUP('採算表(VND)'!H57/$N$1,2)</f>
        <v>107.33</v>
      </c>
      <c r="I57" s="139">
        <f>ROUNDUP('採算表(VND)'!I57/$N$1,2)</f>
        <v>106.83</v>
      </c>
      <c r="J57" s="139">
        <f>ROUNDUP('採算表(VND)'!J57/$N$1,2)</f>
        <v>106.82000000000001</v>
      </c>
      <c r="K57" s="139">
        <f>ROUNDUP('採算表(VND)'!K57/$N$1,2)</f>
        <v>106.83</v>
      </c>
      <c r="L57" s="139">
        <f>ROUNDUP('採算表(VND)'!L57/$N$1,2)</f>
        <v>106.77000000000001</v>
      </c>
      <c r="M57" s="139">
        <f>ROUNDUP('採算表(VND)'!M57/$N$1,2)</f>
        <v>106.73</v>
      </c>
      <c r="N57" s="139">
        <f>ROUNDUP('採算表(VND)'!N57/$N$1,2)</f>
        <v>106.77000000000001</v>
      </c>
      <c r="O57" s="139">
        <f t="shared" si="4"/>
        <v>1299.9100000000003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-9289.33</v>
      </c>
      <c r="D63" s="139">
        <f>ROUNDUP('採算表(VND)'!D63/$N$1,2)</f>
        <v>-2836.51</v>
      </c>
      <c r="E63" s="139">
        <f>ROUNDUP('採算表(VND)'!E63/$N$1,2)</f>
        <v>-2208.5700000000002</v>
      </c>
      <c r="F63" s="139">
        <f>ROUNDUP('採算表(VND)'!F63/$N$1,2)</f>
        <v>-1546.74</v>
      </c>
      <c r="G63" s="139">
        <f>ROUNDUP('採算表(VND)'!G63/$N$1,2)</f>
        <v>-1513.42</v>
      </c>
      <c r="H63" s="139">
        <f>ROUNDUP('採算表(VND)'!H63/$N$1,2)</f>
        <v>-1548.53</v>
      </c>
      <c r="I63" s="139">
        <f>ROUNDUP('採算表(VND)'!I63/$N$1,2)</f>
        <v>-1498.69</v>
      </c>
      <c r="J63" s="139">
        <f>ROUNDUP('採算表(VND)'!J63/$N$1,2)</f>
        <v>-1533.4</v>
      </c>
      <c r="K63" s="139">
        <f>ROUNDUP('採算表(VND)'!K63/$N$1,2)</f>
        <v>-1530.78</v>
      </c>
      <c r="L63" s="139">
        <f>ROUNDUP('採算表(VND)'!L63/$N$1,2)</f>
        <v>-1413.91</v>
      </c>
      <c r="M63" s="139">
        <f>ROUNDUP('採算表(VND)'!M63/$N$1,2)</f>
        <v>-1502.83</v>
      </c>
      <c r="N63" s="139">
        <f>ROUNDUP('採算表(VND)'!N63/$N$1,2)</f>
        <v>-1380.5</v>
      </c>
      <c r="O63" s="139">
        <f t="shared" si="4"/>
        <v>-27803.21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-4.0000000000873115E-2</v>
      </c>
      <c r="D66" s="134">
        <f t="shared" ref="D66:O66" si="5">IF(ISBLANK(D4),"",D12-D13)</f>
        <v>-4.9999999999727152E-2</v>
      </c>
      <c r="E66" s="134">
        <f t="shared" si="5"/>
        <v>-1.9999999999527063E-2</v>
      </c>
      <c r="F66" s="134">
        <f t="shared" si="5"/>
        <v>-1.999999999998181E-2</v>
      </c>
      <c r="G66" s="134">
        <f t="shared" si="5"/>
        <v>-1.9999999999754436E-2</v>
      </c>
      <c r="H66" s="134">
        <f t="shared" si="5"/>
        <v>-2.9999999999972715E-2</v>
      </c>
      <c r="I66" s="134">
        <f t="shared" si="5"/>
        <v>-3.9999999999736247E-2</v>
      </c>
      <c r="J66" s="134">
        <f t="shared" si="5"/>
        <v>-4.9999999999954525E-2</v>
      </c>
      <c r="K66" s="134">
        <f t="shared" si="5"/>
        <v>-4.9999999999954525E-2</v>
      </c>
      <c r="L66" s="134">
        <f t="shared" si="5"/>
        <v>-2.9999999999972715E-2</v>
      </c>
      <c r="M66" s="134">
        <f t="shared" si="5"/>
        <v>-5.0000000000181899E-2</v>
      </c>
      <c r="N66" s="134">
        <f t="shared" si="5"/>
        <v>-3.999999999996362E-2</v>
      </c>
      <c r="O66" s="134">
        <f t="shared" si="5"/>
        <v>-0.43999999999869033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1273</v>
      </c>
      <c r="D68" s="135">
        <f>'採算表(VND)'!D68</f>
        <v>1206</v>
      </c>
      <c r="E68" s="135">
        <f>'採算表(VND)'!E68</f>
        <v>1350</v>
      </c>
      <c r="F68" s="135">
        <f>'採算表(VND)'!F68</f>
        <v>1496</v>
      </c>
      <c r="G68" s="135">
        <f>'採算表(VND)'!G68</f>
        <v>1292</v>
      </c>
      <c r="H68" s="135">
        <f>'採算表(VND)'!H68</f>
        <v>1224</v>
      </c>
      <c r="I68" s="135">
        <f>'採算表(VND)'!I68</f>
        <v>1496</v>
      </c>
      <c r="J68" s="135">
        <f>'採算表(VND)'!J68</f>
        <v>1292</v>
      </c>
      <c r="K68" s="135">
        <f>'採算表(VND)'!K68</f>
        <v>1428</v>
      </c>
      <c r="L68" s="135">
        <f>'採算表(VND)'!L68</f>
        <v>1292</v>
      </c>
      <c r="M68" s="135">
        <f>'採算表(VND)'!M68</f>
        <v>952</v>
      </c>
      <c r="N68" s="135">
        <f>'採算表(VND)'!N68</f>
        <v>1292</v>
      </c>
      <c r="O68" s="135">
        <f>SUM(C68:N68)</f>
        <v>15593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-1273</v>
      </c>
      <c r="D71" s="140">
        <f>'採算表(VND)'!D71</f>
        <v>-1206</v>
      </c>
      <c r="E71" s="140">
        <f>'採算表(VND)'!E71</f>
        <v>-1350</v>
      </c>
      <c r="F71" s="140">
        <f>'採算表(VND)'!F71</f>
        <v>-1496</v>
      </c>
      <c r="G71" s="140">
        <f>'採算表(VND)'!G71</f>
        <v>-1292</v>
      </c>
      <c r="H71" s="140">
        <f>'採算表(VND)'!H71</f>
        <v>-1224</v>
      </c>
      <c r="I71" s="140">
        <f>'採算表(VND)'!I71</f>
        <v>-1496</v>
      </c>
      <c r="J71" s="140">
        <f>'採算表(VND)'!J71</f>
        <v>-1292</v>
      </c>
      <c r="K71" s="140">
        <f>'採算表(VND)'!K71</f>
        <v>-1428</v>
      </c>
      <c r="L71" s="140">
        <f>'採算表(VND)'!L71</f>
        <v>-1292</v>
      </c>
      <c r="M71" s="140">
        <f>'採算表(VND)'!M71</f>
        <v>-952</v>
      </c>
      <c r="N71" s="140">
        <f>'採算表(VND)'!N71</f>
        <v>-1292</v>
      </c>
      <c r="O71" s="140">
        <f>SUM(C71:N71)</f>
        <v>-15593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38</v>
      </c>
      <c r="D74" s="135">
        <f>'採算表(VND)'!D74</f>
        <v>36</v>
      </c>
      <c r="E74" s="135">
        <f>'採算表(VND)'!E74</f>
        <v>40</v>
      </c>
      <c r="F74" s="135">
        <f>'採算表(VND)'!F74</f>
        <v>44</v>
      </c>
      <c r="G74" s="135">
        <f>'採算表(VND)'!G74</f>
        <v>38</v>
      </c>
      <c r="H74" s="135">
        <f>'採算表(VND)'!H74</f>
        <v>36</v>
      </c>
      <c r="I74" s="135">
        <f>'採算表(VND)'!I74</f>
        <v>44</v>
      </c>
      <c r="J74" s="135">
        <f>'採算表(VND)'!J74</f>
        <v>38</v>
      </c>
      <c r="K74" s="135">
        <f>'採算表(VND)'!K74</f>
        <v>42</v>
      </c>
      <c r="L74" s="135">
        <f>'採算表(VND)'!L74</f>
        <v>76</v>
      </c>
      <c r="M74" s="135">
        <f>'採算表(VND)'!M74</f>
        <v>56</v>
      </c>
      <c r="N74" s="135">
        <f>'採算表(VND)'!N74</f>
        <v>76</v>
      </c>
      <c r="O74" s="135">
        <f>SUM(C74:N74)</f>
        <v>564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-38</v>
      </c>
      <c r="D77" s="140">
        <f>'採算表(VND)'!D77</f>
        <v>-36</v>
      </c>
      <c r="E77" s="140">
        <f>'採算表(VND)'!E77</f>
        <v>-40</v>
      </c>
      <c r="F77" s="140">
        <f>'採算表(VND)'!F77</f>
        <v>-44</v>
      </c>
      <c r="G77" s="140">
        <f>'採算表(VND)'!G77</f>
        <v>-38</v>
      </c>
      <c r="H77" s="140">
        <f>'採算表(VND)'!H77</f>
        <v>-36</v>
      </c>
      <c r="I77" s="140">
        <f>'採算表(VND)'!I77</f>
        <v>-44</v>
      </c>
      <c r="J77" s="140">
        <f>'採算表(VND)'!J77</f>
        <v>-38</v>
      </c>
      <c r="K77" s="140">
        <f>'採算表(VND)'!K77</f>
        <v>-42</v>
      </c>
      <c r="L77" s="140">
        <f>'採算表(VND)'!L77</f>
        <v>-76</v>
      </c>
      <c r="M77" s="140">
        <f>'採算表(VND)'!M77</f>
        <v>-56</v>
      </c>
      <c r="N77" s="140">
        <f>'採算表(VND)'!N77</f>
        <v>-76</v>
      </c>
      <c r="O77" s="140">
        <f>SUM(C77:N77)</f>
        <v>-564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8</v>
      </c>
      <c r="D88" s="150">
        <f>'採算表(VND)'!D88</f>
        <v>8</v>
      </c>
      <c r="E88" s="150">
        <f>'採算表(VND)'!E88</f>
        <v>8</v>
      </c>
      <c r="F88" s="150">
        <f>'採算表(VND)'!F88</f>
        <v>8</v>
      </c>
      <c r="G88" s="150">
        <f>'採算表(VND)'!G88</f>
        <v>8</v>
      </c>
      <c r="H88" s="150">
        <f>'採算表(VND)'!H88</f>
        <v>8</v>
      </c>
      <c r="I88" s="150">
        <f>'採算表(VND)'!I88</f>
        <v>8</v>
      </c>
      <c r="J88" s="150">
        <f>'採算表(VND)'!J88</f>
        <v>8</v>
      </c>
      <c r="K88" s="150">
        <f>'採算表(VND)'!K88</f>
        <v>8</v>
      </c>
      <c r="L88" s="150">
        <f>'採算表(VND)'!L88</f>
        <v>8</v>
      </c>
      <c r="M88" s="150">
        <f>'採算表(VND)'!M88</f>
        <v>8</v>
      </c>
      <c r="N88" s="150">
        <f>'採算表(VND)'!N88</f>
        <v>8</v>
      </c>
      <c r="O88" s="150">
        <f>SUM(C88:N88)</f>
        <v>96</v>
      </c>
    </row>
    <row r="89" spans="1:15">
      <c r="A89" s="44"/>
      <c r="B89" s="60" t="s">
        <v>18</v>
      </c>
      <c r="C89" s="151">
        <f t="shared" ref="C89:O89" si="11">C87+C88</f>
        <v>8</v>
      </c>
      <c r="D89" s="151">
        <f t="shared" si="11"/>
        <v>8</v>
      </c>
      <c r="E89" s="151">
        <f t="shared" si="11"/>
        <v>8</v>
      </c>
      <c r="F89" s="151">
        <f t="shared" si="11"/>
        <v>8</v>
      </c>
      <c r="G89" s="151">
        <f t="shared" si="11"/>
        <v>8</v>
      </c>
      <c r="H89" s="151">
        <f t="shared" si="11"/>
        <v>8</v>
      </c>
      <c r="I89" s="151">
        <f t="shared" si="11"/>
        <v>8</v>
      </c>
      <c r="J89" s="151">
        <f t="shared" si="11"/>
        <v>8</v>
      </c>
      <c r="K89" s="151">
        <f t="shared" si="11"/>
        <v>8</v>
      </c>
      <c r="L89" s="151">
        <f t="shared" si="11"/>
        <v>8</v>
      </c>
      <c r="M89" s="151">
        <f t="shared" si="11"/>
        <v>8</v>
      </c>
      <c r="N89" s="151">
        <f t="shared" si="11"/>
        <v>8</v>
      </c>
      <c r="O89" s="151">
        <f t="shared" si="11"/>
        <v>96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1273</v>
      </c>
      <c r="D93" s="133">
        <f>'採算表(VND)'!D93</f>
        <v>1206</v>
      </c>
      <c r="E93" s="133">
        <f>'採算表(VND)'!E93</f>
        <v>1350</v>
      </c>
      <c r="F93" s="133">
        <f>'採算表(VND)'!F93</f>
        <v>1496</v>
      </c>
      <c r="G93" s="133">
        <f>'採算表(VND)'!G93</f>
        <v>1292</v>
      </c>
      <c r="H93" s="133">
        <f>'採算表(VND)'!H93</f>
        <v>1224</v>
      </c>
      <c r="I93" s="133">
        <f>'採算表(VND)'!I93</f>
        <v>1496</v>
      </c>
      <c r="J93" s="133">
        <f>'採算表(VND)'!J93</f>
        <v>1292</v>
      </c>
      <c r="K93" s="133">
        <f>'採算表(VND)'!K93</f>
        <v>1428</v>
      </c>
      <c r="L93" s="133">
        <f>'採算表(VND)'!L93</f>
        <v>1292</v>
      </c>
      <c r="M93" s="133">
        <f>'採算表(VND)'!M93</f>
        <v>952</v>
      </c>
      <c r="N93" s="133">
        <f>'採算表(VND)'!N93</f>
        <v>1292</v>
      </c>
      <c r="O93" s="133">
        <f>SUM(C93:N93)</f>
        <v>15593</v>
      </c>
    </row>
    <row r="94" spans="1:15">
      <c r="B94" s="61" t="s">
        <v>18</v>
      </c>
      <c r="C94" s="147">
        <f t="shared" ref="C94:O94" si="12">C92+C93</f>
        <v>1273</v>
      </c>
      <c r="D94" s="147">
        <f t="shared" si="12"/>
        <v>1206</v>
      </c>
      <c r="E94" s="147">
        <f t="shared" si="12"/>
        <v>1350</v>
      </c>
      <c r="F94" s="147">
        <f t="shared" si="12"/>
        <v>1496</v>
      </c>
      <c r="G94" s="147">
        <f t="shared" si="12"/>
        <v>1292</v>
      </c>
      <c r="H94" s="147">
        <f t="shared" si="12"/>
        <v>1224</v>
      </c>
      <c r="I94" s="147">
        <f t="shared" si="12"/>
        <v>1496</v>
      </c>
      <c r="J94" s="147">
        <f t="shared" si="12"/>
        <v>1292</v>
      </c>
      <c r="K94" s="147">
        <f t="shared" si="12"/>
        <v>1428</v>
      </c>
      <c r="L94" s="147">
        <f t="shared" si="12"/>
        <v>1292</v>
      </c>
      <c r="M94" s="147">
        <f t="shared" si="12"/>
        <v>952</v>
      </c>
      <c r="N94" s="147">
        <f t="shared" si="12"/>
        <v>1292</v>
      </c>
      <c r="O94" s="147">
        <f t="shared" si="12"/>
        <v>15593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38</v>
      </c>
      <c r="D98" s="133">
        <f>'採算表(VND)'!D98</f>
        <v>36</v>
      </c>
      <c r="E98" s="133">
        <f>'採算表(VND)'!E98</f>
        <v>40</v>
      </c>
      <c r="F98" s="133">
        <f>'採算表(VND)'!F98</f>
        <v>44</v>
      </c>
      <c r="G98" s="133">
        <f>'採算表(VND)'!G98</f>
        <v>38</v>
      </c>
      <c r="H98" s="133">
        <f>'採算表(VND)'!H98</f>
        <v>36</v>
      </c>
      <c r="I98" s="133">
        <f>'採算表(VND)'!I98</f>
        <v>44</v>
      </c>
      <c r="J98" s="133">
        <f>'採算表(VND)'!J98</f>
        <v>38</v>
      </c>
      <c r="K98" s="133">
        <f>'採算表(VND)'!K98</f>
        <v>42</v>
      </c>
      <c r="L98" s="133">
        <f>'採算表(VND)'!L98</f>
        <v>76</v>
      </c>
      <c r="M98" s="133">
        <f>'採算表(VND)'!M98</f>
        <v>56</v>
      </c>
      <c r="N98" s="133">
        <f>'採算表(VND)'!N98</f>
        <v>76</v>
      </c>
      <c r="O98" s="133">
        <f>SUM(C98:N98)</f>
        <v>564</v>
      </c>
    </row>
    <row r="99" spans="2:15">
      <c r="B99" s="61" t="s">
        <v>18</v>
      </c>
      <c r="C99" s="147">
        <f t="shared" ref="C99:O99" si="13">C97+C98</f>
        <v>38</v>
      </c>
      <c r="D99" s="147">
        <f t="shared" si="13"/>
        <v>36</v>
      </c>
      <c r="E99" s="147">
        <f t="shared" si="13"/>
        <v>40</v>
      </c>
      <c r="F99" s="147">
        <f t="shared" si="13"/>
        <v>44</v>
      </c>
      <c r="G99" s="147">
        <f t="shared" si="13"/>
        <v>38</v>
      </c>
      <c r="H99" s="147">
        <f t="shared" si="13"/>
        <v>36</v>
      </c>
      <c r="I99" s="147">
        <f t="shared" si="13"/>
        <v>44</v>
      </c>
      <c r="J99" s="147">
        <f t="shared" si="13"/>
        <v>38</v>
      </c>
      <c r="K99" s="147">
        <f t="shared" si="13"/>
        <v>42</v>
      </c>
      <c r="L99" s="147">
        <f t="shared" si="13"/>
        <v>76</v>
      </c>
      <c r="M99" s="147">
        <f t="shared" si="13"/>
        <v>56</v>
      </c>
      <c r="N99" s="147">
        <f t="shared" si="13"/>
        <v>76</v>
      </c>
      <c r="O99" s="147">
        <f t="shared" si="13"/>
        <v>564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291-BAE9-4BD8-831B-A74FEEB03F12}">
  <sheetPr codeName="Sheet2"/>
  <dimension ref="A1:BI99"/>
  <sheetViews>
    <sheetView topLeftCell="A30" zoomScaleNormal="100" workbookViewId="0">
      <selection activeCell="B44" sqref="B44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第4資材課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SUMIF('内訳ﾘｽﾄ(4～3月)'!$D$26:$D$1001,'採算表(VND)'!$B6,'内訳ﾘｽﾄ(4～3月)'!F$26:F$1001)</f>
        <v>0</v>
      </c>
      <c r="D6" s="153">
        <f>SUMIF('内訳ﾘｽﾄ(4～3月)'!$D$26:$D$1001,'採算表(VND)'!$B6,'内訳ﾘｽﾄ(4～3月)'!G$26:G$1001)</f>
        <v>0</v>
      </c>
      <c r="E6" s="153">
        <f>SUMIF('内訳ﾘｽﾄ(4～3月)'!$D$26:$D$1001,'採算表(VND)'!$B6,'内訳ﾘｽﾄ(4～3月)'!H$26:H$1001)</f>
        <v>0</v>
      </c>
      <c r="F6" s="153">
        <f>SUMIF('内訳ﾘｽﾄ(4～3月)'!$D$26:$D$1001,'採算表(VND)'!$B6,'内訳ﾘｽﾄ(4～3月)'!I$26:I$1001)</f>
        <v>0</v>
      </c>
      <c r="G6" s="153">
        <f>SUMIF('内訳ﾘｽﾄ(4～3月)'!$D$26:$D$1001,'採算表(VND)'!$B6,'内訳ﾘｽﾄ(4～3月)'!J$26:J$1001)</f>
        <v>0</v>
      </c>
      <c r="H6" s="153">
        <f>SUMIF('内訳ﾘｽﾄ(4～3月)'!$D$26:$D$1001,'採算表(VND)'!$B6,'内訳ﾘｽﾄ(4～3月)'!K$26:K$1001)</f>
        <v>0</v>
      </c>
      <c r="I6" s="153">
        <f>SUMIF('内訳ﾘｽﾄ(4～3月)'!$D$26:$D$1001,'採算表(VND)'!$B6,'内訳ﾘｽﾄ(4～3月)'!L$26:L$1001)</f>
        <v>0</v>
      </c>
      <c r="J6" s="153">
        <f>SUMIF('内訳ﾘｽﾄ(4～3月)'!$D$26:$D$1001,'採算表(VND)'!$B6,'内訳ﾘｽﾄ(4～3月)'!M$26:M$1001)</f>
        <v>0</v>
      </c>
      <c r="K6" s="153">
        <f>SUMIF('内訳ﾘｽﾄ(4～3月)'!$D$26:$D$1001,'採算表(VND)'!$B6,'内訳ﾘｽﾄ(4～3月)'!N$26:N$1001)</f>
        <v>0</v>
      </c>
      <c r="L6" s="153">
        <f>SUMIF('内訳ﾘｽﾄ(4～3月)'!$D$26:$D$1001,'採算表(VND)'!$B6,'内訳ﾘｽﾄ(4～3月)'!O$26:O$1001)</f>
        <v>0</v>
      </c>
      <c r="M6" s="153">
        <f>SUMIF('内訳ﾘｽﾄ(4～3月)'!$D$26:$D$1001,'採算表(VND)'!$B6,'内訳ﾘｽﾄ(4～3月)'!P$26:P$1001)</f>
        <v>0</v>
      </c>
      <c r="N6" s="153">
        <f>SUMIF('内訳ﾘｽﾄ(4～3月)'!$D$26:$D$1001,'採算表(VND)'!$B6,'内訳ﾘｽﾄ(4～3月)'!Q$26:Q$1001)</f>
        <v>0</v>
      </c>
      <c r="O6" s="153">
        <f>SUMIF('内訳ﾘｽﾄ(4～3月)'!$D$26:$D$800,'採算表(VND)'!$B6,'内訳ﾘｽﾄ(4～3月)'!R$26:R$800)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SUMIF('内訳ﾘｽﾄ(4～3月)'!$D$26:$D$1001,'採算表(VND)'!$B7,'内訳ﾘｽﾄ(4～3月)'!F$26:F$1001)</f>
        <v>0</v>
      </c>
      <c r="D7" s="154">
        <f>SUMIF('内訳ﾘｽﾄ(4～3月)'!$D$26:$D$1001,'採算表(VND)'!$B7,'内訳ﾘｽﾄ(4～3月)'!G$26:G$1001)</f>
        <v>0</v>
      </c>
      <c r="E7" s="154">
        <f>SUMIF('内訳ﾘｽﾄ(4～3月)'!$D$26:$D$1001,'採算表(VND)'!$B7,'内訳ﾘｽﾄ(4～3月)'!H$26:H$1001)</f>
        <v>0</v>
      </c>
      <c r="F7" s="154">
        <f>SUMIF('内訳ﾘｽﾄ(4～3月)'!$D$26:$D$1001,'採算表(VND)'!$B7,'内訳ﾘｽﾄ(4～3月)'!I$26:I$1001)</f>
        <v>0</v>
      </c>
      <c r="G7" s="154">
        <f>SUMIF('内訳ﾘｽﾄ(4～3月)'!$D$26:$D$1001,'採算表(VND)'!$B7,'内訳ﾘｽﾄ(4～3月)'!J$26:J$1001)</f>
        <v>0</v>
      </c>
      <c r="H7" s="154">
        <f>SUMIF('内訳ﾘｽﾄ(4～3月)'!$D$26:$D$1001,'採算表(VND)'!$B7,'内訳ﾘｽﾄ(4～3月)'!K$26:K$1001)</f>
        <v>0</v>
      </c>
      <c r="I7" s="154">
        <f>SUMIF('内訳ﾘｽﾄ(4～3月)'!$D$26:$D$1001,'採算表(VND)'!$B7,'内訳ﾘｽﾄ(4～3月)'!L$26:L$1001)</f>
        <v>0</v>
      </c>
      <c r="J7" s="154">
        <f>SUMIF('内訳ﾘｽﾄ(4～3月)'!$D$26:$D$1001,'採算表(VND)'!$B7,'内訳ﾘｽﾄ(4～3月)'!M$26:M$1001)</f>
        <v>0</v>
      </c>
      <c r="K7" s="154">
        <f>SUMIF('内訳ﾘｽﾄ(4～3月)'!$D$26:$D$1001,'採算表(VND)'!$B7,'内訳ﾘｽﾄ(4～3月)'!N$26:N$1001)</f>
        <v>0</v>
      </c>
      <c r="L7" s="154">
        <f>SUMIF('内訳ﾘｽﾄ(4～3月)'!$D$26:$D$1001,'採算表(VND)'!$B7,'内訳ﾘｽﾄ(4～3月)'!O$26:O$1001)</f>
        <v>0</v>
      </c>
      <c r="M7" s="154">
        <f>SUMIF('内訳ﾘｽﾄ(4～3月)'!$D$26:$D$1001,'採算表(VND)'!$B7,'内訳ﾘｽﾄ(4～3月)'!P$26:P$1001)</f>
        <v>0</v>
      </c>
      <c r="N7" s="154">
        <f>SUMIF('内訳ﾘｽﾄ(4～3月)'!$D$26:$D$1001,'採算表(VND)'!$B7,'内訳ﾘｽﾄ(4～3月)'!Q$26:Q$1001)</f>
        <v>0</v>
      </c>
      <c r="O7" s="154">
        <f>SUMIF('内訳ﾘｽﾄ(4～3月)'!$D$26:$D$800,'採算表(VND)'!$B7,'内訳ﾘｽﾄ(4～3月)'!R$26:R$800)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SUMIF('内訳ﾘｽﾄ(4～3月)'!$D$26:$D$1001,'採算表(VND)'!$B9,'内訳ﾘｽﾄ(4～3月)'!F$26:F$1001)</f>
        <v>0</v>
      </c>
      <c r="D9" s="150">
        <f>SUMIF('内訳ﾘｽﾄ(4～3月)'!$D$26:$D$1001,'採算表(VND)'!$B9,'内訳ﾘｽﾄ(4～3月)'!G$26:G$1001)</f>
        <v>0</v>
      </c>
      <c r="E9" s="150">
        <f>SUMIF('内訳ﾘｽﾄ(4～3月)'!$D$26:$D$1001,'採算表(VND)'!$B9,'内訳ﾘｽﾄ(4～3月)'!H$26:H$1001)</f>
        <v>0</v>
      </c>
      <c r="F9" s="150">
        <f>SUMIF('内訳ﾘｽﾄ(4～3月)'!$D$26:$D$1001,'採算表(VND)'!$B9,'内訳ﾘｽﾄ(4～3月)'!I$26:I$1001)</f>
        <v>0</v>
      </c>
      <c r="G9" s="150">
        <f>SUMIF('内訳ﾘｽﾄ(4～3月)'!$D$26:$D$1001,'採算表(VND)'!$B9,'内訳ﾘｽﾄ(4～3月)'!J$26:J$1001)</f>
        <v>0</v>
      </c>
      <c r="H9" s="150">
        <f>SUMIF('内訳ﾘｽﾄ(4～3月)'!$D$26:$D$1001,'採算表(VND)'!$B9,'内訳ﾘｽﾄ(4～3月)'!K$26:K$1001)</f>
        <v>0</v>
      </c>
      <c r="I9" s="150">
        <f>SUMIF('内訳ﾘｽﾄ(4～3月)'!$D$26:$D$1001,'採算表(VND)'!$B9,'内訳ﾘｽﾄ(4～3月)'!L$26:L$1001)</f>
        <v>0</v>
      </c>
      <c r="J9" s="150">
        <f>SUMIF('内訳ﾘｽﾄ(4～3月)'!$D$26:$D$1001,'採算表(VND)'!$B9,'内訳ﾘｽﾄ(4～3月)'!M$26:M$1001)</f>
        <v>0</v>
      </c>
      <c r="K9" s="150">
        <f>SUMIF('内訳ﾘｽﾄ(4～3月)'!$D$26:$D$1001,'採算表(VND)'!$B9,'内訳ﾘｽﾄ(4～3月)'!N$26:N$1001)</f>
        <v>0</v>
      </c>
      <c r="L9" s="150">
        <f>SUMIF('内訳ﾘｽﾄ(4～3月)'!$D$26:$D$1001,'採算表(VND)'!$B9,'内訳ﾘｽﾄ(4～3月)'!O$26:O$1001)</f>
        <v>0</v>
      </c>
      <c r="M9" s="150">
        <f>SUMIF('内訳ﾘｽﾄ(4～3月)'!$D$26:$D$1001,'採算表(VND)'!$B9,'内訳ﾘｽﾄ(4～3月)'!P$26:P$1001)</f>
        <v>0</v>
      </c>
      <c r="N9" s="150">
        <f>SUMIF('内訳ﾘｽﾄ(4～3月)'!$D$26:$D$1001,'採算表(VND)'!$B9,'内訳ﾘｽﾄ(4～3月)'!Q$26:Q$1001)</f>
        <v>0</v>
      </c>
      <c r="O9" s="150">
        <f>SUMIF('内訳ﾘｽﾄ(4～3月)'!$D$26:$D$800,'採算表(VND)'!$B9,'内訳ﾘｽﾄ(4～3月)'!R$26:R$800)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SUMIF('内訳ﾘｽﾄ(4～3月)'!$D$26:$D$1001,'採算表(VND)'!$B10,'内訳ﾘｽﾄ(4～3月)'!F$26:F$1001)</f>
        <v>0</v>
      </c>
      <c r="D10" s="150">
        <f>SUMIF('内訳ﾘｽﾄ(4～3月)'!$D$26:$D$1001,'採算表(VND)'!$B10,'内訳ﾘｽﾄ(4～3月)'!G$26:G$1001)</f>
        <v>0</v>
      </c>
      <c r="E10" s="150">
        <f>SUMIF('内訳ﾘｽﾄ(4～3月)'!$D$26:$D$1001,'採算表(VND)'!$B10,'内訳ﾘｽﾄ(4～3月)'!H$26:H$1001)</f>
        <v>0</v>
      </c>
      <c r="F10" s="150">
        <f>SUMIF('内訳ﾘｽﾄ(4～3月)'!$D$26:$D$1001,'採算表(VND)'!$B10,'内訳ﾘｽﾄ(4～3月)'!I$26:I$1001)</f>
        <v>0</v>
      </c>
      <c r="G10" s="150">
        <f>SUMIF('内訳ﾘｽﾄ(4～3月)'!$D$26:$D$1001,'採算表(VND)'!$B10,'内訳ﾘｽﾄ(4～3月)'!J$26:J$1001)</f>
        <v>0</v>
      </c>
      <c r="H10" s="150">
        <f>SUMIF('内訳ﾘｽﾄ(4～3月)'!$D$26:$D$1001,'採算表(VND)'!$B10,'内訳ﾘｽﾄ(4～3月)'!K$26:K$1001)</f>
        <v>0</v>
      </c>
      <c r="I10" s="150">
        <f>SUMIF('内訳ﾘｽﾄ(4～3月)'!$D$26:$D$1001,'採算表(VND)'!$B10,'内訳ﾘｽﾄ(4～3月)'!L$26:L$1001)</f>
        <v>0</v>
      </c>
      <c r="J10" s="150">
        <f>SUMIF('内訳ﾘｽﾄ(4～3月)'!$D$26:$D$1001,'採算表(VND)'!$B10,'内訳ﾘｽﾄ(4～3月)'!M$26:M$1001)</f>
        <v>0</v>
      </c>
      <c r="K10" s="150">
        <f>SUMIF('内訳ﾘｽﾄ(4～3月)'!$D$26:$D$1001,'採算表(VND)'!$B10,'内訳ﾘｽﾄ(4～3月)'!N$26:N$1001)</f>
        <v>0</v>
      </c>
      <c r="L10" s="150">
        <f>SUMIF('内訳ﾘｽﾄ(4～3月)'!$D$26:$D$1001,'採算表(VND)'!$B10,'内訳ﾘｽﾄ(4～3月)'!O$26:O$1001)</f>
        <v>0</v>
      </c>
      <c r="M10" s="150">
        <f>SUMIF('内訳ﾘｽﾄ(4～3月)'!$D$26:$D$1001,'採算表(VND)'!$B10,'内訳ﾘｽﾄ(4～3月)'!P$26:P$1001)</f>
        <v>0</v>
      </c>
      <c r="N10" s="150">
        <f>SUMIF('内訳ﾘｽﾄ(4～3月)'!$D$26:$D$1001,'採算表(VND)'!$B10,'内訳ﾘｽﾄ(4～3月)'!Q$26:Q$1001)</f>
        <v>0</v>
      </c>
      <c r="O10" s="150">
        <f>SUMIF('内訳ﾘｽﾄ(4～3月)'!$D$26:$D$800,'採算表(VND)'!$B10,'内訳ﾘｽﾄ(4～3月)'!R$26:R$800)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SUMIF('内訳ﾘｽﾄ(4～3月)'!$D$26:$D$1001,$B14,'内訳ﾘｽﾄ(4～3月)'!F$26:F$1001)</f>
        <v>0</v>
      </c>
      <c r="D14" s="157">
        <f>SUMIF('内訳ﾘｽﾄ(4～3月)'!$D$26:$D$1001,$B14,'内訳ﾘｽﾄ(4～3月)'!G$26:G$1001)</f>
        <v>0</v>
      </c>
      <c r="E14" s="157">
        <f>SUMIF('内訳ﾘｽﾄ(4～3月)'!$D$26:$D$1001,$B14,'内訳ﾘｽﾄ(4～3月)'!H$26:H$1001)</f>
        <v>0</v>
      </c>
      <c r="F14" s="157">
        <f>SUMIF('内訳ﾘｽﾄ(4～3月)'!$D$26:$D$1001,$B14,'内訳ﾘｽﾄ(4～3月)'!I$26:I$1001)</f>
        <v>0</v>
      </c>
      <c r="G14" s="157">
        <f>SUMIF('内訳ﾘｽﾄ(4～3月)'!$D$26:$D$1001,$B14,'内訳ﾘｽﾄ(4～3月)'!J$26:J$1001)</f>
        <v>0</v>
      </c>
      <c r="H14" s="157">
        <f>SUMIF('内訳ﾘｽﾄ(4～3月)'!$D$26:$D$1001,$B14,'内訳ﾘｽﾄ(4～3月)'!K$26:K$1001)</f>
        <v>0</v>
      </c>
      <c r="I14" s="157">
        <f>SUMIF('内訳ﾘｽﾄ(4～3月)'!$D$26:$D$1001,$B14,'内訳ﾘｽﾄ(4～3月)'!L$26:L$1001)</f>
        <v>0</v>
      </c>
      <c r="J14" s="157">
        <f>SUMIF('内訳ﾘｽﾄ(4～3月)'!$D$26:$D$1001,$B14,'内訳ﾘｽﾄ(4～3月)'!M$26:M$1001)</f>
        <v>0</v>
      </c>
      <c r="K14" s="157">
        <f>SUMIF('内訳ﾘｽﾄ(4～3月)'!$D$26:$D$1001,$B14,'内訳ﾘｽﾄ(4～3月)'!N$26:N$1001)</f>
        <v>0</v>
      </c>
      <c r="L14" s="157">
        <f>SUMIF('内訳ﾘｽﾄ(4～3月)'!$D$26:$D$1001,$B14,'内訳ﾘｽﾄ(4～3月)'!O$26:O$1001)</f>
        <v>0</v>
      </c>
      <c r="M14" s="157">
        <f>SUMIF('内訳ﾘｽﾄ(4～3月)'!$D$26:$D$1001,$B14,'内訳ﾘｽﾄ(4～3月)'!P$26:P$1001)</f>
        <v>0</v>
      </c>
      <c r="N14" s="157">
        <f>SUMIF('内訳ﾘｽﾄ(4～3月)'!$D$26:$D$1001,$B14,'内訳ﾘｽﾄ(4～3月)'!Q$26:Q$1001)</f>
        <v>0</v>
      </c>
      <c r="O14" s="157">
        <f>SUMIF('内訳ﾘｽﾄ(4～3月)'!$D$26:$D$800,'採算表(VND)'!$B14,'内訳ﾘｽﾄ(4～3月)'!R$26:R$800)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SUMIF('内訳ﾘｽﾄ(4～3月)'!$D$26:$D$1001,$B15,'内訳ﾘｽﾄ(4～3月)'!F$26:F$1001)</f>
        <v>0</v>
      </c>
      <c r="D15" s="157">
        <f>SUMIF('内訳ﾘｽﾄ(4～3月)'!$D$26:$D$1001,$B15,'内訳ﾘｽﾄ(4～3月)'!G$26:G$1001)</f>
        <v>0</v>
      </c>
      <c r="E15" s="157">
        <f>SUMIF('内訳ﾘｽﾄ(4～3月)'!$D$26:$D$1001,$B15,'内訳ﾘｽﾄ(4～3月)'!H$26:H$1001)</f>
        <v>0</v>
      </c>
      <c r="F15" s="157">
        <f>SUMIF('内訳ﾘｽﾄ(4～3月)'!$D$26:$D$1001,$B15,'内訳ﾘｽﾄ(4～3月)'!I$26:I$1001)</f>
        <v>0</v>
      </c>
      <c r="G15" s="157">
        <f>SUMIF('内訳ﾘｽﾄ(4～3月)'!$D$26:$D$1001,$B15,'内訳ﾘｽﾄ(4～3月)'!J$26:J$1001)</f>
        <v>0</v>
      </c>
      <c r="H15" s="157">
        <f>SUMIF('内訳ﾘｽﾄ(4～3月)'!$D$26:$D$1001,$B15,'内訳ﾘｽﾄ(4～3月)'!K$26:K$1001)</f>
        <v>0</v>
      </c>
      <c r="I15" s="157">
        <f>SUMIF('内訳ﾘｽﾄ(4～3月)'!$D$26:$D$1001,$B15,'内訳ﾘｽﾄ(4～3月)'!L$26:L$1001)</f>
        <v>0</v>
      </c>
      <c r="J15" s="157">
        <f>SUMIF('内訳ﾘｽﾄ(4～3月)'!$D$26:$D$1001,$B15,'内訳ﾘｽﾄ(4～3月)'!M$26:M$1001)</f>
        <v>0</v>
      </c>
      <c r="K15" s="157">
        <f>SUMIF('内訳ﾘｽﾄ(4～3月)'!$D$26:$D$1001,$B15,'内訳ﾘｽﾄ(4～3月)'!N$26:N$1001)</f>
        <v>0</v>
      </c>
      <c r="L15" s="157">
        <f>SUMIF('内訳ﾘｽﾄ(4～3月)'!$D$26:$D$1001,$B15,'内訳ﾘｽﾄ(4～3月)'!O$26:O$1001)</f>
        <v>0</v>
      </c>
      <c r="M15" s="157">
        <f>SUMIF('内訳ﾘｽﾄ(4～3月)'!$D$26:$D$1001,$B15,'内訳ﾘｽﾄ(4～3月)'!P$26:P$1001)</f>
        <v>0</v>
      </c>
      <c r="N15" s="157">
        <f>SUMIF('内訳ﾘｽﾄ(4～3月)'!$D$26:$D$1001,$B15,'内訳ﾘｽﾄ(4～3月)'!Q$26:Q$1001)</f>
        <v>0</v>
      </c>
      <c r="O15" s="157">
        <f>SUMIF('内訳ﾘｽﾄ(4～3月)'!$D$26:$D$800,'採算表(VND)'!$B15,'内訳ﾘｽﾄ(4～3月)'!R$26:R$800)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SUMIF('内訳ﾘｽﾄ(4～3月)'!$D$26:$D$1001,$B16,'内訳ﾘｽﾄ(4～3月)'!F$26:F$1001)</f>
        <v>0</v>
      </c>
      <c r="D16" s="157">
        <f>SUMIF('内訳ﾘｽﾄ(4～3月)'!$D$26:$D$1001,$B16,'内訳ﾘｽﾄ(4～3月)'!G$26:G$1001)</f>
        <v>0</v>
      </c>
      <c r="E16" s="157">
        <f>SUMIF('内訳ﾘｽﾄ(4～3月)'!$D$26:$D$1001,$B16,'内訳ﾘｽﾄ(4～3月)'!H$26:H$1001)</f>
        <v>0</v>
      </c>
      <c r="F16" s="157">
        <f>SUMIF('内訳ﾘｽﾄ(4～3月)'!$D$26:$D$1001,$B16,'内訳ﾘｽﾄ(4～3月)'!I$26:I$1001)</f>
        <v>0</v>
      </c>
      <c r="G16" s="157">
        <f>SUMIF('内訳ﾘｽﾄ(4～3月)'!$D$26:$D$1001,$B16,'内訳ﾘｽﾄ(4～3月)'!J$26:J$1001)</f>
        <v>0</v>
      </c>
      <c r="H16" s="157">
        <f>SUMIF('内訳ﾘｽﾄ(4～3月)'!$D$26:$D$1001,$B16,'内訳ﾘｽﾄ(4～3月)'!K$26:K$1001)</f>
        <v>0</v>
      </c>
      <c r="I16" s="157">
        <f>SUMIF('内訳ﾘｽﾄ(4～3月)'!$D$26:$D$1001,$B16,'内訳ﾘｽﾄ(4～3月)'!L$26:L$1001)</f>
        <v>0</v>
      </c>
      <c r="J16" s="157">
        <f>SUMIF('内訳ﾘｽﾄ(4～3月)'!$D$26:$D$1001,$B16,'内訳ﾘｽﾄ(4～3月)'!M$26:M$1001)</f>
        <v>0</v>
      </c>
      <c r="K16" s="157">
        <f>SUMIF('内訳ﾘｽﾄ(4～3月)'!$D$26:$D$1001,$B16,'内訳ﾘｽﾄ(4～3月)'!N$26:N$1001)</f>
        <v>0</v>
      </c>
      <c r="L16" s="157">
        <f>SUMIF('内訳ﾘｽﾄ(4～3月)'!$D$26:$D$1001,$B16,'内訳ﾘｽﾄ(4～3月)'!O$26:O$1001)</f>
        <v>0</v>
      </c>
      <c r="M16" s="157">
        <f>SUMIF('内訳ﾘｽﾄ(4～3月)'!$D$26:$D$1001,$B16,'内訳ﾘｽﾄ(4～3月)'!P$26:P$1001)</f>
        <v>0</v>
      </c>
      <c r="N16" s="157">
        <f>SUMIF('内訳ﾘｽﾄ(4～3月)'!$D$26:$D$1001,$B16,'内訳ﾘｽﾄ(4～3月)'!Q$26:Q$1001)</f>
        <v>0</v>
      </c>
      <c r="O16" s="157">
        <f>SUMIF('内訳ﾘｽﾄ(4～3月)'!$D$26:$D$800,'採算表(VND)'!$B16,'内訳ﾘｽﾄ(4～3月)'!R$26:R$800)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SUMIF('内訳ﾘｽﾄ(4～3月)'!$D$26:$D$1001,$B17,'内訳ﾘｽﾄ(4～3月)'!F$26:F$1001)</f>
        <v>0</v>
      </c>
      <c r="D17" s="158">
        <f>SUMIF('内訳ﾘｽﾄ(4～3月)'!$D$26:$D$1001,$B17,'内訳ﾘｽﾄ(4～3月)'!G$26:G$1001)</f>
        <v>0</v>
      </c>
      <c r="E17" s="158">
        <f>SUMIF('内訳ﾘｽﾄ(4～3月)'!$D$26:$D$1001,$B17,'内訳ﾘｽﾄ(4～3月)'!H$26:H$1001)</f>
        <v>0</v>
      </c>
      <c r="F17" s="158">
        <f>SUMIF('内訳ﾘｽﾄ(4～3月)'!$D$26:$D$1001,$B17,'内訳ﾘｽﾄ(4～3月)'!I$26:I$1001)</f>
        <v>0</v>
      </c>
      <c r="G17" s="158">
        <f>SUMIF('内訳ﾘｽﾄ(4～3月)'!$D$26:$D$1001,$B17,'内訳ﾘｽﾄ(4～3月)'!J$26:J$1001)</f>
        <v>0</v>
      </c>
      <c r="H17" s="158">
        <f>SUMIF('内訳ﾘｽﾄ(4～3月)'!$D$26:$D$1001,$B17,'内訳ﾘｽﾄ(4～3月)'!K$26:K$1001)</f>
        <v>0</v>
      </c>
      <c r="I17" s="158">
        <f>SUMIF('内訳ﾘｽﾄ(4～3月)'!$D$26:$D$1001,$B17,'内訳ﾘｽﾄ(4～3月)'!L$26:L$1001)</f>
        <v>0</v>
      </c>
      <c r="J17" s="158">
        <f>SUMIF('内訳ﾘｽﾄ(4～3月)'!$D$26:$D$1001,$B17,'内訳ﾘｽﾄ(4～3月)'!M$26:M$1001)</f>
        <v>0</v>
      </c>
      <c r="K17" s="158">
        <f>SUMIF('内訳ﾘｽﾄ(4～3月)'!$D$26:$D$1001,$B17,'内訳ﾘｽﾄ(4～3月)'!N$26:N$1001)</f>
        <v>0</v>
      </c>
      <c r="L17" s="158">
        <f>SUMIF('内訳ﾘｽﾄ(4～3月)'!$D$26:$D$1001,$B17,'内訳ﾘｽﾄ(4～3月)'!O$26:O$1001)</f>
        <v>0</v>
      </c>
      <c r="M17" s="158">
        <f>SUMIF('内訳ﾘｽﾄ(4～3月)'!$D$26:$D$1001,$B17,'内訳ﾘｽﾄ(4～3月)'!P$26:P$1001)</f>
        <v>0</v>
      </c>
      <c r="N17" s="158">
        <f>SUMIF('内訳ﾘｽﾄ(4～3月)'!$D$26:$D$1001,$B17,'内訳ﾘｽﾄ(4～3月)'!Q$26:Q$1001)</f>
        <v>0</v>
      </c>
      <c r="O17" s="158">
        <f>SUMIF('内訳ﾘｽﾄ(4～3月)'!$D$26:$D$800,'採算表(VND)'!$B17,'内訳ﾘｽﾄ(4～3月)'!R$26:R$800)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SUMIF('内訳ﾘｽﾄ(4～3月)'!$D$26:$D$1001,$B18,'内訳ﾘｽﾄ(4～3月)'!F$26:F$1001)</f>
        <v>0</v>
      </c>
      <c r="D18" s="158">
        <f>SUMIF('内訳ﾘｽﾄ(4～3月)'!$D$26:$D$1001,$B18,'内訳ﾘｽﾄ(4～3月)'!G$26:G$1001)</f>
        <v>0</v>
      </c>
      <c r="E18" s="158">
        <f>SUMIF('内訳ﾘｽﾄ(4～3月)'!$D$26:$D$1001,$B18,'内訳ﾘｽﾄ(4～3月)'!H$26:H$1001)</f>
        <v>0</v>
      </c>
      <c r="F18" s="158">
        <f>SUMIF('内訳ﾘｽﾄ(4～3月)'!$D$26:$D$1001,$B18,'内訳ﾘｽﾄ(4～3月)'!I$26:I$1001)</f>
        <v>0</v>
      </c>
      <c r="G18" s="158">
        <f>SUMIF('内訳ﾘｽﾄ(4～3月)'!$D$26:$D$1001,$B18,'内訳ﾘｽﾄ(4～3月)'!J$26:J$1001)</f>
        <v>0</v>
      </c>
      <c r="H18" s="158">
        <f>SUMIF('内訳ﾘｽﾄ(4～3月)'!$D$26:$D$1001,$B18,'内訳ﾘｽﾄ(4～3月)'!K$26:K$1001)</f>
        <v>0</v>
      </c>
      <c r="I18" s="158">
        <f>SUMIF('内訳ﾘｽﾄ(4～3月)'!$D$26:$D$1001,$B18,'内訳ﾘｽﾄ(4～3月)'!L$26:L$1001)</f>
        <v>0</v>
      </c>
      <c r="J18" s="158">
        <f>SUMIF('内訳ﾘｽﾄ(4～3月)'!$D$26:$D$1001,$B18,'内訳ﾘｽﾄ(4～3月)'!M$26:M$1001)</f>
        <v>0</v>
      </c>
      <c r="K18" s="158">
        <f>SUMIF('内訳ﾘｽﾄ(4～3月)'!$D$26:$D$1001,$B18,'内訳ﾘｽﾄ(4～3月)'!N$26:N$1001)</f>
        <v>0</v>
      </c>
      <c r="L18" s="158">
        <f>SUMIF('内訳ﾘｽﾄ(4～3月)'!$D$26:$D$1001,$B18,'内訳ﾘｽﾄ(4～3月)'!O$26:O$1001)</f>
        <v>0</v>
      </c>
      <c r="M18" s="158">
        <f>SUMIF('内訳ﾘｽﾄ(4～3月)'!$D$26:$D$1001,$B18,'内訳ﾘｽﾄ(4～3月)'!P$26:P$1001)</f>
        <v>0</v>
      </c>
      <c r="N18" s="158">
        <f>SUMIF('内訳ﾘｽﾄ(4～3月)'!$D$26:$D$1001,$B18,'内訳ﾘｽﾄ(4～3月)'!Q$26:Q$1001)</f>
        <v>0</v>
      </c>
      <c r="O18" s="158">
        <f>SUMIF('内訳ﾘｽﾄ(4～3月)'!$D$26:$D$800,'採算表(VND)'!$B18,'内訳ﾘｽﾄ(4～3月)'!R$26:R$800)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SUMIF('内訳ﾘｽﾄ(4～3月)'!$D$26:$D$1001,$B19,'内訳ﾘｽﾄ(4～3月)'!F$26:F$1001)</f>
        <v>0</v>
      </c>
      <c r="D19" s="158">
        <f>SUMIF('内訳ﾘｽﾄ(4～3月)'!$D$26:$D$1001,$B19,'内訳ﾘｽﾄ(4～3月)'!G$26:G$1001)</f>
        <v>0</v>
      </c>
      <c r="E19" s="158">
        <f>SUMIF('内訳ﾘｽﾄ(4～3月)'!$D$26:$D$1001,$B19,'内訳ﾘｽﾄ(4～3月)'!H$26:H$1001)</f>
        <v>0</v>
      </c>
      <c r="F19" s="158">
        <f>SUMIF('内訳ﾘｽﾄ(4～3月)'!$D$26:$D$1001,$B19,'内訳ﾘｽﾄ(4～3月)'!I$26:I$1001)</f>
        <v>0</v>
      </c>
      <c r="G19" s="158">
        <f>SUMIF('内訳ﾘｽﾄ(4～3月)'!$D$26:$D$1001,$B19,'内訳ﾘｽﾄ(4～3月)'!J$26:J$1001)</f>
        <v>0</v>
      </c>
      <c r="H19" s="158">
        <f>SUMIF('内訳ﾘｽﾄ(4～3月)'!$D$26:$D$1001,$B19,'内訳ﾘｽﾄ(4～3月)'!K$26:K$1001)</f>
        <v>0</v>
      </c>
      <c r="I19" s="158">
        <f>SUMIF('内訳ﾘｽﾄ(4～3月)'!$D$26:$D$1001,$B19,'内訳ﾘｽﾄ(4～3月)'!L$26:L$1001)</f>
        <v>0</v>
      </c>
      <c r="J19" s="158">
        <f>SUMIF('内訳ﾘｽﾄ(4～3月)'!$D$26:$D$1001,$B19,'内訳ﾘｽﾄ(4～3月)'!M$26:M$1001)</f>
        <v>0</v>
      </c>
      <c r="K19" s="158">
        <f>SUMIF('内訳ﾘｽﾄ(4～3月)'!$D$26:$D$1001,$B19,'内訳ﾘｽﾄ(4～3月)'!N$26:N$1001)</f>
        <v>0</v>
      </c>
      <c r="L19" s="158">
        <f>SUMIF('内訳ﾘｽﾄ(4～3月)'!$D$26:$D$1001,$B19,'内訳ﾘｽﾄ(4～3月)'!O$26:O$1001)</f>
        <v>0</v>
      </c>
      <c r="M19" s="158">
        <f>SUMIF('内訳ﾘｽﾄ(4～3月)'!$D$26:$D$1001,$B19,'内訳ﾘｽﾄ(4～3月)'!P$26:P$1001)</f>
        <v>0</v>
      </c>
      <c r="N19" s="158">
        <f>SUMIF('内訳ﾘｽﾄ(4～3月)'!$D$26:$D$1001,$B19,'内訳ﾘｽﾄ(4～3月)'!Q$26:Q$1001)</f>
        <v>0</v>
      </c>
      <c r="O19" s="158">
        <f>SUMIF('内訳ﾘｽﾄ(4～3月)'!$D$26:$D$800,'採算表(VND)'!$B19,'内訳ﾘｽﾄ(4～3月)'!R$26:R$800)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SUMIF('内訳ﾘｽﾄ(4～3月)'!$D$26:$D$1001,$B20,'内訳ﾘｽﾄ(4～3月)'!F$26:F$1001)</f>
        <v>4105309</v>
      </c>
      <c r="D20" s="158">
        <f>SUMIF('内訳ﾘｽﾄ(4～3月)'!$D$26:$D$1001,$B20,'内訳ﾘｽﾄ(4～3月)'!G$26:G$1001)</f>
        <v>4083220</v>
      </c>
      <c r="E20" s="158">
        <f>SUMIF('内訳ﾘｽﾄ(4～3月)'!$D$26:$D$1001,$B20,'内訳ﾘｽﾄ(4～3月)'!H$26:H$1001)</f>
        <v>4084235</v>
      </c>
      <c r="F20" s="158">
        <f>SUMIF('内訳ﾘｽﾄ(4～3月)'!$D$26:$D$1001,$B20,'内訳ﾘｽﾄ(4～3月)'!I$26:I$1001)</f>
        <v>4080173</v>
      </c>
      <c r="G20" s="158">
        <f>SUMIF('内訳ﾘｽﾄ(4～3月)'!$D$26:$D$1001,$B20,'内訳ﾘｽﾄ(4～3月)'!J$26:J$1001)</f>
        <v>4078903</v>
      </c>
      <c r="H20" s="158">
        <f>SUMIF('内訳ﾘｽﾄ(4～3月)'!$D$26:$D$1001,$B20,'内訳ﾘｽﾄ(4～3月)'!K$26:K$1001)</f>
        <v>4015682</v>
      </c>
      <c r="I20" s="158">
        <f>SUMIF('内訳ﾘｽﾄ(4～3月)'!$D$26:$D$1001,$B20,'内訳ﾘｽﾄ(4～3月)'!L$26:L$1001)</f>
        <v>3997402</v>
      </c>
      <c r="J20" s="158">
        <f>SUMIF('内訳ﾘｽﾄ(4～3月)'!$D$26:$D$1001,$B20,'内訳ﾘｽﾄ(4～3月)'!M$26:M$1001)</f>
        <v>3996894</v>
      </c>
      <c r="K20" s="158">
        <f>SUMIF('内訳ﾘｽﾄ(4～3月)'!$D$26:$D$1001,$B20,'内訳ﾘｽﾄ(4～3月)'!N$26:N$1001)</f>
        <v>3997148</v>
      </c>
      <c r="L20" s="158">
        <f>SUMIF('内訳ﾘｽﾄ(4～3月)'!$D$26:$D$1001,$B20,'内訳ﾘｽﾄ(4～3月)'!O$26:O$1001)</f>
        <v>3995625</v>
      </c>
      <c r="M20" s="158">
        <f>SUMIF('内訳ﾘｽﾄ(4～3月)'!$D$26:$D$1001,$B20,'内訳ﾘｽﾄ(4～3月)'!P$26:P$1001)</f>
        <v>3993340</v>
      </c>
      <c r="N20" s="158">
        <f>SUMIF('内訳ﾘｽﾄ(4～3月)'!$D$26:$D$1001,$B20,'内訳ﾘｽﾄ(4～3月)'!Q$26:Q$1001)</f>
        <v>3995879</v>
      </c>
      <c r="O20" s="158">
        <f>SUMIF('内訳ﾘｽﾄ(4～3月)'!$D$26:$D$800,'採算表(VND)'!$B20,'内訳ﾘｽﾄ(4～3月)'!R$26:R$800)</f>
        <v>48423810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SUMIF('内訳ﾘｽﾄ(4～3月)'!$D$26:$D$1001,$B21,'内訳ﾘｽﾄ(4～3月)'!F$26:F$1001)</f>
        <v>0</v>
      </c>
      <c r="D21" s="158">
        <f>SUMIF('内訳ﾘｽﾄ(4～3月)'!$D$26:$D$1001,$B21,'内訳ﾘｽﾄ(4～3月)'!G$26:G$1001)</f>
        <v>0</v>
      </c>
      <c r="E21" s="158">
        <f>SUMIF('内訳ﾘｽﾄ(4～3月)'!$D$26:$D$1001,$B21,'内訳ﾘｽﾄ(4～3月)'!H$26:H$1001)</f>
        <v>0</v>
      </c>
      <c r="F21" s="158">
        <f>SUMIF('内訳ﾘｽﾄ(4～3月)'!$D$26:$D$1001,$B21,'内訳ﾘｽﾄ(4～3月)'!I$26:I$1001)</f>
        <v>0</v>
      </c>
      <c r="G21" s="158">
        <f>SUMIF('内訳ﾘｽﾄ(4～3月)'!$D$26:$D$1001,$B21,'内訳ﾘｽﾄ(4～3月)'!J$26:J$1001)</f>
        <v>0</v>
      </c>
      <c r="H21" s="158">
        <f>SUMIF('内訳ﾘｽﾄ(4～3月)'!$D$26:$D$1001,$B21,'内訳ﾘｽﾄ(4～3月)'!K$26:K$1001)</f>
        <v>0</v>
      </c>
      <c r="I21" s="158">
        <f>SUMIF('内訳ﾘｽﾄ(4～3月)'!$D$26:$D$1001,$B21,'内訳ﾘｽﾄ(4～3月)'!L$26:L$1001)</f>
        <v>0</v>
      </c>
      <c r="J21" s="158">
        <f>SUMIF('内訳ﾘｽﾄ(4～3月)'!$D$26:$D$1001,$B21,'内訳ﾘｽﾄ(4～3月)'!M$26:M$1001)</f>
        <v>0</v>
      </c>
      <c r="K21" s="158">
        <f>SUMIF('内訳ﾘｽﾄ(4～3月)'!$D$26:$D$1001,$B21,'内訳ﾘｽﾄ(4～3月)'!N$26:N$1001)</f>
        <v>0</v>
      </c>
      <c r="L21" s="158">
        <f>SUMIF('内訳ﾘｽﾄ(4～3月)'!$D$26:$D$1001,$B21,'内訳ﾘｽﾄ(4～3月)'!O$26:O$1001)</f>
        <v>0</v>
      </c>
      <c r="M21" s="158">
        <f>SUMIF('内訳ﾘｽﾄ(4～3月)'!$D$26:$D$1001,$B21,'内訳ﾘｽﾄ(4～3月)'!P$26:P$1001)</f>
        <v>0</v>
      </c>
      <c r="N21" s="158">
        <f>SUMIF('内訳ﾘｽﾄ(4～3月)'!$D$26:$D$1001,$B21,'内訳ﾘｽﾄ(4～3月)'!Q$26:Q$1001)</f>
        <v>0</v>
      </c>
      <c r="O21" s="158">
        <f>SUMIF('内訳ﾘｽﾄ(4～3月)'!$D$26:$D$800,'採算表(VND)'!$B21,'内訳ﾘｽﾄ(4～3月)'!R$26:R$800)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SUMIF('内訳ﾘｽﾄ(4～3月)'!$D$26:$D$1001,$B22,'内訳ﾘｽﾄ(4～3月)'!F$26:F$1001)</f>
        <v>0</v>
      </c>
      <c r="D22" s="158">
        <f>SUMIF('内訳ﾘｽﾄ(4～3月)'!$D$26:$D$1001,$B22,'内訳ﾘｽﾄ(4～3月)'!G$26:G$1001)</f>
        <v>0</v>
      </c>
      <c r="E22" s="158">
        <f>SUMIF('内訳ﾘｽﾄ(4～3月)'!$D$26:$D$1001,$B22,'内訳ﾘｽﾄ(4～3月)'!H$26:H$1001)</f>
        <v>0</v>
      </c>
      <c r="F22" s="158">
        <f>SUMIF('内訳ﾘｽﾄ(4～3月)'!$D$26:$D$1001,$B22,'内訳ﾘｽﾄ(4～3月)'!I$26:I$1001)</f>
        <v>0</v>
      </c>
      <c r="G22" s="158">
        <f>SUMIF('内訳ﾘｽﾄ(4～3月)'!$D$26:$D$1001,$B22,'内訳ﾘｽﾄ(4～3月)'!J$26:J$1001)</f>
        <v>0</v>
      </c>
      <c r="H22" s="158">
        <f>SUMIF('内訳ﾘｽﾄ(4～3月)'!$D$26:$D$1001,$B22,'内訳ﾘｽﾄ(4～3月)'!K$26:K$1001)</f>
        <v>0</v>
      </c>
      <c r="I22" s="158">
        <f>SUMIF('内訳ﾘｽﾄ(4～3月)'!$D$26:$D$1001,$B22,'内訳ﾘｽﾄ(4～3月)'!L$26:L$1001)</f>
        <v>0</v>
      </c>
      <c r="J22" s="158">
        <f>SUMIF('内訳ﾘｽﾄ(4～3月)'!$D$26:$D$1001,$B22,'内訳ﾘｽﾄ(4～3月)'!M$26:M$1001)</f>
        <v>0</v>
      </c>
      <c r="K22" s="158">
        <f>SUMIF('内訳ﾘｽﾄ(4～3月)'!$D$26:$D$1001,$B22,'内訳ﾘｽﾄ(4～3月)'!N$26:N$1001)</f>
        <v>0</v>
      </c>
      <c r="L22" s="158">
        <f>SUMIF('内訳ﾘｽﾄ(4～3月)'!$D$26:$D$1001,$B22,'内訳ﾘｽﾄ(4～3月)'!O$26:O$1001)</f>
        <v>0</v>
      </c>
      <c r="M22" s="158">
        <f>SUMIF('内訳ﾘｽﾄ(4～3月)'!$D$26:$D$1001,$B22,'内訳ﾘｽﾄ(4～3月)'!P$26:P$1001)</f>
        <v>0</v>
      </c>
      <c r="N22" s="158">
        <f>SUMIF('内訳ﾘｽﾄ(4～3月)'!$D$26:$D$1001,$B22,'内訳ﾘｽﾄ(4～3月)'!Q$26:Q$1001)</f>
        <v>0</v>
      </c>
      <c r="O22" s="158">
        <f>SUMIF('内訳ﾘｽﾄ(4～3月)'!$D$26:$D$800,'採算表(VND)'!$B22,'内訳ﾘｽﾄ(4～3月)'!R$26:R$800)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SUMIF('内訳ﾘｽﾄ(4～3月)'!$D$26:$D$1001,$B23,'内訳ﾘｽﾄ(4～3月)'!F$26:F$1001)</f>
        <v>0</v>
      </c>
      <c r="D23" s="158">
        <f>SUMIF('内訳ﾘｽﾄ(4～3月)'!$D$26:$D$1001,$B23,'内訳ﾘｽﾄ(4～3月)'!G$26:G$1001)</f>
        <v>0</v>
      </c>
      <c r="E23" s="158">
        <f>SUMIF('内訳ﾘｽﾄ(4～3月)'!$D$26:$D$1001,$B23,'内訳ﾘｽﾄ(4～3月)'!H$26:H$1001)</f>
        <v>0</v>
      </c>
      <c r="F23" s="158">
        <f>SUMIF('内訳ﾘｽﾄ(4～3月)'!$D$26:$D$1001,$B23,'内訳ﾘｽﾄ(4～3月)'!I$26:I$1001)</f>
        <v>0</v>
      </c>
      <c r="G23" s="158">
        <f>SUMIF('内訳ﾘｽﾄ(4～3月)'!$D$26:$D$1001,$B23,'内訳ﾘｽﾄ(4～3月)'!J$26:J$1001)</f>
        <v>0</v>
      </c>
      <c r="H23" s="158">
        <f>SUMIF('内訳ﾘｽﾄ(4～3月)'!$D$26:$D$1001,$B23,'内訳ﾘｽﾄ(4～3月)'!K$26:K$1001)</f>
        <v>0</v>
      </c>
      <c r="I23" s="158">
        <f>SUMIF('内訳ﾘｽﾄ(4～3月)'!$D$26:$D$1001,$B23,'内訳ﾘｽﾄ(4～3月)'!L$26:L$1001)</f>
        <v>0</v>
      </c>
      <c r="J23" s="158">
        <f>SUMIF('内訳ﾘｽﾄ(4～3月)'!$D$26:$D$1001,$B23,'内訳ﾘｽﾄ(4～3月)'!M$26:M$1001)</f>
        <v>0</v>
      </c>
      <c r="K23" s="158">
        <f>SUMIF('内訳ﾘｽﾄ(4～3月)'!$D$26:$D$1001,$B23,'内訳ﾘｽﾄ(4～3月)'!N$26:N$1001)</f>
        <v>0</v>
      </c>
      <c r="L23" s="158">
        <f>SUMIF('内訳ﾘｽﾄ(4～3月)'!$D$26:$D$1001,$B23,'内訳ﾘｽﾄ(4～3月)'!O$26:O$1001)</f>
        <v>0</v>
      </c>
      <c r="M23" s="158">
        <f>SUMIF('内訳ﾘｽﾄ(4～3月)'!$D$26:$D$1001,$B23,'内訳ﾘｽﾄ(4～3月)'!P$26:P$1001)</f>
        <v>0</v>
      </c>
      <c r="N23" s="158">
        <f>SUMIF('内訳ﾘｽﾄ(4～3月)'!$D$26:$D$1001,$B23,'内訳ﾘｽﾄ(4～3月)'!Q$26:Q$1001)</f>
        <v>0</v>
      </c>
      <c r="O23" s="158">
        <f>SUMIF('内訳ﾘｽﾄ(4～3月)'!$D$26:$D$800,'採算表(VND)'!$B23,'内訳ﾘｽﾄ(4～3月)'!R$26:R$800)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SUMIF('内訳ﾘｽﾄ(4～3月)'!$D$26:$D$1001,$B24,'内訳ﾘｽﾄ(4～3月)'!F$26:F$1001)</f>
        <v>0</v>
      </c>
      <c r="D24" s="158">
        <f>SUMIF('内訳ﾘｽﾄ(4～3月)'!$D$26:$D$1001,$B24,'内訳ﾘｽﾄ(4～3月)'!G$26:G$1001)</f>
        <v>0</v>
      </c>
      <c r="E24" s="158">
        <f>SUMIF('内訳ﾘｽﾄ(4～3月)'!$D$26:$D$1001,$B24,'内訳ﾘｽﾄ(4～3月)'!H$26:H$1001)</f>
        <v>0</v>
      </c>
      <c r="F24" s="158">
        <f>SUMIF('内訳ﾘｽﾄ(4～3月)'!$D$26:$D$1001,$B24,'内訳ﾘｽﾄ(4～3月)'!I$26:I$1001)</f>
        <v>0</v>
      </c>
      <c r="G24" s="158">
        <f>SUMIF('内訳ﾘｽﾄ(4～3月)'!$D$26:$D$1001,$B24,'内訳ﾘｽﾄ(4～3月)'!J$26:J$1001)</f>
        <v>0</v>
      </c>
      <c r="H24" s="158">
        <f>SUMIF('内訳ﾘｽﾄ(4～3月)'!$D$26:$D$1001,$B24,'内訳ﾘｽﾄ(4～3月)'!K$26:K$1001)</f>
        <v>0</v>
      </c>
      <c r="I24" s="158">
        <f>SUMIF('内訳ﾘｽﾄ(4～3月)'!$D$26:$D$1001,$B24,'内訳ﾘｽﾄ(4～3月)'!L$26:L$1001)</f>
        <v>0</v>
      </c>
      <c r="J24" s="158">
        <f>SUMIF('内訳ﾘｽﾄ(4～3月)'!$D$26:$D$1001,$B24,'内訳ﾘｽﾄ(4～3月)'!M$26:M$1001)</f>
        <v>0</v>
      </c>
      <c r="K24" s="158">
        <f>SUMIF('内訳ﾘｽﾄ(4～3月)'!$D$26:$D$1001,$B24,'内訳ﾘｽﾄ(4～3月)'!N$26:N$1001)</f>
        <v>0</v>
      </c>
      <c r="L24" s="158">
        <f>SUMIF('内訳ﾘｽﾄ(4～3月)'!$D$26:$D$1001,$B24,'内訳ﾘｽﾄ(4～3月)'!O$26:O$1001)</f>
        <v>0</v>
      </c>
      <c r="M24" s="158">
        <f>SUMIF('内訳ﾘｽﾄ(4～3月)'!$D$26:$D$1001,$B24,'内訳ﾘｽﾄ(4～3月)'!P$26:P$1001)</f>
        <v>0</v>
      </c>
      <c r="N24" s="158">
        <f>SUMIF('内訳ﾘｽﾄ(4～3月)'!$D$26:$D$1001,$B24,'内訳ﾘｽﾄ(4～3月)'!Q$26:Q$1001)</f>
        <v>0</v>
      </c>
      <c r="O24" s="158">
        <f>SUMIF('内訳ﾘｽﾄ(4～3月)'!$D$26:$D$800,'採算表(VND)'!$B24,'内訳ﾘｽﾄ(4～3月)'!R$26:R$800)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SUMIF('内訳ﾘｽﾄ(4～3月)'!$D$26:$D$1001,$B25,'内訳ﾘｽﾄ(4～3月)'!F$26:F$1001)</f>
        <v>156368</v>
      </c>
      <c r="D25" s="158">
        <f>SUMIF('内訳ﾘｽﾄ(4～3月)'!$D$26:$D$1001,$B25,'内訳ﾘｽﾄ(4～3月)'!G$26:G$1001)</f>
        <v>150928</v>
      </c>
      <c r="E25" s="158">
        <f>SUMIF('内訳ﾘｽﾄ(4～3月)'!$D$26:$D$1001,$B25,'内訳ﾘｽﾄ(4～3月)'!H$26:H$1001)</f>
        <v>164464</v>
      </c>
      <c r="F25" s="158">
        <f>SUMIF('内訳ﾘｽﾄ(4～3月)'!$D$26:$D$1001,$B25,'内訳ﾘｽﾄ(4～3月)'!I$26:I$1001)</f>
        <v>178008</v>
      </c>
      <c r="G25" s="158">
        <f>SUMIF('内訳ﾘｽﾄ(4～3月)'!$D$26:$D$1001,$B25,'内訳ﾘｽﾄ(4～3月)'!J$26:J$1001)</f>
        <v>155872</v>
      </c>
      <c r="H25" s="158">
        <f>SUMIF('内訳ﾘｽﾄ(4～3月)'!$D$26:$D$1001,$B25,'内訳ﾘｽﾄ(4～3月)'!K$26:K$1001)</f>
        <v>148744</v>
      </c>
      <c r="I25" s="158">
        <f>SUMIF('内訳ﾘｽﾄ(4～3月)'!$D$26:$D$1001,$B25,'内訳ﾘｽﾄ(4～3月)'!L$26:L$1001)</f>
        <v>177928</v>
      </c>
      <c r="J25" s="158">
        <f>SUMIF('内訳ﾘｽﾄ(4～3月)'!$D$26:$D$1001,$B25,'内訳ﾘｽﾄ(4～3月)'!M$26:M$1001)</f>
        <v>156280</v>
      </c>
      <c r="K25" s="158">
        <f>SUMIF('内訳ﾘｽﾄ(4～3月)'!$D$26:$D$1001,$B25,'内訳ﾘｽﾄ(4～3月)'!N$26:N$1001)</f>
        <v>171024</v>
      </c>
      <c r="L25" s="158">
        <f>SUMIF('内訳ﾘｽﾄ(4～3月)'!$D$26:$D$1001,$B25,'内訳ﾘｽﾄ(4～3月)'!O$26:O$1001)</f>
        <v>156216</v>
      </c>
      <c r="M25" s="158">
        <f>SUMIF('内訳ﾘｽﾄ(4～3月)'!$D$26:$D$1001,$B25,'内訳ﾘｽﾄ(4～3月)'!P$26:P$1001)</f>
        <v>120072</v>
      </c>
      <c r="N25" s="158">
        <f>SUMIF('内訳ﾘｽﾄ(4～3月)'!$D$26:$D$1001,$B25,'内訳ﾘｽﾄ(4～3月)'!Q$26:Q$1001)</f>
        <v>156160</v>
      </c>
      <c r="O25" s="158">
        <f>SUMIF('内訳ﾘｽﾄ(4～3月)'!$D$26:$D$800,'採算表(VND)'!$B25,'内訳ﾘｽﾄ(4～3月)'!R$26:R$800)</f>
        <v>1892064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SUMIF('内訳ﾘｽﾄ(4～3月)'!$D$26:$D$1001,$B26,'内訳ﾘｽﾄ(4～3月)'!F$26:F$1001)</f>
        <v>16750000</v>
      </c>
      <c r="D26" s="158">
        <f>SUMIF('内訳ﾘｽﾄ(4～3月)'!$D$26:$D$1001,$B26,'内訳ﾘｽﾄ(4～3月)'!G$26:G$1001)</f>
        <v>16750000</v>
      </c>
      <c r="E26" s="158">
        <f>SUMIF('内訳ﾘｽﾄ(4～3月)'!$D$26:$D$1001,$B26,'内訳ﾘｽﾄ(4～3月)'!H$26:H$1001)</f>
        <v>16750000</v>
      </c>
      <c r="F26" s="158">
        <f>SUMIF('内訳ﾘｽﾄ(4～3月)'!$D$26:$D$1001,$B26,'内訳ﾘｽﾄ(4～3月)'!I$26:I$1001)</f>
        <v>0</v>
      </c>
      <c r="G26" s="158">
        <f>SUMIF('内訳ﾘｽﾄ(4～3月)'!$D$26:$D$1001,$B26,'内訳ﾘｽﾄ(4～3月)'!J$26:J$1001)</f>
        <v>0</v>
      </c>
      <c r="H26" s="158">
        <f>SUMIF('内訳ﾘｽﾄ(4～3月)'!$D$26:$D$1001,$B26,'内訳ﾘｽﾄ(4～3月)'!K$26:K$1001)</f>
        <v>0</v>
      </c>
      <c r="I26" s="158">
        <f>SUMIF('内訳ﾘｽﾄ(4～3月)'!$D$26:$D$1001,$B26,'内訳ﾘｽﾄ(4～3月)'!L$26:L$1001)</f>
        <v>0</v>
      </c>
      <c r="J26" s="158">
        <f>SUMIF('内訳ﾘｽﾄ(4～3月)'!$D$26:$D$1001,$B26,'内訳ﾘｽﾄ(4～3月)'!M$26:M$1001)</f>
        <v>0</v>
      </c>
      <c r="K26" s="158">
        <f>SUMIF('内訳ﾘｽﾄ(4～3月)'!$D$26:$D$1001,$B26,'内訳ﾘｽﾄ(4～3月)'!N$26:N$1001)</f>
        <v>0</v>
      </c>
      <c r="L26" s="158">
        <f>SUMIF('内訳ﾘｽﾄ(4～3月)'!$D$26:$D$1001,$B26,'内訳ﾘｽﾄ(4～3月)'!O$26:O$1001)</f>
        <v>0</v>
      </c>
      <c r="M26" s="158">
        <f>SUMIF('内訳ﾘｽﾄ(4～3月)'!$D$26:$D$1001,$B26,'内訳ﾘｽﾄ(4～3月)'!P$26:P$1001)</f>
        <v>0</v>
      </c>
      <c r="N26" s="158">
        <f>SUMIF('内訳ﾘｽﾄ(4～3月)'!$D$26:$D$1001,$B26,'内訳ﾘｽﾄ(4～3月)'!Q$26:Q$1001)</f>
        <v>0</v>
      </c>
      <c r="O26" s="158">
        <f>SUMIF('内訳ﾘｽﾄ(4～3月)'!$D$26:$D$800,'採算表(VND)'!$B26,'内訳ﾘｽﾄ(4～3月)'!R$26:R$800)</f>
        <v>50250000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SUMIF('内訳ﾘｽﾄ(4～3月)'!$D$26:$D$1001,$B27,'内訳ﾘｽﾄ(4～3月)'!F$26:F$1001)</f>
        <v>0</v>
      </c>
      <c r="D27" s="158">
        <f>SUMIF('内訳ﾘｽﾄ(4～3月)'!$D$26:$D$1001,$B27,'内訳ﾘｽﾄ(4～3月)'!G$26:G$1001)</f>
        <v>0</v>
      </c>
      <c r="E27" s="158">
        <f>SUMIF('内訳ﾘｽﾄ(4～3月)'!$D$26:$D$1001,$B27,'内訳ﾘｽﾄ(4～3月)'!H$26:H$1001)</f>
        <v>0</v>
      </c>
      <c r="F27" s="158">
        <f>SUMIF('内訳ﾘｽﾄ(4～3月)'!$D$26:$D$1001,$B27,'内訳ﾘｽﾄ(4～3月)'!I$26:I$1001)</f>
        <v>0</v>
      </c>
      <c r="G27" s="158">
        <f>SUMIF('内訳ﾘｽﾄ(4～3月)'!$D$26:$D$1001,$B27,'内訳ﾘｽﾄ(4～3月)'!J$26:J$1001)</f>
        <v>0</v>
      </c>
      <c r="H27" s="158">
        <f>SUMIF('内訳ﾘｽﾄ(4～3月)'!$D$26:$D$1001,$B27,'内訳ﾘｽﾄ(4～3月)'!K$26:K$1001)</f>
        <v>0</v>
      </c>
      <c r="I27" s="158">
        <f>SUMIF('内訳ﾘｽﾄ(4～3月)'!$D$26:$D$1001,$B27,'内訳ﾘｽﾄ(4～3月)'!L$26:L$1001)</f>
        <v>0</v>
      </c>
      <c r="J27" s="158">
        <f>SUMIF('内訳ﾘｽﾄ(4～3月)'!$D$26:$D$1001,$B27,'内訳ﾘｽﾄ(4～3月)'!M$26:M$1001)</f>
        <v>0</v>
      </c>
      <c r="K27" s="158">
        <f>SUMIF('内訳ﾘｽﾄ(4～3月)'!$D$26:$D$1001,$B27,'内訳ﾘｽﾄ(4～3月)'!N$26:N$1001)</f>
        <v>0</v>
      </c>
      <c r="L27" s="158">
        <f>SUMIF('内訳ﾘｽﾄ(4～3月)'!$D$26:$D$1001,$B27,'内訳ﾘｽﾄ(4～3月)'!O$26:O$1001)</f>
        <v>0</v>
      </c>
      <c r="M27" s="158">
        <f>SUMIF('内訳ﾘｽﾄ(4～3月)'!$D$26:$D$1001,$B27,'内訳ﾘｽﾄ(4～3月)'!P$26:P$1001)</f>
        <v>0</v>
      </c>
      <c r="N27" s="158">
        <f>SUMIF('内訳ﾘｽﾄ(4～3月)'!$D$26:$D$1001,$B27,'内訳ﾘｽﾄ(4～3月)'!Q$26:Q$1001)</f>
        <v>0</v>
      </c>
      <c r="O27" s="158">
        <f>SUMIF('内訳ﾘｽﾄ(4～3月)'!$D$26:$D$800,'採算表(VND)'!$B27,'内訳ﾘｽﾄ(4～3月)'!R$26:R$800)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SUMIF('内訳ﾘｽﾄ(4～3月)'!$D$26:$D$1001,$B28,'内訳ﾘｽﾄ(4～3月)'!F$26:F$1001)</f>
        <v>5000000</v>
      </c>
      <c r="D28" s="158">
        <f>SUMIF('内訳ﾘｽﾄ(4～3月)'!$D$26:$D$1001,$B28,'内訳ﾘｽﾄ(4～3月)'!G$26:G$1001)</f>
        <v>5000000</v>
      </c>
      <c r="E28" s="158">
        <f>SUMIF('内訳ﾘｽﾄ(4～3月)'!$D$26:$D$1001,$B28,'内訳ﾘｽﾄ(4～3月)'!H$26:H$1001)</f>
        <v>5000000</v>
      </c>
      <c r="F28" s="158">
        <f>SUMIF('内訳ﾘｽﾄ(4～3月)'!$D$26:$D$1001,$B28,'内訳ﾘｽﾄ(4～3月)'!I$26:I$1001)</f>
        <v>5000000</v>
      </c>
      <c r="G28" s="158">
        <f>SUMIF('内訳ﾘｽﾄ(4～3月)'!$D$26:$D$1001,$B28,'内訳ﾘｽﾄ(4～3月)'!J$26:J$1001)</f>
        <v>5000000</v>
      </c>
      <c r="H28" s="158">
        <f>SUMIF('内訳ﾘｽﾄ(4～3月)'!$D$26:$D$1001,$B28,'内訳ﾘｽﾄ(4～3月)'!K$26:K$1001)</f>
        <v>5000000</v>
      </c>
      <c r="I28" s="158">
        <f>SUMIF('内訳ﾘｽﾄ(4～3月)'!$D$26:$D$1001,$B28,'内訳ﾘｽﾄ(4～3月)'!L$26:L$1001)</f>
        <v>5000000</v>
      </c>
      <c r="J28" s="158">
        <f>SUMIF('内訳ﾘｽﾄ(4～3月)'!$D$26:$D$1001,$B28,'内訳ﾘｽﾄ(4～3月)'!M$26:M$1001)</f>
        <v>5000000</v>
      </c>
      <c r="K28" s="158">
        <f>SUMIF('内訳ﾘｽﾄ(4～3月)'!$D$26:$D$1001,$B28,'内訳ﾘｽﾄ(4～3月)'!N$26:N$1001)</f>
        <v>4500000</v>
      </c>
      <c r="L28" s="158">
        <f>SUMIF('内訳ﾘｽﾄ(4～3月)'!$D$26:$D$1001,$B28,'内訳ﾘｽﾄ(4～3月)'!O$26:O$1001)</f>
        <v>3500000</v>
      </c>
      <c r="M28" s="158">
        <f>SUMIF('内訳ﾘｽﾄ(4～3月)'!$D$26:$D$1001,$B28,'内訳ﾘｽﾄ(4～3月)'!P$26:P$1001)</f>
        <v>3000000</v>
      </c>
      <c r="N28" s="158">
        <f>SUMIF('内訳ﾘｽﾄ(4～3月)'!$D$26:$D$1001,$B28,'内訳ﾘｽﾄ(4～3月)'!Q$26:Q$1001)</f>
        <v>3000000</v>
      </c>
      <c r="O28" s="158">
        <f>SUMIF('内訳ﾘｽﾄ(4～3月)'!$D$26:$D$800,'採算表(VND)'!$B28,'内訳ﾘｽﾄ(4～3月)'!R$26:R$800)</f>
        <v>54000000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SUMIF('内訳ﾘｽﾄ(4～3月)'!$D$26:$D$1001,$B29,'内訳ﾘｽﾄ(4～3月)'!F$26:F$1001)</f>
        <v>0</v>
      </c>
      <c r="D29" s="158">
        <f>SUMIF('内訳ﾘｽﾄ(4～3月)'!$D$26:$D$1001,$B29,'内訳ﾘｽﾄ(4～3月)'!G$26:G$1001)</f>
        <v>0</v>
      </c>
      <c r="E29" s="158">
        <f>SUMIF('内訳ﾘｽﾄ(4～3月)'!$D$26:$D$1001,$B29,'内訳ﾘｽﾄ(4～3月)'!H$26:H$1001)</f>
        <v>0</v>
      </c>
      <c r="F29" s="158">
        <f>SUMIF('内訳ﾘｽﾄ(4～3月)'!$D$26:$D$1001,$B29,'内訳ﾘｽﾄ(4～3月)'!I$26:I$1001)</f>
        <v>0</v>
      </c>
      <c r="G29" s="158">
        <f>SUMIF('内訳ﾘｽﾄ(4～3月)'!$D$26:$D$1001,$B29,'内訳ﾘｽﾄ(4～3月)'!J$26:J$1001)</f>
        <v>0</v>
      </c>
      <c r="H29" s="158">
        <f>SUMIF('内訳ﾘｽﾄ(4～3月)'!$D$26:$D$1001,$B29,'内訳ﾘｽﾄ(4～3月)'!K$26:K$1001)</f>
        <v>0</v>
      </c>
      <c r="I29" s="158">
        <f>SUMIF('内訳ﾘｽﾄ(4～3月)'!$D$26:$D$1001,$B29,'内訳ﾘｽﾄ(4～3月)'!L$26:L$1001)</f>
        <v>0</v>
      </c>
      <c r="J29" s="158">
        <f>SUMIF('内訳ﾘｽﾄ(4～3月)'!$D$26:$D$1001,$B29,'内訳ﾘｽﾄ(4～3月)'!M$26:M$1001)</f>
        <v>0</v>
      </c>
      <c r="K29" s="158">
        <f>SUMIF('内訳ﾘｽﾄ(4～3月)'!$D$26:$D$1001,$B29,'内訳ﾘｽﾄ(4～3月)'!N$26:N$1001)</f>
        <v>0</v>
      </c>
      <c r="L29" s="158">
        <f>SUMIF('内訳ﾘｽﾄ(4～3月)'!$D$26:$D$1001,$B29,'内訳ﾘｽﾄ(4～3月)'!O$26:O$1001)</f>
        <v>0</v>
      </c>
      <c r="M29" s="158">
        <f>SUMIF('内訳ﾘｽﾄ(4～3月)'!$D$26:$D$1001,$B29,'内訳ﾘｽﾄ(4～3月)'!P$26:P$1001)</f>
        <v>0</v>
      </c>
      <c r="N29" s="158">
        <f>SUMIF('内訳ﾘｽﾄ(4～3月)'!$D$26:$D$1001,$B29,'内訳ﾘｽﾄ(4～3月)'!Q$26:Q$1001)</f>
        <v>0</v>
      </c>
      <c r="O29" s="158">
        <f>SUMIF('内訳ﾘｽﾄ(4～3月)'!$D$26:$D$800,'採算表(VND)'!$B29,'内訳ﾘｽﾄ(4～3月)'!R$26:R$800)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SUMIF('内訳ﾘｽﾄ(4～3月)'!$D$26:$D$1001,$B30,'内訳ﾘｽﾄ(4～3月)'!F$26:F$1001)</f>
        <v>1178313</v>
      </c>
      <c r="D30" s="158">
        <f>SUMIF('内訳ﾘｽﾄ(4～3月)'!$D$26:$D$1001,$B30,'内訳ﾘｽﾄ(4～3月)'!G$26:G$1001)</f>
        <v>1209406</v>
      </c>
      <c r="E30" s="158">
        <f>SUMIF('内訳ﾘｽﾄ(4～3月)'!$D$26:$D$1001,$B30,'内訳ﾘｽﾄ(4～3月)'!H$26:H$1001)</f>
        <v>1452536</v>
      </c>
      <c r="F30" s="158">
        <f>SUMIF('内訳ﾘｽﾄ(4～3月)'!$D$26:$D$1001,$B30,'内訳ﾘｽﾄ(4～3月)'!I$26:I$1001)</f>
        <v>1655160</v>
      </c>
      <c r="G30" s="158">
        <f>SUMIF('内訳ﾘｽﾄ(4～3月)'!$D$26:$D$1001,$B30,'内訳ﾘｽﾄ(4～3月)'!J$26:J$1001)</f>
        <v>1606146</v>
      </c>
      <c r="H30" s="158">
        <f>SUMIF('内訳ﾘｽﾄ(4～3月)'!$D$26:$D$1001,$B30,'内訳ﾘｽﾄ(4～3月)'!K$26:K$1001)</f>
        <v>1447476</v>
      </c>
      <c r="I30" s="158">
        <f>SUMIF('内訳ﾘｽﾄ(4～3月)'!$D$26:$D$1001,$B30,'内訳ﾘｽﾄ(4～3月)'!L$26:L$1001)</f>
        <v>1395477</v>
      </c>
      <c r="J30" s="158">
        <f>SUMIF('内訳ﾘｽﾄ(4～3月)'!$D$26:$D$1001,$B30,'内訳ﾘｽﾄ(4～3月)'!M$26:M$1001)</f>
        <v>1373890</v>
      </c>
      <c r="K30" s="158">
        <f>SUMIF('内訳ﾘｽﾄ(4～3月)'!$D$26:$D$1001,$B30,'内訳ﾘｽﾄ(4～3月)'!N$26:N$1001)</f>
        <v>1366451</v>
      </c>
      <c r="L30" s="158">
        <f>SUMIF('内訳ﾘｽﾄ(4～3月)'!$D$26:$D$1001,$B30,'内訳ﾘｽﾄ(4～3月)'!O$26:O$1001)</f>
        <v>1193168</v>
      </c>
      <c r="M30" s="158">
        <f>SUMIF('内訳ﾘｽﾄ(4～3月)'!$D$26:$D$1001,$B30,'内訳ﾘｽﾄ(4～3月)'!P$26:P$1001)</f>
        <v>1060873</v>
      </c>
      <c r="N30" s="158">
        <f>SUMIF('内訳ﾘｽﾄ(4～3月)'!$D$26:$D$1001,$B30,'内訳ﾘｽﾄ(4～3月)'!Q$26:Q$1001)</f>
        <v>1013378</v>
      </c>
      <c r="O30" s="158">
        <f>SUMIF('内訳ﾘｽﾄ(4～3月)'!$D$26:$D$800,'採算表(VND)'!$B30,'内訳ﾘｽﾄ(4～3月)'!R$26:R$800)</f>
        <v>15952274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SUMIF('内訳ﾘｽﾄ(4～3月)'!$D$26:$D$1001,$B31,'内訳ﾘｽﾄ(4～3月)'!F$26:F$1001)</f>
        <v>0</v>
      </c>
      <c r="D31" s="158">
        <f>SUMIF('内訳ﾘｽﾄ(4～3月)'!$D$26:$D$1001,$B31,'内訳ﾘｽﾄ(4～3月)'!G$26:G$1001)</f>
        <v>0</v>
      </c>
      <c r="E31" s="158">
        <f>SUMIF('内訳ﾘｽﾄ(4～3月)'!$D$26:$D$1001,$B31,'内訳ﾘｽﾄ(4～3月)'!H$26:H$1001)</f>
        <v>0</v>
      </c>
      <c r="F31" s="158">
        <f>SUMIF('内訳ﾘｽﾄ(4～3月)'!$D$26:$D$1001,$B31,'内訳ﾘｽﾄ(4～3月)'!I$26:I$1001)</f>
        <v>0</v>
      </c>
      <c r="G31" s="158">
        <f>SUMIF('内訳ﾘｽﾄ(4～3月)'!$D$26:$D$1001,$B31,'内訳ﾘｽﾄ(4～3月)'!J$26:J$1001)</f>
        <v>0</v>
      </c>
      <c r="H31" s="158">
        <f>SUMIF('内訳ﾘｽﾄ(4～3月)'!$D$26:$D$1001,$B31,'内訳ﾘｽﾄ(4～3月)'!K$26:K$1001)</f>
        <v>0</v>
      </c>
      <c r="I31" s="158">
        <f>SUMIF('内訳ﾘｽﾄ(4～3月)'!$D$26:$D$1001,$B31,'内訳ﾘｽﾄ(4～3月)'!L$26:L$1001)</f>
        <v>0</v>
      </c>
      <c r="J31" s="158">
        <f>SUMIF('内訳ﾘｽﾄ(4～3月)'!$D$26:$D$1001,$B31,'内訳ﾘｽﾄ(4～3月)'!M$26:M$1001)</f>
        <v>0</v>
      </c>
      <c r="K31" s="158">
        <f>SUMIF('内訳ﾘｽﾄ(4～3月)'!$D$26:$D$1001,$B31,'内訳ﾘｽﾄ(4～3月)'!N$26:N$1001)</f>
        <v>0</v>
      </c>
      <c r="L31" s="158">
        <f>SUMIF('内訳ﾘｽﾄ(4～3月)'!$D$26:$D$1001,$B31,'内訳ﾘｽﾄ(4～3月)'!O$26:O$1001)</f>
        <v>0</v>
      </c>
      <c r="M31" s="158">
        <f>SUMIF('内訳ﾘｽﾄ(4～3月)'!$D$26:$D$1001,$B31,'内訳ﾘｽﾄ(4～3月)'!P$26:P$1001)</f>
        <v>0</v>
      </c>
      <c r="N31" s="158">
        <f>SUMIF('内訳ﾘｽﾄ(4～3月)'!$D$26:$D$1001,$B31,'内訳ﾘｽﾄ(4～3月)'!Q$26:Q$1001)</f>
        <v>0</v>
      </c>
      <c r="O31" s="158">
        <f>SUMIF('内訳ﾘｽﾄ(4～3月)'!$D$26:$D$800,'採算表(VND)'!$B31,'内訳ﾘｽﾄ(4～3月)'!R$26:R$800)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SUMIF('内訳ﾘｽﾄ(4～3月)'!$D$26:$D$1001,$B32,'内訳ﾘｽﾄ(4～3月)'!F$26:F$1001)</f>
        <v>0</v>
      </c>
      <c r="D32" s="158">
        <f>SUMIF('内訳ﾘｽﾄ(4～3月)'!$D$26:$D$1001,$B32,'内訳ﾘｽﾄ(4～3月)'!G$26:G$1001)</f>
        <v>0</v>
      </c>
      <c r="E32" s="158">
        <f>SUMIF('内訳ﾘｽﾄ(4～3月)'!$D$26:$D$1001,$B32,'内訳ﾘｽﾄ(4～3月)'!H$26:H$1001)</f>
        <v>0</v>
      </c>
      <c r="F32" s="158">
        <f>SUMIF('内訳ﾘｽﾄ(4～3月)'!$D$26:$D$1001,$B32,'内訳ﾘｽﾄ(4～3月)'!I$26:I$1001)</f>
        <v>0</v>
      </c>
      <c r="G32" s="158">
        <f>SUMIF('内訳ﾘｽﾄ(4～3月)'!$D$26:$D$1001,$B32,'内訳ﾘｽﾄ(4～3月)'!J$26:J$1001)</f>
        <v>0</v>
      </c>
      <c r="H32" s="158">
        <f>SUMIF('内訳ﾘｽﾄ(4～3月)'!$D$26:$D$1001,$B32,'内訳ﾘｽﾄ(4～3月)'!K$26:K$1001)</f>
        <v>0</v>
      </c>
      <c r="I32" s="158">
        <f>SUMIF('内訳ﾘｽﾄ(4～3月)'!$D$26:$D$1001,$B32,'内訳ﾘｽﾄ(4～3月)'!L$26:L$1001)</f>
        <v>0</v>
      </c>
      <c r="J32" s="158">
        <f>SUMIF('内訳ﾘｽﾄ(4～3月)'!$D$26:$D$1001,$B32,'内訳ﾘｽﾄ(4～3月)'!M$26:M$1001)</f>
        <v>0</v>
      </c>
      <c r="K32" s="158">
        <f>SUMIF('内訳ﾘｽﾄ(4～3月)'!$D$26:$D$1001,$B32,'内訳ﾘｽﾄ(4～3月)'!N$26:N$1001)</f>
        <v>0</v>
      </c>
      <c r="L32" s="158">
        <f>SUMIF('内訳ﾘｽﾄ(4～3月)'!$D$26:$D$1001,$B32,'内訳ﾘｽﾄ(4～3月)'!O$26:O$1001)</f>
        <v>0</v>
      </c>
      <c r="M32" s="158">
        <f>SUMIF('内訳ﾘｽﾄ(4～3月)'!$D$26:$D$1001,$B32,'内訳ﾘｽﾄ(4～3月)'!P$26:P$1001)</f>
        <v>0</v>
      </c>
      <c r="N32" s="158">
        <f>SUMIF('内訳ﾘｽﾄ(4～3月)'!$D$26:$D$1001,$B32,'内訳ﾘｽﾄ(4～3月)'!Q$26:Q$1001)</f>
        <v>0</v>
      </c>
      <c r="O32" s="158">
        <f>SUMIF('内訳ﾘｽﾄ(4～3月)'!$D$26:$D$800,'採算表(VND)'!$B32,'内訳ﾘｽﾄ(4～3月)'!R$26:R$800)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SUMIF('内訳ﾘｽﾄ(4～3月)'!$D$26:$D$1001,$B33,'内訳ﾘｽﾄ(4～3月)'!F$26:F$1001)</f>
        <v>0</v>
      </c>
      <c r="D33" s="158">
        <f>SUMIF('内訳ﾘｽﾄ(4～3月)'!$D$26:$D$1001,$B33,'内訳ﾘｽﾄ(4～3月)'!G$26:G$1001)</f>
        <v>0</v>
      </c>
      <c r="E33" s="158">
        <f>SUMIF('内訳ﾘｽﾄ(4～3月)'!$D$26:$D$1001,$B33,'内訳ﾘｽﾄ(4～3月)'!H$26:H$1001)</f>
        <v>0</v>
      </c>
      <c r="F33" s="158">
        <f>SUMIF('内訳ﾘｽﾄ(4～3月)'!$D$26:$D$1001,$B33,'内訳ﾘｽﾄ(4～3月)'!I$26:I$1001)</f>
        <v>0</v>
      </c>
      <c r="G33" s="158">
        <f>SUMIF('内訳ﾘｽﾄ(4～3月)'!$D$26:$D$1001,$B33,'内訳ﾘｽﾄ(4～3月)'!J$26:J$1001)</f>
        <v>0</v>
      </c>
      <c r="H33" s="158">
        <f>SUMIF('内訳ﾘｽﾄ(4～3月)'!$D$26:$D$1001,$B33,'内訳ﾘｽﾄ(4～3月)'!K$26:K$1001)</f>
        <v>0</v>
      </c>
      <c r="I33" s="158">
        <f>SUMIF('内訳ﾘｽﾄ(4～3月)'!$D$26:$D$1001,$B33,'内訳ﾘｽﾄ(4～3月)'!L$26:L$1001)</f>
        <v>0</v>
      </c>
      <c r="J33" s="158">
        <f>SUMIF('内訳ﾘｽﾄ(4～3月)'!$D$26:$D$1001,$B33,'内訳ﾘｽﾄ(4～3月)'!M$26:M$1001)</f>
        <v>0</v>
      </c>
      <c r="K33" s="158">
        <f>SUMIF('内訳ﾘｽﾄ(4～3月)'!$D$26:$D$1001,$B33,'内訳ﾘｽﾄ(4～3月)'!N$26:N$1001)</f>
        <v>0</v>
      </c>
      <c r="L33" s="158">
        <f>SUMIF('内訳ﾘｽﾄ(4～3月)'!$D$26:$D$1001,$B33,'内訳ﾘｽﾄ(4～3月)'!O$26:O$1001)</f>
        <v>0</v>
      </c>
      <c r="M33" s="158">
        <f>SUMIF('内訳ﾘｽﾄ(4～3月)'!$D$26:$D$1001,$B33,'内訳ﾘｽﾄ(4～3月)'!P$26:P$1001)</f>
        <v>0</v>
      </c>
      <c r="N33" s="158">
        <f>SUMIF('内訳ﾘｽﾄ(4～3月)'!$D$26:$D$1001,$B33,'内訳ﾘｽﾄ(4～3月)'!Q$26:Q$1001)</f>
        <v>0</v>
      </c>
      <c r="O33" s="158">
        <f>SUMIF('内訳ﾘｽﾄ(4～3月)'!$D$26:$D$800,'採算表(VND)'!$B33,'内訳ﾘｽﾄ(4～3月)'!R$26:R$800)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SUMIF('内訳ﾘｽﾄ(4～3月)'!$D$26:$D$1001,$B34,'内訳ﾘｽﾄ(4～3月)'!F$26:F$1001)</f>
        <v>0</v>
      </c>
      <c r="D34" s="158">
        <f>SUMIF('内訳ﾘｽﾄ(4～3月)'!$D$26:$D$1001,$B34,'内訳ﾘｽﾄ(4～3月)'!G$26:G$1001)</f>
        <v>0</v>
      </c>
      <c r="E34" s="158">
        <f>SUMIF('内訳ﾘｽﾄ(4～3月)'!$D$26:$D$1001,$B34,'内訳ﾘｽﾄ(4～3月)'!H$26:H$1001)</f>
        <v>0</v>
      </c>
      <c r="F34" s="158">
        <f>SUMIF('内訳ﾘｽﾄ(4～3月)'!$D$26:$D$1001,$B34,'内訳ﾘｽﾄ(4～3月)'!I$26:I$1001)</f>
        <v>0</v>
      </c>
      <c r="G34" s="158">
        <f>SUMIF('内訳ﾘｽﾄ(4～3月)'!$D$26:$D$1001,$B34,'内訳ﾘｽﾄ(4～3月)'!J$26:J$1001)</f>
        <v>0</v>
      </c>
      <c r="H34" s="158">
        <f>SUMIF('内訳ﾘｽﾄ(4～3月)'!$D$26:$D$1001,$B34,'内訳ﾘｽﾄ(4～3月)'!K$26:K$1001)</f>
        <v>0</v>
      </c>
      <c r="I34" s="158">
        <f>SUMIF('内訳ﾘｽﾄ(4～3月)'!$D$26:$D$1001,$B34,'内訳ﾘｽﾄ(4～3月)'!L$26:L$1001)</f>
        <v>0</v>
      </c>
      <c r="J34" s="158">
        <f>SUMIF('内訳ﾘｽﾄ(4～3月)'!$D$26:$D$1001,$B34,'内訳ﾘｽﾄ(4～3月)'!M$26:M$1001)</f>
        <v>0</v>
      </c>
      <c r="K34" s="158">
        <f>SUMIF('内訳ﾘｽﾄ(4～3月)'!$D$26:$D$1001,$B34,'内訳ﾘｽﾄ(4～3月)'!N$26:N$1001)</f>
        <v>0</v>
      </c>
      <c r="L34" s="158">
        <f>SUMIF('内訳ﾘｽﾄ(4～3月)'!$D$26:$D$1001,$B34,'内訳ﾘｽﾄ(4～3月)'!O$26:O$1001)</f>
        <v>0</v>
      </c>
      <c r="M34" s="158">
        <f>SUMIF('内訳ﾘｽﾄ(4～3月)'!$D$26:$D$1001,$B34,'内訳ﾘｽﾄ(4～3月)'!P$26:P$1001)</f>
        <v>0</v>
      </c>
      <c r="N34" s="158">
        <f>SUMIF('内訳ﾘｽﾄ(4～3月)'!$D$26:$D$1001,$B34,'内訳ﾘｽﾄ(4～3月)'!Q$26:Q$1001)</f>
        <v>0</v>
      </c>
      <c r="O34" s="158">
        <f>SUMIF('内訳ﾘｽﾄ(4～3月)'!$D$26:$D$800,'採算表(VND)'!$B34,'内訳ﾘｽﾄ(4～3月)'!R$26:R$800)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SUMIF('内訳ﾘｽﾄ(4～3月)'!$D$26:$D$1001,$B35,'内訳ﾘｽﾄ(4～3月)'!F$26:F$1001)</f>
        <v>0</v>
      </c>
      <c r="D35" s="158">
        <f>SUMIF('内訳ﾘｽﾄ(4～3月)'!$D$26:$D$1001,$B35,'内訳ﾘｽﾄ(4～3月)'!G$26:G$1001)</f>
        <v>0</v>
      </c>
      <c r="E35" s="158">
        <f>SUMIF('内訳ﾘｽﾄ(4～3月)'!$D$26:$D$1001,$B35,'内訳ﾘｽﾄ(4～3月)'!H$26:H$1001)</f>
        <v>0</v>
      </c>
      <c r="F35" s="158">
        <f>SUMIF('内訳ﾘｽﾄ(4～3月)'!$D$26:$D$1001,$B35,'内訳ﾘｽﾄ(4～3月)'!I$26:I$1001)</f>
        <v>0</v>
      </c>
      <c r="G35" s="158">
        <f>SUMIF('内訳ﾘｽﾄ(4～3月)'!$D$26:$D$1001,$B35,'内訳ﾘｽﾄ(4～3月)'!J$26:J$1001)</f>
        <v>0</v>
      </c>
      <c r="H35" s="158">
        <f>SUMIF('内訳ﾘｽﾄ(4～3月)'!$D$26:$D$1001,$B35,'内訳ﾘｽﾄ(4～3月)'!K$26:K$1001)</f>
        <v>0</v>
      </c>
      <c r="I35" s="158">
        <f>SUMIF('内訳ﾘｽﾄ(4～3月)'!$D$26:$D$1001,$B35,'内訳ﾘｽﾄ(4～3月)'!L$26:L$1001)</f>
        <v>0</v>
      </c>
      <c r="J35" s="158">
        <f>SUMIF('内訳ﾘｽﾄ(4～3月)'!$D$26:$D$1001,$B35,'内訳ﾘｽﾄ(4～3月)'!M$26:M$1001)</f>
        <v>0</v>
      </c>
      <c r="K35" s="158">
        <f>SUMIF('内訳ﾘｽﾄ(4～3月)'!$D$26:$D$1001,$B35,'内訳ﾘｽﾄ(4～3月)'!N$26:N$1001)</f>
        <v>0</v>
      </c>
      <c r="L35" s="158">
        <f>SUMIF('内訳ﾘｽﾄ(4～3月)'!$D$26:$D$1001,$B35,'内訳ﾘｽﾄ(4～3月)'!O$26:O$1001)</f>
        <v>0</v>
      </c>
      <c r="M35" s="158">
        <f>SUMIF('内訳ﾘｽﾄ(4～3月)'!$D$26:$D$1001,$B35,'内訳ﾘｽﾄ(4～3月)'!P$26:P$1001)</f>
        <v>0</v>
      </c>
      <c r="N35" s="158">
        <f>SUMIF('内訳ﾘｽﾄ(4～3月)'!$D$26:$D$1001,$B35,'内訳ﾘｽﾄ(4～3月)'!Q$26:Q$1001)</f>
        <v>0</v>
      </c>
      <c r="O35" s="158">
        <f>SUMIF('内訳ﾘｽﾄ(4～3月)'!$D$26:$D$800,'採算表(VND)'!$B35,'内訳ﾘｽﾄ(4～3月)'!R$26:R$800)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SUMIF('内訳ﾘｽﾄ(4～3月)'!$D$26:$D$1001,$B36,'内訳ﾘｽﾄ(4～3月)'!F$26:F$1001)</f>
        <v>0</v>
      </c>
      <c r="D36" s="158">
        <f>SUMIF('内訳ﾘｽﾄ(4～3月)'!$D$26:$D$1001,$B36,'内訳ﾘｽﾄ(4～3月)'!G$26:G$1001)</f>
        <v>0</v>
      </c>
      <c r="E36" s="158">
        <f>SUMIF('内訳ﾘｽﾄ(4～3月)'!$D$26:$D$1001,$B36,'内訳ﾘｽﾄ(4～3月)'!H$26:H$1001)</f>
        <v>0</v>
      </c>
      <c r="F36" s="158">
        <f>SUMIF('内訳ﾘｽﾄ(4～3月)'!$D$26:$D$1001,$B36,'内訳ﾘｽﾄ(4～3月)'!I$26:I$1001)</f>
        <v>0</v>
      </c>
      <c r="G36" s="158">
        <f>SUMIF('内訳ﾘｽﾄ(4～3月)'!$D$26:$D$1001,$B36,'内訳ﾘｽﾄ(4～3月)'!J$26:J$1001)</f>
        <v>0</v>
      </c>
      <c r="H36" s="158">
        <f>SUMIF('内訳ﾘｽﾄ(4～3月)'!$D$26:$D$1001,$B36,'内訳ﾘｽﾄ(4～3月)'!K$26:K$1001)</f>
        <v>0</v>
      </c>
      <c r="I36" s="158">
        <f>SUMIF('内訳ﾘｽﾄ(4～3月)'!$D$26:$D$1001,$B36,'内訳ﾘｽﾄ(4～3月)'!L$26:L$1001)</f>
        <v>0</v>
      </c>
      <c r="J36" s="158">
        <f>SUMIF('内訳ﾘｽﾄ(4～3月)'!$D$26:$D$1001,$B36,'内訳ﾘｽﾄ(4～3月)'!M$26:M$1001)</f>
        <v>0</v>
      </c>
      <c r="K36" s="158">
        <f>SUMIF('内訳ﾘｽﾄ(4～3月)'!$D$26:$D$1001,$B36,'内訳ﾘｽﾄ(4～3月)'!N$26:N$1001)</f>
        <v>0</v>
      </c>
      <c r="L36" s="158">
        <f>SUMIF('内訳ﾘｽﾄ(4～3月)'!$D$26:$D$1001,$B36,'内訳ﾘｽﾄ(4～3月)'!O$26:O$1001)</f>
        <v>0</v>
      </c>
      <c r="M36" s="158">
        <f>SUMIF('内訳ﾘｽﾄ(4～3月)'!$D$26:$D$1001,$B36,'内訳ﾘｽﾄ(4～3月)'!P$26:P$1001)</f>
        <v>0</v>
      </c>
      <c r="N36" s="158">
        <f>SUMIF('内訳ﾘｽﾄ(4～3月)'!$D$26:$D$1001,$B36,'内訳ﾘｽﾄ(4～3月)'!Q$26:Q$1001)</f>
        <v>0</v>
      </c>
      <c r="O36" s="158">
        <f>SUMIF('内訳ﾘｽﾄ(4～3月)'!$D$26:$D$800,'採算表(VND)'!$B36,'内訳ﾘｽﾄ(4～3月)'!R$26:R$800)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SUMIF('内訳ﾘｽﾄ(4～3月)'!$D$26:$D$1001,$B37,'内訳ﾘｽﾄ(4～3月)'!F$26:F$1001)</f>
        <v>0</v>
      </c>
      <c r="D37" s="158">
        <f>SUMIF('内訳ﾘｽﾄ(4～3月)'!$D$26:$D$1001,$B37,'内訳ﾘｽﾄ(4～3月)'!G$26:G$1001)</f>
        <v>0</v>
      </c>
      <c r="E37" s="158">
        <f>SUMIF('内訳ﾘｽﾄ(4～3月)'!$D$26:$D$1001,$B37,'内訳ﾘｽﾄ(4～3月)'!H$26:H$1001)</f>
        <v>0</v>
      </c>
      <c r="F37" s="158">
        <f>SUMIF('内訳ﾘｽﾄ(4～3月)'!$D$26:$D$1001,$B37,'内訳ﾘｽﾄ(4～3月)'!I$26:I$1001)</f>
        <v>0</v>
      </c>
      <c r="G37" s="158">
        <f>SUMIF('内訳ﾘｽﾄ(4～3月)'!$D$26:$D$1001,$B37,'内訳ﾘｽﾄ(4～3月)'!J$26:J$1001)</f>
        <v>0</v>
      </c>
      <c r="H37" s="158">
        <f>SUMIF('内訳ﾘｽﾄ(4～3月)'!$D$26:$D$1001,$B37,'内訳ﾘｽﾄ(4～3月)'!K$26:K$1001)</f>
        <v>0</v>
      </c>
      <c r="I37" s="158">
        <f>SUMIF('内訳ﾘｽﾄ(4～3月)'!$D$26:$D$1001,$B37,'内訳ﾘｽﾄ(4～3月)'!L$26:L$1001)</f>
        <v>0</v>
      </c>
      <c r="J37" s="158">
        <f>SUMIF('内訳ﾘｽﾄ(4～3月)'!$D$26:$D$1001,$B37,'内訳ﾘｽﾄ(4～3月)'!M$26:M$1001)</f>
        <v>0</v>
      </c>
      <c r="K37" s="158">
        <f>SUMIF('内訳ﾘｽﾄ(4～3月)'!$D$26:$D$1001,$B37,'内訳ﾘｽﾄ(4～3月)'!N$26:N$1001)</f>
        <v>0</v>
      </c>
      <c r="L37" s="158">
        <f>SUMIF('内訳ﾘｽﾄ(4～3月)'!$D$26:$D$1001,$B37,'内訳ﾘｽﾄ(4～3月)'!O$26:O$1001)</f>
        <v>0</v>
      </c>
      <c r="M37" s="158">
        <f>SUMIF('内訳ﾘｽﾄ(4～3月)'!$D$26:$D$1001,$B37,'内訳ﾘｽﾄ(4～3月)'!P$26:P$1001)</f>
        <v>0</v>
      </c>
      <c r="N37" s="158">
        <f>SUMIF('内訳ﾘｽﾄ(4～3月)'!$D$26:$D$1001,$B37,'内訳ﾘｽﾄ(4～3月)'!Q$26:Q$1001)</f>
        <v>0</v>
      </c>
      <c r="O37" s="158">
        <f>SUMIF('内訳ﾘｽﾄ(4～3月)'!$D$26:$D$800,'採算表(VND)'!$B37,'内訳ﾘｽﾄ(4～3月)'!R$26:R$800)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SUMIF('内訳ﾘｽﾄ(4～3月)'!$D$26:$D$1001,$B38,'内訳ﾘｽﾄ(4～3月)'!F$26:F$1001)</f>
        <v>0</v>
      </c>
      <c r="D38" s="158">
        <f>SUMIF('内訳ﾘｽﾄ(4～3月)'!$D$26:$D$1001,$B38,'内訳ﾘｽﾄ(4～3月)'!G$26:G$1001)</f>
        <v>0</v>
      </c>
      <c r="E38" s="158">
        <f>SUMIF('内訳ﾘｽﾄ(4～3月)'!$D$26:$D$1001,$B38,'内訳ﾘｽﾄ(4～3月)'!H$26:H$1001)</f>
        <v>0</v>
      </c>
      <c r="F38" s="158">
        <f>SUMIF('内訳ﾘｽﾄ(4～3月)'!$D$26:$D$1001,$B38,'内訳ﾘｽﾄ(4～3月)'!I$26:I$1001)</f>
        <v>0</v>
      </c>
      <c r="G38" s="158">
        <f>SUMIF('内訳ﾘｽﾄ(4～3月)'!$D$26:$D$1001,$B38,'内訳ﾘｽﾄ(4～3月)'!J$26:J$1001)</f>
        <v>0</v>
      </c>
      <c r="H38" s="158">
        <f>SUMIF('内訳ﾘｽﾄ(4～3月)'!$D$26:$D$1001,$B38,'内訳ﾘｽﾄ(4～3月)'!K$26:K$1001)</f>
        <v>0</v>
      </c>
      <c r="I38" s="158">
        <f>SUMIF('内訳ﾘｽﾄ(4～3月)'!$D$26:$D$1001,$B38,'内訳ﾘｽﾄ(4～3月)'!L$26:L$1001)</f>
        <v>0</v>
      </c>
      <c r="J38" s="158">
        <f>SUMIF('内訳ﾘｽﾄ(4～3月)'!$D$26:$D$1001,$B38,'内訳ﾘｽﾄ(4～3月)'!M$26:M$1001)</f>
        <v>0</v>
      </c>
      <c r="K38" s="158">
        <f>SUMIF('内訳ﾘｽﾄ(4～3月)'!$D$26:$D$1001,$B38,'内訳ﾘｽﾄ(4～3月)'!N$26:N$1001)</f>
        <v>0</v>
      </c>
      <c r="L38" s="158">
        <f>SUMIF('内訳ﾘｽﾄ(4～3月)'!$D$26:$D$1001,$B38,'内訳ﾘｽﾄ(4～3月)'!O$26:O$1001)</f>
        <v>0</v>
      </c>
      <c r="M38" s="158">
        <f>SUMIF('内訳ﾘｽﾄ(4～3月)'!$D$26:$D$1001,$B38,'内訳ﾘｽﾄ(4～3月)'!P$26:P$1001)</f>
        <v>0</v>
      </c>
      <c r="N38" s="158">
        <f>SUMIF('内訳ﾘｽﾄ(4～3月)'!$D$26:$D$1001,$B38,'内訳ﾘｽﾄ(4～3月)'!Q$26:Q$1001)</f>
        <v>0</v>
      </c>
      <c r="O38" s="158">
        <f>SUMIF('内訳ﾘｽﾄ(4～3月)'!$D$26:$D$800,'採算表(VND)'!$B38,'内訳ﾘｽﾄ(4～3月)'!R$26:R$800)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SUMIF('内訳ﾘｽﾄ(4～3月)'!$D$26:$D$1001,$B39,'内訳ﾘｽﾄ(4～3月)'!F$26:F$1001)</f>
        <v>449976</v>
      </c>
      <c r="D39" s="158">
        <f>SUMIF('内訳ﾘｽﾄ(4～3月)'!$D$26:$D$1001,$B39,'内訳ﾘｽﾄ(4～3月)'!G$26:G$1001)</f>
        <v>451696</v>
      </c>
      <c r="E39" s="158">
        <f>SUMIF('内訳ﾘｽﾄ(4～3月)'!$D$26:$D$1001,$B39,'内訳ﾘｽﾄ(4～3月)'!H$26:H$1001)</f>
        <v>465608</v>
      </c>
      <c r="F39" s="158">
        <f>SUMIF('内訳ﾘｽﾄ(4～3月)'!$D$26:$D$1001,$B39,'内訳ﾘｽﾄ(4～3月)'!I$26:I$1001)</f>
        <v>426448</v>
      </c>
      <c r="G39" s="158">
        <f>SUMIF('内訳ﾘｽﾄ(4～3月)'!$D$26:$D$1001,$B39,'内訳ﾘｽﾄ(4～3月)'!J$26:J$1001)</f>
        <v>415128</v>
      </c>
      <c r="H39" s="158">
        <f>SUMIF('内訳ﾘｽﾄ(4～3月)'!$D$26:$D$1001,$B39,'内訳ﾘｽﾄ(4～3月)'!K$26:K$1001)</f>
        <v>396720</v>
      </c>
      <c r="I39" s="158">
        <f>SUMIF('内訳ﾘｽﾄ(4～3月)'!$D$26:$D$1001,$B39,'内訳ﾘｽﾄ(4～3月)'!L$26:L$1001)</f>
        <v>379456</v>
      </c>
      <c r="J39" s="158">
        <f>SUMIF('内訳ﾘｽﾄ(4～3月)'!$D$26:$D$1001,$B39,'内訳ﾘｽﾄ(4～3月)'!M$26:M$1001)</f>
        <v>374752</v>
      </c>
      <c r="K39" s="158">
        <f>SUMIF('内訳ﾘｽﾄ(4～3月)'!$D$26:$D$1001,$B39,'内訳ﾘｽﾄ(4～3月)'!N$26:N$1001)</f>
        <v>375816</v>
      </c>
      <c r="L39" s="158">
        <f>SUMIF('内訳ﾘｽﾄ(4～3月)'!$D$26:$D$1001,$B39,'内訳ﾘｽﾄ(4～3月)'!O$26:O$1001)</f>
        <v>359744</v>
      </c>
      <c r="M39" s="158">
        <f>SUMIF('内訳ﾘｽﾄ(4～3月)'!$D$26:$D$1001,$B39,'内訳ﾘｽﾄ(4～3月)'!P$26:P$1001)</f>
        <v>340496</v>
      </c>
      <c r="N39" s="158">
        <f>SUMIF('内訳ﾘｽﾄ(4～3月)'!$D$26:$D$1001,$B39,'内訳ﾘｽﾄ(4～3月)'!Q$26:Q$1001)</f>
        <v>356320</v>
      </c>
      <c r="O39" s="158">
        <f>SUMIF('内訳ﾘｽﾄ(4～3月)'!$D$26:$D$800,'採算表(VND)'!$B39,'内訳ﾘｽﾄ(4～3月)'!R$26:R$800)</f>
        <v>4792160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SUMIF('内訳ﾘｽﾄ(4～3月)'!$D$26:$D$1001,$B40,'内訳ﾘｽﾄ(4～3月)'!F$26:F$1001)</f>
        <v>0</v>
      </c>
      <c r="D40" s="158">
        <f>SUMIF('内訳ﾘｽﾄ(4～3月)'!$D$26:$D$1001,$B40,'内訳ﾘｽﾄ(4～3月)'!G$26:G$1001)</f>
        <v>0</v>
      </c>
      <c r="E40" s="158">
        <f>SUMIF('内訳ﾘｽﾄ(4～3月)'!$D$26:$D$1001,$B40,'内訳ﾘｽﾄ(4～3月)'!H$26:H$1001)</f>
        <v>0</v>
      </c>
      <c r="F40" s="158">
        <f>SUMIF('内訳ﾘｽﾄ(4～3月)'!$D$26:$D$1001,$B40,'内訳ﾘｽﾄ(4～3月)'!I$26:I$1001)</f>
        <v>0</v>
      </c>
      <c r="G40" s="158">
        <f>SUMIF('内訳ﾘｽﾄ(4～3月)'!$D$26:$D$1001,$B40,'内訳ﾘｽﾄ(4～3月)'!J$26:J$1001)</f>
        <v>0</v>
      </c>
      <c r="H40" s="158">
        <f>SUMIF('内訳ﾘｽﾄ(4～3月)'!$D$26:$D$1001,$B40,'内訳ﾘｽﾄ(4～3月)'!K$26:K$1001)</f>
        <v>0</v>
      </c>
      <c r="I40" s="158">
        <f>SUMIF('内訳ﾘｽﾄ(4～3月)'!$D$26:$D$1001,$B40,'内訳ﾘｽﾄ(4～3月)'!L$26:L$1001)</f>
        <v>0</v>
      </c>
      <c r="J40" s="158">
        <f>SUMIF('内訳ﾘｽﾄ(4～3月)'!$D$26:$D$1001,$B40,'内訳ﾘｽﾄ(4～3月)'!M$26:M$1001)</f>
        <v>0</v>
      </c>
      <c r="K40" s="158">
        <f>SUMIF('内訳ﾘｽﾄ(4～3月)'!$D$26:$D$1001,$B40,'内訳ﾘｽﾄ(4～3月)'!N$26:N$1001)</f>
        <v>0</v>
      </c>
      <c r="L40" s="158">
        <f>SUMIF('内訳ﾘｽﾄ(4～3月)'!$D$26:$D$1001,$B40,'内訳ﾘｽﾄ(4～3月)'!O$26:O$1001)</f>
        <v>0</v>
      </c>
      <c r="M40" s="158">
        <f>SUMIF('内訳ﾘｽﾄ(4～3月)'!$D$26:$D$1001,$B40,'内訳ﾘｽﾄ(4～3月)'!P$26:P$1001)</f>
        <v>0</v>
      </c>
      <c r="N40" s="158">
        <f>SUMIF('内訳ﾘｽﾄ(4～3月)'!$D$26:$D$1001,$B40,'内訳ﾘｽﾄ(4～3月)'!Q$26:Q$1001)</f>
        <v>0</v>
      </c>
      <c r="O40" s="158">
        <f>SUMIF('内訳ﾘｽﾄ(4～3月)'!$D$26:$D$800,'採算表(VND)'!$B40,'内訳ﾘｽﾄ(4～3月)'!R$26:R$800)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SUMIF('内訳ﾘｽﾄ(4～3月)'!$D$26:$D$1001,$B41,'内訳ﾘｽﾄ(4～3月)'!F$26:F$1001)</f>
        <v>1200000</v>
      </c>
      <c r="D41" s="158">
        <f>SUMIF('内訳ﾘｽﾄ(4～3月)'!$D$26:$D$1001,$B41,'内訳ﾘｽﾄ(4～3月)'!G$26:G$1001)</f>
        <v>1521000</v>
      </c>
      <c r="E41" s="158">
        <f>SUMIF('内訳ﾘｽﾄ(4～3月)'!$D$26:$D$1001,$B41,'内訳ﾘｽﾄ(4～3月)'!H$26:H$1001)</f>
        <v>2250000</v>
      </c>
      <c r="F41" s="158">
        <f>SUMIF('内訳ﾘｽﾄ(4～3月)'!$D$26:$D$1001,$B41,'内訳ﾘｽﾄ(4～3月)'!I$26:I$1001)</f>
        <v>1200000</v>
      </c>
      <c r="G41" s="158">
        <f>SUMIF('内訳ﾘｽﾄ(4～3月)'!$D$26:$D$1001,$B41,'内訳ﾘｽﾄ(4～3月)'!J$26:J$1001)</f>
        <v>1200000</v>
      </c>
      <c r="H41" s="158">
        <f>SUMIF('内訳ﾘｽﾄ(4～3月)'!$D$26:$D$1001,$B41,'内訳ﾘｽﾄ(4～3月)'!K$26:K$1001)</f>
        <v>1200000</v>
      </c>
      <c r="I41" s="158">
        <f>SUMIF('内訳ﾘｽﾄ(4～3月)'!$D$26:$D$1001,$B41,'内訳ﾘｽﾄ(4～3月)'!L$26:L$1001)</f>
        <v>1200000</v>
      </c>
      <c r="J41" s="158">
        <f>SUMIF('内訳ﾘｽﾄ(4～3月)'!$D$26:$D$1001,$B41,'内訳ﾘｽﾄ(4～3月)'!M$26:M$1001)</f>
        <v>1200000</v>
      </c>
      <c r="K41" s="158">
        <f>SUMIF('内訳ﾘｽﾄ(4～3月)'!$D$26:$D$1001,$B41,'内訳ﾘｽﾄ(4～3月)'!N$26:N$1001)</f>
        <v>1200000</v>
      </c>
      <c r="L41" s="158">
        <f>SUMIF('内訳ﾘｽﾄ(4～3月)'!$D$26:$D$1001,$B41,'内訳ﾘｽﾄ(4～3月)'!O$26:O$1001)</f>
        <v>1200000</v>
      </c>
      <c r="M41" s="158">
        <f>SUMIF('内訳ﾘｽﾄ(4～3月)'!$D$26:$D$1001,$B41,'内訳ﾘｽﾄ(4～3月)'!P$26:P$1001)</f>
        <v>1200000</v>
      </c>
      <c r="N41" s="158">
        <f>SUMIF('内訳ﾘｽﾄ(4～3月)'!$D$26:$D$1001,$B41,'内訳ﾘｽﾄ(4～3月)'!Q$26:Q$1001)</f>
        <v>1200000</v>
      </c>
      <c r="O41" s="158">
        <f>SUMIF('内訳ﾘｽﾄ(4～3月)'!$D$26:$D$800,'採算表(VND)'!$B41,'内訳ﾘｽﾄ(4～3月)'!R$26:R$800)</f>
        <v>15771000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SUMIF('内訳ﾘｽﾄ(4～3月)'!$D$26:$D$1001,$B42,'内訳ﾘｽﾄ(4～3月)'!F$26:F$1001)</f>
        <v>195730311</v>
      </c>
      <c r="D42" s="158">
        <f>SUMIF('内訳ﾘｽﾄ(4～3月)'!$D$26:$D$1001,$B42,'内訳ﾘｽﾄ(4～3月)'!G$26:G$1001)</f>
        <v>20025600</v>
      </c>
      <c r="E42" s="158">
        <f>SUMIF('内訳ﾘｽﾄ(4～3月)'!$D$26:$D$1001,$B42,'内訳ﾘｽﾄ(4～3月)'!H$26:H$1001)</f>
        <v>20300600</v>
      </c>
      <c r="F42" s="158">
        <f>SUMIF('内訳ﾘｽﾄ(4～3月)'!$D$26:$D$1001,$B42,'内訳ﾘｽﾄ(4～3月)'!I$26:I$1001)</f>
        <v>20025600</v>
      </c>
      <c r="G42" s="158">
        <f>SUMIF('内訳ﾘｽﾄ(4～3月)'!$D$26:$D$1001,$B42,'内訳ﾘｽﾄ(4～3月)'!J$26:J$1001)</f>
        <v>20025600</v>
      </c>
      <c r="H42" s="158">
        <f>SUMIF('内訳ﾘｽﾄ(4～3月)'!$D$26:$D$1001,$B42,'内訳ﾘｽﾄ(4～3月)'!K$26:K$1001)</f>
        <v>20025600</v>
      </c>
      <c r="I42" s="158">
        <f>SUMIF('内訳ﾘｽﾄ(4～3月)'!$D$26:$D$1001,$B42,'内訳ﾘｽﾄ(4～3月)'!L$26:L$1001)</f>
        <v>20025600</v>
      </c>
      <c r="J42" s="158">
        <f>SUMIF('内訳ﾘｽﾄ(4～3月)'!$D$26:$D$1001,$B42,'内訳ﾘｽﾄ(4～3月)'!M$26:M$1001)</f>
        <v>20032000</v>
      </c>
      <c r="K42" s="158">
        <f>SUMIF('内訳ﾘｽﾄ(4～3月)'!$D$26:$D$1001,$B42,'内訳ﾘｽﾄ(4～3月)'!N$26:N$1001)</f>
        <v>20025600</v>
      </c>
      <c r="L42" s="158">
        <f>SUMIF('内訳ﾘｽﾄ(4～3月)'!$D$26:$D$1001,$B42,'内訳ﾘｽﾄ(4～3月)'!O$26:O$1001)</f>
        <v>20025600</v>
      </c>
      <c r="M42" s="158">
        <f>SUMIF('内訳ﾘｽﾄ(4～3月)'!$D$26:$D$1001,$B42,'内訳ﾘｽﾄ(4～3月)'!P$26:P$1001)</f>
        <v>20025600</v>
      </c>
      <c r="N42" s="158">
        <f>SUMIF('内訳ﾘｽﾄ(4～3月)'!$D$26:$D$1001,$B42,'内訳ﾘｽﾄ(4～3月)'!Q$26:Q$1001)</f>
        <v>20025600</v>
      </c>
      <c r="O42" s="158">
        <f>SUMIF('内訳ﾘｽﾄ(4～3月)'!$D$26:$D$800,'採算表(VND)'!$B42,'内訳ﾘｽﾄ(4～3月)'!R$26:R$800)</f>
        <v>416293311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SUMIF('内訳ﾘｽﾄ(4～3月)'!$D$26:$D$1001,$B43,'内訳ﾘｽﾄ(4～3月)'!F$26:F$1001)</f>
        <v>0</v>
      </c>
      <c r="D43" s="158">
        <f>SUMIF('内訳ﾘｽﾄ(4～3月)'!$D$26:$D$1001,$B43,'内訳ﾘｽﾄ(4～3月)'!G$26:G$1001)</f>
        <v>0</v>
      </c>
      <c r="E43" s="158">
        <f>SUMIF('内訳ﾘｽﾄ(4～3月)'!$D$26:$D$1001,$B43,'内訳ﾘｽﾄ(4～3月)'!H$26:H$1001)</f>
        <v>0</v>
      </c>
      <c r="F43" s="158">
        <f>SUMIF('内訳ﾘｽﾄ(4～3月)'!$D$26:$D$1001,$B43,'内訳ﾘｽﾄ(4～3月)'!I$26:I$1001)</f>
        <v>0</v>
      </c>
      <c r="G43" s="158">
        <f>SUMIF('内訳ﾘｽﾄ(4～3月)'!$D$26:$D$1001,$B43,'内訳ﾘｽﾄ(4～3月)'!J$26:J$1001)</f>
        <v>0</v>
      </c>
      <c r="H43" s="158">
        <f>SUMIF('内訳ﾘｽﾄ(4～3月)'!$D$26:$D$1001,$B43,'内訳ﾘｽﾄ(4～3月)'!K$26:K$1001)</f>
        <v>0</v>
      </c>
      <c r="I43" s="158">
        <f>SUMIF('内訳ﾘｽﾄ(4～3月)'!$D$26:$D$1001,$B43,'内訳ﾘｽﾄ(4～3月)'!L$26:L$1001)</f>
        <v>0</v>
      </c>
      <c r="J43" s="158">
        <f>SUMIF('内訳ﾘｽﾄ(4～3月)'!$D$26:$D$1001,$B43,'内訳ﾘｽﾄ(4～3月)'!M$26:M$1001)</f>
        <v>0</v>
      </c>
      <c r="K43" s="158">
        <f>SUMIF('内訳ﾘｽﾄ(4～3月)'!$D$26:$D$1001,$B43,'内訳ﾘｽﾄ(4～3月)'!N$26:N$1001)</f>
        <v>0</v>
      </c>
      <c r="L43" s="158">
        <f>SUMIF('内訳ﾘｽﾄ(4～3月)'!$D$26:$D$1001,$B43,'内訳ﾘｽﾄ(4～3月)'!O$26:O$1001)</f>
        <v>0</v>
      </c>
      <c r="M43" s="158">
        <f>SUMIF('内訳ﾘｽﾄ(4～3月)'!$D$26:$D$1001,$B43,'内訳ﾘｽﾄ(4～3月)'!P$26:P$1001)</f>
        <v>0</v>
      </c>
      <c r="N43" s="158">
        <f>SUMIF('内訳ﾘｽﾄ(4～3月)'!$D$26:$D$1001,$B43,'内訳ﾘｽﾄ(4～3月)'!Q$26:Q$1001)</f>
        <v>0</v>
      </c>
      <c r="O43" s="158">
        <f>SUMIF('内訳ﾘｽﾄ(4～3月)'!$D$26:$D$800,'採算表(VND)'!$B43,'内訳ﾘｽﾄ(4～3月)'!R$26:R$800)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SUMIF('内訳ﾘｽﾄ(4～3月)'!$D$26:$D$1001,$B44,'内訳ﾘｽﾄ(4～3月)'!F$26:F$1001)</f>
        <v>8352356</v>
      </c>
      <c r="D44" s="158">
        <f>SUMIF('内訳ﾘｽﾄ(4～3月)'!$D$26:$D$1001,$B44,'内訳ﾘｽﾄ(4～3月)'!G$26:G$1001)</f>
        <v>20056494</v>
      </c>
      <c r="E44" s="158">
        <f>SUMIF('内訳ﾘｽﾄ(4～3月)'!$D$26:$D$1001,$B44,'内訳ﾘｽﾄ(4～3月)'!H$26:H$1001)</f>
        <v>2836954</v>
      </c>
      <c r="F44" s="158">
        <f>SUMIF('内訳ﾘｽﾄ(4～3月)'!$D$26:$D$1001,$B44,'内訳ﾘｽﾄ(4～3月)'!I$26:I$1001)</f>
        <v>3937926</v>
      </c>
      <c r="G44" s="158">
        <f>SUMIF('内訳ﾘｽﾄ(4～3月)'!$D$26:$D$1001,$B44,'内訳ﾘｽﾄ(4～3月)'!J$26:J$1001)</f>
        <v>3176668</v>
      </c>
      <c r="H44" s="158">
        <f>SUMIF('内訳ﾘｽﾄ(4～3月)'!$D$26:$D$1001,$B44,'内訳ﾘｽﾄ(4～3月)'!K$26:K$1001)</f>
        <v>4358026</v>
      </c>
      <c r="I44" s="158">
        <f>SUMIF('内訳ﾘｽﾄ(4～3月)'!$D$26:$D$1001,$B44,'内訳ﾘｽﾄ(4～3月)'!L$26:L$1001)</f>
        <v>3163470</v>
      </c>
      <c r="J44" s="158">
        <f>SUMIF('内訳ﾘｽﾄ(4～3月)'!$D$26:$D$1001,$B44,'内訳ﾘｽﾄ(4～3月)'!M$26:M$1001)</f>
        <v>4087234</v>
      </c>
      <c r="K44" s="158">
        <f>SUMIF('内訳ﾘｽﾄ(4～3月)'!$D$26:$D$1001,$B44,'内訳ﾘｽﾄ(4～3月)'!N$26:N$1001)</f>
        <v>4518184</v>
      </c>
      <c r="L44" s="158">
        <f>SUMIF('内訳ﾘｽﾄ(4～3月)'!$D$26:$D$1001,$B44,'内訳ﾘｽﾄ(4～3月)'!O$26:O$1001)</f>
        <v>2757850</v>
      </c>
      <c r="M44" s="158">
        <f>SUMIF('内訳ﾘｽﾄ(4～3月)'!$D$26:$D$1001,$B44,'内訳ﾘｽﾄ(4～3月)'!P$26:P$1001)</f>
        <v>5706718</v>
      </c>
      <c r="N44" s="158">
        <f>SUMIF('内訳ﾘｽﾄ(4～3月)'!$D$26:$D$1001,$B44,'内訳ﾘｽﾄ(4～3月)'!Q$26:Q$1001)</f>
        <v>2592456</v>
      </c>
      <c r="O44" s="158">
        <f>SUMIF('内訳ﾘｽﾄ(4～3月)'!$D$26:$D$800,'採算表(VND)'!$B44,'内訳ﾘｽﾄ(4～3月)'!R$26:R$800)</f>
        <v>65544336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SUMIF('内訳ﾘｽﾄ(4～3月)'!$D$26:$D$1001,$B45,'内訳ﾘｽﾄ(4～3月)'!F$26:F$1001)</f>
        <v>0</v>
      </c>
      <c r="D45" s="158">
        <f>SUMIF('内訳ﾘｽﾄ(4～3月)'!$D$26:$D$1001,$B45,'内訳ﾘｽﾄ(4～3月)'!G$26:G$1001)</f>
        <v>0</v>
      </c>
      <c r="E45" s="158">
        <f>SUMIF('内訳ﾘｽﾄ(4～3月)'!$D$26:$D$1001,$B45,'内訳ﾘｽﾄ(4～3月)'!H$26:H$1001)</f>
        <v>0</v>
      </c>
      <c r="F45" s="158">
        <f>SUMIF('内訳ﾘｽﾄ(4～3月)'!$D$26:$D$1001,$B45,'内訳ﾘｽﾄ(4～3月)'!I$26:I$1001)</f>
        <v>0</v>
      </c>
      <c r="G45" s="158">
        <f>SUMIF('内訳ﾘｽﾄ(4～3月)'!$D$26:$D$1001,$B45,'内訳ﾘｽﾄ(4～3月)'!J$26:J$1001)</f>
        <v>0</v>
      </c>
      <c r="H45" s="158">
        <f>SUMIF('内訳ﾘｽﾄ(4～3月)'!$D$26:$D$1001,$B45,'内訳ﾘｽﾄ(4～3月)'!K$26:K$1001)</f>
        <v>0</v>
      </c>
      <c r="I45" s="158">
        <f>SUMIF('内訳ﾘｽﾄ(4～3月)'!$D$26:$D$1001,$B45,'内訳ﾘｽﾄ(4～3月)'!L$26:L$1001)</f>
        <v>0</v>
      </c>
      <c r="J45" s="158">
        <f>SUMIF('内訳ﾘｽﾄ(4～3月)'!$D$26:$D$1001,$B45,'内訳ﾘｽﾄ(4～3月)'!M$26:M$1001)</f>
        <v>0</v>
      </c>
      <c r="K45" s="158">
        <f>SUMIF('内訳ﾘｽﾄ(4～3月)'!$D$26:$D$1001,$B45,'内訳ﾘｽﾄ(4～3月)'!N$26:N$1001)</f>
        <v>0</v>
      </c>
      <c r="L45" s="158">
        <f>SUMIF('内訳ﾘｽﾄ(4～3月)'!$D$26:$D$1001,$B45,'内訳ﾘｽﾄ(4～3月)'!O$26:O$1001)</f>
        <v>0</v>
      </c>
      <c r="M45" s="158">
        <f>SUMIF('内訳ﾘｽﾄ(4～3月)'!$D$26:$D$1001,$B45,'内訳ﾘｽﾄ(4～3月)'!P$26:P$1001)</f>
        <v>0</v>
      </c>
      <c r="N45" s="158">
        <f>SUMIF('内訳ﾘｽﾄ(4～3月)'!$D$26:$D$1001,$B45,'内訳ﾘｽﾄ(4～3月)'!Q$26:Q$1001)</f>
        <v>0</v>
      </c>
      <c r="O45" s="158">
        <f>SUMIF('内訳ﾘｽﾄ(4～3月)'!$D$26:$D$800,'採算表(VND)'!$B45,'内訳ﾘｽﾄ(4～3月)'!R$26:R$800)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SUMIF('内訳ﾘｽﾄ(4～3月)'!$D$26:$D$1001,$B46,'内訳ﾘｽﾄ(4～3月)'!F$26:F$1001)</f>
        <v>0</v>
      </c>
      <c r="D46" s="158">
        <f>SUMIF('内訳ﾘｽﾄ(4～3月)'!$D$26:$D$1001,$B46,'内訳ﾘｽﾄ(4～3月)'!G$26:G$1001)</f>
        <v>0</v>
      </c>
      <c r="E46" s="158">
        <f>SUMIF('内訳ﾘｽﾄ(4～3月)'!$D$26:$D$1001,$B46,'内訳ﾘｽﾄ(4～3月)'!H$26:H$1001)</f>
        <v>0</v>
      </c>
      <c r="F46" s="158">
        <f>SUMIF('内訳ﾘｽﾄ(4～3月)'!$D$26:$D$1001,$B46,'内訳ﾘｽﾄ(4～3月)'!I$26:I$1001)</f>
        <v>0</v>
      </c>
      <c r="G46" s="158">
        <f>SUMIF('内訳ﾘｽﾄ(4～3月)'!$D$26:$D$1001,$B46,'内訳ﾘｽﾄ(4～3月)'!J$26:J$1001)</f>
        <v>0</v>
      </c>
      <c r="H46" s="158">
        <f>SUMIF('内訳ﾘｽﾄ(4～3月)'!$D$26:$D$1001,$B46,'内訳ﾘｽﾄ(4～3月)'!K$26:K$1001)</f>
        <v>0</v>
      </c>
      <c r="I46" s="158">
        <f>SUMIF('内訳ﾘｽﾄ(4～3月)'!$D$26:$D$1001,$B46,'内訳ﾘｽﾄ(4～3月)'!L$26:L$1001)</f>
        <v>0</v>
      </c>
      <c r="J46" s="158">
        <f>SUMIF('内訳ﾘｽﾄ(4～3月)'!$D$26:$D$1001,$B46,'内訳ﾘｽﾄ(4～3月)'!M$26:M$1001)</f>
        <v>0</v>
      </c>
      <c r="K46" s="158">
        <f>SUMIF('内訳ﾘｽﾄ(4～3月)'!$D$26:$D$1001,$B46,'内訳ﾘｽﾄ(4～3月)'!N$26:N$1001)</f>
        <v>0</v>
      </c>
      <c r="L46" s="158">
        <f>SUMIF('内訳ﾘｽﾄ(4～3月)'!$D$26:$D$1001,$B46,'内訳ﾘｽﾄ(4～3月)'!O$26:O$1001)</f>
        <v>0</v>
      </c>
      <c r="M46" s="158">
        <f>SUMIF('内訳ﾘｽﾄ(4～3月)'!$D$26:$D$1001,$B46,'内訳ﾘｽﾄ(4～3月)'!P$26:P$1001)</f>
        <v>0</v>
      </c>
      <c r="N46" s="158">
        <f>SUMIF('内訳ﾘｽﾄ(4～3月)'!$D$26:$D$1001,$B46,'内訳ﾘｽﾄ(4～3月)'!Q$26:Q$1001)</f>
        <v>0</v>
      </c>
      <c r="O46" s="158">
        <f>SUMIF('内訳ﾘｽﾄ(4～3月)'!$D$26:$D$800,'採算表(VND)'!$B46,'内訳ﾘｽﾄ(4～3月)'!R$26:R$800)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SUMIF('内訳ﾘｽﾄ(4～3月)'!$D$26:$D$1001,$B47,'内訳ﾘｽﾄ(4～3月)'!F$26:F$1001)</f>
        <v>0</v>
      </c>
      <c r="D47" s="158">
        <f>SUMIF('内訳ﾘｽﾄ(4～3月)'!$D$26:$D$1001,$B47,'内訳ﾘｽﾄ(4～3月)'!G$26:G$1001)</f>
        <v>0</v>
      </c>
      <c r="E47" s="158">
        <f>SUMIF('内訳ﾘｽﾄ(4～3月)'!$D$26:$D$1001,$B47,'内訳ﾘｽﾄ(4～3月)'!H$26:H$1001)</f>
        <v>0</v>
      </c>
      <c r="F47" s="158">
        <f>SUMIF('内訳ﾘｽﾄ(4～3月)'!$D$26:$D$1001,$B47,'内訳ﾘｽﾄ(4～3月)'!I$26:I$1001)</f>
        <v>0</v>
      </c>
      <c r="G47" s="158">
        <f>SUMIF('内訳ﾘｽﾄ(4～3月)'!$D$26:$D$1001,$B47,'内訳ﾘｽﾄ(4～3月)'!J$26:J$1001)</f>
        <v>0</v>
      </c>
      <c r="H47" s="158">
        <f>SUMIF('内訳ﾘｽﾄ(4～3月)'!$D$26:$D$1001,$B47,'内訳ﾘｽﾄ(4～3月)'!K$26:K$1001)</f>
        <v>0</v>
      </c>
      <c r="I47" s="158">
        <f>SUMIF('内訳ﾘｽﾄ(4～3月)'!$D$26:$D$1001,$B47,'内訳ﾘｽﾄ(4～3月)'!L$26:L$1001)</f>
        <v>0</v>
      </c>
      <c r="J47" s="158">
        <f>SUMIF('内訳ﾘｽﾄ(4～3月)'!$D$26:$D$1001,$B47,'内訳ﾘｽﾄ(4～3月)'!M$26:M$1001)</f>
        <v>0</v>
      </c>
      <c r="K47" s="158">
        <f>SUMIF('内訳ﾘｽﾄ(4～3月)'!$D$26:$D$1001,$B47,'内訳ﾘｽﾄ(4～3月)'!N$26:N$1001)</f>
        <v>0</v>
      </c>
      <c r="L47" s="158">
        <f>SUMIF('内訳ﾘｽﾄ(4～3月)'!$D$26:$D$1001,$B47,'内訳ﾘｽﾄ(4～3月)'!O$26:O$1001)</f>
        <v>0</v>
      </c>
      <c r="M47" s="158">
        <f>SUMIF('内訳ﾘｽﾄ(4～3月)'!$D$26:$D$1001,$B47,'内訳ﾘｽﾄ(4～3月)'!P$26:P$1001)</f>
        <v>0</v>
      </c>
      <c r="N47" s="158">
        <f>SUMIF('内訳ﾘｽﾄ(4～3月)'!$D$26:$D$1001,$B47,'内訳ﾘｽﾄ(4～3月)'!Q$26:Q$1001)</f>
        <v>0</v>
      </c>
      <c r="O47" s="158">
        <f>SUMIF('内訳ﾘｽﾄ(4～3月)'!$D$26:$D$800,'採算表(VND)'!$B47,'内訳ﾘｽﾄ(4～3月)'!R$26:R$800)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SUMIF('内訳ﾘｽﾄ(4～3月)'!$D$26:$D$1001,$B48,'内訳ﾘｽﾄ(4～3月)'!F$26:F$1001)</f>
        <v>0</v>
      </c>
      <c r="D48" s="158">
        <f>SUMIF('内訳ﾘｽﾄ(4～3月)'!$D$26:$D$1001,$B48,'内訳ﾘｽﾄ(4～3月)'!G$26:G$1001)</f>
        <v>0</v>
      </c>
      <c r="E48" s="158">
        <f>SUMIF('内訳ﾘｽﾄ(4～3月)'!$D$26:$D$1001,$B48,'内訳ﾘｽﾄ(4～3月)'!H$26:H$1001)</f>
        <v>0</v>
      </c>
      <c r="F48" s="158">
        <f>SUMIF('内訳ﾘｽﾄ(4～3月)'!$D$26:$D$1001,$B48,'内訳ﾘｽﾄ(4～3月)'!I$26:I$1001)</f>
        <v>0</v>
      </c>
      <c r="G48" s="158">
        <f>SUMIF('内訳ﾘｽﾄ(4～3月)'!$D$26:$D$1001,$B48,'内訳ﾘｽﾄ(4～3月)'!J$26:J$1001)</f>
        <v>0</v>
      </c>
      <c r="H48" s="158">
        <f>SUMIF('内訳ﾘｽﾄ(4～3月)'!$D$26:$D$1001,$B48,'内訳ﾘｽﾄ(4～3月)'!K$26:K$1001)</f>
        <v>0</v>
      </c>
      <c r="I48" s="158">
        <f>SUMIF('内訳ﾘｽﾄ(4～3月)'!$D$26:$D$1001,$B48,'内訳ﾘｽﾄ(4～3月)'!L$26:L$1001)</f>
        <v>0</v>
      </c>
      <c r="J48" s="158">
        <f>SUMIF('内訳ﾘｽﾄ(4～3月)'!$D$26:$D$1001,$B48,'内訳ﾘｽﾄ(4～3月)'!M$26:M$1001)</f>
        <v>0</v>
      </c>
      <c r="K48" s="158">
        <f>SUMIF('内訳ﾘｽﾄ(4～3月)'!$D$26:$D$1001,$B48,'内訳ﾘｽﾄ(4～3月)'!N$26:N$1001)</f>
        <v>0</v>
      </c>
      <c r="L48" s="158">
        <f>SUMIF('内訳ﾘｽﾄ(4～3月)'!$D$26:$D$1001,$B48,'内訳ﾘｽﾄ(4～3月)'!O$26:O$1001)</f>
        <v>0</v>
      </c>
      <c r="M48" s="158">
        <f>SUMIF('内訳ﾘｽﾄ(4～3月)'!$D$26:$D$1001,$B48,'内訳ﾘｽﾄ(4～3月)'!P$26:P$1001)</f>
        <v>0</v>
      </c>
      <c r="N48" s="158">
        <f>SUMIF('内訳ﾘｽﾄ(4～3月)'!$D$26:$D$1001,$B48,'内訳ﾘｽﾄ(4～3月)'!Q$26:Q$1001)</f>
        <v>0</v>
      </c>
      <c r="O48" s="158">
        <f>SUMIF('内訳ﾘｽﾄ(4～3月)'!$D$26:$D$800,'採算表(VND)'!$B48,'内訳ﾘｽﾄ(4～3月)'!R$26:R$800)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SUMIF('内訳ﾘｽﾄ(4～3月)'!$D$26:$D$1001,$B49,'内訳ﾘｽﾄ(4～3月)'!F$26:F$1001)</f>
        <v>0</v>
      </c>
      <c r="D49" s="158">
        <f>SUMIF('内訳ﾘｽﾄ(4～3月)'!$D$26:$D$1001,$B49,'内訳ﾘｽﾄ(4～3月)'!G$26:G$1001)</f>
        <v>0</v>
      </c>
      <c r="E49" s="158">
        <f>SUMIF('内訳ﾘｽﾄ(4～3月)'!$D$26:$D$1001,$B49,'内訳ﾘｽﾄ(4～3月)'!H$26:H$1001)</f>
        <v>0</v>
      </c>
      <c r="F49" s="158">
        <f>SUMIF('内訳ﾘｽﾄ(4～3月)'!$D$26:$D$1001,$B49,'内訳ﾘｽﾄ(4～3月)'!I$26:I$1001)</f>
        <v>0</v>
      </c>
      <c r="G49" s="158">
        <f>SUMIF('内訳ﾘｽﾄ(4～3月)'!$D$26:$D$1001,$B49,'内訳ﾘｽﾄ(4～3月)'!J$26:J$1001)</f>
        <v>0</v>
      </c>
      <c r="H49" s="158">
        <f>SUMIF('内訳ﾘｽﾄ(4～3月)'!$D$26:$D$1001,$B49,'内訳ﾘｽﾄ(4～3月)'!K$26:K$1001)</f>
        <v>0</v>
      </c>
      <c r="I49" s="158">
        <f>SUMIF('内訳ﾘｽﾄ(4～3月)'!$D$26:$D$1001,$B49,'内訳ﾘｽﾄ(4～3月)'!L$26:L$1001)</f>
        <v>0</v>
      </c>
      <c r="J49" s="158">
        <f>SUMIF('内訳ﾘｽﾄ(4～3月)'!$D$26:$D$1001,$B49,'内訳ﾘｽﾄ(4～3月)'!M$26:M$1001)</f>
        <v>0</v>
      </c>
      <c r="K49" s="158">
        <f>SUMIF('内訳ﾘｽﾄ(4～3月)'!$D$26:$D$1001,$B49,'内訳ﾘｽﾄ(4～3月)'!N$26:N$1001)</f>
        <v>0</v>
      </c>
      <c r="L49" s="158">
        <f>SUMIF('内訳ﾘｽﾄ(4～3月)'!$D$26:$D$1001,$B49,'内訳ﾘｽﾄ(4～3月)'!O$26:O$1001)</f>
        <v>0</v>
      </c>
      <c r="M49" s="158">
        <f>SUMIF('内訳ﾘｽﾄ(4～3月)'!$D$26:$D$1001,$B49,'内訳ﾘｽﾄ(4～3月)'!P$26:P$1001)</f>
        <v>0</v>
      </c>
      <c r="N49" s="158">
        <f>SUMIF('内訳ﾘｽﾄ(4～3月)'!$D$26:$D$1001,$B49,'内訳ﾘｽﾄ(4～3月)'!Q$26:Q$1001)</f>
        <v>0</v>
      </c>
      <c r="O49" s="158">
        <f>SUMIF('内訳ﾘｽﾄ(4～3月)'!$D$26:$D$800,'採算表(VND)'!$B49,'内訳ﾘｽﾄ(4～3月)'!R$26:R$800)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SUMIF('内訳ﾘｽﾄ(4～3月)'!$D$26:$D$1001,$B50,'内訳ﾘｽﾄ(4～3月)'!F$26:F$1001)</f>
        <v>0</v>
      </c>
      <c r="D50" s="158">
        <f>SUMIF('内訳ﾘｽﾄ(4～3月)'!$D$26:$D$1001,$B50,'内訳ﾘｽﾄ(4～3月)'!G$26:G$1001)</f>
        <v>0</v>
      </c>
      <c r="E50" s="158">
        <f>SUMIF('内訳ﾘｽﾄ(4～3月)'!$D$26:$D$1001,$B50,'内訳ﾘｽﾄ(4～3月)'!H$26:H$1001)</f>
        <v>0</v>
      </c>
      <c r="F50" s="158">
        <f>SUMIF('内訳ﾘｽﾄ(4～3月)'!$D$26:$D$1001,$B50,'内訳ﾘｽﾄ(4～3月)'!I$26:I$1001)</f>
        <v>0</v>
      </c>
      <c r="G50" s="158">
        <f>SUMIF('内訳ﾘｽﾄ(4～3月)'!$D$26:$D$1001,$B50,'内訳ﾘｽﾄ(4～3月)'!J$26:J$1001)</f>
        <v>0</v>
      </c>
      <c r="H50" s="158">
        <f>SUMIF('内訳ﾘｽﾄ(4～3月)'!$D$26:$D$1001,$B50,'内訳ﾘｽﾄ(4～3月)'!K$26:K$1001)</f>
        <v>0</v>
      </c>
      <c r="I50" s="158">
        <f>SUMIF('内訳ﾘｽﾄ(4～3月)'!$D$26:$D$1001,$B50,'内訳ﾘｽﾄ(4～3月)'!L$26:L$1001)</f>
        <v>0</v>
      </c>
      <c r="J50" s="158">
        <f>SUMIF('内訳ﾘｽﾄ(4～3月)'!$D$26:$D$1001,$B50,'内訳ﾘｽﾄ(4～3月)'!M$26:M$1001)</f>
        <v>0</v>
      </c>
      <c r="K50" s="158">
        <f>SUMIF('内訳ﾘｽﾄ(4～3月)'!$D$26:$D$1001,$B50,'内訳ﾘｽﾄ(4～3月)'!N$26:N$1001)</f>
        <v>0</v>
      </c>
      <c r="L50" s="158">
        <f>SUMIF('内訳ﾘｽﾄ(4～3月)'!$D$26:$D$1001,$B50,'内訳ﾘｽﾄ(4～3月)'!O$26:O$1001)</f>
        <v>0</v>
      </c>
      <c r="M50" s="158">
        <f>SUMIF('内訳ﾘｽﾄ(4～3月)'!$D$26:$D$1001,$B50,'内訳ﾘｽﾄ(4～3月)'!P$26:P$1001)</f>
        <v>0</v>
      </c>
      <c r="N50" s="158">
        <f>SUMIF('内訳ﾘｽﾄ(4～3月)'!$D$26:$D$1001,$B50,'内訳ﾘｽﾄ(4～3月)'!Q$26:Q$1001)</f>
        <v>0</v>
      </c>
      <c r="O50" s="158">
        <f>SUMIF('内訳ﾘｽﾄ(4～3月)'!$D$26:$D$800,'採算表(VND)'!$B50,'内訳ﾘｽﾄ(4～3月)'!R$26:R$800)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SUMIF('内訳ﾘｽﾄ(4～3月)'!$D$26:$D$1001,$B51,'内訳ﾘｽﾄ(4～3月)'!F$26:F$1001)</f>
        <v>0</v>
      </c>
      <c r="D51" s="159">
        <f>SUMIF('内訳ﾘｽﾄ(4～3月)'!$D$26:$D$1001,$B51,'内訳ﾘｽﾄ(4～3月)'!G$26:G$1001)</f>
        <v>0</v>
      </c>
      <c r="E51" s="159">
        <f>SUMIF('内訳ﾘｽﾄ(4～3月)'!$D$26:$D$1001,$B51,'内訳ﾘｽﾄ(4～3月)'!H$26:H$1001)</f>
        <v>0</v>
      </c>
      <c r="F51" s="159">
        <f>SUMIF('内訳ﾘｽﾄ(4～3月)'!$D$26:$D$1001,$B51,'内訳ﾘｽﾄ(4～3月)'!I$26:I$1001)</f>
        <v>0</v>
      </c>
      <c r="G51" s="159">
        <f>SUMIF('内訳ﾘｽﾄ(4～3月)'!$D$26:$D$1001,$B51,'内訳ﾘｽﾄ(4～3月)'!J$26:J$1001)</f>
        <v>0</v>
      </c>
      <c r="H51" s="159">
        <f>SUMIF('内訳ﾘｽﾄ(4～3月)'!$D$26:$D$1001,$B51,'内訳ﾘｽﾄ(4～3月)'!K$26:K$1001)</f>
        <v>0</v>
      </c>
      <c r="I51" s="159">
        <f>SUMIF('内訳ﾘｽﾄ(4～3月)'!$D$26:$D$1001,$B51,'内訳ﾘｽﾄ(4～3月)'!L$26:L$1001)</f>
        <v>0</v>
      </c>
      <c r="J51" s="159">
        <f>SUMIF('内訳ﾘｽﾄ(4～3月)'!$D$26:$D$1001,$B51,'内訳ﾘｽﾄ(4～3月)'!M$26:M$1001)</f>
        <v>0</v>
      </c>
      <c r="K51" s="159">
        <f>SUMIF('内訳ﾘｽﾄ(4～3月)'!$D$26:$D$1001,$B51,'内訳ﾘｽﾄ(4～3月)'!N$26:N$1001)</f>
        <v>0</v>
      </c>
      <c r="L51" s="159">
        <f>SUMIF('内訳ﾘｽﾄ(4～3月)'!$D$26:$D$1001,$B51,'内訳ﾘｽﾄ(4～3月)'!O$26:O$1001)</f>
        <v>0</v>
      </c>
      <c r="M51" s="159">
        <f>SUMIF('内訳ﾘｽﾄ(4～3月)'!$D$26:$D$1001,$B51,'内訳ﾘｽﾄ(4～3月)'!P$26:P$1001)</f>
        <v>0</v>
      </c>
      <c r="N51" s="159">
        <f>SUMIF('内訳ﾘｽﾄ(4～3月)'!$D$26:$D$1001,$B51,'内訳ﾘｽﾄ(4～3月)'!Q$26:Q$1001)</f>
        <v>0</v>
      </c>
      <c r="O51" s="159">
        <f>SUMIF('内訳ﾘｽﾄ(4～3月)'!$D$26:$D$800,'採算表(VND)'!$B51,'内訳ﾘｽﾄ(4～3月)'!R$26:R$800)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SUMIF('内訳ﾘｽﾄ(4～3月)'!$D$26:$D$1001,$B52,'内訳ﾘｽﾄ(4～3月)'!F$26:F$1001)</f>
        <v>0</v>
      </c>
      <c r="D52" s="160">
        <f>SUMIF('内訳ﾘｽﾄ(4～3月)'!$D$26:$D$1001,$B52,'内訳ﾘｽﾄ(4～3月)'!G$26:G$1001)</f>
        <v>0</v>
      </c>
      <c r="E52" s="160">
        <f>SUMIF('内訳ﾘｽﾄ(4～3月)'!$D$26:$D$1001,$B52,'内訳ﾘｽﾄ(4～3月)'!H$26:H$1001)</f>
        <v>0</v>
      </c>
      <c r="F52" s="160">
        <f>SUMIF('内訳ﾘｽﾄ(4～3月)'!$D$26:$D$1001,$B52,'内訳ﾘｽﾄ(4～3月)'!I$26:I$1001)</f>
        <v>0</v>
      </c>
      <c r="G52" s="160">
        <f>SUMIF('内訳ﾘｽﾄ(4～3月)'!$D$26:$D$1001,$B52,'内訳ﾘｽﾄ(4～3月)'!J$26:J$1001)</f>
        <v>0</v>
      </c>
      <c r="H52" s="160">
        <f>SUMIF('内訳ﾘｽﾄ(4～3月)'!$D$26:$D$1001,$B52,'内訳ﾘｽﾄ(4～3月)'!K$26:K$1001)</f>
        <v>0</v>
      </c>
      <c r="I52" s="160">
        <f>SUMIF('内訳ﾘｽﾄ(4～3月)'!$D$26:$D$1001,$B52,'内訳ﾘｽﾄ(4～3月)'!L$26:L$1001)</f>
        <v>0</v>
      </c>
      <c r="J52" s="160">
        <f>SUMIF('内訳ﾘｽﾄ(4～3月)'!$D$26:$D$1001,$B52,'内訳ﾘｽﾄ(4～3月)'!M$26:M$1001)</f>
        <v>0</v>
      </c>
      <c r="K52" s="160">
        <f>SUMIF('内訳ﾘｽﾄ(4～3月)'!$D$26:$D$1001,$B52,'内訳ﾘｽﾄ(4～3月)'!N$26:N$1001)</f>
        <v>0</v>
      </c>
      <c r="L52" s="160">
        <f>SUMIF('内訳ﾘｽﾄ(4～3月)'!$D$26:$D$1001,$B52,'内訳ﾘｽﾄ(4～3月)'!O$26:O$1001)</f>
        <v>0</v>
      </c>
      <c r="M52" s="160">
        <f>SUMIF('内訳ﾘｽﾄ(4～3月)'!$D$26:$D$1001,$B52,'内訳ﾘｽﾄ(4～3月)'!P$26:P$1001)</f>
        <v>0</v>
      </c>
      <c r="N52" s="160">
        <f>SUMIF('内訳ﾘｽﾄ(4～3月)'!$D$26:$D$1001,$B52,'内訳ﾘｽﾄ(4～3月)'!Q$26:Q$1001)</f>
        <v>0</v>
      </c>
      <c r="O52" s="160">
        <f>SUMIF('内訳ﾘｽﾄ(4～3月)'!$D$26:$D$800,'採算表(VND)'!$B52,'内訳ﾘｽﾄ(4～3月)'!R$26:R$800)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SUMIF('内訳ﾘｽﾄ(4～3月)'!$D$26:$D$1001,$B53,'内訳ﾘｽﾄ(4～3月)'!F$26:F$1001)</f>
        <v>0</v>
      </c>
      <c r="D53" s="160">
        <f>SUMIF('内訳ﾘｽﾄ(4～3月)'!$D$26:$D$1001,$B53,'内訳ﾘｽﾄ(4～3月)'!G$26:G$1001)</f>
        <v>0</v>
      </c>
      <c r="E53" s="160">
        <f>SUMIF('内訳ﾘｽﾄ(4～3月)'!$D$26:$D$1001,$B53,'内訳ﾘｽﾄ(4～3月)'!H$26:H$1001)</f>
        <v>0</v>
      </c>
      <c r="F53" s="160">
        <f>SUMIF('内訳ﾘｽﾄ(4～3月)'!$D$26:$D$1001,$B53,'内訳ﾘｽﾄ(4～3月)'!I$26:I$1001)</f>
        <v>0</v>
      </c>
      <c r="G53" s="160">
        <f>SUMIF('内訳ﾘｽﾄ(4～3月)'!$D$26:$D$1001,$B53,'内訳ﾘｽﾄ(4～3月)'!J$26:J$1001)</f>
        <v>0</v>
      </c>
      <c r="H53" s="160">
        <f>SUMIF('内訳ﾘｽﾄ(4～3月)'!$D$26:$D$1001,$B53,'内訳ﾘｽﾄ(4～3月)'!K$26:K$1001)</f>
        <v>0</v>
      </c>
      <c r="I53" s="160">
        <f>SUMIF('内訳ﾘｽﾄ(4～3月)'!$D$26:$D$1001,$B53,'内訳ﾘｽﾄ(4～3月)'!L$26:L$1001)</f>
        <v>0</v>
      </c>
      <c r="J53" s="160">
        <f>SUMIF('内訳ﾘｽﾄ(4～3月)'!$D$26:$D$1001,$B53,'内訳ﾘｽﾄ(4～3月)'!M$26:M$1001)</f>
        <v>0</v>
      </c>
      <c r="K53" s="160">
        <f>SUMIF('内訳ﾘｽﾄ(4～3月)'!$D$26:$D$1001,$B53,'内訳ﾘｽﾄ(4～3月)'!N$26:N$1001)</f>
        <v>0</v>
      </c>
      <c r="L53" s="160">
        <f>SUMIF('内訳ﾘｽﾄ(4～3月)'!$D$26:$D$1001,$B53,'内訳ﾘｽﾄ(4～3月)'!O$26:O$1001)</f>
        <v>0</v>
      </c>
      <c r="M53" s="160">
        <f>SUMIF('内訳ﾘｽﾄ(4～3月)'!$D$26:$D$1001,$B53,'内訳ﾘｽﾄ(4～3月)'!P$26:P$1001)</f>
        <v>0</v>
      </c>
      <c r="N53" s="160">
        <f>SUMIF('内訳ﾘｽﾄ(4～3月)'!$D$26:$D$1001,$B53,'内訳ﾘｽﾄ(4～3月)'!Q$26:Q$1001)</f>
        <v>0</v>
      </c>
      <c r="O53" s="160">
        <f>SUMIF('内訳ﾘｽﾄ(4～3月)'!$D$26:$D$800,'採算表(VND)'!$B53,'内訳ﾘｽﾄ(4～3月)'!R$26:R$800)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SUMIF('内訳ﾘｽﾄ(4～3月)'!$D$26:$D$1001,$B54,'内訳ﾘｽﾄ(4～3月)'!F$26:F$1001)</f>
        <v>0</v>
      </c>
      <c r="D54" s="160">
        <f>SUMIF('内訳ﾘｽﾄ(4～3月)'!$D$26:$D$1001,$B54,'内訳ﾘｽﾄ(4～3月)'!G$26:G$1001)</f>
        <v>0</v>
      </c>
      <c r="E54" s="160">
        <f>SUMIF('内訳ﾘｽﾄ(4～3月)'!$D$26:$D$1001,$B54,'内訳ﾘｽﾄ(4～3月)'!H$26:H$1001)</f>
        <v>0</v>
      </c>
      <c r="F54" s="160">
        <f>SUMIF('内訳ﾘｽﾄ(4～3月)'!$D$26:$D$1001,$B54,'内訳ﾘｽﾄ(4～3月)'!I$26:I$1001)</f>
        <v>0</v>
      </c>
      <c r="G54" s="160">
        <f>SUMIF('内訳ﾘｽﾄ(4～3月)'!$D$26:$D$1001,$B54,'内訳ﾘｽﾄ(4～3月)'!J$26:J$1001)</f>
        <v>0</v>
      </c>
      <c r="H54" s="160">
        <f>SUMIF('内訳ﾘｽﾄ(4～3月)'!$D$26:$D$1001,$B54,'内訳ﾘｽﾄ(4～3月)'!K$26:K$1001)</f>
        <v>0</v>
      </c>
      <c r="I54" s="160">
        <f>SUMIF('内訳ﾘｽﾄ(4～3月)'!$D$26:$D$1001,$B54,'内訳ﾘｽﾄ(4～3月)'!L$26:L$1001)</f>
        <v>0</v>
      </c>
      <c r="J54" s="160">
        <f>SUMIF('内訳ﾘｽﾄ(4～3月)'!$D$26:$D$1001,$B54,'内訳ﾘｽﾄ(4～3月)'!M$26:M$1001)</f>
        <v>0</v>
      </c>
      <c r="K54" s="160">
        <f>SUMIF('内訳ﾘｽﾄ(4～3月)'!$D$26:$D$1001,$B54,'内訳ﾘｽﾄ(4～3月)'!N$26:N$1001)</f>
        <v>0</v>
      </c>
      <c r="L54" s="160">
        <f>SUMIF('内訳ﾘｽﾄ(4～3月)'!$D$26:$D$1001,$B54,'内訳ﾘｽﾄ(4～3月)'!O$26:O$1001)</f>
        <v>0</v>
      </c>
      <c r="M54" s="160">
        <f>SUMIF('内訳ﾘｽﾄ(4～3月)'!$D$26:$D$1001,$B54,'内訳ﾘｽﾄ(4～3月)'!P$26:P$1001)</f>
        <v>0</v>
      </c>
      <c r="N54" s="160">
        <f>SUMIF('内訳ﾘｽﾄ(4～3月)'!$D$26:$D$1001,$B54,'内訳ﾘｽﾄ(4～3月)'!Q$26:Q$1001)</f>
        <v>0</v>
      </c>
      <c r="O54" s="160">
        <f>SUMIF('内訳ﾘｽﾄ(4～3月)'!$D$26:$D$800,'採算表(VND)'!$B54,'内訳ﾘｽﾄ(4～3月)'!R$26:R$800)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SUMIF('内訳ﾘｽﾄ(4～3月)'!$D$26:$D$1001,$B55,'内訳ﾘｽﾄ(4～3月)'!F$26:F$1001)</f>
        <v>0</v>
      </c>
      <c r="D55" s="160">
        <f>SUMIF('内訳ﾘｽﾄ(4～3月)'!$D$26:$D$1001,$B55,'内訳ﾘｽﾄ(4～3月)'!G$26:G$1001)</f>
        <v>0</v>
      </c>
      <c r="E55" s="160">
        <f>SUMIF('内訳ﾘｽﾄ(4～3月)'!$D$26:$D$1001,$B55,'内訳ﾘｽﾄ(4～3月)'!H$26:H$1001)</f>
        <v>0</v>
      </c>
      <c r="F55" s="160">
        <f>SUMIF('内訳ﾘｽﾄ(4～3月)'!$D$26:$D$1001,$B55,'内訳ﾘｽﾄ(4～3月)'!I$26:I$1001)</f>
        <v>0</v>
      </c>
      <c r="G55" s="160">
        <f>SUMIF('内訳ﾘｽﾄ(4～3月)'!$D$26:$D$1001,$B55,'内訳ﾘｽﾄ(4～3月)'!J$26:J$1001)</f>
        <v>0</v>
      </c>
      <c r="H55" s="160">
        <f>SUMIF('内訳ﾘｽﾄ(4～3月)'!$D$26:$D$1001,$B55,'内訳ﾘｽﾄ(4～3月)'!K$26:K$1001)</f>
        <v>0</v>
      </c>
      <c r="I55" s="160">
        <f>SUMIF('内訳ﾘｽﾄ(4～3月)'!$D$26:$D$1001,$B55,'内訳ﾘｽﾄ(4～3月)'!L$26:L$1001)</f>
        <v>0</v>
      </c>
      <c r="J55" s="160">
        <f>SUMIF('内訳ﾘｽﾄ(4～3月)'!$D$26:$D$1001,$B55,'内訳ﾘｽﾄ(4～3月)'!M$26:M$1001)</f>
        <v>0</v>
      </c>
      <c r="K55" s="160">
        <f>SUMIF('内訳ﾘｽﾄ(4～3月)'!$D$26:$D$1001,$B55,'内訳ﾘｽﾄ(4～3月)'!N$26:N$1001)</f>
        <v>0</v>
      </c>
      <c r="L55" s="160">
        <f>SUMIF('内訳ﾘｽﾄ(4～3月)'!$D$26:$D$1001,$B55,'内訳ﾘｽﾄ(4～3月)'!O$26:O$1001)</f>
        <v>0</v>
      </c>
      <c r="M55" s="160">
        <f>SUMIF('内訳ﾘｽﾄ(4～3月)'!$D$26:$D$1001,$B55,'内訳ﾘｽﾄ(4～3月)'!P$26:P$1001)</f>
        <v>0</v>
      </c>
      <c r="N55" s="160">
        <f>SUMIF('内訳ﾘｽﾄ(4～3月)'!$D$26:$D$1001,$B55,'内訳ﾘｽﾄ(4～3月)'!Q$26:Q$1001)</f>
        <v>0</v>
      </c>
      <c r="O55" s="160">
        <f>SUMIF('内訳ﾘｽﾄ(4～3月)'!$D$26:$D$800,'採算表(VND)'!$B55,'内訳ﾘｽﾄ(4～3月)'!R$26:R$800)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SUMIF('内訳ﾘｽﾄ(4～3月)'!$D$26:$D$1001,$B56,'内訳ﾘｽﾄ(4～3月)'!F$26:F$1001)</f>
        <v>0</v>
      </c>
      <c r="D56" s="160">
        <f>SUMIF('内訳ﾘｽﾄ(4～3月)'!$D$26:$D$1001,$B56,'内訳ﾘｽﾄ(4～3月)'!G$26:G$1001)</f>
        <v>0</v>
      </c>
      <c r="E56" s="160">
        <f>SUMIF('内訳ﾘｽﾄ(4～3月)'!$D$26:$D$1001,$B56,'内訳ﾘｽﾄ(4～3月)'!H$26:H$1001)</f>
        <v>0</v>
      </c>
      <c r="F56" s="160">
        <f>SUMIF('内訳ﾘｽﾄ(4～3月)'!$D$26:$D$1001,$B56,'内訳ﾘｽﾄ(4～3月)'!I$26:I$1001)</f>
        <v>0</v>
      </c>
      <c r="G56" s="160">
        <f>SUMIF('内訳ﾘｽﾄ(4～3月)'!$D$26:$D$1001,$B56,'内訳ﾘｽﾄ(4～3月)'!J$26:J$1001)</f>
        <v>0</v>
      </c>
      <c r="H56" s="160">
        <f>SUMIF('内訳ﾘｽﾄ(4～3月)'!$D$26:$D$1001,$B56,'内訳ﾘｽﾄ(4～3月)'!K$26:K$1001)</f>
        <v>0</v>
      </c>
      <c r="I56" s="160">
        <f>SUMIF('内訳ﾘｽﾄ(4～3月)'!$D$26:$D$1001,$B56,'内訳ﾘｽﾄ(4～3月)'!L$26:L$1001)</f>
        <v>0</v>
      </c>
      <c r="J56" s="160">
        <f>SUMIF('内訳ﾘｽﾄ(4～3月)'!$D$26:$D$1001,$B56,'内訳ﾘｽﾄ(4～3月)'!M$26:M$1001)</f>
        <v>0</v>
      </c>
      <c r="K56" s="160">
        <f>SUMIF('内訳ﾘｽﾄ(4～3月)'!$D$26:$D$1001,$B56,'内訳ﾘｽﾄ(4～3月)'!N$26:N$1001)</f>
        <v>0</v>
      </c>
      <c r="L56" s="160">
        <f>SUMIF('内訳ﾘｽﾄ(4～3月)'!$D$26:$D$1001,$B56,'内訳ﾘｽﾄ(4～3月)'!O$26:O$1001)</f>
        <v>0</v>
      </c>
      <c r="M56" s="160">
        <f>SUMIF('内訳ﾘｽﾄ(4～3月)'!$D$26:$D$1001,$B56,'内訳ﾘｽﾄ(4～3月)'!P$26:P$1001)</f>
        <v>0</v>
      </c>
      <c r="N56" s="160">
        <f>SUMIF('内訳ﾘｽﾄ(4～3月)'!$D$26:$D$1001,$B56,'内訳ﾘｽﾄ(4～3月)'!Q$26:Q$1001)</f>
        <v>0</v>
      </c>
      <c r="O56" s="160">
        <f>SUMIF('内訳ﾘｽﾄ(4～3月)'!$D$26:$D$800,'採算表(VND)'!$B56,'内訳ﾘｽﾄ(4～3月)'!R$26:R$800)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SUMIF('内訳ﾘｽﾄ(4～3月)'!$D$26:$D$1001,$B57,'内訳ﾘｽﾄ(4～3月)'!F$26:F$1001)</f>
        <v>2933307</v>
      </c>
      <c r="D57" s="160">
        <f>SUMIF('内訳ﾘｽﾄ(4～3月)'!$D$26:$D$1001,$B57,'内訳ﾘｽﾄ(4～3月)'!G$26:G$1001)</f>
        <v>2770557</v>
      </c>
      <c r="E57" s="160">
        <f>SUMIF('内訳ﾘｽﾄ(4～3月)'!$D$26:$D$1001,$B57,'内訳ﾘｽﾄ(4～3月)'!H$26:H$1001)</f>
        <v>2771064</v>
      </c>
      <c r="F57" s="160">
        <f>SUMIF('内訳ﾘｽﾄ(4～3月)'!$D$26:$D$1001,$B57,'内訳ﾘｽﾄ(4～3月)'!I$26:I$1001)</f>
        <v>2768271</v>
      </c>
      <c r="G57" s="160">
        <f>SUMIF('内訳ﾘｽﾄ(4～3月)'!$D$26:$D$1001,$B57,'内訳ﾘｽﾄ(4～3月)'!J$26:J$1001)</f>
        <v>2767256</v>
      </c>
      <c r="H57" s="160">
        <f>SUMIF('内訳ﾘｽﾄ(4～3月)'!$D$26:$D$1001,$B57,'内訳ﾘｽﾄ(4～3月)'!K$26:K$1001)</f>
        <v>2724855</v>
      </c>
      <c r="I57" s="160">
        <f>SUMIF('内訳ﾘｽﾄ(4～3月)'!$D$26:$D$1001,$B57,'内訳ﾘｽﾄ(4～3月)'!L$26:L$1001)</f>
        <v>2712160</v>
      </c>
      <c r="J57" s="160">
        <f>SUMIF('内訳ﾘｽﾄ(4～3月)'!$D$26:$D$1001,$B57,'内訳ﾘｽﾄ(4～3月)'!M$26:M$1001)</f>
        <v>2711906</v>
      </c>
      <c r="K57" s="160">
        <f>SUMIF('内訳ﾘｽﾄ(4～3月)'!$D$26:$D$1001,$B57,'内訳ﾘｽﾄ(4～3月)'!N$26:N$1001)</f>
        <v>2712160</v>
      </c>
      <c r="L57" s="160">
        <f>SUMIF('内訳ﾘｽﾄ(4～3月)'!$D$26:$D$1001,$B57,'内訳ﾘｽﾄ(4～3月)'!O$26:O$1001)</f>
        <v>2710890</v>
      </c>
      <c r="M57" s="160">
        <f>SUMIF('内訳ﾘｽﾄ(4～3月)'!$D$26:$D$1001,$B57,'内訳ﾘｽﾄ(4～3月)'!P$26:P$1001)</f>
        <v>2709621</v>
      </c>
      <c r="N57" s="160">
        <f>SUMIF('内訳ﾘｽﾄ(4～3月)'!$D$26:$D$1001,$B57,'内訳ﾘｽﾄ(4～3月)'!Q$26:Q$1001)</f>
        <v>2710890</v>
      </c>
      <c r="O57" s="160">
        <f>SUMIF('内訳ﾘｽﾄ(4～3月)'!$D$26:$D$800,'採算表(VND)'!$B57,'内訳ﾘｽﾄ(4～3月)'!R$26:R$800)</f>
        <v>33002937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SUMIF('内訳ﾘｽﾄ(4～3月)'!$D$26:$D$1001,$B58,'内訳ﾘｽﾄ(4～3月)'!F$26:F$1001)</f>
        <v>0</v>
      </c>
      <c r="D58" s="160">
        <f>SUMIF('内訳ﾘｽﾄ(4～3月)'!$D$26:$D$1001,$B58,'内訳ﾘｽﾄ(4～3月)'!G$26:G$1001)</f>
        <v>0</v>
      </c>
      <c r="E58" s="160">
        <f>SUMIF('内訳ﾘｽﾄ(4～3月)'!$D$26:$D$1001,$B58,'内訳ﾘｽﾄ(4～3月)'!H$26:H$1001)</f>
        <v>0</v>
      </c>
      <c r="F58" s="160">
        <f>SUMIF('内訳ﾘｽﾄ(4～3月)'!$D$26:$D$1001,$B58,'内訳ﾘｽﾄ(4～3月)'!I$26:I$1001)</f>
        <v>0</v>
      </c>
      <c r="G58" s="160">
        <f>SUMIF('内訳ﾘｽﾄ(4～3月)'!$D$26:$D$1001,$B58,'内訳ﾘｽﾄ(4～3月)'!J$26:J$1001)</f>
        <v>0</v>
      </c>
      <c r="H58" s="160">
        <f>SUMIF('内訳ﾘｽﾄ(4～3月)'!$D$26:$D$1001,$B58,'内訳ﾘｽﾄ(4～3月)'!K$26:K$1001)</f>
        <v>0</v>
      </c>
      <c r="I58" s="160">
        <f>SUMIF('内訳ﾘｽﾄ(4～3月)'!$D$26:$D$1001,$B58,'内訳ﾘｽﾄ(4～3月)'!L$26:L$1001)</f>
        <v>0</v>
      </c>
      <c r="J58" s="160">
        <f>SUMIF('内訳ﾘｽﾄ(4～3月)'!$D$26:$D$1001,$B58,'内訳ﾘｽﾄ(4～3月)'!M$26:M$1001)</f>
        <v>0</v>
      </c>
      <c r="K58" s="160">
        <f>SUMIF('内訳ﾘｽﾄ(4～3月)'!$D$26:$D$1001,$B58,'内訳ﾘｽﾄ(4～3月)'!N$26:N$1001)</f>
        <v>0</v>
      </c>
      <c r="L58" s="160">
        <f>SUMIF('内訳ﾘｽﾄ(4～3月)'!$D$26:$D$1001,$B58,'内訳ﾘｽﾄ(4～3月)'!O$26:O$1001)</f>
        <v>0</v>
      </c>
      <c r="M58" s="160">
        <f>SUMIF('内訳ﾘｽﾄ(4～3月)'!$D$26:$D$1001,$B58,'内訳ﾘｽﾄ(4～3月)'!P$26:P$1001)</f>
        <v>0</v>
      </c>
      <c r="N58" s="160">
        <f>SUMIF('内訳ﾘｽﾄ(4～3月)'!$D$26:$D$1001,$B58,'内訳ﾘｽﾄ(4～3月)'!Q$26:Q$1001)</f>
        <v>0</v>
      </c>
      <c r="O58" s="160">
        <f>SUMIF('内訳ﾘｽﾄ(4～3月)'!$D$26:$D$800,'採算表(VND)'!$B58,'内訳ﾘｽﾄ(4～3月)'!R$26:R$800)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SUMIF('内訳ﾘｽﾄ(4～3月)'!$D$26:$D$1001,$B59,'内訳ﾘｽﾄ(4～3月)'!F$26:F$1001)</f>
        <v>0</v>
      </c>
      <c r="D59" s="160">
        <f>SUMIF('内訳ﾘｽﾄ(4～3月)'!$D$26:$D$1001,$B59,'内訳ﾘｽﾄ(4～3月)'!G$26:G$1001)</f>
        <v>0</v>
      </c>
      <c r="E59" s="160">
        <f>SUMIF('内訳ﾘｽﾄ(4～3月)'!$D$26:$D$1001,$B59,'内訳ﾘｽﾄ(4～3月)'!H$26:H$1001)</f>
        <v>0</v>
      </c>
      <c r="F59" s="160">
        <f>SUMIF('内訳ﾘｽﾄ(4～3月)'!$D$26:$D$1001,$B59,'内訳ﾘｽﾄ(4～3月)'!I$26:I$1001)</f>
        <v>0</v>
      </c>
      <c r="G59" s="160">
        <f>SUMIF('内訳ﾘｽﾄ(4～3月)'!$D$26:$D$1001,$B59,'内訳ﾘｽﾄ(4～3月)'!J$26:J$1001)</f>
        <v>0</v>
      </c>
      <c r="H59" s="160">
        <f>SUMIF('内訳ﾘｽﾄ(4～3月)'!$D$26:$D$1001,$B59,'内訳ﾘｽﾄ(4～3月)'!K$26:K$1001)</f>
        <v>0</v>
      </c>
      <c r="I59" s="160">
        <f>SUMIF('内訳ﾘｽﾄ(4～3月)'!$D$26:$D$1001,$B59,'内訳ﾘｽﾄ(4～3月)'!L$26:L$1001)</f>
        <v>0</v>
      </c>
      <c r="J59" s="160">
        <f>SUMIF('内訳ﾘｽﾄ(4～3月)'!$D$26:$D$1001,$B59,'内訳ﾘｽﾄ(4～3月)'!M$26:M$1001)</f>
        <v>0</v>
      </c>
      <c r="K59" s="160">
        <f>SUMIF('内訳ﾘｽﾄ(4～3月)'!$D$26:$D$1001,$B59,'内訳ﾘｽﾄ(4～3月)'!N$26:N$1001)</f>
        <v>0</v>
      </c>
      <c r="L59" s="160">
        <f>SUMIF('内訳ﾘｽﾄ(4～3月)'!$D$26:$D$1001,$B59,'内訳ﾘｽﾄ(4～3月)'!O$26:O$1001)</f>
        <v>0</v>
      </c>
      <c r="M59" s="160">
        <f>SUMIF('内訳ﾘｽﾄ(4～3月)'!$D$26:$D$1001,$B59,'内訳ﾘｽﾄ(4～3月)'!P$26:P$1001)</f>
        <v>0</v>
      </c>
      <c r="N59" s="160">
        <f>SUMIF('内訳ﾘｽﾄ(4～3月)'!$D$26:$D$1001,$B59,'内訳ﾘｽﾄ(4～3月)'!Q$26:Q$1001)</f>
        <v>0</v>
      </c>
      <c r="O59" s="160">
        <f>SUMIF('内訳ﾘｽﾄ(4～3月)'!$D$26:$D$800,'採算表(VND)'!$B59,'内訳ﾘｽﾄ(4～3月)'!R$26:R$800)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SUMIF('内訳ﾘｽﾄ(4～3月)'!$D$26:$D$1001,$B60,'内訳ﾘｽﾄ(4～3月)'!F$26:F$1001)</f>
        <v>0</v>
      </c>
      <c r="D60" s="160">
        <f>SUMIF('内訳ﾘｽﾄ(4～3月)'!$D$26:$D$1001,$B60,'内訳ﾘｽﾄ(4～3月)'!G$26:G$1001)</f>
        <v>0</v>
      </c>
      <c r="E60" s="160">
        <f>SUMIF('内訳ﾘｽﾄ(4～3月)'!$D$26:$D$1001,$B60,'内訳ﾘｽﾄ(4～3月)'!H$26:H$1001)</f>
        <v>0</v>
      </c>
      <c r="F60" s="160">
        <f>SUMIF('内訳ﾘｽﾄ(4～3月)'!$D$26:$D$1001,$B60,'内訳ﾘｽﾄ(4～3月)'!I$26:I$1001)</f>
        <v>0</v>
      </c>
      <c r="G60" s="160">
        <f>SUMIF('内訳ﾘｽﾄ(4～3月)'!$D$26:$D$1001,$B60,'内訳ﾘｽﾄ(4～3月)'!J$26:J$1001)</f>
        <v>0</v>
      </c>
      <c r="H60" s="160">
        <f>SUMIF('内訳ﾘｽﾄ(4～3月)'!$D$26:$D$1001,$B60,'内訳ﾘｽﾄ(4～3月)'!K$26:K$1001)</f>
        <v>0</v>
      </c>
      <c r="I60" s="160">
        <f>SUMIF('内訳ﾘｽﾄ(4～3月)'!$D$26:$D$1001,$B60,'内訳ﾘｽﾄ(4～3月)'!L$26:L$1001)</f>
        <v>0</v>
      </c>
      <c r="J60" s="160">
        <f>SUMIF('内訳ﾘｽﾄ(4～3月)'!$D$26:$D$1001,$B60,'内訳ﾘｽﾄ(4～3月)'!M$26:M$1001)</f>
        <v>0</v>
      </c>
      <c r="K60" s="160">
        <f>SUMIF('内訳ﾘｽﾄ(4～3月)'!$D$26:$D$1001,$B60,'内訳ﾘｽﾄ(4～3月)'!N$26:N$1001)</f>
        <v>0</v>
      </c>
      <c r="L60" s="160">
        <f>SUMIF('内訳ﾘｽﾄ(4～3月)'!$D$26:$D$1001,$B60,'内訳ﾘｽﾄ(4～3月)'!O$26:O$1001)</f>
        <v>0</v>
      </c>
      <c r="M60" s="160">
        <f>SUMIF('内訳ﾘｽﾄ(4～3月)'!$D$26:$D$1001,$B60,'内訳ﾘｽﾄ(4～3月)'!P$26:P$1001)</f>
        <v>0</v>
      </c>
      <c r="N60" s="160">
        <f>SUMIF('内訳ﾘｽﾄ(4～3月)'!$D$26:$D$1001,$B60,'内訳ﾘｽﾄ(4～3月)'!Q$26:Q$1001)</f>
        <v>0</v>
      </c>
      <c r="O60" s="160">
        <f>SUMIF('内訳ﾘｽﾄ(4～3月)'!$D$26:$D$800,'採算表(VND)'!$B60,'内訳ﾘｽﾄ(4～3月)'!R$26:R$800)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IF('内訳ﾘｽﾄ(4～3月)'!$D$5="製造",SUMIF('内訳ﾘｽﾄ(4～3月)'!$D$26:$D$1001,$B61,'内訳ﾘｽﾄ(4～3月)'!F$26:F$1001),IF('内訳ﾘｽﾄ(4～3月)'!$D$5="部内間接",-SUM(C$14:C$60,C$65),0))</f>
        <v>0</v>
      </c>
      <c r="D61" s="160">
        <f>IF('内訳ﾘｽﾄ(4～3月)'!$D$5="製造",SUMIF('内訳ﾘｽﾄ(4～3月)'!$D$26:$D$1001,$B61,'内訳ﾘｽﾄ(4～3月)'!G$26:G$1001),IF('内訳ﾘｽﾄ(4～3月)'!$D$5="部内間接",-SUM(D$14:D$60,D$65),0))</f>
        <v>0</v>
      </c>
      <c r="E61" s="160">
        <f>IF('内訳ﾘｽﾄ(4～3月)'!$D$5="製造",SUMIF('内訳ﾘｽﾄ(4～3月)'!$D$26:$D$1001,$B61,'内訳ﾘｽﾄ(4～3月)'!H$26:H$1001),IF('内訳ﾘｽﾄ(4～3月)'!$D$5="部内間接",-SUM(E$14:E$60,E$65),0))</f>
        <v>0</v>
      </c>
      <c r="F61" s="160">
        <f>IF('内訳ﾘｽﾄ(4～3月)'!$D$5="製造",SUMIF('内訳ﾘｽﾄ(4～3月)'!$D$26:$D$1001,$B61,'内訳ﾘｽﾄ(4～3月)'!I$26:I$1001),IF('内訳ﾘｽﾄ(4～3月)'!$D$5="部内間接",-SUM(F$14:F$60,F$65),0))</f>
        <v>0</v>
      </c>
      <c r="G61" s="160">
        <f>IF('内訳ﾘｽﾄ(4～3月)'!$D$5="製造",SUMIF('内訳ﾘｽﾄ(4～3月)'!$D$26:$D$1001,$B61,'内訳ﾘｽﾄ(4～3月)'!J$26:J$1001),IF('内訳ﾘｽﾄ(4～3月)'!$D$5="部内間接",-SUM(G$14:G$60,G$65),0))</f>
        <v>0</v>
      </c>
      <c r="H61" s="160">
        <f>IF('内訳ﾘｽﾄ(4～3月)'!$D$5="製造",SUMIF('内訳ﾘｽﾄ(4～3月)'!$D$26:$D$1001,$B61,'内訳ﾘｽﾄ(4～3月)'!K$26:K$1001),IF('内訳ﾘｽﾄ(4～3月)'!$D$5="部内間接",-SUM(H$14:H$60,H$65),0))</f>
        <v>0</v>
      </c>
      <c r="I61" s="160">
        <f>IF('内訳ﾘｽﾄ(4～3月)'!$D$5="製造",SUMIF('内訳ﾘｽﾄ(4～3月)'!$D$26:$D$1001,$B61,'内訳ﾘｽﾄ(4～3月)'!L$26:L$1001),IF('内訳ﾘｽﾄ(4～3月)'!$D$5="部内間接",-SUM(I$14:I$60,I$65),0))</f>
        <v>0</v>
      </c>
      <c r="J61" s="160">
        <f>IF('内訳ﾘｽﾄ(4～3月)'!$D$5="製造",SUMIF('内訳ﾘｽﾄ(4～3月)'!$D$26:$D$1001,$B61,'内訳ﾘｽﾄ(4～3月)'!M$26:M$1001),IF('内訳ﾘｽﾄ(4～3月)'!$D$5="部内間接",-SUM(J$14:J$60,J$65),0))</f>
        <v>0</v>
      </c>
      <c r="K61" s="160">
        <f>IF('内訳ﾘｽﾄ(4～3月)'!$D$5="製造",SUMIF('内訳ﾘｽﾄ(4～3月)'!$D$26:$D$1001,$B61,'内訳ﾘｽﾄ(4～3月)'!N$26:N$1001),IF('内訳ﾘｽﾄ(4～3月)'!$D$5="部内間接",-SUM(K$14:K$60,K$65),0))</f>
        <v>0</v>
      </c>
      <c r="L61" s="160">
        <f>IF('内訳ﾘｽﾄ(4～3月)'!$D$5="製造",SUMIF('内訳ﾘｽﾄ(4～3月)'!$D$26:$D$1001,$B61,'内訳ﾘｽﾄ(4～3月)'!O$26:O$1001),IF('内訳ﾘｽﾄ(4～3月)'!$D$5="部内間接",-SUM(L$14:L$60,L$65),0))</f>
        <v>0</v>
      </c>
      <c r="M61" s="160">
        <f>IF('内訳ﾘｽﾄ(4～3月)'!$D$5="製造",SUMIF('内訳ﾘｽﾄ(4～3月)'!$D$26:$D$1001,$B61,'内訳ﾘｽﾄ(4～3月)'!P$26:P$1001),IF('内訳ﾘｽﾄ(4～3月)'!$D$5="部内間接",-SUM(M$14:M$60,M$65),0))</f>
        <v>0</v>
      </c>
      <c r="N61" s="160">
        <f>IF('内訳ﾘｽﾄ(4～3月)'!$D$5="製造",SUMIF('内訳ﾘｽﾄ(4～3月)'!$D$26:$D$1001,$B61,'内訳ﾘｽﾄ(4～3月)'!Q$26:Q$1001),IF('内訳ﾘｽﾄ(4～3月)'!$D$5="部内間接",-SUM(N$14:N$60,N$65),0))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IF('内訳ﾘｽﾄ(4～3月)'!$D$5="部内間接",-SUM(O$65,O$14:O$60),IF('内訳ﾘｽﾄ(4～3月)'!$D$5="製造",SUMIF('内訳ﾘｽﾄ(4～3月)'!$D$26:$D$800,'採算表(VND)'!$B61,'内訳ﾘｽﾄ(4～3月)'!R$26:R$800),0))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IF('内訳ﾘｽﾄ(4～3月)'!$D$5="製造",SUMIF('内訳ﾘｽﾄ(4～3月)'!$D$26:$D$1001,$B62,'内訳ﾘｽﾄ(4～3月)'!F$26:F$1001),IF('内訳ﾘｽﾄ(4～3月)'!$D$5="部外間接1",-SUM(C$14:C$60,C$65),0))</f>
        <v>0</v>
      </c>
      <c r="D62" s="160">
        <f>IF('内訳ﾘｽﾄ(4～3月)'!$D$5="製造",SUMIF('内訳ﾘｽﾄ(4～3月)'!$D$26:$D$1001,$B62,'内訳ﾘｽﾄ(4～3月)'!G$26:G$1001),IF('内訳ﾘｽﾄ(4～3月)'!$D$5="部外間接1",-SUM(D$14:D$60,D$65),0))</f>
        <v>0</v>
      </c>
      <c r="E62" s="160">
        <f>IF('内訳ﾘｽﾄ(4～3月)'!$D$5="製造",SUMIF('内訳ﾘｽﾄ(4～3月)'!$D$26:$D$1001,$B62,'内訳ﾘｽﾄ(4～3月)'!H$26:H$1001),IF('内訳ﾘｽﾄ(4～3月)'!$D$5="部外間接1",-SUM(E$14:E$60,E$65),0))</f>
        <v>0</v>
      </c>
      <c r="F62" s="160">
        <f>IF('内訳ﾘｽﾄ(4～3月)'!$D$5="製造",SUMIF('内訳ﾘｽﾄ(4～3月)'!$D$26:$D$1001,$B62,'内訳ﾘｽﾄ(4～3月)'!I$26:I$1001),IF('内訳ﾘｽﾄ(4～3月)'!$D$5="部外間接1",-SUM(F$14:F$60,F$65),0))</f>
        <v>0</v>
      </c>
      <c r="G62" s="160">
        <f>IF('内訳ﾘｽﾄ(4～3月)'!$D$5="製造",SUMIF('内訳ﾘｽﾄ(4～3月)'!$D$26:$D$1001,$B62,'内訳ﾘｽﾄ(4～3月)'!J$26:J$1001),IF('内訳ﾘｽﾄ(4～3月)'!$D$5="部外間接1",-SUM(G$14:G$60,G$65),0))</f>
        <v>0</v>
      </c>
      <c r="H62" s="160">
        <f>IF('内訳ﾘｽﾄ(4～3月)'!$D$5="製造",SUMIF('内訳ﾘｽﾄ(4～3月)'!$D$26:$D$1001,$B62,'内訳ﾘｽﾄ(4～3月)'!K$26:K$1001),IF('内訳ﾘｽﾄ(4～3月)'!$D$5="部外間接1",-SUM(H$14:H$60,H$65),0))</f>
        <v>0</v>
      </c>
      <c r="I62" s="160">
        <f>IF('内訳ﾘｽﾄ(4～3月)'!$D$5="製造",SUMIF('内訳ﾘｽﾄ(4～3月)'!$D$26:$D$1001,$B62,'内訳ﾘｽﾄ(4～3月)'!L$26:L$1001),IF('内訳ﾘｽﾄ(4～3月)'!$D$5="部外間接1",-SUM(I$14:I$60,I$65),0))</f>
        <v>0</v>
      </c>
      <c r="J62" s="160">
        <f>IF('内訳ﾘｽﾄ(4～3月)'!$D$5="製造",SUMIF('内訳ﾘｽﾄ(4～3月)'!$D$26:$D$1001,$B62,'内訳ﾘｽﾄ(4～3月)'!M$26:M$1001),IF('内訳ﾘｽﾄ(4～3月)'!$D$5="部外間接1",-SUM(J$14:J$60,J$65),0))</f>
        <v>0</v>
      </c>
      <c r="K62" s="160">
        <f>IF('内訳ﾘｽﾄ(4～3月)'!$D$5="製造",SUMIF('内訳ﾘｽﾄ(4～3月)'!$D$26:$D$1001,$B62,'内訳ﾘｽﾄ(4～3月)'!N$26:N$1001),IF('内訳ﾘｽﾄ(4～3月)'!$D$5="部外間接1",-SUM(K$14:K$60,K$65),0))</f>
        <v>0</v>
      </c>
      <c r="L62" s="160">
        <f>IF('内訳ﾘｽﾄ(4～3月)'!$D$5="製造",SUMIF('内訳ﾘｽﾄ(4～3月)'!$D$26:$D$1001,$B62,'内訳ﾘｽﾄ(4～3月)'!O$26:O$1001),IF('内訳ﾘｽﾄ(4～3月)'!$D$5="部外間接1",-SUM(L$14:L$60,L$65),0))</f>
        <v>0</v>
      </c>
      <c r="M62" s="160">
        <f>IF('内訳ﾘｽﾄ(4～3月)'!$D$5="製造",SUMIF('内訳ﾘｽﾄ(4～3月)'!$D$26:$D$1001,$B62,'内訳ﾘｽﾄ(4～3月)'!P$26:P$1001),IF('内訳ﾘｽﾄ(4～3月)'!$D$5="部外間接1",-SUM(M$14:M$60,M$65),0))</f>
        <v>0</v>
      </c>
      <c r="N62" s="160">
        <f>IF('内訳ﾘｽﾄ(4～3月)'!$D$5="製造",SUMIF('内訳ﾘｽﾄ(4～3月)'!$D$26:$D$1001,$B62,'内訳ﾘｽﾄ(4～3月)'!Q$26:Q$1001),IF('内訳ﾘｽﾄ(4～3月)'!$D$5="部外間接1",-SUM(N$14:N$60,N$65),0))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IF('内訳ﾘｽﾄ(4～3月)'!$D$5="部外間接1",-SUM(O$65,O$14:O$60),IF('内訳ﾘｽﾄ(4～3月)'!$D$5="製造",SUMIF('内訳ﾘｽﾄ(4～3月)'!$D$26:$D$800,'採算表(VND)'!$B62,'内訳ﾘｽﾄ(4～3月)'!R$26:R$800),0))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IF('内訳ﾘｽﾄ(4～3月)'!$D$5="製造",SUMIF('内訳ﾘｽﾄ(4～3月)'!$D$26:$D$1001,$B63,'内訳ﾘｽﾄ(4～3月)'!F$26:F$1001),IF('内訳ﾘｽﾄ(4～3月)'!$D$5="部外間接2",-SUM(C$14:C$60,C$65),0))</f>
        <v>-235855940</v>
      </c>
      <c r="D63" s="160">
        <f>IF('内訳ﾘｽﾄ(4～3月)'!$D$5="製造",SUMIF('内訳ﾘｽﾄ(4～3月)'!$D$26:$D$1001,$B63,'内訳ﾘｽﾄ(4～3月)'!G$26:G$1001),IF('内訳ﾘｽﾄ(4～3月)'!$D$5="部外間接2",-SUM(D$14:D$60,D$65),0))</f>
        <v>-72018901</v>
      </c>
      <c r="E63" s="160">
        <f>IF('内訳ﾘｽﾄ(4～3月)'!$D$5="製造",SUMIF('内訳ﾘｽﾄ(4～3月)'!$D$26:$D$1001,$B63,'内訳ﾘｽﾄ(4～3月)'!H$26:H$1001),IF('内訳ﾘｽﾄ(4～3月)'!$D$5="部外間接2",-SUM(E$14:E$60,E$65),0))</f>
        <v>-56075461</v>
      </c>
      <c r="F63" s="160">
        <f>IF('内訳ﾘｽﾄ(4～3月)'!$D$5="製造",SUMIF('内訳ﾘｽﾄ(4～3月)'!$D$26:$D$1001,$B63,'内訳ﾘｽﾄ(4～3月)'!I$26:I$1001),IF('内訳ﾘｽﾄ(4～3月)'!$D$5="部外間接2",-SUM(F$14:F$60,F$65),0))</f>
        <v>-39271586</v>
      </c>
      <c r="G63" s="160">
        <f>IF('内訳ﾘｽﾄ(4～3月)'!$D$5="製造",SUMIF('内訳ﾘｽﾄ(4～3月)'!$D$26:$D$1001,$B63,'内訳ﾘｽﾄ(4～3月)'!J$26:J$1001),IF('内訳ﾘｽﾄ(4～3月)'!$D$5="部外間接2",-SUM(G$14:G$60,G$65),0))</f>
        <v>-38425573</v>
      </c>
      <c r="H63" s="160">
        <f>IF('内訳ﾘｽﾄ(4～3月)'!$D$5="製造",SUMIF('内訳ﾘｽﾄ(4～3月)'!$D$26:$D$1001,$B63,'内訳ﾘｽﾄ(4～3月)'!K$26:K$1001),IF('内訳ﾘｽﾄ(4～3月)'!$D$5="部外間接2",-SUM(H$14:H$60,H$65),0))</f>
        <v>-39317103</v>
      </c>
      <c r="I63" s="160">
        <f>IF('内訳ﾘｽﾄ(4～3月)'!$D$5="製造",SUMIF('内訳ﾘｽﾄ(4～3月)'!$D$26:$D$1001,$B63,'内訳ﾘｽﾄ(4～3月)'!L$26:L$1001),IF('内訳ﾘｽﾄ(4～3月)'!$D$5="部外間接2",-SUM(I$14:I$60,I$65),0))</f>
        <v>-38051493</v>
      </c>
      <c r="J63" s="160">
        <f>IF('内訳ﾘｽﾄ(4～3月)'!$D$5="製造",SUMIF('内訳ﾘｽﾄ(4～3月)'!$D$26:$D$1001,$B63,'内訳ﾘｽﾄ(4～3月)'!M$26:M$1001),IF('内訳ﾘｽﾄ(4～3月)'!$D$5="部外間接2",-SUM(J$14:J$60,J$65),0))</f>
        <v>-38932956</v>
      </c>
      <c r="K63" s="160">
        <f>IF('内訳ﾘｽﾄ(4～3月)'!$D$5="製造",SUMIF('内訳ﾘｽﾄ(4～3月)'!$D$26:$D$1001,$B63,'内訳ﾘｽﾄ(4～3月)'!N$26:N$1001),IF('内訳ﾘｽﾄ(4～3月)'!$D$5="部外間接2",-SUM(K$14:K$60,K$65),0))</f>
        <v>-38866383</v>
      </c>
      <c r="L63" s="160">
        <f>IF('内訳ﾘｽﾄ(4～3月)'!$D$5="製造",SUMIF('内訳ﾘｽﾄ(4～3月)'!$D$26:$D$1001,$B63,'内訳ﾘｽﾄ(4～3月)'!O$26:O$1001),IF('内訳ﾘｽﾄ(4～3月)'!$D$5="部外間接2",-SUM(L$14:L$60,L$65),0))</f>
        <v>-35899093</v>
      </c>
      <c r="M63" s="160">
        <f>IF('内訳ﾘｽﾄ(4～3月)'!$D$5="製造",SUMIF('内訳ﾘｽﾄ(4～3月)'!$D$26:$D$1001,$B63,'内訳ﾘｽﾄ(4～3月)'!P$26:P$1001),IF('内訳ﾘｽﾄ(4～3月)'!$D$5="部外間接2",-SUM(M$14:M$60,M$65),0))</f>
        <v>-38156720</v>
      </c>
      <c r="N63" s="160">
        <f>IF('内訳ﾘｽﾄ(4～3月)'!$D$5="製造",SUMIF('内訳ﾘｽﾄ(4～3月)'!$D$26:$D$1001,$B63,'内訳ﾘｽﾄ(4～3月)'!Q$26:Q$1001),IF('内訳ﾘｽﾄ(4～3月)'!$D$5="部外間接2",-SUM(N$14:N$60,N$65),0))</f>
        <v>-35050683</v>
      </c>
      <c r="O63" s="160">
        <f>IF('内訳ﾘｽﾄ(4～3月)'!$D$5="部外間接2",-SUM(O$65,O$14:O$60),IF('内訳ﾘｽﾄ(4～3月)'!$D$5="製造",SUMIF('内訳ﾘｽﾄ(4～3月)'!$D$26:$D$800,'採算表(VND)'!$B63,'内訳ﾘｽﾄ(4～3月)'!R$26:R$800),0))</f>
        <v>-705921892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IF('内訳ﾘｽﾄ(4～3月)'!$D$5="製造",SUMIF('内訳ﾘｽﾄ(4～3月)'!$D$26:$D$1001,$B64,'内訳ﾘｽﾄ(4～3月)'!F$26:F$1001),IF('内訳ﾘｽﾄ(4～3月)'!$D$5="工場間接",-SUM(C$14:C$60,C$65),0))</f>
        <v>0</v>
      </c>
      <c r="D64" s="160">
        <f>IF('内訳ﾘｽﾄ(4～3月)'!$D$5="製造",SUMIF('内訳ﾘｽﾄ(4～3月)'!$D$26:$D$1001,$B64,'内訳ﾘｽﾄ(4～3月)'!G$26:G$1001),IF('内訳ﾘｽﾄ(4～3月)'!$D$5="工場間接",-SUM(D$14:D$60,D$65),0))</f>
        <v>0</v>
      </c>
      <c r="E64" s="160">
        <f>IF('内訳ﾘｽﾄ(4～3月)'!$D$5="製造",SUMIF('内訳ﾘｽﾄ(4～3月)'!$D$26:$D$1001,$B64,'内訳ﾘｽﾄ(4～3月)'!H$26:H$1001),IF('内訳ﾘｽﾄ(4～3月)'!$D$5="工場間接",-SUM(E$14:E$60,E$65),0))</f>
        <v>0</v>
      </c>
      <c r="F64" s="160">
        <f>IF('内訳ﾘｽﾄ(4～3月)'!$D$5="製造",SUMIF('内訳ﾘｽﾄ(4～3月)'!$D$26:$D$1001,$B64,'内訳ﾘｽﾄ(4～3月)'!I$26:I$1001),IF('内訳ﾘｽﾄ(4～3月)'!$D$5="工場間接",-SUM(F$14:F$60,F$65),0))</f>
        <v>0</v>
      </c>
      <c r="G64" s="160">
        <f>IF('内訳ﾘｽﾄ(4～3月)'!$D$5="製造",SUMIF('内訳ﾘｽﾄ(4～3月)'!$D$26:$D$1001,$B64,'内訳ﾘｽﾄ(4～3月)'!J$26:J$1001),IF('内訳ﾘｽﾄ(4～3月)'!$D$5="工場間接",-SUM(G$14:G$60,G$65),0))</f>
        <v>0</v>
      </c>
      <c r="H64" s="160">
        <f>IF('内訳ﾘｽﾄ(4～3月)'!$D$5="製造",SUMIF('内訳ﾘｽﾄ(4～3月)'!$D$26:$D$1001,$B64,'内訳ﾘｽﾄ(4～3月)'!K$26:K$1001),IF('内訳ﾘｽﾄ(4～3月)'!$D$5="工場間接",-SUM(H$14:H$60,H$65),0))</f>
        <v>0</v>
      </c>
      <c r="I64" s="160">
        <f>IF('内訳ﾘｽﾄ(4～3月)'!$D$5="製造",SUMIF('内訳ﾘｽﾄ(4～3月)'!$D$26:$D$1001,$B64,'内訳ﾘｽﾄ(4～3月)'!L$26:L$1001),IF('内訳ﾘｽﾄ(4～3月)'!$D$5="工場間接",-SUM(I$14:I$60,I$65),0))</f>
        <v>0</v>
      </c>
      <c r="J64" s="160">
        <f>IF('内訳ﾘｽﾄ(4～3月)'!$D$5="製造",SUMIF('内訳ﾘｽﾄ(4～3月)'!$D$26:$D$1001,$B64,'内訳ﾘｽﾄ(4～3月)'!M$26:M$1001),IF('内訳ﾘｽﾄ(4～3月)'!$D$5="工場間接",-SUM(J$14:J$60,J$65),0))</f>
        <v>0</v>
      </c>
      <c r="K64" s="160">
        <f>IF('内訳ﾘｽﾄ(4～3月)'!$D$5="製造",SUMIF('内訳ﾘｽﾄ(4～3月)'!$D$26:$D$1001,$B64,'内訳ﾘｽﾄ(4～3月)'!N$26:N$1001),IF('内訳ﾘｽﾄ(4～3月)'!$D$5="工場間接",-SUM(K$14:K$60,K$65),0))</f>
        <v>0</v>
      </c>
      <c r="L64" s="160">
        <f>IF('内訳ﾘｽﾄ(4～3月)'!$D$5="製造",SUMIF('内訳ﾘｽﾄ(4～3月)'!$D$26:$D$1001,$B64,'内訳ﾘｽﾄ(4～3月)'!O$26:O$1001),IF('内訳ﾘｽﾄ(4～3月)'!$D$5="工場間接",-SUM(L$14:L$60,L$65),0))</f>
        <v>0</v>
      </c>
      <c r="M64" s="160">
        <f>IF('内訳ﾘｽﾄ(4～3月)'!$D$5="製造",SUMIF('内訳ﾘｽﾄ(4～3月)'!$D$26:$D$1001,$B64,'内訳ﾘｽﾄ(4～3月)'!P$26:P$1001),IF('内訳ﾘｽﾄ(4～3月)'!$D$5="工場間接",-SUM(M$14:M$60,M$65),0))</f>
        <v>0</v>
      </c>
      <c r="N64" s="160">
        <f>IF('内訳ﾘｽﾄ(4～3月)'!$D$5="製造",SUMIF('内訳ﾘｽﾄ(4～3月)'!$D$26:$D$1001,$B64,'内訳ﾘｽﾄ(4～3月)'!Q$26:Q$1001),IF('内訳ﾘｽﾄ(4～3月)'!$D$5="工場間接",-SUM(N$14:N$60,N$65),0))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IF('内訳ﾘｽﾄ(4～3月)'!$D$5="工場間接",-SUM(O$65,O$14:O$60),IF('内訳ﾘｽﾄ(4～3月)'!$D$5="製造",SUMIF('内訳ﾘｽﾄ(4～3月)'!$D$26:$D$800,'採算表(VND)'!$B64,'内訳ﾘｽﾄ(4～3月)'!R$26:R$800),0))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SUMIF('内訳ﾘｽﾄ(4～3月)'!$D$26:$D$1001,$B65,'内訳ﾘｽﾄ(4～3月)'!F$26:F$1001)</f>
        <v>0</v>
      </c>
      <c r="D65" s="158">
        <f>SUMIF('内訳ﾘｽﾄ(4～3月)'!$D$26:$D$1001,$B65,'内訳ﾘｽﾄ(4～3月)'!G$26:G$1001)</f>
        <v>0</v>
      </c>
      <c r="E65" s="158">
        <f>SUMIF('内訳ﾘｽﾄ(4～3月)'!$D$26:$D$1001,$B65,'内訳ﾘｽﾄ(4～3月)'!H$26:H$1001)</f>
        <v>0</v>
      </c>
      <c r="F65" s="158">
        <f>SUMIF('内訳ﾘｽﾄ(4～3月)'!$D$26:$D$1001,$B65,'内訳ﾘｽﾄ(4～3月)'!I$26:I$1001)</f>
        <v>0</v>
      </c>
      <c r="G65" s="158">
        <f>SUMIF('内訳ﾘｽﾄ(4～3月)'!$D$26:$D$1001,$B65,'内訳ﾘｽﾄ(4～3月)'!J$26:J$1001)</f>
        <v>0</v>
      </c>
      <c r="H65" s="158">
        <f>SUMIF('内訳ﾘｽﾄ(4～3月)'!$D$26:$D$1001,$B65,'内訳ﾘｽﾄ(4～3月)'!K$26:K$1001)</f>
        <v>0</v>
      </c>
      <c r="I65" s="158">
        <f>SUMIF('内訳ﾘｽﾄ(4～3月)'!$D$26:$D$1001,$B65,'内訳ﾘｽﾄ(4～3月)'!L$26:L$1001)</f>
        <v>0</v>
      </c>
      <c r="J65" s="158">
        <f>SUMIF('内訳ﾘｽﾄ(4～3月)'!$D$26:$D$1001,$B65,'内訳ﾘｽﾄ(4～3月)'!M$26:M$1001)</f>
        <v>0</v>
      </c>
      <c r="K65" s="158">
        <f>SUMIF('内訳ﾘｽﾄ(4～3月)'!$D$26:$D$1001,$B65,'内訳ﾘｽﾄ(4～3月)'!N$26:N$1001)</f>
        <v>0</v>
      </c>
      <c r="L65" s="158">
        <f>SUMIF('内訳ﾘｽﾄ(4～3月)'!$D$26:$D$1001,$B65,'内訳ﾘｽﾄ(4～3月)'!O$26:O$1001)</f>
        <v>0</v>
      </c>
      <c r="M65" s="158">
        <f>SUMIF('内訳ﾘｽﾄ(4～3月)'!$D$26:$D$1001,$B65,'内訳ﾘｽﾄ(4～3月)'!P$26:P$1001)</f>
        <v>0</v>
      </c>
      <c r="N65" s="158">
        <f>SUMIF('内訳ﾘｽﾄ(4～3月)'!$D$26:$D$1001,$B65,'内訳ﾘｽﾄ(4～3月)'!Q$26:Q$1001)</f>
        <v>0</v>
      </c>
      <c r="O65" s="158">
        <f>SUMIF('内訳ﾘｽﾄ(4～3月)'!$D$26:$D$800,'採算表(VND)'!$B65,'内訳ﾘｽﾄ(4～3月)'!R$26:R$800)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1273</v>
      </c>
      <c r="D68" s="162">
        <f>SUMIF('内訳ﾘｽﾄ(4～3月)'!$D$8:$D$15,'採算表(VND)'!$B68,'内訳ﾘｽﾄ(4～3月)'!G$8:G$15)</f>
        <v>1206</v>
      </c>
      <c r="E68" s="162">
        <f>SUMIF('内訳ﾘｽﾄ(4～3月)'!$D$8:$D$15,'採算表(VND)'!$B68,'内訳ﾘｽﾄ(4～3月)'!H$8:H$15)</f>
        <v>1350</v>
      </c>
      <c r="F68" s="162">
        <f>SUMIF('内訳ﾘｽﾄ(4～3月)'!$D$8:$D$15,'採算表(VND)'!$B68,'内訳ﾘｽﾄ(4～3月)'!I$8:I$15)</f>
        <v>1496</v>
      </c>
      <c r="G68" s="162">
        <f>SUMIF('内訳ﾘｽﾄ(4～3月)'!$D$8:$D$15,'採算表(VND)'!$B68,'内訳ﾘｽﾄ(4～3月)'!J$8:J$15)</f>
        <v>1292</v>
      </c>
      <c r="H68" s="162">
        <f>SUMIF('内訳ﾘｽﾄ(4～3月)'!$D$8:$D$15,'採算表(VND)'!$B68,'内訳ﾘｽﾄ(4～3月)'!K$8:K$15)</f>
        <v>1224</v>
      </c>
      <c r="I68" s="162">
        <f>SUMIF('内訳ﾘｽﾄ(4～3月)'!$D$8:$D$15,'採算表(VND)'!$B68,'内訳ﾘｽﾄ(4～3月)'!L$8:L$15)</f>
        <v>1496</v>
      </c>
      <c r="J68" s="162">
        <f>SUMIF('内訳ﾘｽﾄ(4～3月)'!$D$8:$D$15,'採算表(VND)'!$B68,'内訳ﾘｽﾄ(4～3月)'!M$8:M$15)</f>
        <v>1292</v>
      </c>
      <c r="K68" s="162">
        <f>SUMIF('内訳ﾘｽﾄ(4～3月)'!$D$8:$D$15,'採算表(VND)'!$B68,'内訳ﾘｽﾄ(4～3月)'!N$8:N$15)</f>
        <v>1428</v>
      </c>
      <c r="L68" s="162">
        <f>SUMIF('内訳ﾘｽﾄ(4～3月)'!$D$8:$D$15,'採算表(VND)'!$B68,'内訳ﾘｽﾄ(4～3月)'!O$8:O$15)</f>
        <v>1292</v>
      </c>
      <c r="M68" s="162">
        <f>SUMIF('内訳ﾘｽﾄ(4～3月)'!$D$8:$D$15,'採算表(VND)'!$B68,'内訳ﾘｽﾄ(4～3月)'!P$8:P$15)</f>
        <v>952</v>
      </c>
      <c r="N68" s="162">
        <f>SUMIF('内訳ﾘｽﾄ(4～3月)'!$D$8:$D$15,'採算表(VND)'!$B68,'内訳ﾘｽﾄ(4～3月)'!Q$8:Q$15)</f>
        <v>1292</v>
      </c>
      <c r="O68" s="162">
        <f>SUMIF('内訳ﾘｽﾄ(4～3月)'!$D$8:$D$15,'採算表(VND)'!$B68,'内訳ﾘｽﾄ(4～3月)'!$R$8:$R$15)</f>
        <v>15593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-1273</v>
      </c>
      <c r="D71" s="164">
        <f>IF('内訳ﾘｽﾄ(4～3月)'!$D$5="製造",SUMIF('内訳ﾘｽﾄ(4～3月)'!$D$8:$D$15,$B71,'内訳ﾘｽﾄ(4～3月)'!G$8:G$15),IF('内訳ﾘｽﾄ(4～3月)'!$D$5="部外間接2",-D$68,0))</f>
        <v>-1206</v>
      </c>
      <c r="E71" s="164">
        <f>IF('内訳ﾘｽﾄ(4～3月)'!$D$5="製造",SUMIF('内訳ﾘｽﾄ(4～3月)'!$D$8:$D$15,$B71,'内訳ﾘｽﾄ(4～3月)'!H$8:H$15),IF('内訳ﾘｽﾄ(4～3月)'!$D$5="部外間接2",-E$68,0))</f>
        <v>-1350</v>
      </c>
      <c r="F71" s="164">
        <f>IF('内訳ﾘｽﾄ(4～3月)'!$D$5="製造",SUMIF('内訳ﾘｽﾄ(4～3月)'!$D$8:$D$15,$B71,'内訳ﾘｽﾄ(4～3月)'!I$8:I$15),IF('内訳ﾘｽﾄ(4～3月)'!$D$5="部外間接2",-F$68,0))</f>
        <v>-1496</v>
      </c>
      <c r="G71" s="164">
        <f>IF('内訳ﾘｽﾄ(4～3月)'!$D$5="製造",SUMIF('内訳ﾘｽﾄ(4～3月)'!$D$8:$D$15,$B71,'内訳ﾘｽﾄ(4～3月)'!J$8:J$15),IF('内訳ﾘｽﾄ(4～3月)'!$D$5="部外間接2",-G$68,0))</f>
        <v>-1292</v>
      </c>
      <c r="H71" s="164">
        <f>IF('内訳ﾘｽﾄ(4～3月)'!$D$5="製造",SUMIF('内訳ﾘｽﾄ(4～3月)'!$D$8:$D$15,$B71,'内訳ﾘｽﾄ(4～3月)'!K$8:K$15),IF('内訳ﾘｽﾄ(4～3月)'!$D$5="部外間接2",-H$68,0))</f>
        <v>-1224</v>
      </c>
      <c r="I71" s="164">
        <f>IF('内訳ﾘｽﾄ(4～3月)'!$D$5="製造",SUMIF('内訳ﾘｽﾄ(4～3月)'!$D$8:$D$15,$B71,'内訳ﾘｽﾄ(4～3月)'!L$8:L$15),IF('内訳ﾘｽﾄ(4～3月)'!$D$5="部外間接2",-I$68,0))</f>
        <v>-1496</v>
      </c>
      <c r="J71" s="164">
        <f>IF('内訳ﾘｽﾄ(4～3月)'!$D$5="製造",SUMIF('内訳ﾘｽﾄ(4～3月)'!$D$8:$D$15,$B71,'内訳ﾘｽﾄ(4～3月)'!M$8:M$15),IF('内訳ﾘｽﾄ(4～3月)'!$D$5="部外間接2",-J$68,0))</f>
        <v>-1292</v>
      </c>
      <c r="K71" s="164">
        <f>IF('内訳ﾘｽﾄ(4～3月)'!$D$5="製造",SUMIF('内訳ﾘｽﾄ(4～3月)'!$D$8:$D$15,$B71,'内訳ﾘｽﾄ(4～3月)'!N$8:N$15),IF('内訳ﾘｽﾄ(4～3月)'!$D$5="部外間接2",-K$68,0))</f>
        <v>-1428</v>
      </c>
      <c r="L71" s="164">
        <f>IF('内訳ﾘｽﾄ(4～3月)'!$D$5="製造",SUMIF('内訳ﾘｽﾄ(4～3月)'!$D$8:$D$15,$B71,'内訳ﾘｽﾄ(4～3月)'!O$8:O$15),IF('内訳ﾘｽﾄ(4～3月)'!$D$5="部外間接2",-L$68,0))</f>
        <v>-1292</v>
      </c>
      <c r="M71" s="164">
        <f>IF('内訳ﾘｽﾄ(4～3月)'!$D$5="製造",SUMIF('内訳ﾘｽﾄ(4～3月)'!$D$8:$D$15,$B71,'内訳ﾘｽﾄ(4～3月)'!P$8:P$15),IF('内訳ﾘｽﾄ(4～3月)'!$D$5="部外間接2",-M$68,0))</f>
        <v>-952</v>
      </c>
      <c r="N71" s="164">
        <f>IF('内訳ﾘｽﾄ(4～3月)'!$D$5="製造",SUMIF('内訳ﾘｽﾄ(4～3月)'!$D$8:$D$15,$B71,'内訳ﾘｽﾄ(4～3月)'!Q$8:Q$15),IF('内訳ﾘｽﾄ(4～3月)'!$D$5="部外間接2",-N$68,0))</f>
        <v>-1292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-15593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38</v>
      </c>
      <c r="D74" s="162">
        <f>SUMIF('内訳ﾘｽﾄ(4～3月)'!$D$16:$D$23,'採算表(VND)'!$B74,'内訳ﾘｽﾄ(4～3月)'!G$16:G$23)</f>
        <v>36</v>
      </c>
      <c r="E74" s="162">
        <f>SUMIF('内訳ﾘｽﾄ(4～3月)'!$D$16:$D$23,'採算表(VND)'!$B74,'内訳ﾘｽﾄ(4～3月)'!H$16:H$23)</f>
        <v>40</v>
      </c>
      <c r="F74" s="162">
        <f>SUMIF('内訳ﾘｽﾄ(4～3月)'!$D$16:$D$23,'採算表(VND)'!$B74,'内訳ﾘｽﾄ(4～3月)'!I$16:I$23)</f>
        <v>44</v>
      </c>
      <c r="G74" s="162">
        <f>SUMIF('内訳ﾘｽﾄ(4～3月)'!$D$16:$D$23,'採算表(VND)'!$B74,'内訳ﾘｽﾄ(4～3月)'!J$16:J$23)</f>
        <v>38</v>
      </c>
      <c r="H74" s="162">
        <f>SUMIF('内訳ﾘｽﾄ(4～3月)'!$D$16:$D$23,'採算表(VND)'!$B74,'内訳ﾘｽﾄ(4～3月)'!K$16:K$23)</f>
        <v>36</v>
      </c>
      <c r="I74" s="162">
        <f>SUMIF('内訳ﾘｽﾄ(4～3月)'!$D$16:$D$23,'採算表(VND)'!$B74,'内訳ﾘｽﾄ(4～3月)'!L$16:L$23)</f>
        <v>44</v>
      </c>
      <c r="J74" s="162">
        <f>SUMIF('内訳ﾘｽﾄ(4～3月)'!$D$16:$D$23,'採算表(VND)'!$B74,'内訳ﾘｽﾄ(4～3月)'!M$16:M$23)</f>
        <v>38</v>
      </c>
      <c r="K74" s="162">
        <f>SUMIF('内訳ﾘｽﾄ(4～3月)'!$D$16:$D$23,'採算表(VND)'!$B74,'内訳ﾘｽﾄ(4～3月)'!N$16:N$23)</f>
        <v>42</v>
      </c>
      <c r="L74" s="162">
        <f>SUMIF('内訳ﾘｽﾄ(4～3月)'!$D$16:$D$23,'採算表(VND)'!$B74,'内訳ﾘｽﾄ(4～3月)'!O$16:O$23)</f>
        <v>76</v>
      </c>
      <c r="M74" s="162">
        <f>SUMIF('内訳ﾘｽﾄ(4～3月)'!$D$16:$D$23,'採算表(VND)'!$B74,'内訳ﾘｽﾄ(4～3月)'!P$16:P$23)</f>
        <v>56</v>
      </c>
      <c r="N74" s="162">
        <f>SUMIF('内訳ﾘｽﾄ(4～3月)'!$D$16:$D$23,'採算表(VND)'!$B74,'内訳ﾘｽﾄ(4～3月)'!Q$16:Q$23)</f>
        <v>76</v>
      </c>
      <c r="O74" s="162">
        <f>SUMIF('内訳ﾘｽﾄ(4～3月)'!$D$16:$D$23,'採算表(VND)'!$B74,'内訳ﾘｽﾄ(4～3月)'!$R$16:$R$23)</f>
        <v>564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-38</v>
      </c>
      <c r="D77" s="164">
        <f>IF('内訳ﾘｽﾄ(4～3月)'!$D$5="製造",SUMIF('内訳ﾘｽﾄ(4～3月)'!$D$16:$D$23,$B77,'内訳ﾘｽﾄ(4～3月)'!G$16:G$23),IF('内訳ﾘｽﾄ(4～3月)'!$D$5="部外間接2",-D$74,0))</f>
        <v>-36</v>
      </c>
      <c r="E77" s="164">
        <f>IF('内訳ﾘｽﾄ(4～3月)'!$D$5="製造",SUMIF('内訳ﾘｽﾄ(4～3月)'!$D$16:$D$23,$B77,'内訳ﾘｽﾄ(4～3月)'!H$16:H$23),IF('内訳ﾘｽﾄ(4～3月)'!$D$5="部外間接2",-E$74,0))</f>
        <v>-40</v>
      </c>
      <c r="F77" s="164">
        <f>IF('内訳ﾘｽﾄ(4～3月)'!$D$5="製造",SUMIF('内訳ﾘｽﾄ(4～3月)'!$D$16:$D$23,$B77,'内訳ﾘｽﾄ(4～3月)'!I$16:I$23),IF('内訳ﾘｽﾄ(4～3月)'!$D$5="部外間接2",-F$74,0))</f>
        <v>-44</v>
      </c>
      <c r="G77" s="164">
        <f>IF('内訳ﾘｽﾄ(4～3月)'!$D$5="製造",SUMIF('内訳ﾘｽﾄ(4～3月)'!$D$16:$D$23,$B77,'内訳ﾘｽﾄ(4～3月)'!J$16:J$23),IF('内訳ﾘｽﾄ(4～3月)'!$D$5="部外間接2",-G$74,0))</f>
        <v>-38</v>
      </c>
      <c r="H77" s="164">
        <f>IF('内訳ﾘｽﾄ(4～3月)'!$D$5="製造",SUMIF('内訳ﾘｽﾄ(4～3月)'!$D$16:$D$23,$B77,'内訳ﾘｽﾄ(4～3月)'!K$16:K$23),IF('内訳ﾘｽﾄ(4～3月)'!$D$5="部外間接2",-H$74,0))</f>
        <v>-36</v>
      </c>
      <c r="I77" s="164">
        <f>IF('内訳ﾘｽﾄ(4～3月)'!$D$5="製造",SUMIF('内訳ﾘｽﾄ(4～3月)'!$D$16:$D$23,$B77,'内訳ﾘｽﾄ(4～3月)'!L$16:L$23),IF('内訳ﾘｽﾄ(4～3月)'!$D$5="部外間接2",-I$74,0))</f>
        <v>-44</v>
      </c>
      <c r="J77" s="164">
        <f>IF('内訳ﾘｽﾄ(4～3月)'!$D$5="製造",SUMIF('内訳ﾘｽﾄ(4～3月)'!$D$16:$D$23,$B77,'内訳ﾘｽﾄ(4～3月)'!M$16:M$23),IF('内訳ﾘｽﾄ(4～3月)'!$D$5="部外間接2",-J$74,0))</f>
        <v>-38</v>
      </c>
      <c r="K77" s="164">
        <f>IF('内訳ﾘｽﾄ(4～3月)'!$D$5="製造",SUMIF('内訳ﾘｽﾄ(4～3月)'!$D$16:$D$23,$B77,'内訳ﾘｽﾄ(4～3月)'!N$16:N$23),IF('内訳ﾘｽﾄ(4～3月)'!$D$5="部外間接2",-K$74,0))</f>
        <v>-42</v>
      </c>
      <c r="L77" s="164">
        <f>IF('内訳ﾘｽﾄ(4～3月)'!$D$5="製造",SUMIF('内訳ﾘｽﾄ(4～3月)'!$D$16:$D$23,$B77,'内訳ﾘｽﾄ(4～3月)'!O$16:O$23),IF('内訳ﾘｽﾄ(4～3月)'!$D$5="部外間接2",-L$74,0))</f>
        <v>-76</v>
      </c>
      <c r="M77" s="164">
        <f>IF('内訳ﾘｽﾄ(4～3月)'!$D$5="製造",SUMIF('内訳ﾘｽﾄ(4～3月)'!$D$16:$D$23,$B77,'内訳ﾘｽﾄ(4～3月)'!P$16:P$23),IF('内訳ﾘｽﾄ(4～3月)'!$D$5="部外間接2",-M$74,0))</f>
        <v>-56</v>
      </c>
      <c r="N77" s="164">
        <f>IF('内訳ﾘｽﾄ(4～3月)'!$D$5="製造",SUMIF('内訳ﾘｽﾄ(4～3月)'!$D$16:$D$23,$B77,'内訳ﾘｽﾄ(4～3月)'!Q$16:Q$23),IF('内訳ﾘｽﾄ(4～3月)'!$D$5="部外間接2",-N$74,0))</f>
        <v>-76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-564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8</v>
      </c>
      <c r="D88" s="150">
        <f>SUMIF('内訳ﾘｽﾄ(4～3月)'!$D$24:$D$25,'採算表(VND)'!$B88,'内訳ﾘｽﾄ(4～3月)'!G$24:G$25)</f>
        <v>8</v>
      </c>
      <c r="E88" s="150">
        <f>SUMIF('内訳ﾘｽﾄ(4～3月)'!$D$24:$D$25,'採算表(VND)'!$B88,'内訳ﾘｽﾄ(4～3月)'!H$24:H$25)</f>
        <v>8</v>
      </c>
      <c r="F88" s="150">
        <f>SUMIF('内訳ﾘｽﾄ(4～3月)'!$D$24:$D$25,'採算表(VND)'!$B88,'内訳ﾘｽﾄ(4～3月)'!I$24:I$25)</f>
        <v>8</v>
      </c>
      <c r="G88" s="150">
        <f>SUMIF('内訳ﾘｽﾄ(4～3月)'!$D$24:$D$25,'採算表(VND)'!$B88,'内訳ﾘｽﾄ(4～3月)'!J$24:J$25)</f>
        <v>8</v>
      </c>
      <c r="H88" s="150">
        <f>SUMIF('内訳ﾘｽﾄ(4～3月)'!$D$24:$D$25,'採算表(VND)'!$B88,'内訳ﾘｽﾄ(4～3月)'!K$24:K$25)</f>
        <v>8</v>
      </c>
      <c r="I88" s="150">
        <f>SUMIF('内訳ﾘｽﾄ(4～3月)'!$D$24:$D$25,'採算表(VND)'!$B88,'内訳ﾘｽﾄ(4～3月)'!L$24:L$25)</f>
        <v>8</v>
      </c>
      <c r="J88" s="150">
        <f>SUMIF('内訳ﾘｽﾄ(4～3月)'!$D$24:$D$25,'採算表(VND)'!$B88,'内訳ﾘｽﾄ(4～3月)'!M$24:M$25)</f>
        <v>8</v>
      </c>
      <c r="K88" s="150">
        <f>SUMIF('内訳ﾘｽﾄ(4～3月)'!$D$24:$D$25,'採算表(VND)'!$B88,'内訳ﾘｽﾄ(4～3月)'!N$24:N$25)</f>
        <v>8</v>
      </c>
      <c r="L88" s="150">
        <f>SUMIF('内訳ﾘｽﾄ(4～3月)'!$D$24:$D$25,'採算表(VND)'!$B88,'内訳ﾘｽﾄ(4～3月)'!O$24:O$25)</f>
        <v>8</v>
      </c>
      <c r="M88" s="150">
        <f>SUMIF('内訳ﾘｽﾄ(4～3月)'!$D$24:$D$25,'採算表(VND)'!$B88,'内訳ﾘｽﾄ(4～3月)'!P$24:P$25)</f>
        <v>8</v>
      </c>
      <c r="N88" s="150">
        <f>SUMIF('内訳ﾘｽﾄ(4～3月)'!$D$24:$D$25,'採算表(VND)'!$B88,'内訳ﾘｽﾄ(4～3月)'!Q$24:Q$25)</f>
        <v>8</v>
      </c>
      <c r="O88" s="150">
        <f>SUMIF('内訳ﾘｽﾄ(4～3月)'!$D$24:$D$25,'採算表(VND)'!$B88,'内訳ﾘｽﾄ(4～3月)'!R$24:R$25)</f>
        <v>8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8</v>
      </c>
      <c r="D89" s="151">
        <f t="shared" si="10"/>
        <v>8</v>
      </c>
      <c r="E89" s="151">
        <f t="shared" si="10"/>
        <v>8</v>
      </c>
      <c r="F89" s="151">
        <f t="shared" si="10"/>
        <v>8</v>
      </c>
      <c r="G89" s="151">
        <f t="shared" si="10"/>
        <v>8</v>
      </c>
      <c r="H89" s="151">
        <f t="shared" si="10"/>
        <v>8</v>
      </c>
      <c r="I89" s="151">
        <f t="shared" si="10"/>
        <v>8</v>
      </c>
      <c r="J89" s="151">
        <f t="shared" si="10"/>
        <v>8</v>
      </c>
      <c r="K89" s="151">
        <f t="shared" si="10"/>
        <v>8</v>
      </c>
      <c r="L89" s="151">
        <f t="shared" si="10"/>
        <v>8</v>
      </c>
      <c r="M89" s="151">
        <f t="shared" si="10"/>
        <v>8</v>
      </c>
      <c r="N89" s="151">
        <f t="shared" si="10"/>
        <v>8</v>
      </c>
      <c r="O89" s="151">
        <f>O87+O88</f>
        <v>8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1273</v>
      </c>
      <c r="D93" s="161">
        <f>SUMIF('内訳ﾘｽﾄ(4～3月)'!$B$8:$B$15,$B93,'内訳ﾘｽﾄ(4～3月)'!G$8:G$15)</f>
        <v>1206</v>
      </c>
      <c r="E93" s="161">
        <f>SUMIF('内訳ﾘｽﾄ(4～3月)'!$B$8:$B$15,$B93,'内訳ﾘｽﾄ(4～3月)'!H$8:H$15)</f>
        <v>1350</v>
      </c>
      <c r="F93" s="161">
        <f>SUMIF('内訳ﾘｽﾄ(4～3月)'!$B$8:$B$15,$B93,'内訳ﾘｽﾄ(4～3月)'!I$8:I$15)</f>
        <v>1496</v>
      </c>
      <c r="G93" s="161">
        <f>SUMIF('内訳ﾘｽﾄ(4～3月)'!$B$8:$B$15,$B93,'内訳ﾘｽﾄ(4～3月)'!J$8:J$15)</f>
        <v>1292</v>
      </c>
      <c r="H93" s="161">
        <f>SUMIF('内訳ﾘｽﾄ(4～3月)'!$B$8:$B$15,$B93,'内訳ﾘｽﾄ(4～3月)'!K$8:K$15)</f>
        <v>1224</v>
      </c>
      <c r="I93" s="161">
        <f>SUMIF('内訳ﾘｽﾄ(4～3月)'!$B$8:$B$15,$B93,'内訳ﾘｽﾄ(4～3月)'!L$8:L$15)</f>
        <v>1496</v>
      </c>
      <c r="J93" s="161">
        <f>SUMIF('内訳ﾘｽﾄ(4～3月)'!$B$8:$B$15,$B93,'内訳ﾘｽﾄ(4～3月)'!M$8:M$15)</f>
        <v>1292</v>
      </c>
      <c r="K93" s="161">
        <f>SUMIF('内訳ﾘｽﾄ(4～3月)'!$B$8:$B$15,$B93,'内訳ﾘｽﾄ(4～3月)'!N$8:N$15)</f>
        <v>1428</v>
      </c>
      <c r="L93" s="161">
        <f>SUMIF('内訳ﾘｽﾄ(4～3月)'!$B$8:$B$15,$B93,'内訳ﾘｽﾄ(4～3月)'!O$8:O$15)</f>
        <v>1292</v>
      </c>
      <c r="M93" s="161">
        <f>SUMIF('内訳ﾘｽﾄ(4～3月)'!$B$8:$B$15,$B93,'内訳ﾘｽﾄ(4～3月)'!P$8:P$15)</f>
        <v>952</v>
      </c>
      <c r="N93" s="161">
        <f>SUMIF('内訳ﾘｽﾄ(4～3月)'!$B$8:$B$15,$B93,'内訳ﾘｽﾄ(4～3月)'!Q$8:Q$15)</f>
        <v>1292</v>
      </c>
      <c r="O93" s="161">
        <f>SUMIF('内訳ﾘｽﾄ(4～3月)'!$B$8:$B$15,$B93,'内訳ﾘｽﾄ(4～3月)'!R$8:R$15)</f>
        <v>15593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1273</v>
      </c>
      <c r="D94" s="169">
        <f t="shared" si="11"/>
        <v>1206</v>
      </c>
      <c r="E94" s="169">
        <f t="shared" si="11"/>
        <v>1350</v>
      </c>
      <c r="F94" s="169">
        <f t="shared" si="11"/>
        <v>1496</v>
      </c>
      <c r="G94" s="169">
        <f t="shared" si="11"/>
        <v>1292</v>
      </c>
      <c r="H94" s="169">
        <f t="shared" si="11"/>
        <v>1224</v>
      </c>
      <c r="I94" s="169">
        <f t="shared" si="11"/>
        <v>1496</v>
      </c>
      <c r="J94" s="169">
        <f t="shared" si="11"/>
        <v>1292</v>
      </c>
      <c r="K94" s="169">
        <f t="shared" si="11"/>
        <v>1428</v>
      </c>
      <c r="L94" s="169">
        <f t="shared" si="11"/>
        <v>1292</v>
      </c>
      <c r="M94" s="169">
        <f t="shared" si="11"/>
        <v>952</v>
      </c>
      <c r="N94" s="169">
        <f t="shared" si="11"/>
        <v>1292</v>
      </c>
      <c r="O94" s="169">
        <f>O92+O93</f>
        <v>15593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38</v>
      </c>
      <c r="D98" s="161">
        <f>SUMIF('内訳ﾘｽﾄ(4～3月)'!$B$16:$B$23,$B98,'内訳ﾘｽﾄ(4～3月)'!G$16:G$23)</f>
        <v>36</v>
      </c>
      <c r="E98" s="161">
        <f>SUMIF('内訳ﾘｽﾄ(4～3月)'!$B$16:$B$23,$B98,'内訳ﾘｽﾄ(4～3月)'!H$16:H$23)</f>
        <v>40</v>
      </c>
      <c r="F98" s="161">
        <f>SUMIF('内訳ﾘｽﾄ(4～3月)'!$B$16:$B$23,$B98,'内訳ﾘｽﾄ(4～3月)'!I$16:I$23)</f>
        <v>44</v>
      </c>
      <c r="G98" s="161">
        <f>SUMIF('内訳ﾘｽﾄ(4～3月)'!$B$16:$B$23,$B98,'内訳ﾘｽﾄ(4～3月)'!J$16:J$23)</f>
        <v>38</v>
      </c>
      <c r="H98" s="161">
        <f>SUMIF('内訳ﾘｽﾄ(4～3月)'!$B$16:$B$23,$B98,'内訳ﾘｽﾄ(4～3月)'!K$16:K$23)</f>
        <v>36</v>
      </c>
      <c r="I98" s="161">
        <f>SUMIF('内訳ﾘｽﾄ(4～3月)'!$B$16:$B$23,$B98,'内訳ﾘｽﾄ(4～3月)'!L$16:L$23)</f>
        <v>44</v>
      </c>
      <c r="J98" s="161">
        <f>SUMIF('内訳ﾘｽﾄ(4～3月)'!$B$16:$B$23,$B98,'内訳ﾘｽﾄ(4～3月)'!M$16:M$23)</f>
        <v>38</v>
      </c>
      <c r="K98" s="161">
        <f>SUMIF('内訳ﾘｽﾄ(4～3月)'!$B$16:$B$23,$B98,'内訳ﾘｽﾄ(4～3月)'!N$16:N$23)</f>
        <v>42</v>
      </c>
      <c r="L98" s="161">
        <f>SUMIF('内訳ﾘｽﾄ(4～3月)'!$B$16:$B$23,$B98,'内訳ﾘｽﾄ(4～3月)'!O$16:O$23)</f>
        <v>76</v>
      </c>
      <c r="M98" s="161">
        <f>SUMIF('内訳ﾘｽﾄ(4～3月)'!$B$16:$B$23,$B98,'内訳ﾘｽﾄ(4～3月)'!P$16:P$23)</f>
        <v>56</v>
      </c>
      <c r="N98" s="161">
        <f>SUMIF('内訳ﾘｽﾄ(4～3月)'!$B$16:$B$23,$B98,'内訳ﾘｽﾄ(4～3月)'!Q$16:Q$23)</f>
        <v>76</v>
      </c>
      <c r="O98" s="161">
        <f>SUMIF('内訳ﾘｽﾄ(4～3月)'!$B$16:$B$23,$B98,'内訳ﾘｽﾄ(4～3月)'!R$16:R$23)</f>
        <v>564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38</v>
      </c>
      <c r="D99" s="169">
        <f t="shared" si="12"/>
        <v>36</v>
      </c>
      <c r="E99" s="169">
        <f t="shared" si="12"/>
        <v>40</v>
      </c>
      <c r="F99" s="169">
        <f t="shared" si="12"/>
        <v>44</v>
      </c>
      <c r="G99" s="169">
        <f t="shared" si="12"/>
        <v>38</v>
      </c>
      <c r="H99" s="169">
        <f t="shared" si="12"/>
        <v>36</v>
      </c>
      <c r="I99" s="169">
        <f t="shared" si="12"/>
        <v>44</v>
      </c>
      <c r="J99" s="169">
        <f t="shared" si="12"/>
        <v>38</v>
      </c>
      <c r="K99" s="169">
        <f t="shared" si="12"/>
        <v>42</v>
      </c>
      <c r="L99" s="169">
        <f t="shared" si="12"/>
        <v>76</v>
      </c>
      <c r="M99" s="169">
        <f t="shared" si="12"/>
        <v>56</v>
      </c>
      <c r="N99" s="169">
        <f t="shared" si="12"/>
        <v>76</v>
      </c>
      <c r="O99" s="169">
        <f>O97+O98</f>
        <v>564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AD3506C0-B6C6-46BA-9BFA-360B3AB6B93F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634C-5116-4CD0-847A-13DF2D863728}">
  <sheetPr codeName="Sheet3">
    <tabColor indexed="13"/>
  </sheetPr>
  <dimension ref="A1:BC1001"/>
  <sheetViews>
    <sheetView tabSelected="1" zoomScale="85" zoomScaleNormal="85" workbookViewId="0">
      <pane xSplit="4" ySplit="7" topLeftCell="J8" activePane="bottomRight" state="frozen"/>
      <selection pane="topRight" activeCell="E1" sqref="E1"/>
      <selection pane="bottomLeft" activeCell="A8" sqref="A8"/>
      <selection pane="bottomRight" activeCell="T1" sqref="T1"/>
    </sheetView>
  </sheetViews>
  <sheetFormatPr defaultColWidth="9" defaultRowHeight="11.25"/>
  <cols>
    <col min="1" max="1" width="2" style="1" customWidth="1"/>
    <col min="2" max="2" width="8.375" style="181" customWidth="1"/>
    <col min="3" max="3" width="10" style="4" customWidth="1"/>
    <col min="4" max="4" width="9.625" style="4" customWidth="1"/>
    <col min="5" max="5" width="4.625" style="3" customWidth="1"/>
    <col min="6" max="6" width="10.5" style="124" customWidth="1"/>
    <col min="7" max="7" width="9.75" style="125" customWidth="1"/>
    <col min="8" max="17" width="11" style="125" customWidth="1"/>
    <col min="18" max="18" width="10.625" style="126" customWidth="1"/>
    <col min="19" max="19" width="23.125" style="4" customWidth="1"/>
    <col min="20" max="20" width="8.75" style="72" customWidth="1"/>
    <col min="21" max="23" width="9" style="4" customWidth="1"/>
    <col min="24" max="16384" width="9" style="4"/>
  </cols>
  <sheetData>
    <row r="1" spans="1:55" ht="25.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1001),0)-ROUND((F26:F1001)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1001),0)-ROUND((G26:G1001)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1001),0)-ROUND((H26:H1001)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1001),0)-ROUND((I26:I1001)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1001),0)-ROUND((J26:J1001)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1001),0)-ROUND((K26:K1001)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1001),0)-ROUND((L26:L1001)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1001),0)-ROUND((M26:M1001)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1001),0)-ROUND((N26:N1001)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1001),0)-ROUND((O26:O1001)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1001),0)-ROUND((P26:P1001)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1001),0)-ROUND((Q26:Q1001)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23.2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4.25" thickBot="1">
      <c r="B5" s="174">
        <v>1412000070</v>
      </c>
      <c r="C5" s="7" t="str">
        <f>VLOOKUP($B$5,原価センタ!$A:$E,2,0)</f>
        <v>第4資材課</v>
      </c>
      <c r="D5" s="62" t="str">
        <f>VLOOKUP($B$5,原価センタ!$A:$E,4,0)</f>
        <v>部外間接2</v>
      </c>
      <c r="E5" s="62" t="str">
        <f>VLOOKUP($B$5,原価センタ!$A:$E,5,0)</f>
        <v>製造</v>
      </c>
      <c r="F5" s="252">
        <f t="shared" ref="F5:R5" si="0">SUM(F29:F1001)</f>
        <v>235855940</v>
      </c>
      <c r="G5" s="252">
        <f t="shared" si="0"/>
        <v>72018901</v>
      </c>
      <c r="H5" s="252">
        <f t="shared" si="0"/>
        <v>56075461</v>
      </c>
      <c r="I5" s="252">
        <f t="shared" si="0"/>
        <v>39271586</v>
      </c>
      <c r="J5" s="252">
        <f t="shared" si="0"/>
        <v>38425573</v>
      </c>
      <c r="K5" s="252">
        <f t="shared" si="0"/>
        <v>39317103</v>
      </c>
      <c r="L5" s="252">
        <f t="shared" si="0"/>
        <v>38051493</v>
      </c>
      <c r="M5" s="252">
        <f t="shared" si="0"/>
        <v>38932956</v>
      </c>
      <c r="N5" s="252">
        <f t="shared" si="0"/>
        <v>38866383</v>
      </c>
      <c r="O5" s="252">
        <f t="shared" si="0"/>
        <v>35899093</v>
      </c>
      <c r="P5" s="252">
        <f t="shared" si="0"/>
        <v>38156720</v>
      </c>
      <c r="Q5" s="252">
        <f t="shared" si="0"/>
        <v>35050683</v>
      </c>
      <c r="R5" s="253">
        <f t="shared" si="0"/>
        <v>705921892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23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.5">
      <c r="A8" s="182"/>
      <c r="B8" s="259" t="s">
        <v>324</v>
      </c>
      <c r="C8" s="183" t="s">
        <v>334</v>
      </c>
      <c r="D8" s="184" t="s">
        <v>81</v>
      </c>
      <c r="E8" s="185"/>
      <c r="F8" s="186">
        <v>0</v>
      </c>
      <c r="G8" s="186">
        <f>F8</f>
        <v>0</v>
      </c>
      <c r="H8" s="186">
        <f t="shared" ref="H8:Q8" si="1">G8</f>
        <v>0</v>
      </c>
      <c r="I8" s="186">
        <f t="shared" si="1"/>
        <v>0</v>
      </c>
      <c r="J8" s="186">
        <f t="shared" si="1"/>
        <v>0</v>
      </c>
      <c r="K8" s="186">
        <f t="shared" si="1"/>
        <v>0</v>
      </c>
      <c r="L8" s="186">
        <f t="shared" si="1"/>
        <v>0</v>
      </c>
      <c r="M8" s="186">
        <f t="shared" si="1"/>
        <v>0</v>
      </c>
      <c r="N8" s="186">
        <f t="shared" si="1"/>
        <v>0</v>
      </c>
      <c r="O8" s="186">
        <f t="shared" si="1"/>
        <v>0</v>
      </c>
      <c r="P8" s="186">
        <f t="shared" si="1"/>
        <v>0</v>
      </c>
      <c r="Q8" s="186">
        <f t="shared" si="1"/>
        <v>0</v>
      </c>
      <c r="R8" s="187">
        <f>SUM(F8:Q8)</f>
        <v>0</v>
      </c>
      <c r="S8" s="188"/>
      <c r="T8" s="189"/>
      <c r="U8" s="190"/>
      <c r="V8" s="190"/>
      <c r="W8" s="190"/>
      <c r="BA8"/>
      <c r="BB8"/>
    </row>
    <row r="9" spans="1:55" s="191" customFormat="1" ht="13.5">
      <c r="A9" s="182"/>
      <c r="B9" s="260" t="s">
        <v>325</v>
      </c>
      <c r="C9" s="183" t="s">
        <v>335</v>
      </c>
      <c r="D9" s="192" t="s">
        <v>81</v>
      </c>
      <c r="E9" s="193"/>
      <c r="F9" s="194">
        <v>1273</v>
      </c>
      <c r="G9" s="194">
        <v>1206</v>
      </c>
      <c r="H9" s="194">
        <v>1350</v>
      </c>
      <c r="I9" s="194">
        <v>1496</v>
      </c>
      <c r="J9" s="194">
        <v>1292</v>
      </c>
      <c r="K9" s="194">
        <v>1224</v>
      </c>
      <c r="L9" s="194">
        <v>1496</v>
      </c>
      <c r="M9" s="194">
        <v>1292</v>
      </c>
      <c r="N9" s="194">
        <v>1428</v>
      </c>
      <c r="O9" s="194">
        <v>1292</v>
      </c>
      <c r="P9" s="194">
        <v>952</v>
      </c>
      <c r="Q9" s="194">
        <v>1292</v>
      </c>
      <c r="R9" s="195">
        <f t="shared" ref="R9:R23" si="2">SUM(F9:Q9)</f>
        <v>15593</v>
      </c>
      <c r="S9" s="196"/>
      <c r="T9" s="197"/>
      <c r="U9" s="190"/>
      <c r="V9" s="190"/>
      <c r="W9" s="190"/>
      <c r="BA9"/>
      <c r="BB9"/>
    </row>
    <row r="10" spans="1:55" s="191" customFormat="1" ht="13.5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2"/>
        <v>0</v>
      </c>
      <c r="S10" s="201"/>
      <c r="T10" s="202"/>
      <c r="U10" s="190"/>
      <c r="V10" s="190"/>
      <c r="W10" s="190"/>
      <c r="BA10"/>
      <c r="BB10"/>
    </row>
    <row r="11" spans="1:55" s="208" customFormat="1" ht="13.5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2"/>
        <v>0</v>
      </c>
      <c r="S11" s="206"/>
      <c r="T11" s="207"/>
      <c r="U11" s="190"/>
      <c r="V11" s="190"/>
      <c r="W11" s="190"/>
      <c r="BA11"/>
      <c r="BB11"/>
    </row>
    <row r="12" spans="1:55" s="208" customFormat="1" ht="13.5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2"/>
        <v>0</v>
      </c>
      <c r="S12" s="214" t="s">
        <v>692</v>
      </c>
      <c r="T12" s="207"/>
      <c r="U12" s="190"/>
      <c r="V12" s="190"/>
      <c r="W12" s="190"/>
      <c r="BA12"/>
      <c r="BB12"/>
    </row>
    <row r="13" spans="1:55" s="208" customFormat="1" ht="13.5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2"/>
        <v>0</v>
      </c>
      <c r="S13" s="214" t="s">
        <v>692</v>
      </c>
      <c r="T13" s="207"/>
      <c r="U13" s="190"/>
      <c r="V13" s="190"/>
      <c r="W13" s="190"/>
      <c r="BA13"/>
      <c r="BB13"/>
    </row>
    <row r="14" spans="1:55" s="208" customFormat="1" ht="13.5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2"/>
        <v>0</v>
      </c>
      <c r="S14" s="214" t="s">
        <v>692</v>
      </c>
      <c r="T14" s="207"/>
      <c r="U14" s="190"/>
      <c r="V14" s="190"/>
      <c r="W14" s="190"/>
      <c r="BA14"/>
      <c r="BB14"/>
    </row>
    <row r="15" spans="1:55" s="208" customFormat="1" ht="13.5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2"/>
        <v>0</v>
      </c>
      <c r="S15" s="214" t="s">
        <v>692</v>
      </c>
      <c r="T15" s="207"/>
      <c r="U15" s="190"/>
      <c r="V15" s="190"/>
      <c r="W15" s="190"/>
      <c r="BA15"/>
      <c r="BB15"/>
    </row>
    <row r="16" spans="1:55" s="208" customFormat="1" ht="13.5">
      <c r="A16" s="203"/>
      <c r="B16" s="263" t="s">
        <v>326</v>
      </c>
      <c r="C16" s="183" t="s">
        <v>338</v>
      </c>
      <c r="D16" s="215" t="s">
        <v>86</v>
      </c>
      <c r="E16" s="204"/>
      <c r="F16" s="194">
        <v>0</v>
      </c>
      <c r="G16" s="194">
        <f>F16</f>
        <v>0</v>
      </c>
      <c r="H16" s="194">
        <f t="shared" ref="H16:Q16" si="3">G16</f>
        <v>0</v>
      </c>
      <c r="I16" s="194">
        <f t="shared" si="3"/>
        <v>0</v>
      </c>
      <c r="J16" s="194">
        <f t="shared" si="3"/>
        <v>0</v>
      </c>
      <c r="K16" s="194">
        <f t="shared" si="3"/>
        <v>0</v>
      </c>
      <c r="L16" s="194">
        <f t="shared" si="3"/>
        <v>0</v>
      </c>
      <c r="M16" s="194">
        <f t="shared" si="3"/>
        <v>0</v>
      </c>
      <c r="N16" s="194">
        <f t="shared" si="3"/>
        <v>0</v>
      </c>
      <c r="O16" s="194">
        <f t="shared" si="3"/>
        <v>0</v>
      </c>
      <c r="P16" s="194">
        <f t="shared" si="3"/>
        <v>0</v>
      </c>
      <c r="Q16" s="194">
        <f t="shared" si="3"/>
        <v>0</v>
      </c>
      <c r="R16" s="205">
        <f t="shared" si="2"/>
        <v>0</v>
      </c>
      <c r="S16" s="206"/>
      <c r="T16" s="207"/>
      <c r="U16" s="190"/>
      <c r="V16" s="190"/>
      <c r="W16" s="190"/>
      <c r="BA16"/>
      <c r="BB16"/>
    </row>
    <row r="17" spans="1:54" s="191" customFormat="1" ht="13.5">
      <c r="A17" s="182"/>
      <c r="B17" s="263" t="s">
        <v>327</v>
      </c>
      <c r="C17" s="183" t="s">
        <v>339</v>
      </c>
      <c r="D17" s="215" t="s">
        <v>86</v>
      </c>
      <c r="E17" s="204"/>
      <c r="F17" s="194">
        <v>38</v>
      </c>
      <c r="G17" s="194">
        <v>36</v>
      </c>
      <c r="H17" s="194">
        <v>40</v>
      </c>
      <c r="I17" s="194">
        <v>44</v>
      </c>
      <c r="J17" s="194">
        <v>38</v>
      </c>
      <c r="K17" s="194">
        <v>36</v>
      </c>
      <c r="L17" s="194">
        <v>44</v>
      </c>
      <c r="M17" s="194">
        <v>38</v>
      </c>
      <c r="N17" s="194">
        <v>42</v>
      </c>
      <c r="O17" s="194">
        <v>76</v>
      </c>
      <c r="P17" s="194">
        <v>56</v>
      </c>
      <c r="Q17" s="194">
        <v>76</v>
      </c>
      <c r="R17" s="205">
        <f t="shared" si="2"/>
        <v>564</v>
      </c>
      <c r="S17" s="206"/>
      <c r="T17" s="207"/>
      <c r="U17" s="190"/>
      <c r="V17" s="190"/>
      <c r="W17" s="190"/>
      <c r="BA17"/>
      <c r="BB17"/>
    </row>
    <row r="18" spans="1:54" s="191" customFormat="1" ht="13.5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2"/>
        <v>0</v>
      </c>
      <c r="S18" s="201"/>
      <c r="T18" s="202"/>
      <c r="U18" s="190"/>
      <c r="V18" s="190"/>
      <c r="W18" s="190"/>
      <c r="BA18"/>
      <c r="BB18"/>
    </row>
    <row r="19" spans="1:54" s="208" customFormat="1" ht="13.5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2"/>
        <v>0</v>
      </c>
      <c r="S19" s="206"/>
      <c r="T19" s="207"/>
      <c r="U19" s="190"/>
      <c r="V19" s="190"/>
      <c r="W19" s="190"/>
      <c r="BA19"/>
      <c r="BB19"/>
    </row>
    <row r="20" spans="1:54" s="208" customFormat="1" ht="13.5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2"/>
        <v>0</v>
      </c>
      <c r="S20" s="214" t="s">
        <v>692</v>
      </c>
      <c r="T20" s="207"/>
      <c r="U20" s="190"/>
      <c r="V20" s="190"/>
      <c r="W20" s="190"/>
      <c r="BA20"/>
      <c r="BB20"/>
    </row>
    <row r="21" spans="1:54" s="208" customFormat="1" ht="13.5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2"/>
        <v>0</v>
      </c>
      <c r="S21" s="214" t="s">
        <v>692</v>
      </c>
      <c r="T21" s="207"/>
      <c r="U21" s="190"/>
      <c r="V21" s="190"/>
      <c r="W21" s="190"/>
      <c r="BA21"/>
      <c r="BB21"/>
    </row>
    <row r="22" spans="1:54" s="208" customFormat="1" ht="13.5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2"/>
        <v>0</v>
      </c>
      <c r="S22" s="214" t="s">
        <v>692</v>
      </c>
      <c r="T22" s="207"/>
      <c r="U22" s="190"/>
      <c r="V22" s="190"/>
      <c r="W22" s="190"/>
      <c r="BA22"/>
      <c r="BB22"/>
    </row>
    <row r="23" spans="1:54" s="208" customFormat="1" ht="13.5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2"/>
        <v>0</v>
      </c>
      <c r="S23" s="214" t="s">
        <v>692</v>
      </c>
      <c r="T23" s="207"/>
      <c r="U23" s="190"/>
      <c r="V23" s="190"/>
      <c r="W23" s="190"/>
      <c r="BA23"/>
      <c r="BB23"/>
    </row>
    <row r="24" spans="1:54" s="208" customFormat="1" ht="13.5">
      <c r="A24" s="203"/>
      <c r="B24" s="264" t="s">
        <v>343</v>
      </c>
      <c r="C24" s="265" t="s">
        <v>343</v>
      </c>
      <c r="D24" s="266" t="s">
        <v>343</v>
      </c>
      <c r="E24" s="245"/>
      <c r="F24" s="267">
        <v>0</v>
      </c>
      <c r="G24" s="267">
        <f>F24</f>
        <v>0</v>
      </c>
      <c r="H24" s="267">
        <f t="shared" ref="H24:Q24" si="4">G24</f>
        <v>0</v>
      </c>
      <c r="I24" s="267">
        <f t="shared" si="4"/>
        <v>0</v>
      </c>
      <c r="J24" s="267">
        <f t="shared" si="4"/>
        <v>0</v>
      </c>
      <c r="K24" s="267">
        <f t="shared" si="4"/>
        <v>0</v>
      </c>
      <c r="L24" s="267">
        <f t="shared" si="4"/>
        <v>0</v>
      </c>
      <c r="M24" s="267">
        <f t="shared" si="4"/>
        <v>0</v>
      </c>
      <c r="N24" s="267">
        <f t="shared" si="4"/>
        <v>0</v>
      </c>
      <c r="O24" s="267">
        <f t="shared" si="4"/>
        <v>0</v>
      </c>
      <c r="P24" s="267">
        <f t="shared" si="4"/>
        <v>0</v>
      </c>
      <c r="Q24" s="267">
        <f t="shared" si="4"/>
        <v>0</v>
      </c>
      <c r="R24" s="200">
        <f>Q24</f>
        <v>0</v>
      </c>
      <c r="S24" s="201"/>
      <c r="T24" s="202"/>
      <c r="U24" s="268"/>
      <c r="V24" s="190"/>
      <c r="W24" s="190"/>
      <c r="BA24"/>
      <c r="BB24"/>
    </row>
    <row r="25" spans="1:54" s="191" customFormat="1" ht="15.7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8</v>
      </c>
      <c r="G25" s="271">
        <v>8</v>
      </c>
      <c r="H25" s="271">
        <v>8</v>
      </c>
      <c r="I25" s="271">
        <v>8</v>
      </c>
      <c r="J25" s="271">
        <v>8</v>
      </c>
      <c r="K25" s="271">
        <v>8</v>
      </c>
      <c r="L25" s="271">
        <v>8</v>
      </c>
      <c r="M25" s="271">
        <v>8</v>
      </c>
      <c r="N25" s="271">
        <v>8</v>
      </c>
      <c r="O25" s="271">
        <v>8</v>
      </c>
      <c r="P25" s="271">
        <v>8</v>
      </c>
      <c r="Q25" s="271">
        <v>8</v>
      </c>
      <c r="R25" s="272">
        <f>Q25</f>
        <v>8</v>
      </c>
      <c r="S25" s="273"/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.5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5">ROUNDDOWN(V26*$B$2,0)</f>
        <v>0</v>
      </c>
      <c r="G26" s="220">
        <f t="shared" si="5"/>
        <v>0</v>
      </c>
      <c r="H26" s="220">
        <f t="shared" si="5"/>
        <v>0</v>
      </c>
      <c r="I26" s="220">
        <f t="shared" si="5"/>
        <v>0</v>
      </c>
      <c r="J26" s="220">
        <f t="shared" si="5"/>
        <v>0</v>
      </c>
      <c r="K26" s="220">
        <f t="shared" si="5"/>
        <v>0</v>
      </c>
      <c r="L26" s="220">
        <f t="shared" si="5"/>
        <v>0</v>
      </c>
      <c r="M26" s="220">
        <f t="shared" si="5"/>
        <v>0</v>
      </c>
      <c r="N26" s="220">
        <f t="shared" si="5"/>
        <v>0</v>
      </c>
      <c r="O26" s="220">
        <f t="shared" si="5"/>
        <v>0</v>
      </c>
      <c r="P26" s="220">
        <f t="shared" si="5"/>
        <v>0</v>
      </c>
      <c r="Q26" s="220">
        <f t="shared" si="5"/>
        <v>0</v>
      </c>
      <c r="R26" s="221">
        <f t="shared" ref="R26:R119" si="6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.5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5"/>
        <v>0</v>
      </c>
      <c r="G27" s="230">
        <f t="shared" si="5"/>
        <v>0</v>
      </c>
      <c r="H27" s="230">
        <f t="shared" si="5"/>
        <v>0</v>
      </c>
      <c r="I27" s="230">
        <f t="shared" si="5"/>
        <v>0</v>
      </c>
      <c r="J27" s="230">
        <f t="shared" si="5"/>
        <v>0</v>
      </c>
      <c r="K27" s="230">
        <f t="shared" si="5"/>
        <v>0</v>
      </c>
      <c r="L27" s="230">
        <f t="shared" si="5"/>
        <v>0</v>
      </c>
      <c r="M27" s="230">
        <f t="shared" si="5"/>
        <v>0</v>
      </c>
      <c r="N27" s="230">
        <f t="shared" si="5"/>
        <v>0</v>
      </c>
      <c r="O27" s="230">
        <f t="shared" si="5"/>
        <v>0</v>
      </c>
      <c r="P27" s="230">
        <f t="shared" si="5"/>
        <v>0</v>
      </c>
      <c r="Q27" s="230">
        <f t="shared" si="5"/>
        <v>0</v>
      </c>
      <c r="R27" s="221">
        <f t="shared" si="6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.5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5"/>
        <v>0</v>
      </c>
      <c r="G28" s="230">
        <f t="shared" si="5"/>
        <v>0</v>
      </c>
      <c r="H28" s="230">
        <f t="shared" si="5"/>
        <v>0</v>
      </c>
      <c r="I28" s="230">
        <f t="shared" si="5"/>
        <v>0</v>
      </c>
      <c r="J28" s="230">
        <f t="shared" si="5"/>
        <v>0</v>
      </c>
      <c r="K28" s="230">
        <f t="shared" si="5"/>
        <v>0</v>
      </c>
      <c r="L28" s="230">
        <f t="shared" si="5"/>
        <v>0</v>
      </c>
      <c r="M28" s="230">
        <f t="shared" si="5"/>
        <v>0</v>
      </c>
      <c r="N28" s="230">
        <f t="shared" si="5"/>
        <v>0</v>
      </c>
      <c r="O28" s="230">
        <f t="shared" si="5"/>
        <v>0</v>
      </c>
      <c r="P28" s="230">
        <f t="shared" si="5"/>
        <v>0</v>
      </c>
      <c r="Q28" s="230">
        <f t="shared" si="5"/>
        <v>0</v>
      </c>
      <c r="R28" s="221">
        <f t="shared" si="6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4.2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7">ROUNDUP(V29*$B$2,0)</f>
        <v>0</v>
      </c>
      <c r="G29" s="235">
        <f t="shared" si="7"/>
        <v>0</v>
      </c>
      <c r="H29" s="235">
        <f t="shared" si="7"/>
        <v>0</v>
      </c>
      <c r="I29" s="235">
        <f t="shared" si="7"/>
        <v>0</v>
      </c>
      <c r="J29" s="235">
        <f t="shared" si="7"/>
        <v>0</v>
      </c>
      <c r="K29" s="235">
        <f t="shared" si="7"/>
        <v>0</v>
      </c>
      <c r="L29" s="235">
        <f t="shared" si="7"/>
        <v>0</v>
      </c>
      <c r="M29" s="235">
        <f t="shared" si="7"/>
        <v>0</v>
      </c>
      <c r="N29" s="235">
        <f t="shared" si="7"/>
        <v>0</v>
      </c>
      <c r="O29" s="235">
        <f t="shared" si="7"/>
        <v>0</v>
      </c>
      <c r="P29" s="235">
        <f t="shared" si="7"/>
        <v>0</v>
      </c>
      <c r="Q29" s="235">
        <f t="shared" si="7"/>
        <v>0</v>
      </c>
      <c r="R29" s="236">
        <f t="shared" si="6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.5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6"/>
        <v>0</v>
      </c>
      <c r="S30" s="201"/>
      <c r="T30" s="202"/>
      <c r="U30" s="190"/>
      <c r="V30" s="190"/>
      <c r="W30" s="190"/>
      <c r="BA30"/>
      <c r="BB30"/>
    </row>
    <row r="31" spans="1:54" s="208" customFormat="1" ht="13.5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6"/>
        <v>0</v>
      </c>
      <c r="S31" s="201" t="s">
        <v>692</v>
      </c>
      <c r="T31" s="202"/>
      <c r="U31" s="190"/>
      <c r="V31" s="190"/>
      <c r="W31" s="190"/>
      <c r="BA31"/>
      <c r="BB31"/>
    </row>
    <row r="32" spans="1:54" s="208" customFormat="1" ht="13.5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6"/>
        <v>0</v>
      </c>
      <c r="S32" s="201" t="s">
        <v>692</v>
      </c>
      <c r="T32" s="202"/>
      <c r="U32" s="190"/>
      <c r="V32" s="190"/>
      <c r="W32" s="190"/>
      <c r="BA32"/>
      <c r="BB32"/>
    </row>
    <row r="33" spans="1:54" s="208" customFormat="1" ht="13.5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6"/>
        <v>0</v>
      </c>
      <c r="S33" s="201" t="s">
        <v>692</v>
      </c>
      <c r="T33" s="202"/>
      <c r="U33" s="190"/>
      <c r="V33" s="190"/>
      <c r="W33" s="190"/>
      <c r="BA33"/>
      <c r="BB33"/>
    </row>
    <row r="34" spans="1:54" s="208" customFormat="1" ht="13.5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6"/>
        <v>0</v>
      </c>
      <c r="S34" s="201" t="s">
        <v>692</v>
      </c>
      <c r="T34" s="202"/>
      <c r="U34" s="190"/>
      <c r="V34" s="190"/>
      <c r="W34" s="190"/>
      <c r="BA34"/>
      <c r="BB34"/>
    </row>
    <row r="35" spans="1:54" s="208" customFormat="1" ht="13.5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6"/>
        <v>0</v>
      </c>
      <c r="S35" s="201"/>
      <c r="T35" s="202"/>
      <c r="U35" s="190"/>
      <c r="V35" s="190"/>
      <c r="W35" s="190"/>
      <c r="BA35"/>
      <c r="BB35"/>
    </row>
    <row r="36" spans="1:54" s="191" customFormat="1" ht="13.5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6"/>
        <v>0</v>
      </c>
      <c r="S36" s="201"/>
      <c r="T36" s="202"/>
      <c r="U36" s="246"/>
      <c r="V36" s="246"/>
      <c r="W36" s="246"/>
      <c r="BA36"/>
      <c r="BB36"/>
    </row>
    <row r="37" spans="1:54" s="191" customFormat="1" ht="13.5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6"/>
        <v>0</v>
      </c>
      <c r="S37" s="201"/>
      <c r="T37" s="202"/>
      <c r="U37" s="246"/>
      <c r="V37" s="246"/>
      <c r="W37" s="246"/>
      <c r="BA37"/>
      <c r="BB37"/>
    </row>
    <row r="38" spans="1:54" s="191" customFormat="1" ht="13.5">
      <c r="A38" s="226"/>
      <c r="B38" s="180">
        <v>5005246282</v>
      </c>
      <c r="C38" s="183" t="str">
        <f>IFERROR(IF(VLOOKUP($B38,勘定科目!$A:$H,HLOOKUP($E$5,勘定科目!$F$1:$H$2,2,0),0)="","",VLOOKUP($B38,勘定科目!$A:$E,2,0)),"")</f>
        <v>ＫＤＣシステム使用料（製）</v>
      </c>
      <c r="D38" s="239" t="str">
        <f>IF(C38="","",VLOOKUP($B38,勘定科目!$A:$E,4,0))</f>
        <v>図書及び事務費</v>
      </c>
      <c r="E38" s="245"/>
      <c r="F38" s="194">
        <v>20025600</v>
      </c>
      <c r="G38" s="247">
        <f>F38</f>
        <v>20025600</v>
      </c>
      <c r="H38" s="247">
        <f t="shared" ref="H38:P38" si="8">G38</f>
        <v>20025600</v>
      </c>
      <c r="I38" s="247">
        <f t="shared" si="8"/>
        <v>20025600</v>
      </c>
      <c r="J38" s="247">
        <f t="shared" si="8"/>
        <v>20025600</v>
      </c>
      <c r="K38" s="247">
        <f t="shared" si="8"/>
        <v>20025600</v>
      </c>
      <c r="L38" s="247">
        <f t="shared" si="8"/>
        <v>20025600</v>
      </c>
      <c r="M38" s="247">
        <f t="shared" si="8"/>
        <v>20025600</v>
      </c>
      <c r="N38" s="247">
        <f t="shared" si="8"/>
        <v>20025600</v>
      </c>
      <c r="O38" s="247">
        <f t="shared" si="8"/>
        <v>20025600</v>
      </c>
      <c r="P38" s="247">
        <f t="shared" si="8"/>
        <v>20025600</v>
      </c>
      <c r="Q38" s="247">
        <f>P38</f>
        <v>20025600</v>
      </c>
      <c r="R38" s="200">
        <f t="shared" si="6"/>
        <v>240307200</v>
      </c>
      <c r="S38" s="201" t="s">
        <v>693</v>
      </c>
      <c r="T38" s="202"/>
      <c r="U38" s="246"/>
      <c r="V38" s="246"/>
      <c r="W38" s="246"/>
      <c r="BA38"/>
      <c r="BB38"/>
    </row>
    <row r="39" spans="1:54" s="191" customFormat="1" ht="13.5">
      <c r="A39" s="226"/>
      <c r="B39" s="180">
        <v>5005246282</v>
      </c>
      <c r="C39" s="183" t="str">
        <f>IFERROR(IF(VLOOKUP($B39,勘定科目!$A:$H,HLOOKUP($E$5,勘定科目!$F$1:$H$2,2,0),0)="","",VLOOKUP($B39,勘定科目!$A:$E,2,0)),"")</f>
        <v>ＫＤＣシステム使用料（製）</v>
      </c>
      <c r="D39" s="239" t="str">
        <f>IF(C39="","",VLOOKUP($B39,勘定科目!$A:$E,4,0))</f>
        <v>図書及び事務費</v>
      </c>
      <c r="E39" s="245"/>
      <c r="F39" s="194">
        <f>ROUND(161.47*1088157,0)</f>
        <v>175704711</v>
      </c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00">
        <f t="shared" si="6"/>
        <v>175704711</v>
      </c>
      <c r="S39" s="201" t="s">
        <v>694</v>
      </c>
      <c r="T39" s="202"/>
      <c r="U39" s="246"/>
      <c r="V39" s="246"/>
      <c r="W39" s="246"/>
      <c r="BA39"/>
      <c r="BB39"/>
    </row>
    <row r="40" spans="1:54" s="191" customFormat="1" ht="13.5">
      <c r="A40" s="226"/>
      <c r="B40" s="180">
        <v>5006016260</v>
      </c>
      <c r="C40" s="183" t="str">
        <f>IFERROR(IF(VLOOKUP($B40,勘定科目!$A:$H,HLOOKUP($E$5,勘定科目!$F$1:$H$2,2,0),0)="","",VLOOKUP($B40,勘定科目!$A:$E,2,0)),"")</f>
        <v>減価償却費配賦（製）　建物</v>
      </c>
      <c r="D40" s="239" t="str">
        <f>IF(C40="","",VLOOKUP($B40,勘定科目!$A:$E,4,0))</f>
        <v>減価償却費</v>
      </c>
      <c r="E40" s="245"/>
      <c r="F40" s="194">
        <v>3845823</v>
      </c>
      <c r="G40" s="247">
        <v>3825004</v>
      </c>
      <c r="H40" s="247">
        <v>3826019</v>
      </c>
      <c r="I40" s="247">
        <v>3822211</v>
      </c>
      <c r="J40" s="247">
        <v>3820941</v>
      </c>
      <c r="K40" s="247">
        <v>3761782</v>
      </c>
      <c r="L40" s="247">
        <v>3744771</v>
      </c>
      <c r="M40" s="247">
        <v>3744263</v>
      </c>
      <c r="N40" s="247">
        <v>3744517</v>
      </c>
      <c r="O40" s="247">
        <v>3742994</v>
      </c>
      <c r="P40" s="247">
        <v>3740963</v>
      </c>
      <c r="Q40" s="247">
        <v>3743248</v>
      </c>
      <c r="R40" s="200">
        <f t="shared" si="6"/>
        <v>45362536</v>
      </c>
      <c r="S40" s="201" t="s">
        <v>695</v>
      </c>
      <c r="T40" s="202"/>
      <c r="U40" s="246"/>
      <c r="V40" s="246"/>
      <c r="W40" s="246"/>
      <c r="BA40"/>
      <c r="BB40"/>
    </row>
    <row r="41" spans="1:54" s="191" customFormat="1" ht="13.5">
      <c r="A41" s="226"/>
      <c r="B41" s="180">
        <v>5006016261</v>
      </c>
      <c r="C41" s="183" t="str">
        <f>IFERROR(IF(VLOOKUP($B41,勘定科目!$A:$H,HLOOKUP($E$5,勘定科目!$F$1:$H$2,2,0),0)="","",VLOOKUP($B41,勘定科目!$A:$E,2,0)),"")</f>
        <v>減価償却費配賦（製）　土地使用権</v>
      </c>
      <c r="D41" s="239" t="str">
        <f>IF(C41="","",VLOOKUP($B41,勘定科目!$A:$E,4,0))</f>
        <v>減価償却費</v>
      </c>
      <c r="E41" s="245"/>
      <c r="F41" s="194">
        <v>259486</v>
      </c>
      <c r="G41" s="247">
        <v>258216</v>
      </c>
      <c r="H41" s="247">
        <v>258216</v>
      </c>
      <c r="I41" s="247">
        <v>257962</v>
      </c>
      <c r="J41" s="247">
        <v>257962</v>
      </c>
      <c r="K41" s="247">
        <v>253900</v>
      </c>
      <c r="L41" s="247">
        <v>252631</v>
      </c>
      <c r="M41" s="247">
        <v>252631</v>
      </c>
      <c r="N41" s="247">
        <v>252631</v>
      </c>
      <c r="O41" s="247">
        <v>252631</v>
      </c>
      <c r="P41" s="247">
        <v>252377</v>
      </c>
      <c r="Q41" s="247">
        <v>252631</v>
      </c>
      <c r="R41" s="200">
        <f t="shared" si="6"/>
        <v>3061274</v>
      </c>
      <c r="S41" s="201" t="s">
        <v>696</v>
      </c>
      <c r="T41" s="202"/>
      <c r="U41" s="246"/>
      <c r="V41" s="246"/>
      <c r="W41" s="246"/>
      <c r="BA41"/>
      <c r="BB41"/>
    </row>
    <row r="42" spans="1:54" s="191" customFormat="1" ht="13.5">
      <c r="A42" s="226"/>
      <c r="B42" s="180">
        <v>9114120007</v>
      </c>
      <c r="C42" s="183" t="str">
        <f>IFERROR(IF(VLOOKUP($B42,勘定科目!$A:$H,HLOOKUP($E$5,勘定科目!$F$1:$H$2,2,0),0)="","",VLOOKUP($B42,勘定科目!$A:$E,2,0)),"")</f>
        <v>社内金利（固定資産）</v>
      </c>
      <c r="D42" s="239" t="str">
        <f>IF(C42="","",VLOOKUP($B42,勘定科目!$A:$E,4,0))</f>
        <v>固定資産金利</v>
      </c>
      <c r="E42" s="245"/>
      <c r="F42" s="194">
        <v>2610600</v>
      </c>
      <c r="G42" s="247">
        <v>2458768</v>
      </c>
      <c r="H42" s="247">
        <v>2459275</v>
      </c>
      <c r="I42" s="247">
        <v>2456736</v>
      </c>
      <c r="J42" s="247">
        <v>2455975</v>
      </c>
      <c r="K42" s="247">
        <v>2418144</v>
      </c>
      <c r="L42" s="247">
        <v>2406972</v>
      </c>
      <c r="M42" s="247">
        <v>2406718</v>
      </c>
      <c r="N42" s="247">
        <v>2406972</v>
      </c>
      <c r="O42" s="247">
        <v>2405956</v>
      </c>
      <c r="P42" s="247">
        <v>2404687</v>
      </c>
      <c r="Q42" s="247">
        <v>2405956</v>
      </c>
      <c r="R42" s="200">
        <f t="shared" si="6"/>
        <v>29296759</v>
      </c>
      <c r="S42" s="201" t="s">
        <v>697</v>
      </c>
      <c r="T42" s="202"/>
      <c r="U42" s="246"/>
      <c r="V42" s="246"/>
      <c r="W42" s="246"/>
      <c r="BA42"/>
      <c r="BB42"/>
    </row>
    <row r="43" spans="1:54" s="191" customFormat="1" ht="13.5">
      <c r="A43" s="226"/>
      <c r="B43" s="180">
        <v>9114120007</v>
      </c>
      <c r="C43" s="183" t="str">
        <f>IFERROR(IF(VLOOKUP($B43,勘定科目!$A:$H,HLOOKUP($E$5,勘定科目!$F$1:$H$2,2,0),0)="","",VLOOKUP($B43,勘定科目!$A:$E,2,0)),"")</f>
        <v>社内金利（固定資産）</v>
      </c>
      <c r="D43" s="239" t="str">
        <f>IF(C43="","",VLOOKUP($B43,勘定科目!$A:$E,4,0))</f>
        <v>固定資産金利</v>
      </c>
      <c r="E43" s="245"/>
      <c r="F43" s="194">
        <v>322707</v>
      </c>
      <c r="G43" s="247">
        <v>311789</v>
      </c>
      <c r="H43" s="247">
        <v>311789</v>
      </c>
      <c r="I43" s="247">
        <v>311535</v>
      </c>
      <c r="J43" s="247">
        <v>311281</v>
      </c>
      <c r="K43" s="247">
        <v>306711</v>
      </c>
      <c r="L43" s="247">
        <v>305188</v>
      </c>
      <c r="M43" s="247">
        <v>305188</v>
      </c>
      <c r="N43" s="247">
        <v>305188</v>
      </c>
      <c r="O43" s="247">
        <v>304934</v>
      </c>
      <c r="P43" s="247">
        <v>304934</v>
      </c>
      <c r="Q43" s="247">
        <v>304934</v>
      </c>
      <c r="R43" s="200">
        <f t="shared" si="6"/>
        <v>3706178</v>
      </c>
      <c r="S43" s="201" t="s">
        <v>698</v>
      </c>
      <c r="T43" s="202"/>
      <c r="U43" s="246"/>
      <c r="V43" s="246"/>
      <c r="W43" s="246"/>
      <c r="BA43"/>
      <c r="BB43"/>
    </row>
    <row r="44" spans="1:54" s="191" customFormat="1" ht="13.5">
      <c r="A44" s="226"/>
      <c r="B44" s="180">
        <v>5005066281</v>
      </c>
      <c r="C44" s="183" t="str">
        <f>IFERROR(IF(VLOOKUP($B44,勘定科目!$A:$H,HLOOKUP($E$5,勘定科目!$F$1:$H$2,2,0),0)="","",VLOOKUP($B44,勘定科目!$A:$E,2,0)),"")</f>
        <v>電気代（製）</v>
      </c>
      <c r="D44" s="239" t="str">
        <f>IF(C44="","",VLOOKUP($B44,勘定科目!$A:$E,4,0))</f>
        <v>水道光熱費</v>
      </c>
      <c r="E44" s="245"/>
      <c r="F44" s="194">
        <v>622880</v>
      </c>
      <c r="G44" s="247">
        <v>639562</v>
      </c>
      <c r="H44" s="247">
        <v>803471</v>
      </c>
      <c r="I44" s="247">
        <v>865277</v>
      </c>
      <c r="J44" s="247">
        <v>893443</v>
      </c>
      <c r="K44" s="247">
        <v>817461</v>
      </c>
      <c r="L44" s="247">
        <v>799022</v>
      </c>
      <c r="M44" s="247">
        <v>737559</v>
      </c>
      <c r="N44" s="247">
        <v>706827</v>
      </c>
      <c r="O44" s="247">
        <v>645364</v>
      </c>
      <c r="P44" s="247">
        <v>641651</v>
      </c>
      <c r="Q44" s="247">
        <v>491706</v>
      </c>
      <c r="R44" s="200">
        <f t="shared" si="6"/>
        <v>8664223</v>
      </c>
      <c r="S44" s="201" t="s">
        <v>699</v>
      </c>
      <c r="T44" s="202"/>
      <c r="U44" s="246"/>
      <c r="V44" s="246"/>
      <c r="W44" s="246"/>
      <c r="BA44"/>
      <c r="BB44"/>
    </row>
    <row r="45" spans="1:54" s="191" customFormat="1" ht="13.5">
      <c r="A45" s="226"/>
      <c r="B45" s="180">
        <v>5005066282</v>
      </c>
      <c r="C45" s="183" t="str">
        <f>IFERROR(IF(VLOOKUP($B45,勘定科目!$A:$H,HLOOKUP($E$5,勘定科目!$F$1:$H$2,2,0),0)="","",VLOOKUP($B45,勘定科目!$A:$E,2,0)),"")</f>
        <v>水道代（製）</v>
      </c>
      <c r="D45" s="239" t="str">
        <f>IF(C45="","",VLOOKUP($B45,勘定科目!$A:$E,4,0))</f>
        <v>水道光熱費</v>
      </c>
      <c r="E45" s="245"/>
      <c r="F45" s="194">
        <v>232505</v>
      </c>
      <c r="G45" s="247">
        <v>256956</v>
      </c>
      <c r="H45" s="247">
        <v>290217</v>
      </c>
      <c r="I45" s="247">
        <v>414451</v>
      </c>
      <c r="J45" s="247">
        <v>371199</v>
      </c>
      <c r="K45" s="247">
        <v>322087</v>
      </c>
      <c r="L45" s="247">
        <v>220639</v>
      </c>
      <c r="M45" s="247">
        <v>307323</v>
      </c>
      <c r="N45" s="247">
        <v>306936</v>
      </c>
      <c r="O45" s="247">
        <v>208132</v>
      </c>
      <c r="P45" s="247">
        <v>156070</v>
      </c>
      <c r="Q45" s="247">
        <v>181336</v>
      </c>
      <c r="R45" s="200">
        <f t="shared" si="6"/>
        <v>3267851</v>
      </c>
      <c r="S45" s="201" t="s">
        <v>700</v>
      </c>
      <c r="T45" s="202"/>
      <c r="U45" s="246"/>
      <c r="V45" s="246"/>
      <c r="W45" s="246"/>
      <c r="BA45"/>
      <c r="BB45"/>
    </row>
    <row r="46" spans="1:54" s="191" customFormat="1" ht="13.5">
      <c r="A46" s="226"/>
      <c r="B46" s="180">
        <v>5005056281</v>
      </c>
      <c r="C46" s="183" t="str">
        <f>IFERROR(IF(VLOOKUP($B46,勘定科目!$A:$H,HLOOKUP($E$5,勘定科目!$F$1:$H$2,2,0),0)="","",VLOOKUP($B46,勘定科目!$A:$E,2,0)),"")</f>
        <v>ガス代（製）</v>
      </c>
      <c r="D46" s="239" t="str">
        <f>IF(C46="","",VLOOKUP($B46,勘定科目!$A:$E,4,0))</f>
        <v>水道光熱費</v>
      </c>
      <c r="E46" s="245"/>
      <c r="F46" s="194">
        <v>322928</v>
      </c>
      <c r="G46" s="247">
        <v>312888</v>
      </c>
      <c r="H46" s="247">
        <v>358848</v>
      </c>
      <c r="I46" s="247">
        <v>375432</v>
      </c>
      <c r="J46" s="247">
        <v>341504</v>
      </c>
      <c r="K46" s="247">
        <v>307928</v>
      </c>
      <c r="L46" s="247">
        <v>375816</v>
      </c>
      <c r="M46" s="247">
        <v>329008</v>
      </c>
      <c r="N46" s="247">
        <v>352688</v>
      </c>
      <c r="O46" s="247">
        <v>339672</v>
      </c>
      <c r="P46" s="247">
        <v>263152</v>
      </c>
      <c r="Q46" s="247">
        <v>340336</v>
      </c>
      <c r="R46" s="200">
        <f t="shared" si="6"/>
        <v>4020200</v>
      </c>
      <c r="S46" s="201" t="s">
        <v>701</v>
      </c>
      <c r="T46" s="202"/>
      <c r="U46" s="246"/>
      <c r="V46" s="246"/>
      <c r="W46" s="246"/>
      <c r="BA46"/>
      <c r="BB46"/>
    </row>
    <row r="47" spans="1:54" s="191" customFormat="1" ht="13.5">
      <c r="A47" s="226"/>
      <c r="B47" s="180">
        <v>5005016372</v>
      </c>
      <c r="C47" s="183" t="str">
        <f>IFERROR(IF(VLOOKUP($B47,勘定科目!$A:$H,HLOOKUP($E$5,勘定科目!$F$1:$H$2,2,0),0)="","",VLOOKUP($B47,勘定科目!$A:$E,2,0)),"")</f>
        <v>その他消耗品（製）</v>
      </c>
      <c r="D47" s="239" t="str">
        <f>IF(C47="","",VLOOKUP($B47,勘定科目!$A:$E,4,0))</f>
        <v>消耗品費</v>
      </c>
      <c r="E47" s="245"/>
      <c r="F47" s="194">
        <v>8976</v>
      </c>
      <c r="G47" s="247">
        <v>9040</v>
      </c>
      <c r="H47" s="247">
        <v>9256</v>
      </c>
      <c r="I47" s="247">
        <v>8904</v>
      </c>
      <c r="J47" s="247">
        <v>8640</v>
      </c>
      <c r="K47" s="247">
        <v>8744</v>
      </c>
      <c r="L47" s="247">
        <v>9048</v>
      </c>
      <c r="M47" s="247">
        <v>8912</v>
      </c>
      <c r="N47" s="247">
        <v>8992</v>
      </c>
      <c r="O47" s="247">
        <v>9024</v>
      </c>
      <c r="P47" s="247">
        <v>9168</v>
      </c>
      <c r="Q47" s="247">
        <v>8680</v>
      </c>
      <c r="R47" s="200">
        <f t="shared" si="6"/>
        <v>107384</v>
      </c>
      <c r="S47" s="201" t="s">
        <v>702</v>
      </c>
      <c r="T47" s="202"/>
      <c r="U47" s="246"/>
      <c r="V47" s="246"/>
      <c r="W47" s="246"/>
      <c r="BA47"/>
      <c r="BB47"/>
    </row>
    <row r="48" spans="1:54" s="191" customFormat="1" ht="13.5">
      <c r="A48" s="226"/>
      <c r="B48" s="180">
        <v>5005016372</v>
      </c>
      <c r="C48" s="183" t="str">
        <f>IFERROR(IF(VLOOKUP($B48,勘定科目!$A:$H,HLOOKUP($E$5,勘定科目!$F$1:$H$2,2,0),0)="","",VLOOKUP($B48,勘定科目!$A:$E,2,0)),"")</f>
        <v>その他消耗品（製）</v>
      </c>
      <c r="D48" s="239" t="str">
        <f>IF(C48="","",VLOOKUP($B48,勘定科目!$A:$E,4,0))</f>
        <v>消耗品費</v>
      </c>
      <c r="E48" s="245"/>
      <c r="F48" s="194"/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00">
        <f t="shared" si="6"/>
        <v>0</v>
      </c>
      <c r="S48" s="201" t="s">
        <v>703</v>
      </c>
      <c r="T48" s="202"/>
      <c r="U48" s="246"/>
      <c r="V48" s="246"/>
      <c r="W48" s="246"/>
      <c r="BA48"/>
      <c r="BB48"/>
    </row>
    <row r="49" spans="1:54" s="191" customFormat="1" ht="13.5">
      <c r="A49" s="226"/>
      <c r="B49" s="180">
        <v>5005016372</v>
      </c>
      <c r="C49" s="183" t="str">
        <f>IFERROR(IF(VLOOKUP($B49,勘定科目!$A:$H,HLOOKUP($E$5,勘定科目!$F$1:$H$2,2,0),0)="","",VLOOKUP($B49,勘定科目!$A:$E,2,0)),"")</f>
        <v>その他消耗品（製）</v>
      </c>
      <c r="D49" s="239" t="str">
        <f>IF(C49="","",VLOOKUP($B49,勘定科目!$A:$E,4,0))</f>
        <v>消耗品費</v>
      </c>
      <c r="E49" s="245"/>
      <c r="F49" s="194">
        <v>147392</v>
      </c>
      <c r="G49" s="247">
        <v>141888</v>
      </c>
      <c r="H49" s="247">
        <v>155208</v>
      </c>
      <c r="I49" s="247">
        <v>169104</v>
      </c>
      <c r="J49" s="247">
        <v>147232</v>
      </c>
      <c r="K49" s="247">
        <v>140000</v>
      </c>
      <c r="L49" s="247">
        <v>168880</v>
      </c>
      <c r="M49" s="247">
        <v>147368</v>
      </c>
      <c r="N49" s="247">
        <v>162032</v>
      </c>
      <c r="O49" s="247">
        <v>147192</v>
      </c>
      <c r="P49" s="247">
        <v>110904</v>
      </c>
      <c r="Q49" s="247">
        <v>147480</v>
      </c>
      <c r="R49" s="200">
        <f t="shared" si="6"/>
        <v>1784680</v>
      </c>
      <c r="S49" s="201" t="s">
        <v>704</v>
      </c>
      <c r="T49" s="202"/>
      <c r="U49" s="246"/>
      <c r="V49" s="246"/>
      <c r="W49" s="246"/>
      <c r="BA49"/>
      <c r="BB49"/>
    </row>
    <row r="50" spans="1:54" s="191" customFormat="1" ht="13.5">
      <c r="A50" s="226"/>
      <c r="B50" s="180">
        <v>5005246286</v>
      </c>
      <c r="C50" s="183" t="str">
        <f>IFERROR(IF(VLOOKUP($B50,勘定科目!$A:$H,HLOOKUP($E$5,勘定科目!$F$1:$H$2,2,0),0)="","",VLOOKUP($B50,勘定科目!$A:$E,2,0)),"")</f>
        <v>その他手数料（製）</v>
      </c>
      <c r="D50" s="239" t="str">
        <f>IF(C50="","",VLOOKUP($B50,勘定科目!$A:$E,4,0))</f>
        <v>手数料</v>
      </c>
      <c r="E50" s="245"/>
      <c r="F50" s="194">
        <v>449976</v>
      </c>
      <c r="G50" s="247">
        <v>451696</v>
      </c>
      <c r="H50" s="247">
        <v>465608</v>
      </c>
      <c r="I50" s="247">
        <v>426448</v>
      </c>
      <c r="J50" s="247">
        <v>415128</v>
      </c>
      <c r="K50" s="247">
        <v>396720</v>
      </c>
      <c r="L50" s="247">
        <v>379456</v>
      </c>
      <c r="M50" s="247">
        <v>374752</v>
      </c>
      <c r="N50" s="247">
        <v>375816</v>
      </c>
      <c r="O50" s="247">
        <v>359744</v>
      </c>
      <c r="P50" s="247">
        <v>340496</v>
      </c>
      <c r="Q50" s="247">
        <v>356320</v>
      </c>
      <c r="R50" s="200">
        <f t="shared" si="6"/>
        <v>4792160</v>
      </c>
      <c r="S50" s="201" t="s">
        <v>705</v>
      </c>
      <c r="T50" s="202"/>
      <c r="U50" s="246"/>
      <c r="V50" s="246"/>
      <c r="W50" s="246"/>
      <c r="BA50"/>
      <c r="BB50"/>
    </row>
    <row r="51" spans="1:54" s="191" customFormat="1" ht="13.5">
      <c r="A51" s="226"/>
      <c r="B51" s="180">
        <v>5004086291</v>
      </c>
      <c r="C51" s="183" t="str">
        <f>IFERROR(IF(VLOOKUP($B51,勘定科目!$A:$H,HLOOKUP($E$5,勘定科目!$F$1:$H$2,2,0),0)="","",VLOOKUP($B51,勘定科目!$A:$E,2,0)),"")</f>
        <v>福利厚生費（製）</v>
      </c>
      <c r="D51" s="239" t="str">
        <f>IF(C51="","",VLOOKUP($B51,勘定科目!$A:$E,4,0))</f>
        <v>福利厚生費</v>
      </c>
      <c r="E51" s="245"/>
      <c r="F51" s="194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00">
        <f t="shared" si="6"/>
        <v>0</v>
      </c>
      <c r="S51" s="201" t="s">
        <v>706</v>
      </c>
      <c r="T51" s="202"/>
      <c r="U51" s="246"/>
      <c r="V51" s="246"/>
      <c r="W51" s="246"/>
      <c r="BA51"/>
      <c r="BB51"/>
    </row>
    <row r="52" spans="1:54" s="191" customFormat="1" ht="13.5">
      <c r="A52" s="226"/>
      <c r="B52" s="180">
        <v>5004086291</v>
      </c>
      <c r="C52" s="183" t="str">
        <f>IFERROR(IF(VLOOKUP($B52,勘定科目!$A:$H,HLOOKUP($E$5,勘定科目!$F$1:$H$2,2,0),0)="","",VLOOKUP($B52,勘定科目!$A:$E,2,0)),"")</f>
        <v>福利厚生費（製）</v>
      </c>
      <c r="D52" s="239" t="str">
        <f>IF(C52="","",VLOOKUP($B52,勘定科目!$A:$E,4,0))</f>
        <v>福利厚生費</v>
      </c>
      <c r="E52" s="245"/>
      <c r="F52" s="194">
        <v>2749356</v>
      </c>
      <c r="G52" s="247">
        <v>3173494</v>
      </c>
      <c r="H52" s="247">
        <v>2836954</v>
      </c>
      <c r="I52" s="247">
        <v>2974926</v>
      </c>
      <c r="J52" s="247">
        <v>3176668</v>
      </c>
      <c r="K52" s="247">
        <v>3187026</v>
      </c>
      <c r="L52" s="247">
        <v>2389470</v>
      </c>
      <c r="M52" s="247">
        <v>2905234</v>
      </c>
      <c r="N52" s="247">
        <v>2931184</v>
      </c>
      <c r="O52" s="247">
        <v>2757850</v>
      </c>
      <c r="P52" s="247">
        <v>2506718</v>
      </c>
      <c r="Q52" s="247">
        <v>2592456</v>
      </c>
      <c r="R52" s="200">
        <f t="shared" si="6"/>
        <v>34181336</v>
      </c>
      <c r="S52" s="201" t="s">
        <v>707</v>
      </c>
      <c r="T52" s="202"/>
      <c r="U52" s="246"/>
      <c r="V52" s="246"/>
      <c r="W52" s="246"/>
      <c r="BA52"/>
      <c r="BB52"/>
    </row>
    <row r="53" spans="1:54" s="191" customFormat="1" ht="13.5">
      <c r="A53" s="226"/>
      <c r="B53" s="180">
        <v>5004086291</v>
      </c>
      <c r="C53" s="183" t="str">
        <f>IFERROR(IF(VLOOKUP($B53,勘定科目!$A:$H,HLOOKUP($E$5,勘定科目!$F$1:$H$2,2,0),0)="","",VLOOKUP($B53,勘定科目!$A:$E,2,0)),"")</f>
        <v>福利厚生費（製）</v>
      </c>
      <c r="D53" s="239" t="str">
        <f>IF(C53="","",VLOOKUP($B53,勘定科目!$A:$E,4,0))</f>
        <v>福利厚生費</v>
      </c>
      <c r="E53" s="245"/>
      <c r="F53" s="194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00">
        <f t="shared" si="6"/>
        <v>0</v>
      </c>
      <c r="S53" s="201" t="s">
        <v>708</v>
      </c>
      <c r="T53" s="202"/>
      <c r="U53" s="246"/>
      <c r="V53" s="246"/>
      <c r="W53" s="246"/>
      <c r="BA53"/>
      <c r="BB53"/>
    </row>
    <row r="54" spans="1:54" s="191" customFormat="1" ht="13.5">
      <c r="A54" s="226"/>
      <c r="B54" s="180">
        <v>5005116291</v>
      </c>
      <c r="C54" s="183" t="str">
        <f>IFERROR(IF(VLOOKUP($B54,勘定科目!$A:$H,HLOOKUP($E$5,勘定科目!$F$1:$H$2,2,0),0)="","",VLOOKUP($B54,勘定科目!$A:$E,2,0)),"")</f>
        <v>ベトナム国内交通費（製）</v>
      </c>
      <c r="D54" s="239" t="str">
        <f>IF(C54="","",VLOOKUP($B54,勘定科目!$A:$E,4,0))</f>
        <v>旅費交通費</v>
      </c>
      <c r="E54" s="245"/>
      <c r="F54" s="194">
        <v>5000000</v>
      </c>
      <c r="G54" s="247">
        <v>5000000</v>
      </c>
      <c r="H54" s="247">
        <v>5000000</v>
      </c>
      <c r="I54" s="247">
        <v>5000000</v>
      </c>
      <c r="J54" s="247">
        <v>5000000</v>
      </c>
      <c r="K54" s="247">
        <v>5000000</v>
      </c>
      <c r="L54" s="247">
        <v>5000000</v>
      </c>
      <c r="M54" s="247">
        <v>5000000</v>
      </c>
      <c r="N54" s="247">
        <v>4500000</v>
      </c>
      <c r="O54" s="247">
        <v>3500000</v>
      </c>
      <c r="P54" s="247">
        <v>3000000</v>
      </c>
      <c r="Q54" s="247">
        <v>3000000</v>
      </c>
      <c r="R54" s="200">
        <f t="shared" si="6"/>
        <v>54000000</v>
      </c>
      <c r="S54" s="201" t="s">
        <v>709</v>
      </c>
      <c r="T54" s="202"/>
      <c r="U54" s="246"/>
      <c r="V54" s="246"/>
      <c r="W54" s="246"/>
      <c r="BA54"/>
      <c r="BB54"/>
    </row>
    <row r="55" spans="1:54" s="191" customFormat="1" ht="13.5">
      <c r="A55" s="226"/>
      <c r="B55" s="180">
        <v>5005136281</v>
      </c>
      <c r="C55" s="183" t="str">
        <f>IFERROR(IF(VLOOKUP($B55,勘定科目!$A:$H,HLOOKUP($E$5,勘定科目!$F$1:$H$2,2,0),0)="","",VLOOKUP($B55,勘定科目!$A:$E,2,0)),"")</f>
        <v>通信費（製）</v>
      </c>
      <c r="D55" s="239" t="str">
        <f>IF(C55="","",VLOOKUP($B55,勘定科目!$A:$E,4,0))</f>
        <v>通信費</v>
      </c>
      <c r="E55" s="245"/>
      <c r="F55" s="194">
        <v>1200000</v>
      </c>
      <c r="G55" s="247">
        <v>1200000</v>
      </c>
      <c r="H55" s="247">
        <v>1200000</v>
      </c>
      <c r="I55" s="247">
        <v>1200000</v>
      </c>
      <c r="J55" s="247">
        <v>1200000</v>
      </c>
      <c r="K55" s="247">
        <v>1200000</v>
      </c>
      <c r="L55" s="247">
        <v>1200000</v>
      </c>
      <c r="M55" s="247">
        <v>1200000</v>
      </c>
      <c r="N55" s="247">
        <v>1200000</v>
      </c>
      <c r="O55" s="247">
        <v>1200000</v>
      </c>
      <c r="P55" s="247">
        <v>1200000</v>
      </c>
      <c r="Q55" s="247">
        <v>1200000</v>
      </c>
      <c r="R55" s="200">
        <f t="shared" si="6"/>
        <v>14400000</v>
      </c>
      <c r="S55" s="201" t="s">
        <v>710</v>
      </c>
      <c r="T55" s="202"/>
      <c r="U55" s="246"/>
      <c r="V55" s="246"/>
      <c r="W55" s="246"/>
      <c r="BA55"/>
      <c r="BB55"/>
    </row>
    <row r="56" spans="1:54" s="191" customFormat="1" ht="13.5">
      <c r="A56" s="226"/>
      <c r="B56" s="180">
        <v>5004086291</v>
      </c>
      <c r="C56" s="183" t="str">
        <f>IFERROR(IF(VLOOKUP($B56,勘定科目!$A:$H,HLOOKUP($E$5,勘定科目!$F$1:$H$2,2,0),0)="","",VLOOKUP($B56,勘定科目!$A:$E,2,0)),"")</f>
        <v>福利厚生費（製）</v>
      </c>
      <c r="D56" s="239" t="str">
        <f>IF(C56="","",VLOOKUP($B56,勘定科目!$A:$E,4,0))</f>
        <v>福利厚生費</v>
      </c>
      <c r="E56" s="245"/>
      <c r="F56" s="194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00">
        <f t="shared" si="6"/>
        <v>0</v>
      </c>
      <c r="S56" s="201" t="s">
        <v>711</v>
      </c>
      <c r="T56" s="202"/>
      <c r="U56" s="246"/>
      <c r="V56" s="246"/>
      <c r="W56" s="246"/>
      <c r="BA56"/>
      <c r="BB56"/>
    </row>
    <row r="57" spans="1:54" s="191" customFormat="1" ht="13.5">
      <c r="A57" s="226"/>
      <c r="B57" s="180">
        <v>5004086291</v>
      </c>
      <c r="C57" s="183" t="str">
        <f>IFERROR(IF(VLOOKUP($B57,勘定科目!$A:$H,HLOOKUP($E$5,勘定科目!$F$1:$H$2,2,0),0)="","",VLOOKUP($B57,勘定科目!$A:$E,2,0)),"")</f>
        <v>福利厚生費（製）</v>
      </c>
      <c r="D57" s="239" t="str">
        <f>IF(C57="","",VLOOKUP($B57,勘定科目!$A:$E,4,0))</f>
        <v>福利厚生費</v>
      </c>
      <c r="E57" s="245"/>
      <c r="F57" s="194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00">
        <f t="shared" si="6"/>
        <v>0</v>
      </c>
      <c r="S57" s="201" t="s">
        <v>712</v>
      </c>
      <c r="T57" s="202"/>
      <c r="U57" s="246"/>
      <c r="V57" s="246"/>
      <c r="W57" s="246"/>
      <c r="BA57"/>
      <c r="BB57"/>
    </row>
    <row r="58" spans="1:54" s="191" customFormat="1" ht="13.5">
      <c r="A58" s="226"/>
      <c r="B58" s="180">
        <v>5004086291</v>
      </c>
      <c r="C58" s="183" t="str">
        <f>IFERROR(IF(VLOOKUP($B58,勘定科目!$A:$H,HLOOKUP($E$5,勘定科目!$F$1:$H$2,2,0),0)="","",VLOOKUP($B58,勘定科目!$A:$E,2,0)),"")</f>
        <v>福利厚生費（製）</v>
      </c>
      <c r="D58" s="239" t="str">
        <f>IF(C58="","",VLOOKUP($B58,勘定科目!$A:$E,4,0))</f>
        <v>福利厚生費</v>
      </c>
      <c r="E58" s="245"/>
      <c r="F58" s="194">
        <v>163000</v>
      </c>
      <c r="G58" s="194">
        <v>163000</v>
      </c>
      <c r="H58" s="247"/>
      <c r="I58" s="194">
        <v>163000</v>
      </c>
      <c r="J58" s="247"/>
      <c r="K58" s="194">
        <v>163000</v>
      </c>
      <c r="L58" s="247">
        <f>K58*2</f>
        <v>326000</v>
      </c>
      <c r="M58" s="247">
        <f>L58</f>
        <v>326000</v>
      </c>
      <c r="N58" s="247"/>
      <c r="O58" s="247"/>
      <c r="P58" s="247"/>
      <c r="Q58" s="247"/>
      <c r="R58" s="200">
        <f t="shared" si="6"/>
        <v>1304000</v>
      </c>
      <c r="S58" s="201" t="s">
        <v>739</v>
      </c>
      <c r="T58" s="202"/>
      <c r="U58" s="246"/>
      <c r="V58" s="246"/>
      <c r="W58" s="246"/>
      <c r="BA58"/>
      <c r="BB58"/>
    </row>
    <row r="59" spans="1:54" s="191" customFormat="1" ht="13.5">
      <c r="A59" s="226"/>
      <c r="B59" s="180">
        <v>5004086291</v>
      </c>
      <c r="C59" s="183" t="str">
        <f>IFERROR(IF(VLOOKUP($B59,勘定科目!$A:$H,HLOOKUP($E$5,勘定科目!$F$1:$H$2,2,0),0)="","",VLOOKUP($B59,勘定科目!$A:$E,2,0)),"")</f>
        <v>福利厚生費（製）</v>
      </c>
      <c r="D59" s="239" t="str">
        <f>IF(C59="","",VLOOKUP($B59,勘定科目!$A:$E,4,0))</f>
        <v>福利厚生費</v>
      </c>
      <c r="E59" s="245"/>
      <c r="F59" s="194"/>
      <c r="G59" s="247"/>
      <c r="H59" s="247"/>
      <c r="I59" s="247"/>
      <c r="J59" s="247"/>
      <c r="K59" s="247"/>
      <c r="L59" s="247"/>
      <c r="M59" s="247"/>
      <c r="N59" s="247"/>
      <c r="O59" s="247"/>
      <c r="P59" s="247">
        <f>100000*8</f>
        <v>800000</v>
      </c>
      <c r="Q59" s="247"/>
      <c r="R59" s="200">
        <f t="shared" si="6"/>
        <v>800000</v>
      </c>
      <c r="S59" s="201" t="s">
        <v>713</v>
      </c>
      <c r="T59" s="202"/>
      <c r="U59" s="246"/>
      <c r="V59" s="246"/>
      <c r="W59" s="246"/>
      <c r="BA59"/>
      <c r="BB59"/>
    </row>
    <row r="60" spans="1:54" s="191" customFormat="1" ht="13.5">
      <c r="A60" s="226"/>
      <c r="B60" s="180">
        <v>5004086291</v>
      </c>
      <c r="C60" s="183" t="str">
        <f>IFERROR(IF(VLOOKUP($B60,勘定科目!$A:$H,HLOOKUP($E$5,勘定科目!$F$1:$H$2,2,0),0)="","",VLOOKUP($B60,勘定科目!$A:$E,2,0)),"")</f>
        <v>福利厚生費（製）</v>
      </c>
      <c r="D60" s="239" t="str">
        <f>IF(C60="","",VLOOKUP($B60,勘定科目!$A:$E,4,0))</f>
        <v>福利厚生費</v>
      </c>
      <c r="E60" s="245"/>
      <c r="F60" s="194"/>
      <c r="G60" s="247"/>
      <c r="H60" s="247"/>
      <c r="I60" s="247"/>
      <c r="J60" s="247"/>
      <c r="K60" s="247"/>
      <c r="L60" s="247"/>
      <c r="M60" s="247"/>
      <c r="N60" s="247"/>
      <c r="O60" s="247"/>
      <c r="P60" s="247">
        <f>300000*8</f>
        <v>2400000</v>
      </c>
      <c r="Q60" s="247"/>
      <c r="R60" s="200">
        <f t="shared" si="6"/>
        <v>2400000</v>
      </c>
      <c r="S60" s="201" t="s">
        <v>743</v>
      </c>
      <c r="T60" s="202"/>
      <c r="U60" s="246"/>
      <c r="V60" s="246"/>
      <c r="W60" s="246"/>
      <c r="BA60"/>
      <c r="BB60"/>
    </row>
    <row r="61" spans="1:54" s="191" customFormat="1" ht="13.5">
      <c r="A61" s="226"/>
      <c r="B61" s="180">
        <v>5004086291</v>
      </c>
      <c r="C61" s="183" t="str">
        <f>IFERROR(IF(VLOOKUP($B61,勘定科目!$A:$H,HLOOKUP($E$5,勘定科目!$F$1:$H$2,2,0),0)="","",VLOOKUP($B61,勘定科目!$A:$E,2,0)),"")</f>
        <v>福利厚生費（製）</v>
      </c>
      <c r="D61" s="239" t="str">
        <f>IF(C61="","",VLOOKUP($B61,勘定科目!$A:$E,4,0))</f>
        <v>福利厚生費</v>
      </c>
      <c r="E61" s="245"/>
      <c r="F61" s="194"/>
      <c r="G61" s="247">
        <f>1890000*8</f>
        <v>15120000</v>
      </c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00">
        <f t="shared" si="6"/>
        <v>15120000</v>
      </c>
      <c r="S61" s="201" t="s">
        <v>740</v>
      </c>
      <c r="T61" s="202"/>
      <c r="U61" s="246"/>
      <c r="V61" s="246"/>
      <c r="W61" s="246"/>
      <c r="BA61"/>
      <c r="BB61"/>
    </row>
    <row r="62" spans="1:54" s="191" customFormat="1" ht="13.5">
      <c r="A62" s="226"/>
      <c r="B62" s="180">
        <v>5004086291</v>
      </c>
      <c r="C62" s="183" t="str">
        <f>IFERROR(IF(VLOOKUP($B62,勘定科目!$A:$H,HLOOKUP($E$5,勘定科目!$F$1:$H$2,2,0),0)="","",VLOOKUP($B62,勘定科目!$A:$E,2,0)),"")</f>
        <v>福利厚生費（製）</v>
      </c>
      <c r="D62" s="239" t="str">
        <f>IF(C62="","",VLOOKUP($B62,勘定科目!$A:$E,4,0))</f>
        <v>福利厚生費</v>
      </c>
      <c r="E62" s="245"/>
      <c r="F62" s="194"/>
      <c r="G62" s="247"/>
      <c r="H62" s="247"/>
      <c r="I62" s="247"/>
      <c r="J62" s="247"/>
      <c r="K62" s="247"/>
      <c r="L62" s="247"/>
      <c r="M62" s="247">
        <f>107000*8</f>
        <v>856000</v>
      </c>
      <c r="N62" s="247"/>
      <c r="O62" s="247"/>
      <c r="P62" s="247"/>
      <c r="Q62" s="247"/>
      <c r="R62" s="200">
        <f t="shared" si="6"/>
        <v>856000</v>
      </c>
      <c r="S62" s="201" t="s">
        <v>742</v>
      </c>
      <c r="T62" s="202"/>
      <c r="U62" s="246"/>
      <c r="V62" s="246"/>
      <c r="W62" s="246"/>
      <c r="BA62"/>
      <c r="BB62"/>
    </row>
    <row r="63" spans="1:54" s="191" customFormat="1" ht="13.5">
      <c r="A63" s="226"/>
      <c r="B63" s="180">
        <v>5005246281</v>
      </c>
      <c r="C63" s="183" t="str">
        <f>IFERROR(IF(VLOOKUP($B63,勘定科目!$A:$H,HLOOKUP($E$5,勘定科目!$F$1:$H$2,2,0),0)="","",VLOOKUP($B63,勘定科目!$A:$E,2,0)),"")</f>
        <v>図書印刷費（製）</v>
      </c>
      <c r="D63" s="239" t="str">
        <f>IF(C63="","",VLOOKUP($B63,勘定科目!$A:$E,4,0))</f>
        <v>図書及び事務費</v>
      </c>
      <c r="E63" s="245"/>
      <c r="F63" s="194"/>
      <c r="G63" s="247"/>
      <c r="H63" s="247"/>
      <c r="I63" s="247"/>
      <c r="J63" s="247"/>
      <c r="K63" s="247"/>
      <c r="L63" s="247"/>
      <c r="M63" s="247">
        <f>800*8</f>
        <v>6400</v>
      </c>
      <c r="N63" s="247"/>
      <c r="O63" s="247"/>
      <c r="P63" s="247"/>
      <c r="Q63" s="247"/>
      <c r="R63" s="200">
        <f t="shared" si="6"/>
        <v>6400</v>
      </c>
      <c r="S63" s="201" t="s">
        <v>745</v>
      </c>
      <c r="T63" s="202"/>
      <c r="U63" s="246"/>
      <c r="V63" s="246"/>
      <c r="W63" s="246"/>
      <c r="BA63"/>
      <c r="BB63"/>
    </row>
    <row r="64" spans="1:54" s="191" customFormat="1" ht="13.5">
      <c r="A64" s="226"/>
      <c r="B64" s="180">
        <v>5005136291</v>
      </c>
      <c r="C64" s="183" t="str">
        <f>IFERROR(IF(VLOOKUP($B64,勘定科目!$A:$H,HLOOKUP($E$5,勘定科目!$F$1:$H$2,2,0),0)="","",VLOOKUP($B64,勘定科目!$A:$E,2,0)),"")</f>
        <v>郵送代（製）</v>
      </c>
      <c r="D64" s="239" t="str">
        <f>IF(C64="","",VLOOKUP($B64,勘定科目!$A:$E,4,0))</f>
        <v>通信費</v>
      </c>
      <c r="E64" s="245"/>
      <c r="F64" s="194"/>
      <c r="G64" s="247"/>
      <c r="H64" s="247">
        <v>1050000</v>
      </c>
      <c r="I64" s="247"/>
      <c r="J64" s="247"/>
      <c r="K64" s="247"/>
      <c r="L64" s="247"/>
      <c r="M64" s="247"/>
      <c r="N64" s="247"/>
      <c r="O64" s="247"/>
      <c r="P64" s="247"/>
      <c r="Q64" s="247"/>
      <c r="R64" s="200">
        <f t="shared" si="6"/>
        <v>1050000</v>
      </c>
      <c r="S64" s="201" t="s">
        <v>714</v>
      </c>
      <c r="T64" s="202"/>
      <c r="U64" s="246"/>
      <c r="V64" s="246"/>
      <c r="W64" s="246"/>
      <c r="BA64"/>
      <c r="BB64"/>
    </row>
    <row r="65" spans="1:54" s="191" customFormat="1" ht="13.5">
      <c r="A65" s="226"/>
      <c r="B65" s="180">
        <v>5005136291</v>
      </c>
      <c r="C65" s="183" t="str">
        <f>IFERROR(IF(VLOOKUP($B65,勘定科目!$A:$H,HLOOKUP($E$5,勘定科目!$F$1:$H$2,2,0),0)="","",VLOOKUP($B65,勘定科目!$A:$E,2,0)),"")</f>
        <v>郵送代（製）</v>
      </c>
      <c r="D65" s="239" t="str">
        <f>IF(C65="","",VLOOKUP($B65,勘定科目!$A:$E,4,0))</f>
        <v>通信費</v>
      </c>
      <c r="E65" s="245"/>
      <c r="F65" s="194"/>
      <c r="G65" s="247">
        <v>321000</v>
      </c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00">
        <f t="shared" si="6"/>
        <v>321000</v>
      </c>
      <c r="S65" s="201" t="s">
        <v>715</v>
      </c>
      <c r="T65" s="202"/>
      <c r="U65" s="246"/>
      <c r="V65" s="246"/>
      <c r="W65" s="246"/>
      <c r="BA65"/>
      <c r="BB65"/>
    </row>
    <row r="66" spans="1:54" s="191" customFormat="1" ht="13.5">
      <c r="A66" s="226"/>
      <c r="B66" s="180">
        <v>5004086291</v>
      </c>
      <c r="C66" s="183" t="str">
        <f>IFERROR(IF(VLOOKUP($B66,勘定科目!$A:$H,HLOOKUP($E$5,勘定科目!$F$1:$H$2,2,0),0)="","",VLOOKUP($B66,勘定科目!$A:$E,2,0)),"")</f>
        <v>福利厚生費（製）</v>
      </c>
      <c r="D66" s="239" t="str">
        <f>IF(C66="","",VLOOKUP($B66,勘定科目!$A:$E,4,0))</f>
        <v>福利厚生費</v>
      </c>
      <c r="E66" s="245"/>
      <c r="F66" s="194"/>
      <c r="G66" s="247"/>
      <c r="H66" s="247"/>
      <c r="I66" s="247"/>
      <c r="J66" s="247"/>
      <c r="K66" s="247"/>
      <c r="L66" s="247"/>
      <c r="M66" s="247"/>
      <c r="N66" s="247">
        <f>189000*3+204000*5</f>
        <v>1587000</v>
      </c>
      <c r="O66" s="247"/>
      <c r="P66" s="247"/>
      <c r="Q66" s="247"/>
      <c r="R66" s="200">
        <f t="shared" si="6"/>
        <v>1587000</v>
      </c>
      <c r="S66" s="201" t="s">
        <v>744</v>
      </c>
      <c r="T66" s="202"/>
      <c r="U66" s="246"/>
      <c r="V66" s="246"/>
      <c r="W66" s="246"/>
      <c r="BA66"/>
      <c r="BB66"/>
    </row>
    <row r="67" spans="1:54" s="191" customFormat="1" ht="13.5">
      <c r="A67" s="226"/>
      <c r="B67" s="180">
        <v>5004086291</v>
      </c>
      <c r="C67" s="183" t="str">
        <f>IFERROR(IF(VLOOKUP($B67,勘定科目!$A:$H,HLOOKUP($E$5,勘定科目!$F$1:$H$2,2,0),0)="","",VLOOKUP($B67,勘定科目!$A:$E,2,0)),"")</f>
        <v>福利厚生費（製）</v>
      </c>
      <c r="D67" s="239" t="str">
        <f>IF(C67="","",VLOOKUP($B67,勘定科目!$A:$E,4,0))</f>
        <v>福利厚生費</v>
      </c>
      <c r="E67" s="245"/>
      <c r="F67" s="194"/>
      <c r="G67" s="247"/>
      <c r="H67" s="247"/>
      <c r="I67" s="247"/>
      <c r="J67" s="247"/>
      <c r="K67" s="247"/>
      <c r="L67" s="247">
        <f>56000*8</f>
        <v>448000</v>
      </c>
      <c r="M67" s="247"/>
      <c r="N67" s="247"/>
      <c r="O67" s="247"/>
      <c r="P67" s="247"/>
      <c r="Q67" s="247"/>
      <c r="R67" s="200">
        <f t="shared" si="6"/>
        <v>448000</v>
      </c>
      <c r="S67" s="201" t="s">
        <v>746</v>
      </c>
      <c r="T67" s="202"/>
      <c r="U67" s="246"/>
      <c r="V67" s="246"/>
      <c r="W67" s="246"/>
      <c r="BA67"/>
      <c r="BB67"/>
    </row>
    <row r="68" spans="1:54" s="191" customFormat="1" ht="13.5">
      <c r="A68" s="226"/>
      <c r="B68" s="180">
        <v>5004086291</v>
      </c>
      <c r="C68" s="183" t="str">
        <f>IFERROR(IF(VLOOKUP($B68,勘定科目!$A:$H,HLOOKUP($E$5,勘定科目!$F$1:$H$2,2,0),0)="","",VLOOKUP($B68,勘定科目!$A:$E,2,0)),"")</f>
        <v>福利厚生費（製）</v>
      </c>
      <c r="D68" s="239" t="str">
        <f>IF(C68="","",VLOOKUP($B68,勘定科目!$A:$E,4,0))</f>
        <v>福利厚生費</v>
      </c>
      <c r="E68" s="245"/>
      <c r="F68" s="194"/>
      <c r="G68" s="247"/>
      <c r="H68" s="247"/>
      <c r="I68" s="247"/>
      <c r="J68" s="247"/>
      <c r="K68" s="247">
        <f>126000*8</f>
        <v>1008000</v>
      </c>
      <c r="L68" s="247"/>
      <c r="M68" s="247"/>
      <c r="N68" s="247"/>
      <c r="O68" s="247"/>
      <c r="P68" s="247"/>
      <c r="Q68" s="247"/>
      <c r="R68" s="200">
        <f t="shared" si="6"/>
        <v>1008000</v>
      </c>
      <c r="S68" s="201" t="s">
        <v>741</v>
      </c>
      <c r="T68" s="202"/>
      <c r="U68" s="246"/>
      <c r="V68" s="246"/>
      <c r="W68" s="246"/>
      <c r="BA68"/>
      <c r="BB68"/>
    </row>
    <row r="69" spans="1:54" s="191" customFormat="1" ht="13.5">
      <c r="A69" s="226"/>
      <c r="B69" s="180">
        <v>5004086291</v>
      </c>
      <c r="C69" s="183" t="str">
        <f>IFERROR(IF(VLOOKUP($B69,勘定科目!$A:$H,HLOOKUP($E$5,勘定科目!$F$1:$H$2,2,0),0)="","",VLOOKUP($B69,勘定科目!$A:$E,2,0)),"")</f>
        <v>福利厚生費（製）</v>
      </c>
      <c r="D69" s="239" t="str">
        <f>IF(C69="","",VLOOKUP($B69,勘定科目!$A:$E,4,0))</f>
        <v>福利厚生費</v>
      </c>
      <c r="E69" s="245"/>
      <c r="F69" s="194"/>
      <c r="G69" s="247"/>
      <c r="H69" s="247"/>
      <c r="I69" s="247">
        <f>800000</f>
        <v>800000</v>
      </c>
      <c r="J69" s="247"/>
      <c r="K69" s="247"/>
      <c r="L69" s="247"/>
      <c r="M69" s="247"/>
      <c r="N69" s="247"/>
      <c r="O69" s="247"/>
      <c r="P69" s="247"/>
      <c r="Q69" s="247"/>
      <c r="R69" s="200">
        <f t="shared" si="6"/>
        <v>800000</v>
      </c>
      <c r="S69" s="201" t="s">
        <v>716</v>
      </c>
      <c r="T69" s="202"/>
      <c r="U69" s="246"/>
      <c r="V69" s="246"/>
      <c r="W69" s="246"/>
      <c r="BA69"/>
      <c r="BB69"/>
    </row>
    <row r="70" spans="1:54" s="191" customFormat="1" ht="13.5">
      <c r="A70" s="226"/>
      <c r="B70" s="180">
        <v>5005246288</v>
      </c>
      <c r="C70" s="183" t="str">
        <f>IFERROR(IF(VLOOKUP($B70,勘定科目!$A:$H,HLOOKUP($E$5,勘定科目!$F$1:$H$2,2,0),0)="","",VLOOKUP($B70,勘定科目!$A:$E,2,0)),"")</f>
        <v>事務用品費（製）</v>
      </c>
      <c r="D70" s="239" t="str">
        <f>IF(C70="","",VLOOKUP($B70,勘定科目!$A:$E,4,0))</f>
        <v>図書及び事務費</v>
      </c>
      <c r="E70" s="245"/>
      <c r="F70" s="194"/>
      <c r="G70" s="247"/>
      <c r="H70" s="247"/>
      <c r="I70" s="247"/>
      <c r="J70" s="247"/>
      <c r="K70" s="247"/>
      <c r="L70" s="247"/>
      <c r="M70" s="247"/>
      <c r="N70" s="247"/>
      <c r="O70" s="247"/>
      <c r="P70" s="247"/>
      <c r="Q70" s="247"/>
      <c r="R70" s="200">
        <f t="shared" si="6"/>
        <v>0</v>
      </c>
      <c r="S70" s="201" t="s">
        <v>717</v>
      </c>
      <c r="T70" s="202"/>
      <c r="U70" s="246"/>
      <c r="V70" s="246"/>
      <c r="W70" s="246"/>
      <c r="BA70"/>
      <c r="BB70"/>
    </row>
    <row r="71" spans="1:54" s="191" customFormat="1" ht="13.5">
      <c r="A71" s="226"/>
      <c r="B71" s="180">
        <v>5005246286</v>
      </c>
      <c r="C71" s="183" t="str">
        <f>IFERROR(IF(VLOOKUP($B71,勘定科目!$A:$H,HLOOKUP($E$5,勘定科目!$F$1:$H$2,2,0),0)="","",VLOOKUP($B71,勘定科目!$A:$E,2,0)),"")</f>
        <v>その他手数料（製）</v>
      </c>
      <c r="D71" s="239" t="str">
        <f>IF(C71="","",VLOOKUP($B71,勘定科目!$A:$E,4,0))</f>
        <v>手数料</v>
      </c>
      <c r="E71" s="245"/>
      <c r="F71" s="194"/>
      <c r="G71" s="247"/>
      <c r="H71" s="247"/>
      <c r="I71" s="247"/>
      <c r="J71" s="247"/>
      <c r="K71" s="247"/>
      <c r="L71" s="247"/>
      <c r="M71" s="247"/>
      <c r="N71" s="247"/>
      <c r="O71" s="247"/>
      <c r="P71" s="247"/>
      <c r="Q71" s="247"/>
      <c r="R71" s="200">
        <f t="shared" si="6"/>
        <v>0</v>
      </c>
      <c r="S71" s="201" t="s">
        <v>718</v>
      </c>
      <c r="T71" s="202"/>
      <c r="U71" s="246"/>
      <c r="V71" s="246"/>
      <c r="W71" s="246"/>
      <c r="BA71"/>
      <c r="BB71"/>
    </row>
    <row r="72" spans="1:54" s="191" customFormat="1" ht="13.5">
      <c r="A72" s="226"/>
      <c r="B72" s="180">
        <v>5004086291</v>
      </c>
      <c r="C72" s="183" t="str">
        <f>IFERROR(IF(VLOOKUP($B72,勘定科目!$A:$H,HLOOKUP($E$5,勘定科目!$F$1:$H$2,2,0),0)="","",VLOOKUP($B72,勘定科目!$A:$E,2,0)),"")</f>
        <v>福利厚生費（製）</v>
      </c>
      <c r="D72" s="239" t="str">
        <f>IF(C72="","",VLOOKUP($B72,勘定科目!$A:$E,4,0))</f>
        <v>福利厚生費</v>
      </c>
      <c r="E72" s="245"/>
      <c r="F72" s="194"/>
      <c r="G72" s="247">
        <f>200000*8</f>
        <v>1600000</v>
      </c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00">
        <f t="shared" si="6"/>
        <v>1600000</v>
      </c>
      <c r="S72" s="201" t="s">
        <v>719</v>
      </c>
      <c r="T72" s="202"/>
      <c r="U72" s="246"/>
      <c r="V72" s="246"/>
      <c r="W72" s="246"/>
      <c r="BA72"/>
      <c r="BB72"/>
    </row>
    <row r="73" spans="1:54" s="191" customFormat="1" ht="13.5">
      <c r="A73" s="226"/>
      <c r="B73" s="180">
        <v>5004086291</v>
      </c>
      <c r="C73" s="183" t="str">
        <f>IFERROR(IF(VLOOKUP($B73,勘定科目!$A:$H,HLOOKUP($E$5,勘定科目!$F$1:$H$2,2,0),0)="","",VLOOKUP($B73,勘定科目!$A:$E,2,0)),"")</f>
        <v>福利厚生費（製）</v>
      </c>
      <c r="D73" s="239" t="str">
        <f>IF(C73="","",VLOOKUP($B73,勘定科目!$A:$E,4,0))</f>
        <v>福利厚生費</v>
      </c>
      <c r="E73" s="245"/>
      <c r="F73" s="194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00">
        <f t="shared" si="6"/>
        <v>0</v>
      </c>
      <c r="S73" s="201" t="s">
        <v>720</v>
      </c>
      <c r="T73" s="202"/>
      <c r="U73" s="246"/>
      <c r="V73" s="246"/>
      <c r="W73" s="246"/>
      <c r="BA73"/>
      <c r="BB73"/>
    </row>
    <row r="74" spans="1:54" s="191" customFormat="1" ht="13.5">
      <c r="A74" s="226"/>
      <c r="B74" s="180">
        <v>5004086291</v>
      </c>
      <c r="C74" s="183" t="str">
        <f>IFERROR(IF(VLOOKUP($B74,勘定科目!$A:$H,HLOOKUP($E$5,勘定科目!$F$1:$H$2,2,0),0)="","",VLOOKUP($B74,勘定科目!$A:$E,2,0)),"")</f>
        <v>福利厚生費（製）</v>
      </c>
      <c r="D74" s="239" t="str">
        <f>IF(C74="","",VLOOKUP($B74,勘定科目!$A:$E,4,0))</f>
        <v>福利厚生費</v>
      </c>
      <c r="E74" s="245"/>
      <c r="F74" s="194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00">
        <f t="shared" si="6"/>
        <v>0</v>
      </c>
      <c r="S74" s="201" t="s">
        <v>721</v>
      </c>
      <c r="T74" s="202"/>
      <c r="U74" s="246"/>
      <c r="V74" s="246"/>
      <c r="W74" s="246"/>
      <c r="BA74"/>
      <c r="BB74"/>
    </row>
    <row r="75" spans="1:54" s="191" customFormat="1" ht="13.5">
      <c r="A75" s="226"/>
      <c r="B75" s="180">
        <v>5005246281</v>
      </c>
      <c r="C75" s="183" t="str">
        <f>IFERROR(IF(VLOOKUP($B75,勘定科目!$A:$H,HLOOKUP($E$5,勘定科目!$F$1:$H$2,2,0),0)="","",VLOOKUP($B75,勘定科目!$A:$E,2,0)),"")</f>
        <v>図書印刷費（製）</v>
      </c>
      <c r="D75" s="239" t="str">
        <f>IF(C75="","",VLOOKUP($B75,勘定科目!$A:$E,4,0))</f>
        <v>図書及び事務費</v>
      </c>
      <c r="E75" s="245"/>
      <c r="F75" s="194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00">
        <f t="shared" si="6"/>
        <v>0</v>
      </c>
      <c r="S75" s="201" t="s">
        <v>722</v>
      </c>
      <c r="T75" s="202"/>
      <c r="U75" s="246"/>
      <c r="V75" s="246"/>
      <c r="W75" s="246"/>
      <c r="BA75"/>
      <c r="BB75"/>
    </row>
    <row r="76" spans="1:54" s="191" customFormat="1" ht="13.5">
      <c r="A76" s="226"/>
      <c r="B76" s="180">
        <v>5005246281</v>
      </c>
      <c r="C76" s="183" t="str">
        <f>IFERROR(IF(VLOOKUP($B76,勘定科目!$A:$H,HLOOKUP($E$5,勘定科目!$F$1:$H$2,2,0),0)="","",VLOOKUP($B76,勘定科目!$A:$E,2,0)),"")</f>
        <v>図書印刷費（製）</v>
      </c>
      <c r="D76" s="239" t="str">
        <f>IF(C76="","",VLOOKUP($B76,勘定科目!$A:$E,4,0))</f>
        <v>図書及び事務費</v>
      </c>
      <c r="E76" s="245"/>
      <c r="F76" s="194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00">
        <f t="shared" si="6"/>
        <v>0</v>
      </c>
      <c r="S76" s="201" t="s">
        <v>723</v>
      </c>
      <c r="T76" s="202"/>
      <c r="U76" s="246"/>
      <c r="V76" s="246"/>
      <c r="W76" s="246"/>
      <c r="BA76"/>
      <c r="BB76"/>
    </row>
    <row r="77" spans="1:54" s="191" customFormat="1" ht="13.5">
      <c r="A77" s="226"/>
      <c r="B77" s="180">
        <v>5005246281</v>
      </c>
      <c r="C77" s="183" t="str">
        <f>IFERROR(IF(VLOOKUP($B77,勘定科目!$A:$H,HLOOKUP($E$5,勘定科目!$F$1:$H$2,2,0),0)="","",VLOOKUP($B77,勘定科目!$A:$E,2,0)),"")</f>
        <v>図書印刷費（製）</v>
      </c>
      <c r="D77" s="239" t="str">
        <f>IF(C77="","",VLOOKUP($B77,勘定科目!$A:$E,4,0))</f>
        <v>図書及び事務費</v>
      </c>
      <c r="E77" s="245"/>
      <c r="F77" s="194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00">
        <f t="shared" si="6"/>
        <v>0</v>
      </c>
      <c r="S77" s="201" t="s">
        <v>724</v>
      </c>
      <c r="T77" s="202"/>
      <c r="U77" s="246"/>
      <c r="V77" s="246"/>
      <c r="W77" s="246"/>
      <c r="BA77"/>
      <c r="BB77"/>
    </row>
    <row r="78" spans="1:54" s="191" customFormat="1" ht="13.5">
      <c r="A78" s="226"/>
      <c r="B78" s="180">
        <v>5005246281</v>
      </c>
      <c r="C78" s="183" t="str">
        <f>IFERROR(IF(VLOOKUP($B78,勘定科目!$A:$H,HLOOKUP($E$5,勘定科目!$F$1:$H$2,2,0),0)="","",VLOOKUP($B78,勘定科目!$A:$E,2,0)),"")</f>
        <v>図書印刷費（製）</v>
      </c>
      <c r="D78" s="239" t="str">
        <f>IF(C78="","",VLOOKUP($B78,勘定科目!$A:$E,4,0))</f>
        <v>図書及び事務費</v>
      </c>
      <c r="E78" s="245"/>
      <c r="F78" s="194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00">
        <f t="shared" si="6"/>
        <v>0</v>
      </c>
      <c r="S78" s="201" t="s">
        <v>725</v>
      </c>
      <c r="T78" s="202"/>
      <c r="U78" s="246"/>
      <c r="V78" s="246"/>
      <c r="W78" s="246"/>
      <c r="BA78"/>
      <c r="BB78"/>
    </row>
    <row r="79" spans="1:54" s="191" customFormat="1" ht="13.5">
      <c r="A79" s="226"/>
      <c r="B79" s="180">
        <v>5005246281</v>
      </c>
      <c r="C79" s="183" t="str">
        <f>IFERROR(IF(VLOOKUP($B79,勘定科目!$A:$H,HLOOKUP($E$5,勘定科目!$F$1:$H$2,2,0),0)="","",VLOOKUP($B79,勘定科目!$A:$E,2,0)),"")</f>
        <v>図書印刷費（製）</v>
      </c>
      <c r="D79" s="239" t="str">
        <f>IF(C79="","",VLOOKUP($B79,勘定科目!$A:$E,4,0))</f>
        <v>図書及び事務費</v>
      </c>
      <c r="E79" s="245"/>
      <c r="F79" s="194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00">
        <f t="shared" si="6"/>
        <v>0</v>
      </c>
      <c r="S79" s="201" t="s">
        <v>726</v>
      </c>
      <c r="T79" s="202"/>
      <c r="U79" s="246"/>
      <c r="V79" s="246"/>
      <c r="W79" s="246"/>
      <c r="BA79"/>
      <c r="BB79"/>
    </row>
    <row r="80" spans="1:54" s="191" customFormat="1" ht="13.5">
      <c r="A80" s="226"/>
      <c r="B80" s="180">
        <v>5005246281</v>
      </c>
      <c r="C80" s="183" t="str">
        <f>IFERROR(IF(VLOOKUP($B80,勘定科目!$A:$H,HLOOKUP($E$5,勘定科目!$F$1:$H$2,2,0),0)="","",VLOOKUP($B80,勘定科目!$A:$E,2,0)),"")</f>
        <v>図書印刷費（製）</v>
      </c>
      <c r="D80" s="239" t="str">
        <f>IF(C80="","",VLOOKUP($B80,勘定科目!$A:$E,4,0))</f>
        <v>図書及び事務費</v>
      </c>
      <c r="E80" s="245"/>
      <c r="F80" s="194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00">
        <f t="shared" si="6"/>
        <v>0</v>
      </c>
      <c r="S80" s="201" t="s">
        <v>727</v>
      </c>
      <c r="T80" s="202"/>
      <c r="U80" s="246"/>
      <c r="V80" s="246"/>
      <c r="W80" s="246"/>
      <c r="BA80"/>
      <c r="BB80"/>
    </row>
    <row r="81" spans="1:54" s="191" customFormat="1" ht="13.5">
      <c r="A81" s="226"/>
      <c r="B81" s="180">
        <v>5005026371</v>
      </c>
      <c r="C81" s="183" t="str">
        <f>IFERROR(IF(VLOOKUP($B81,勘定科目!$A:$H,HLOOKUP($E$5,勘定科目!$F$1:$H$2,2,0),0)="","",VLOOKUP($B81,勘定科目!$A:$E,2,0)),"")</f>
        <v>消耗工具器具備品費（製）</v>
      </c>
      <c r="D81" s="239" t="str">
        <f>IF(C81="","",VLOOKUP($B81,勘定科目!$A:$E,4,0))</f>
        <v>消耗工具器具備品費</v>
      </c>
      <c r="E81" s="245"/>
      <c r="F81" s="194">
        <v>16750000</v>
      </c>
      <c r="G81" s="194">
        <v>16750000</v>
      </c>
      <c r="H81" s="194">
        <v>16750000</v>
      </c>
      <c r="I81" s="247"/>
      <c r="J81" s="247"/>
      <c r="K81" s="247"/>
      <c r="L81" s="247"/>
      <c r="M81" s="247"/>
      <c r="N81" s="247"/>
      <c r="O81" s="247"/>
      <c r="P81" s="247"/>
      <c r="Q81" s="247"/>
      <c r="R81" s="200">
        <f t="shared" si="6"/>
        <v>50250000</v>
      </c>
      <c r="S81" s="201" t="s">
        <v>747</v>
      </c>
      <c r="T81" s="202"/>
      <c r="U81" s="246"/>
      <c r="V81" s="246"/>
      <c r="W81" s="246"/>
      <c r="BA81"/>
      <c r="BB81"/>
    </row>
    <row r="82" spans="1:54" s="191" customFormat="1" ht="13.5">
      <c r="A82" s="226"/>
      <c r="B82" s="180">
        <v>5005026371</v>
      </c>
      <c r="C82" s="183" t="str">
        <f>IFERROR(IF(VLOOKUP($B82,勘定科目!$A:$H,HLOOKUP($E$5,勘定科目!$F$1:$H$2,2,0),0)="","",VLOOKUP($B82,勘定科目!$A:$E,2,0)),"")</f>
        <v>消耗工具器具備品費（製）</v>
      </c>
      <c r="D82" s="239" t="str">
        <f>IF(C82="","",VLOOKUP($B82,勘定科目!$A:$E,4,0))</f>
        <v>消耗工具器具備品費</v>
      </c>
      <c r="E82" s="245"/>
      <c r="F82" s="194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00">
        <f t="shared" si="6"/>
        <v>0</v>
      </c>
      <c r="S82" s="201" t="s">
        <v>728</v>
      </c>
      <c r="T82" s="202"/>
      <c r="U82" s="246"/>
      <c r="V82" s="246"/>
      <c r="W82" s="246"/>
      <c r="BA82"/>
      <c r="BB82"/>
    </row>
    <row r="83" spans="1:54" s="191" customFormat="1" ht="13.5">
      <c r="A83" s="226"/>
      <c r="B83" s="180">
        <v>5004086291</v>
      </c>
      <c r="C83" s="183" t="str">
        <f>IFERROR(IF(VLOOKUP($B83,勘定科目!$A:$H,HLOOKUP($E$5,勘定科目!$F$1:$H$2,2,0),0)="","",VLOOKUP($B83,勘定科目!$A:$E,2,0)),"")</f>
        <v>福利厚生費（製）</v>
      </c>
      <c r="D83" s="239" t="str">
        <f>IF(C83="","",VLOOKUP($B83,勘定科目!$A:$E,4,0))</f>
        <v>福利厚生費</v>
      </c>
      <c r="E83" s="245"/>
      <c r="F83" s="194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00">
        <f t="shared" si="6"/>
        <v>0</v>
      </c>
      <c r="S83" s="201" t="s">
        <v>729</v>
      </c>
      <c r="T83" s="202"/>
      <c r="U83" s="246"/>
      <c r="V83" s="246"/>
      <c r="W83" s="246"/>
      <c r="BA83"/>
      <c r="BB83"/>
    </row>
    <row r="84" spans="1:54" s="191" customFormat="1" ht="13.5">
      <c r="A84" s="226"/>
      <c r="B84" s="180">
        <v>5004086291</v>
      </c>
      <c r="C84" s="183" t="str">
        <f>IFERROR(IF(VLOOKUP($B84,勘定科目!$A:$H,HLOOKUP($E$5,勘定科目!$F$1:$H$2,2,0),0)="","",VLOOKUP($B84,勘定科目!$A:$E,2,0)),"")</f>
        <v>福利厚生費（製）</v>
      </c>
      <c r="D84" s="239" t="str">
        <f>IF(C84="","",VLOOKUP($B84,勘定科目!$A:$E,4,0))</f>
        <v>福利厚生費</v>
      </c>
      <c r="E84" s="245"/>
      <c r="F84" s="194">
        <f>165000*2*8</f>
        <v>2640000</v>
      </c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>
        <f t="shared" si="6"/>
        <v>2640000</v>
      </c>
      <c r="S84" s="201" t="s">
        <v>730</v>
      </c>
      <c r="T84" s="202"/>
      <c r="U84" s="246"/>
      <c r="V84" s="246"/>
      <c r="W84" s="246"/>
      <c r="BA84"/>
      <c r="BB84"/>
    </row>
    <row r="85" spans="1:54" s="191" customFormat="1" ht="13.5">
      <c r="A85" s="226"/>
      <c r="B85" s="180">
        <v>5004086291</v>
      </c>
      <c r="C85" s="183" t="str">
        <f>IFERROR(IF(VLOOKUP($B85,勘定科目!$A:$H,HLOOKUP($E$5,勘定科目!$F$1:$H$2,2,0),0)="","",VLOOKUP($B85,勘定科目!$A:$E,2,0)),"")</f>
        <v>福利厚生費（製）</v>
      </c>
      <c r="D85" s="239" t="str">
        <f>IF(C85="","",VLOOKUP($B85,勘定科目!$A:$E,4,0))</f>
        <v>福利厚生費</v>
      </c>
      <c r="E85" s="245"/>
      <c r="F85" s="194">
        <f>175000*2*8</f>
        <v>2800000</v>
      </c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00">
        <f t="shared" si="6"/>
        <v>2800000</v>
      </c>
      <c r="S85" s="201" t="s">
        <v>731</v>
      </c>
      <c r="T85" s="202"/>
      <c r="U85" s="246"/>
      <c r="V85" s="246"/>
      <c r="W85" s="246"/>
      <c r="BA85"/>
      <c r="BB85"/>
    </row>
    <row r="86" spans="1:54" s="191" customFormat="1" ht="13.5">
      <c r="A86" s="226"/>
      <c r="B86" s="180">
        <v>5004086291</v>
      </c>
      <c r="C86" s="183" t="str">
        <f>IFERROR(IF(VLOOKUP($B86,勘定科目!$A:$H,HLOOKUP($E$5,勘定科目!$F$1:$H$2,2,0),0)="","",VLOOKUP($B86,勘定科目!$A:$E,2,0)),"")</f>
        <v>福利厚生費（製）</v>
      </c>
      <c r="D86" s="239" t="str">
        <f>IF(C86="","",VLOOKUP($B86,勘定科目!$A:$E,4,0))</f>
        <v>福利厚生費</v>
      </c>
      <c r="E86" s="245"/>
      <c r="F86" s="194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00">
        <f t="shared" si="6"/>
        <v>0</v>
      </c>
      <c r="S86" s="201" t="s">
        <v>732</v>
      </c>
      <c r="T86" s="202"/>
      <c r="U86" s="246"/>
      <c r="V86" s="246"/>
      <c r="W86" s="246"/>
      <c r="BA86"/>
      <c r="BB86"/>
    </row>
    <row r="87" spans="1:54" s="191" customFormat="1" ht="13.5">
      <c r="A87" s="226"/>
      <c r="B87" s="180">
        <v>5004086291</v>
      </c>
      <c r="C87" s="183" t="str">
        <f>IFERROR(IF(VLOOKUP($B87,勘定科目!$A:$H,HLOOKUP($E$5,勘定科目!$F$1:$H$2,2,0),0)="","",VLOOKUP($B87,勘定科目!$A:$E,2,0)),"")</f>
        <v>福利厚生費（製）</v>
      </c>
      <c r="D87" s="239" t="str">
        <f>IF(C87="","",VLOOKUP($B87,勘定科目!$A:$E,4,0))</f>
        <v>福利厚生費</v>
      </c>
      <c r="E87" s="245"/>
      <c r="F87" s="194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00">
        <f t="shared" si="6"/>
        <v>0</v>
      </c>
      <c r="S87" s="201" t="s">
        <v>733</v>
      </c>
      <c r="T87" s="202"/>
      <c r="U87" s="246"/>
      <c r="V87" s="246"/>
      <c r="W87" s="246"/>
      <c r="BA87"/>
      <c r="BB87"/>
    </row>
    <row r="88" spans="1:54" s="191" customFormat="1" ht="13.5">
      <c r="A88" s="226"/>
      <c r="B88" s="180">
        <v>5004086291</v>
      </c>
      <c r="C88" s="183" t="str">
        <f>IFERROR(IF(VLOOKUP($B88,勘定科目!$A:$H,HLOOKUP($E$5,勘定科目!$F$1:$H$2,2,0),0)="","",VLOOKUP($B88,勘定科目!$A:$E,2,0)),"")</f>
        <v>福利厚生費（製）</v>
      </c>
      <c r="D88" s="239" t="str">
        <f>IF(C88="","",VLOOKUP($B88,勘定科目!$A:$E,4,0))</f>
        <v>福利厚生費</v>
      </c>
      <c r="E88" s="245"/>
      <c r="F88" s="194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00">
        <f t="shared" si="6"/>
        <v>0</v>
      </c>
      <c r="S88" s="201" t="s">
        <v>734</v>
      </c>
      <c r="T88" s="202"/>
      <c r="U88" s="246"/>
      <c r="V88" s="246"/>
      <c r="W88" s="246"/>
      <c r="BA88"/>
      <c r="BB88"/>
    </row>
    <row r="89" spans="1:54" s="191" customFormat="1" ht="13.5">
      <c r="A89" s="226"/>
      <c r="B89" s="180">
        <v>5005076289</v>
      </c>
      <c r="C89" s="183" t="str">
        <f>IFERROR(IF(VLOOKUP($B89,勘定科目!$A:$H,HLOOKUP($E$5,勘定科目!$F$1:$H$2,2,0),0)="","",VLOOKUP($B89,勘定科目!$A:$E,2,0)),"")</f>
        <v>クーリエ費用（製）</v>
      </c>
      <c r="D89" s="239" t="str">
        <f>IF(C89="","",VLOOKUP($B89,勘定科目!$A:$E,4,0))</f>
        <v>荷造運賃</v>
      </c>
      <c r="E89" s="245"/>
      <c r="F89" s="194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00">
        <f t="shared" si="6"/>
        <v>0</v>
      </c>
      <c r="S89" s="201" t="s">
        <v>735</v>
      </c>
      <c r="T89" s="202"/>
      <c r="U89" s="246"/>
      <c r="V89" s="246"/>
      <c r="W89" s="246"/>
      <c r="BA89"/>
      <c r="BB89"/>
    </row>
    <row r="90" spans="1:54" s="191" customFormat="1" ht="13.5">
      <c r="A90" s="226"/>
      <c r="B90" s="180">
        <v>5005076283</v>
      </c>
      <c r="C90" s="183" t="str">
        <f>IFERROR(IF(VLOOKUP($B90,勘定科目!$A:$H,HLOOKUP($E$5,勘定科目!$F$1:$H$2,2,0),0)="","",VLOOKUP($B90,勘定科目!$A:$E,2,0)),"")</f>
        <v>輸入航空運賃（製）</v>
      </c>
      <c r="D90" s="239" t="str">
        <f>IF(C90="","",VLOOKUP($B90,勘定科目!$A:$E,4,0))</f>
        <v>荷造運賃</v>
      </c>
      <c r="E90" s="245"/>
      <c r="F90" s="194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00">
        <f t="shared" si="6"/>
        <v>0</v>
      </c>
      <c r="S90" s="201" t="s">
        <v>735</v>
      </c>
      <c r="T90" s="202"/>
      <c r="U90" s="246"/>
      <c r="V90" s="246"/>
      <c r="W90" s="246"/>
      <c r="BA90"/>
      <c r="BB90"/>
    </row>
    <row r="91" spans="1:54" s="191" customFormat="1" ht="13.5">
      <c r="A91" s="226"/>
      <c r="B91" s="180">
        <v>5005026371</v>
      </c>
      <c r="C91" s="183" t="str">
        <f>IFERROR(IF(VLOOKUP($B91,勘定科目!$A:$H,HLOOKUP($E$5,勘定科目!$F$1:$H$2,2,0),0)="","",VLOOKUP($B91,勘定科目!$A:$E,2,0)),"")</f>
        <v>消耗工具器具備品費（製）</v>
      </c>
      <c r="D91" s="239" t="str">
        <f>IF(C91="","",VLOOKUP($B91,勘定科目!$A:$E,4,0))</f>
        <v>消耗工具器具備品費</v>
      </c>
      <c r="E91" s="245"/>
      <c r="F91" s="194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00">
        <f t="shared" si="6"/>
        <v>0</v>
      </c>
      <c r="S91" s="201" t="s">
        <v>736</v>
      </c>
      <c r="T91" s="202"/>
      <c r="U91" s="246"/>
      <c r="V91" s="246"/>
      <c r="W91" s="246"/>
      <c r="BA91"/>
      <c r="BB91"/>
    </row>
    <row r="92" spans="1:54" s="191" customFormat="1" ht="13.5">
      <c r="A92" s="226"/>
      <c r="B92" s="180">
        <v>5004086293</v>
      </c>
      <c r="C92" s="183" t="str">
        <f>IFERROR(IF(VLOOKUP($B92,勘定科目!$A:$H,HLOOKUP($E$5,勘定科目!$F$1:$H$2,2,0),0)="","",VLOOKUP($B92,勘定科目!$A:$E,2,0)),"")</f>
        <v>教育訓練費（製）</v>
      </c>
      <c r="D92" s="239" t="str">
        <f>IF(C92="","",VLOOKUP($B92,勘定科目!$A:$E,4,0))</f>
        <v>募集教育費</v>
      </c>
      <c r="E92" s="245"/>
      <c r="F92" s="194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00">
        <f t="shared" si="6"/>
        <v>0</v>
      </c>
      <c r="S92" s="201" t="s">
        <v>737</v>
      </c>
      <c r="T92" s="202"/>
      <c r="U92" s="246"/>
      <c r="V92" s="246"/>
      <c r="W92" s="246"/>
      <c r="BA92"/>
      <c r="BB92"/>
    </row>
    <row r="93" spans="1:54" s="191" customFormat="1" ht="13.5">
      <c r="A93" s="226"/>
      <c r="B93" s="180">
        <v>5005246281</v>
      </c>
      <c r="C93" s="183" t="str">
        <f>IFERROR(IF(VLOOKUP($B93,勘定科目!$A:$H,HLOOKUP($E$5,勘定科目!$F$1:$H$2,2,0),0)="","",VLOOKUP($B93,勘定科目!$A:$E,2,0)),"")</f>
        <v>図書印刷費（製）</v>
      </c>
      <c r="D93" s="239" t="str">
        <f>IF(C93="","",VLOOKUP($B93,勘定科目!$A:$E,4,0))</f>
        <v>図書及び事務費</v>
      </c>
      <c r="E93" s="245"/>
      <c r="F93" s="194"/>
      <c r="G93" s="247"/>
      <c r="H93" s="247">
        <v>275000</v>
      </c>
      <c r="I93" s="247"/>
      <c r="J93" s="247"/>
      <c r="K93" s="247"/>
      <c r="L93" s="247"/>
      <c r="M93" s="247"/>
      <c r="N93" s="247"/>
      <c r="O93" s="247"/>
      <c r="P93" s="247"/>
      <c r="Q93" s="247"/>
      <c r="R93" s="200">
        <f t="shared" si="6"/>
        <v>275000</v>
      </c>
      <c r="S93" s="201" t="s">
        <v>748</v>
      </c>
      <c r="T93" s="202"/>
      <c r="U93" s="246"/>
      <c r="V93" s="246"/>
      <c r="W93" s="246"/>
      <c r="BA93"/>
      <c r="BB93"/>
    </row>
    <row r="94" spans="1:54" s="191" customFormat="1" ht="13.5">
      <c r="A94" s="226"/>
      <c r="B94" s="180">
        <v>5004086291</v>
      </c>
      <c r="C94" s="183" t="str">
        <f>IFERROR(IF(VLOOKUP($B94,勘定科目!$A:$H,HLOOKUP($E$5,勘定科目!$F$1:$H$2,2,0),0)="","",VLOOKUP($B94,勘定科目!$A:$E,2,0)),"")</f>
        <v>福利厚生費（製）</v>
      </c>
      <c r="D94" s="239" t="str">
        <f>IF(C94="","",VLOOKUP($B94,勘定科目!$A:$E,4,0))</f>
        <v>福利厚生費</v>
      </c>
      <c r="E94" s="245"/>
      <c r="F94" s="194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00">
        <f t="shared" si="6"/>
        <v>0</v>
      </c>
      <c r="S94" s="201" t="s">
        <v>738</v>
      </c>
      <c r="T94" s="202"/>
      <c r="U94" s="246"/>
      <c r="V94" s="246"/>
      <c r="W94" s="246"/>
      <c r="BA94"/>
      <c r="BB94"/>
    </row>
    <row r="95" spans="1:54" s="191" customFormat="1" ht="13.5">
      <c r="A95" s="226"/>
      <c r="B95" s="180"/>
      <c r="C95" s="183" t="str">
        <f>IFERROR(IF(VLOOKUP($B95,勘定科目!$A:$H,HLOOKUP($E$5,勘定科目!$F$1:$H$2,2,0),0)="","",VLOOKUP($B95,勘定科目!$A:$E,2,0)),"")</f>
        <v/>
      </c>
      <c r="D95" s="239" t="str">
        <f>IF(C95="","",VLOOKUP($B95,勘定科目!$A:$E,4,0))</f>
        <v/>
      </c>
      <c r="E95" s="245"/>
      <c r="F95" s="194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00">
        <f t="shared" si="6"/>
        <v>0</v>
      </c>
      <c r="S95" s="201"/>
      <c r="T95" s="202"/>
      <c r="U95" s="246"/>
      <c r="V95" s="246"/>
      <c r="W95" s="246"/>
      <c r="BA95"/>
      <c r="BB95"/>
    </row>
    <row r="96" spans="1:54" s="191" customFormat="1" ht="13.5">
      <c r="A96" s="226"/>
      <c r="B96" s="180"/>
      <c r="C96" s="183" t="str">
        <f>IFERROR(IF(VLOOKUP($B96,勘定科目!$A:$H,HLOOKUP($E$5,勘定科目!$F$1:$H$2,2,0),0)="","",VLOOKUP($B96,勘定科目!$A:$E,2,0)),"")</f>
        <v/>
      </c>
      <c r="D96" s="239" t="str">
        <f>IF(C96="","",VLOOKUP($B96,勘定科目!$A:$E,4,0))</f>
        <v/>
      </c>
      <c r="E96" s="245"/>
      <c r="F96" s="194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00">
        <f t="shared" si="6"/>
        <v>0</v>
      </c>
      <c r="S96" s="201"/>
      <c r="T96" s="202"/>
      <c r="U96" s="246"/>
      <c r="V96" s="246"/>
      <c r="W96" s="246"/>
      <c r="BA96"/>
      <c r="BB96"/>
    </row>
    <row r="97" spans="1:54" s="191" customFormat="1" ht="13.5">
      <c r="A97" s="226"/>
      <c r="B97" s="180"/>
      <c r="C97" s="183" t="str">
        <f>IFERROR(IF(VLOOKUP($B97,勘定科目!$A:$H,HLOOKUP($E$5,勘定科目!$F$1:$H$2,2,0),0)="","",VLOOKUP($B97,勘定科目!$A:$E,2,0)),"")</f>
        <v/>
      </c>
      <c r="D97" s="239" t="str">
        <f>IF(C97="","",VLOOKUP($B97,勘定科目!$A:$E,4,0))</f>
        <v/>
      </c>
      <c r="E97" s="245"/>
      <c r="F97" s="194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00">
        <f t="shared" si="6"/>
        <v>0</v>
      </c>
      <c r="S97" s="201"/>
      <c r="T97" s="202"/>
      <c r="U97" s="246"/>
      <c r="V97" s="246"/>
      <c r="W97" s="246"/>
      <c r="BA97"/>
      <c r="BB97"/>
    </row>
    <row r="98" spans="1:54" s="191" customFormat="1" ht="13.5">
      <c r="A98" s="226"/>
      <c r="B98" s="180"/>
      <c r="C98" s="183" t="str">
        <f>IFERROR(IF(VLOOKUP($B98,勘定科目!$A:$H,HLOOKUP($E$5,勘定科目!$F$1:$H$2,2,0),0)="","",VLOOKUP($B98,勘定科目!$A:$E,2,0)),"")</f>
        <v/>
      </c>
      <c r="D98" s="239" t="str">
        <f>IF(C98="","",VLOOKUP($B98,勘定科目!$A:$E,4,0))</f>
        <v/>
      </c>
      <c r="E98" s="245"/>
      <c r="F98" s="194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00">
        <f t="shared" si="6"/>
        <v>0</v>
      </c>
      <c r="S98" s="201"/>
      <c r="T98" s="202"/>
      <c r="U98" s="246"/>
      <c r="V98" s="246"/>
      <c r="W98" s="246"/>
      <c r="BA98"/>
      <c r="BB98"/>
    </row>
    <row r="99" spans="1:54" s="191" customFormat="1" ht="13.5">
      <c r="A99" s="226"/>
      <c r="B99" s="180"/>
      <c r="C99" s="183" t="str">
        <f>IFERROR(IF(VLOOKUP($B99,勘定科目!$A:$H,HLOOKUP($E$5,勘定科目!$F$1:$H$2,2,0),0)="","",VLOOKUP($B99,勘定科目!$A:$E,2,0)),"")</f>
        <v/>
      </c>
      <c r="D99" s="239" t="str">
        <f>IF(C99="","",VLOOKUP($B99,勘定科目!$A:$E,4,0))</f>
        <v/>
      </c>
      <c r="E99" s="245"/>
      <c r="F99" s="194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00">
        <f t="shared" si="6"/>
        <v>0</v>
      </c>
      <c r="S99" s="201"/>
      <c r="T99" s="202"/>
      <c r="U99" s="246"/>
      <c r="V99" s="246"/>
      <c r="W99" s="246"/>
      <c r="BA99"/>
      <c r="BB99"/>
    </row>
    <row r="100" spans="1:54" s="191" customFormat="1" ht="13.5">
      <c r="A100" s="226"/>
      <c r="B100" s="180"/>
      <c r="C100" s="183" t="str">
        <f>IFERROR(IF(VLOOKUP($B100,勘定科目!$A:$H,HLOOKUP($E$5,勘定科目!$F$1:$H$2,2,0),0)="","",VLOOKUP($B100,勘定科目!$A:$E,2,0)),"")</f>
        <v/>
      </c>
      <c r="D100" s="239" t="str">
        <f>IF(C100="","",VLOOKUP($B100,勘定科目!$A:$E,4,0))</f>
        <v/>
      </c>
      <c r="E100" s="245"/>
      <c r="F100" s="194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00">
        <f t="shared" si="6"/>
        <v>0</v>
      </c>
      <c r="S100" s="201"/>
      <c r="T100" s="202"/>
      <c r="U100" s="246"/>
      <c r="V100" s="246"/>
      <c r="W100" s="246"/>
      <c r="BA100"/>
      <c r="BB100"/>
    </row>
    <row r="101" spans="1:54" s="191" customFormat="1" ht="13.5">
      <c r="A101" s="226"/>
      <c r="B101" s="180"/>
      <c r="C101" s="183" t="str">
        <f>IFERROR(IF(VLOOKUP($B101,勘定科目!$A:$H,HLOOKUP($E$5,勘定科目!$F$1:$H$2,2,0),0)="","",VLOOKUP($B101,勘定科目!$A:$E,2,0)),"")</f>
        <v/>
      </c>
      <c r="D101" s="239" t="str">
        <f>IF(C101="","",VLOOKUP($B101,勘定科目!$A:$E,4,0))</f>
        <v/>
      </c>
      <c r="E101" s="245"/>
      <c r="F101" s="194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00">
        <f t="shared" si="6"/>
        <v>0</v>
      </c>
      <c r="S101" s="201"/>
      <c r="T101" s="202"/>
      <c r="U101" s="246"/>
      <c r="V101" s="246"/>
      <c r="W101" s="246"/>
      <c r="BA101"/>
      <c r="BB101"/>
    </row>
    <row r="102" spans="1:54" s="191" customFormat="1" ht="13.5">
      <c r="A102" s="226"/>
      <c r="B102" s="180"/>
      <c r="C102" s="183" t="str">
        <f>IFERROR(IF(VLOOKUP($B102,勘定科目!$A:$H,HLOOKUP($E$5,勘定科目!$F$1:$H$2,2,0),0)="","",VLOOKUP($B102,勘定科目!$A:$E,2,0)),"")</f>
        <v/>
      </c>
      <c r="D102" s="239" t="str">
        <f>IF(C102="","",VLOOKUP($B102,勘定科目!$A:$E,4,0))</f>
        <v/>
      </c>
      <c r="E102" s="245"/>
      <c r="F102" s="194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00">
        <f t="shared" si="6"/>
        <v>0</v>
      </c>
      <c r="S102" s="201"/>
      <c r="T102" s="202"/>
      <c r="U102" s="246"/>
      <c r="V102" s="246"/>
      <c r="W102" s="246"/>
      <c r="BA102"/>
      <c r="BB102"/>
    </row>
    <row r="103" spans="1:54" s="191" customFormat="1" ht="13.5">
      <c r="A103" s="226"/>
      <c r="B103" s="180"/>
      <c r="C103" s="183" t="str">
        <f>IFERROR(IF(VLOOKUP($B103,勘定科目!$A:$H,HLOOKUP($E$5,勘定科目!$F$1:$H$2,2,0),0)="","",VLOOKUP($B103,勘定科目!$A:$E,2,0)),"")</f>
        <v/>
      </c>
      <c r="D103" s="239" t="str">
        <f>IF(C103="","",VLOOKUP($B103,勘定科目!$A:$E,4,0))</f>
        <v/>
      </c>
      <c r="E103" s="245"/>
      <c r="F103" s="194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00">
        <f t="shared" si="6"/>
        <v>0</v>
      </c>
      <c r="S103" s="201"/>
      <c r="T103" s="202"/>
      <c r="U103" s="246"/>
      <c r="V103" s="246"/>
      <c r="W103" s="246"/>
      <c r="BA103"/>
      <c r="BB103"/>
    </row>
    <row r="104" spans="1:54" s="191" customFormat="1" ht="13.5">
      <c r="A104" s="226"/>
      <c r="B104" s="180"/>
      <c r="C104" s="183" t="str">
        <f>IFERROR(IF(VLOOKUP($B104,勘定科目!$A:$H,HLOOKUP($E$5,勘定科目!$F$1:$H$2,2,0),0)="","",VLOOKUP($B104,勘定科目!$A:$E,2,0)),"")</f>
        <v/>
      </c>
      <c r="D104" s="239" t="str">
        <f>IF(C104="","",VLOOKUP($B104,勘定科目!$A:$E,4,0))</f>
        <v/>
      </c>
      <c r="E104" s="245"/>
      <c r="F104" s="194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00">
        <f t="shared" si="6"/>
        <v>0</v>
      </c>
      <c r="S104" s="201"/>
      <c r="T104" s="202"/>
      <c r="U104" s="246"/>
      <c r="V104" s="246"/>
      <c r="W104" s="246"/>
      <c r="BA104"/>
      <c r="BB104"/>
    </row>
    <row r="105" spans="1:54" s="191" customFormat="1" ht="13.5">
      <c r="A105" s="226"/>
      <c r="B105" s="180"/>
      <c r="C105" s="183" t="str">
        <f>IFERROR(IF(VLOOKUP($B105,勘定科目!$A:$H,HLOOKUP($E$5,勘定科目!$F$1:$H$2,2,0),0)="","",VLOOKUP($B105,勘定科目!$A:$E,2,0)),"")</f>
        <v/>
      </c>
      <c r="D105" s="239" t="str">
        <f>IF(C105="","",VLOOKUP($B105,勘定科目!$A:$E,4,0))</f>
        <v/>
      </c>
      <c r="E105" s="245"/>
      <c r="F105" s="194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00">
        <f t="shared" si="6"/>
        <v>0</v>
      </c>
      <c r="S105" s="201"/>
      <c r="T105" s="202"/>
      <c r="U105" s="246"/>
      <c r="V105" s="246"/>
      <c r="W105" s="246"/>
      <c r="BA105"/>
      <c r="BB105"/>
    </row>
    <row r="106" spans="1:54" s="191" customFormat="1" ht="13.5">
      <c r="A106" s="226"/>
      <c r="B106" s="180"/>
      <c r="C106" s="183" t="str">
        <f>IFERROR(IF(VLOOKUP($B106,勘定科目!$A:$H,HLOOKUP($E$5,勘定科目!$F$1:$H$2,2,0),0)="","",VLOOKUP($B106,勘定科目!$A:$E,2,0)),"")</f>
        <v/>
      </c>
      <c r="D106" s="239" t="str">
        <f>IF(C106="","",VLOOKUP($B106,勘定科目!$A:$E,4,0))</f>
        <v/>
      </c>
      <c r="E106" s="245"/>
      <c r="F106" s="194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00">
        <f t="shared" si="6"/>
        <v>0</v>
      </c>
      <c r="S106" s="201"/>
      <c r="T106" s="202"/>
      <c r="U106" s="246"/>
      <c r="V106" s="246"/>
      <c r="W106" s="246"/>
      <c r="BA106"/>
      <c r="BB106"/>
    </row>
    <row r="107" spans="1:54" s="191" customFormat="1" ht="13.5">
      <c r="A107" s="226"/>
      <c r="B107" s="180"/>
      <c r="C107" s="183" t="str">
        <f>IFERROR(IF(VLOOKUP($B107,勘定科目!$A:$H,HLOOKUP($E$5,勘定科目!$F$1:$H$2,2,0),0)="","",VLOOKUP($B107,勘定科目!$A:$E,2,0)),"")</f>
        <v/>
      </c>
      <c r="D107" s="239" t="str">
        <f>IF(C107="","",VLOOKUP($B107,勘定科目!$A:$E,4,0))</f>
        <v/>
      </c>
      <c r="E107" s="245"/>
      <c r="F107" s="194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00">
        <f t="shared" si="6"/>
        <v>0</v>
      </c>
      <c r="S107" s="201"/>
      <c r="T107" s="202"/>
      <c r="U107" s="246"/>
      <c r="V107" s="246"/>
      <c r="W107" s="246"/>
      <c r="BA107"/>
      <c r="BB107"/>
    </row>
    <row r="108" spans="1:54" s="191" customFormat="1" ht="13.5">
      <c r="A108" s="226"/>
      <c r="B108" s="180"/>
      <c r="C108" s="183" t="str">
        <f>IFERROR(IF(VLOOKUP($B108,勘定科目!$A:$H,HLOOKUP($E$5,勘定科目!$F$1:$H$2,2,0),0)="","",VLOOKUP($B108,勘定科目!$A:$E,2,0)),"")</f>
        <v/>
      </c>
      <c r="D108" s="239" t="str">
        <f>IF(C108="","",VLOOKUP($B108,勘定科目!$A:$E,4,0))</f>
        <v/>
      </c>
      <c r="E108" s="245"/>
      <c r="F108" s="194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00">
        <f t="shared" si="6"/>
        <v>0</v>
      </c>
      <c r="S108" s="201"/>
      <c r="T108" s="202"/>
      <c r="U108" s="246"/>
      <c r="V108" s="246"/>
      <c r="W108" s="246"/>
      <c r="BA108"/>
      <c r="BB108"/>
    </row>
    <row r="109" spans="1:54" s="191" customFormat="1" ht="13.5">
      <c r="A109" s="226"/>
      <c r="B109" s="180"/>
      <c r="C109" s="183" t="str">
        <f>IFERROR(IF(VLOOKUP($B109,勘定科目!$A:$H,HLOOKUP($E$5,勘定科目!$F$1:$H$2,2,0),0)="","",VLOOKUP($B109,勘定科目!$A:$E,2,0)),"")</f>
        <v/>
      </c>
      <c r="D109" s="239" t="str">
        <f>IF(C109="","",VLOOKUP($B109,勘定科目!$A:$E,4,0))</f>
        <v/>
      </c>
      <c r="E109" s="245"/>
      <c r="F109" s="194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00">
        <f t="shared" si="6"/>
        <v>0</v>
      </c>
      <c r="S109" s="201"/>
      <c r="T109" s="202"/>
      <c r="U109" s="246"/>
      <c r="V109" s="246"/>
      <c r="W109" s="246"/>
      <c r="BA109"/>
      <c r="BB109"/>
    </row>
    <row r="110" spans="1:54" s="191" customFormat="1" ht="13.5">
      <c r="A110" s="226"/>
      <c r="B110" s="180"/>
      <c r="C110" s="183" t="str">
        <f>IFERROR(IF(VLOOKUP($B110,勘定科目!$A:$H,HLOOKUP($E$5,勘定科目!$F$1:$H$2,2,0),0)="","",VLOOKUP($B110,勘定科目!$A:$E,2,0)),"")</f>
        <v/>
      </c>
      <c r="D110" s="239" t="str">
        <f>IF(C110="","",VLOOKUP($B110,勘定科目!$A:$E,4,0))</f>
        <v/>
      </c>
      <c r="E110" s="245"/>
      <c r="F110" s="194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00">
        <f t="shared" si="6"/>
        <v>0</v>
      </c>
      <c r="S110" s="201"/>
      <c r="T110" s="202"/>
      <c r="U110" s="246"/>
      <c r="V110" s="246"/>
      <c r="W110" s="246"/>
      <c r="BA110"/>
      <c r="BB110"/>
    </row>
    <row r="111" spans="1:54" s="191" customFormat="1" ht="13.5">
      <c r="A111" s="226"/>
      <c r="B111" s="180"/>
      <c r="C111" s="183" t="str">
        <f>IFERROR(IF(VLOOKUP($B111,勘定科目!$A:$H,HLOOKUP($E$5,勘定科目!$F$1:$H$2,2,0),0)="","",VLOOKUP($B111,勘定科目!$A:$E,2,0)),"")</f>
        <v/>
      </c>
      <c r="D111" s="239" t="str">
        <f>IF(C111="","",VLOOKUP($B111,勘定科目!$A:$E,4,0))</f>
        <v/>
      </c>
      <c r="E111" s="245"/>
      <c r="F111" s="194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>
        <f t="shared" si="6"/>
        <v>0</v>
      </c>
      <c r="S111" s="201"/>
      <c r="T111" s="202"/>
      <c r="U111" s="246"/>
      <c r="V111" s="246"/>
      <c r="W111" s="246"/>
      <c r="BA111"/>
      <c r="BB111"/>
    </row>
    <row r="112" spans="1:54" s="191" customFormat="1" ht="13.5">
      <c r="A112" s="226"/>
      <c r="B112" s="180"/>
      <c r="C112" s="183" t="str">
        <f>IFERROR(IF(VLOOKUP($B112,勘定科目!$A:$H,HLOOKUP($E$5,勘定科目!$F$1:$H$2,2,0),0)="","",VLOOKUP($B112,勘定科目!$A:$E,2,0)),"")</f>
        <v/>
      </c>
      <c r="D112" s="239" t="str">
        <f>IF(C112="","",VLOOKUP($B112,勘定科目!$A:$E,4,0))</f>
        <v/>
      </c>
      <c r="E112" s="245"/>
      <c r="F112" s="194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>
        <f t="shared" si="6"/>
        <v>0</v>
      </c>
      <c r="S112" s="201"/>
      <c r="T112" s="202"/>
      <c r="U112" s="246"/>
      <c r="V112" s="246"/>
      <c r="W112" s="246"/>
      <c r="BA112"/>
      <c r="BB112"/>
    </row>
    <row r="113" spans="1:54" s="191" customFormat="1" ht="13.5">
      <c r="A113" s="226"/>
      <c r="B113" s="180"/>
      <c r="C113" s="183" t="str">
        <f>IFERROR(IF(VLOOKUP($B113,勘定科目!$A:$H,HLOOKUP($E$5,勘定科目!$F$1:$H$2,2,0),0)="","",VLOOKUP($B113,勘定科目!$A:$E,2,0)),"")</f>
        <v/>
      </c>
      <c r="D113" s="239" t="str">
        <f>IF(C113="","",VLOOKUP($B113,勘定科目!$A:$E,4,0))</f>
        <v/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6"/>
        <v>0</v>
      </c>
      <c r="S113" s="201"/>
      <c r="T113" s="202"/>
      <c r="U113" s="246"/>
      <c r="V113" s="246"/>
      <c r="W113" s="246"/>
      <c r="BA113"/>
      <c r="BB113"/>
    </row>
    <row r="114" spans="1:54" s="191" customFormat="1" ht="13.5">
      <c r="A114" s="226"/>
      <c r="B114" s="180"/>
      <c r="C114" s="183" t="str">
        <f>IFERROR(IF(VLOOKUP($B114,勘定科目!$A:$H,HLOOKUP($E$5,勘定科目!$F$1:$H$2,2,0),0)="","",VLOOKUP($B114,勘定科目!$A:$E,2,0)),"")</f>
        <v/>
      </c>
      <c r="D114" s="239" t="str">
        <f>IF(C114="","",VLOOKUP($B114,勘定科目!$A:$E,4,0))</f>
        <v/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6"/>
        <v>0</v>
      </c>
      <c r="S114" s="201"/>
      <c r="T114" s="202"/>
      <c r="U114" s="246"/>
      <c r="V114" s="246"/>
      <c r="W114" s="246"/>
      <c r="BA114"/>
      <c r="BB114"/>
    </row>
    <row r="115" spans="1:54" s="191" customFormat="1" ht="13.5">
      <c r="A115" s="226"/>
      <c r="B115" s="180"/>
      <c r="C115" s="183" t="str">
        <f>IFERROR(IF(VLOOKUP($B115,勘定科目!$A:$H,HLOOKUP($E$5,勘定科目!$F$1:$H$2,2,0),0)="","",VLOOKUP($B115,勘定科目!$A:$E,2,0)),"")</f>
        <v/>
      </c>
      <c r="D115" s="239" t="str">
        <f>IF(C115="","",VLOOKUP($B115,勘定科目!$A:$E,4,0))</f>
        <v/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6"/>
        <v>0</v>
      </c>
      <c r="S115" s="201"/>
      <c r="T115" s="202"/>
      <c r="U115" s="246"/>
      <c r="V115" s="246"/>
      <c r="W115" s="246"/>
      <c r="BA115"/>
      <c r="BB115"/>
    </row>
    <row r="116" spans="1:54" s="191" customFormat="1" ht="13.5">
      <c r="A116" s="226"/>
      <c r="B116" s="180"/>
      <c r="C116" s="183" t="str">
        <f>IFERROR(IF(VLOOKUP($B116,勘定科目!$A:$H,HLOOKUP($E$5,勘定科目!$F$1:$H$2,2,0),0)="","",VLOOKUP($B116,勘定科目!$A:$E,2,0)),"")</f>
        <v/>
      </c>
      <c r="D116" s="239" t="str">
        <f>IF(C116="","",VLOOKUP($B116,勘定科目!$A:$E,4,0))</f>
        <v/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6"/>
        <v>0</v>
      </c>
      <c r="S116" s="201"/>
      <c r="T116" s="202"/>
      <c r="U116" s="246"/>
      <c r="V116" s="246"/>
      <c r="W116" s="246"/>
      <c r="BA116"/>
      <c r="BB116"/>
    </row>
    <row r="117" spans="1:54" s="191" customFormat="1" ht="13.5">
      <c r="A117" s="226"/>
      <c r="B117" s="180"/>
      <c r="C117" s="183" t="str">
        <f>IFERROR(IF(VLOOKUP($B117,勘定科目!$A:$H,HLOOKUP($E$5,勘定科目!$F$1:$H$2,2,0),0)="","",VLOOKUP($B117,勘定科目!$A:$E,2,0)),"")</f>
        <v/>
      </c>
      <c r="D117" s="239" t="str">
        <f>IF(C117="","",VLOOKUP($B117,勘定科目!$A:$E,4,0))</f>
        <v/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si="6"/>
        <v>0</v>
      </c>
      <c r="S117" s="201"/>
      <c r="T117" s="202"/>
      <c r="U117" s="246"/>
      <c r="V117" s="246"/>
      <c r="W117" s="246"/>
      <c r="BA117"/>
      <c r="BB117"/>
    </row>
    <row r="118" spans="1:54" s="191" customFormat="1" ht="13.5">
      <c r="A118" s="226"/>
      <c r="B118" s="180"/>
      <c r="C118" s="183" t="str">
        <f>IFERROR(IF(VLOOKUP($B118,勘定科目!$A:$H,HLOOKUP($E$5,勘定科目!$F$1:$H$2,2,0),0)="","",VLOOKUP($B118,勘定科目!$A:$E,2,0)),"")</f>
        <v/>
      </c>
      <c r="D118" s="239" t="str">
        <f>IF(C118="","",VLOOKUP($B118,勘定科目!$A:$E,4,0))</f>
        <v/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si="6"/>
        <v>0</v>
      </c>
      <c r="S118" s="201"/>
      <c r="T118" s="202"/>
      <c r="U118" s="246"/>
      <c r="V118" s="246"/>
      <c r="W118" s="246"/>
      <c r="BA118"/>
      <c r="BB118"/>
    </row>
    <row r="119" spans="1:54" s="191" customFormat="1" ht="13.5">
      <c r="A119" s="226"/>
      <c r="B119" s="180"/>
      <c r="C119" s="183" t="str">
        <f>IFERROR(IF(VLOOKUP($B119,勘定科目!$A:$H,HLOOKUP($E$5,勘定科目!$F$1:$H$2,2,0),0)="","",VLOOKUP($B119,勘定科目!$A:$E,2,0)),"")</f>
        <v/>
      </c>
      <c r="D119" s="239" t="str">
        <f>IF(C119="","",VLOOKUP($B119,勘定科目!$A:$E,4,0))</f>
        <v/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si="6"/>
        <v>0</v>
      </c>
      <c r="S119" s="201"/>
      <c r="T119" s="202"/>
      <c r="U119" s="246"/>
      <c r="V119" s="246"/>
      <c r="W119" s="246"/>
      <c r="BA119"/>
      <c r="BB119"/>
    </row>
    <row r="120" spans="1:54" s="191" customFormat="1" ht="13.5">
      <c r="A120" s="226"/>
      <c r="B120" s="180"/>
      <c r="C120" s="183" t="str">
        <f>IFERROR(IF(VLOOKUP($B120,勘定科目!$A:$H,HLOOKUP($E$5,勘定科目!$F$1:$H$2,2,0),0)="","",VLOOKUP($B120,勘定科目!$A:$E,2,0)),"")</f>
        <v/>
      </c>
      <c r="D120" s="239" t="str">
        <f>IF(C120="","",VLOOKUP($B120,勘定科目!$A:$E,4,0))</f>
        <v/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ref="R120:R183" si="9">SUM(F120:Q120)</f>
        <v>0</v>
      </c>
      <c r="S120" s="201"/>
      <c r="T120" s="202"/>
      <c r="U120" s="246"/>
      <c r="V120" s="246"/>
      <c r="W120" s="246"/>
      <c r="BA120"/>
      <c r="BB120"/>
    </row>
    <row r="121" spans="1:54" s="191" customFormat="1" ht="13.5">
      <c r="A121" s="226"/>
      <c r="B121" s="180"/>
      <c r="C121" s="183" t="str">
        <f>IFERROR(IF(VLOOKUP($B121,勘定科目!$A:$H,HLOOKUP($E$5,勘定科目!$F$1:$H$2,2,0),0)="","",VLOOKUP($B121,勘定科目!$A:$E,2,0)),"")</f>
        <v/>
      </c>
      <c r="D121" s="239" t="str">
        <f>IF(C121="","",VLOOKUP($B121,勘定科目!$A:$E,4,0))</f>
        <v/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>
        <f t="shared" si="9"/>
        <v>0</v>
      </c>
      <c r="S121" s="201"/>
      <c r="T121" s="202"/>
      <c r="U121" s="246"/>
      <c r="V121" s="246"/>
      <c r="W121" s="246"/>
      <c r="BA121"/>
      <c r="BB121"/>
    </row>
    <row r="122" spans="1:54" s="191" customFormat="1" ht="13.5">
      <c r="A122" s="226"/>
      <c r="B122" s="180"/>
      <c r="C122" s="183" t="str">
        <f>IFERROR(IF(VLOOKUP($B122,勘定科目!$A:$H,HLOOKUP($E$5,勘定科目!$F$1:$H$2,2,0),0)="","",VLOOKUP($B122,勘定科目!$A:$E,2,0)),"")</f>
        <v/>
      </c>
      <c r="D122" s="239" t="str">
        <f>IF(C122="","",VLOOKUP($B122,勘定科目!$A:$E,4,0))</f>
        <v/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9"/>
        <v>0</v>
      </c>
      <c r="S122" s="201"/>
      <c r="T122" s="202"/>
      <c r="U122" s="246"/>
      <c r="V122" s="246"/>
      <c r="W122" s="246"/>
      <c r="BA122"/>
      <c r="BB122"/>
    </row>
    <row r="123" spans="1:54" s="191" customFormat="1" ht="13.5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9"/>
        <v>0</v>
      </c>
      <c r="S123" s="201"/>
      <c r="T123" s="202"/>
      <c r="U123" s="246"/>
      <c r="V123" s="246"/>
      <c r="W123" s="246"/>
      <c r="BA123"/>
      <c r="BB123"/>
    </row>
    <row r="124" spans="1:54" s="191" customFormat="1" ht="13.5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9"/>
        <v>0</v>
      </c>
      <c r="S124" s="201"/>
      <c r="T124" s="202"/>
      <c r="U124" s="246"/>
      <c r="V124" s="246"/>
      <c r="W124" s="246"/>
      <c r="BA124"/>
      <c r="BB124"/>
    </row>
    <row r="125" spans="1:54" s="191" customFormat="1" ht="13.5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9"/>
        <v>0</v>
      </c>
      <c r="S125" s="201"/>
      <c r="T125" s="202"/>
      <c r="U125" s="246"/>
      <c r="V125" s="246"/>
      <c r="W125" s="246"/>
      <c r="BA125"/>
      <c r="BB125"/>
    </row>
    <row r="126" spans="1:54" s="191" customFormat="1" ht="13.5">
      <c r="A126" s="226"/>
      <c r="B126" s="180"/>
      <c r="C126" s="183" t="str">
        <f>IFERROR(IF(VLOOKUP($B126,勘定科目!$A:$H,HLOOKUP($E$5,勘定科目!$F$1:$H$2,2,0),0)="","",VLOOKUP($B126,勘定科目!$A:$E,2,0)),"")</f>
        <v/>
      </c>
      <c r="D126" s="239" t="str">
        <f>IF(C126="","",VLOOKUP($B126,勘定科目!$A:$E,4,0))</f>
        <v/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9"/>
        <v>0</v>
      </c>
      <c r="S126" s="201"/>
      <c r="T126" s="202"/>
      <c r="U126" s="246"/>
      <c r="V126" s="246"/>
      <c r="W126" s="246"/>
      <c r="BA126"/>
      <c r="BB126"/>
    </row>
    <row r="127" spans="1:54" s="191" customFormat="1" ht="13.5">
      <c r="A127" s="226"/>
      <c r="B127" s="180"/>
      <c r="C127" s="183" t="str">
        <f>IFERROR(IF(VLOOKUP($B127,勘定科目!$A:$H,HLOOKUP($E$5,勘定科目!$F$1:$H$2,2,0),0)="","",VLOOKUP($B127,勘定科目!$A:$E,2,0)),"")</f>
        <v/>
      </c>
      <c r="D127" s="239" t="str">
        <f>IF(C127="","",VLOOKUP($B127,勘定科目!$A:$E,4,0))</f>
        <v/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>
        <f t="shared" si="9"/>
        <v>0</v>
      </c>
      <c r="S127" s="201"/>
      <c r="T127" s="202"/>
      <c r="U127" s="246"/>
      <c r="V127" s="246"/>
      <c r="W127" s="246"/>
      <c r="BA127"/>
      <c r="BB127"/>
    </row>
    <row r="128" spans="1:54" s="191" customFormat="1" ht="13.5">
      <c r="A128" s="226"/>
      <c r="B128" s="180"/>
      <c r="C128" s="183" t="str">
        <f>IFERROR(IF(VLOOKUP($B128,勘定科目!$A:$H,HLOOKUP($E$5,勘定科目!$F$1:$H$2,2,0),0)="","",VLOOKUP($B128,勘定科目!$A:$E,2,0)),"")</f>
        <v/>
      </c>
      <c r="D128" s="239" t="str">
        <f>IF(C128="","",VLOOKUP($B128,勘定科目!$A:$E,4,0))</f>
        <v/>
      </c>
      <c r="E128" s="245"/>
      <c r="F128" s="194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>
        <f t="shared" si="9"/>
        <v>0</v>
      </c>
      <c r="S128" s="201"/>
      <c r="T128" s="202"/>
      <c r="U128" s="246"/>
      <c r="V128" s="246"/>
      <c r="W128" s="246"/>
      <c r="BA128"/>
      <c r="BB128"/>
    </row>
    <row r="129" spans="1:54" s="191" customFormat="1" ht="13.5">
      <c r="A129" s="226"/>
      <c r="B129" s="180"/>
      <c r="C129" s="183" t="str">
        <f>IFERROR(IF(VLOOKUP($B129,勘定科目!$A:$H,HLOOKUP($E$5,勘定科目!$F$1:$H$2,2,0),0)="","",VLOOKUP($B129,勘定科目!$A:$E,2,0)),"")</f>
        <v/>
      </c>
      <c r="D129" s="239" t="str">
        <f>IF(C129="","",VLOOKUP($B129,勘定科目!$A:$E,4,0))</f>
        <v/>
      </c>
      <c r="E129" s="245"/>
      <c r="F129" s="194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00">
        <f t="shared" si="9"/>
        <v>0</v>
      </c>
      <c r="S129" s="201"/>
      <c r="T129" s="202"/>
      <c r="U129" s="246"/>
      <c r="V129" s="246"/>
      <c r="W129" s="246"/>
      <c r="BA129"/>
      <c r="BB129"/>
    </row>
    <row r="130" spans="1:54" s="191" customFormat="1" ht="13.5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>
        <f t="shared" si="9"/>
        <v>0</v>
      </c>
      <c r="S130" s="201"/>
      <c r="T130" s="202"/>
      <c r="U130" s="246"/>
      <c r="V130" s="246"/>
      <c r="W130" s="246"/>
      <c r="BA130"/>
      <c r="BB130"/>
    </row>
    <row r="131" spans="1:54" s="191" customFormat="1" ht="13.5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>
        <f t="shared" si="9"/>
        <v>0</v>
      </c>
      <c r="S131" s="201"/>
      <c r="T131" s="202"/>
      <c r="U131" s="246"/>
      <c r="V131" s="246"/>
      <c r="W131" s="246"/>
      <c r="BA131"/>
      <c r="BB131"/>
    </row>
    <row r="132" spans="1:54" s="191" customFormat="1" ht="13.5">
      <c r="A132" s="226"/>
      <c r="B132" s="180"/>
      <c r="C132" s="183" t="str">
        <f>IFERROR(IF(VLOOKUP($B132,勘定科目!$A:$H,HLOOKUP($E$5,勘定科目!$F$1:$H$2,2,0),0)="","",VLOOKUP($B132,勘定科目!$A:$E,2,0)),"")</f>
        <v/>
      </c>
      <c r="D132" s="239" t="str">
        <f>IF(C132="","",VLOOKUP($B132,勘定科目!$A:$E,4,0))</f>
        <v/>
      </c>
      <c r="E132" s="245"/>
      <c r="F132" s="194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00">
        <f t="shared" si="9"/>
        <v>0</v>
      </c>
      <c r="S132" s="201"/>
      <c r="T132" s="202"/>
      <c r="U132" s="246"/>
      <c r="V132" s="246"/>
      <c r="W132" s="246"/>
      <c r="BA132"/>
      <c r="BB132"/>
    </row>
    <row r="133" spans="1:54" s="191" customFormat="1" ht="13.5">
      <c r="A133" s="226"/>
      <c r="B133" s="180"/>
      <c r="C133" s="183" t="str">
        <f>IFERROR(IF(VLOOKUP($B133,勘定科目!$A:$H,HLOOKUP($E$5,勘定科目!$F$1:$H$2,2,0),0)="","",VLOOKUP($B133,勘定科目!$A:$E,2,0)),"")</f>
        <v/>
      </c>
      <c r="D133" s="239" t="str">
        <f>IF(C133="","",VLOOKUP($B133,勘定科目!$A:$E,4,0))</f>
        <v/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00">
        <f t="shared" si="9"/>
        <v>0</v>
      </c>
      <c r="S133" s="201"/>
      <c r="T133" s="202"/>
      <c r="U133" s="246"/>
      <c r="V133" s="246"/>
      <c r="W133" s="246"/>
      <c r="BA133"/>
      <c r="BB133"/>
    </row>
    <row r="134" spans="1:54" s="191" customFormat="1" ht="13.5">
      <c r="A134" s="226"/>
      <c r="B134" s="180"/>
      <c r="C134" s="183" t="str">
        <f>IFERROR(IF(VLOOKUP($B134,勘定科目!$A:$H,HLOOKUP($E$5,勘定科目!$F$1:$H$2,2,0),0)="","",VLOOKUP($B134,勘定科目!$A:$E,2,0)),"")</f>
        <v/>
      </c>
      <c r="D134" s="239" t="str">
        <f>IF(C134="","",VLOOKUP($B134,勘定科目!$A:$E,4,0))</f>
        <v/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00">
        <f t="shared" si="9"/>
        <v>0</v>
      </c>
      <c r="S134" s="201"/>
      <c r="T134" s="202"/>
      <c r="U134" s="246"/>
      <c r="V134" s="246"/>
      <c r="W134" s="246"/>
      <c r="BA134"/>
      <c r="BB134"/>
    </row>
    <row r="135" spans="1:54" s="191" customFormat="1" ht="13.5">
      <c r="A135" s="226"/>
      <c r="B135" s="180"/>
      <c r="C135" s="183" t="str">
        <f>IFERROR(IF(VLOOKUP($B135,勘定科目!$A:$H,HLOOKUP($E$5,勘定科目!$F$1:$H$2,2,0),0)="","",VLOOKUP($B135,勘定科目!$A:$E,2,0)),"")</f>
        <v/>
      </c>
      <c r="D135" s="239" t="str">
        <f>IF(C135="","",VLOOKUP($B135,勘定科目!$A:$E,4,0))</f>
        <v/>
      </c>
      <c r="E135" s="245"/>
      <c r="F135" s="194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00">
        <f t="shared" si="9"/>
        <v>0</v>
      </c>
      <c r="S135" s="201"/>
      <c r="T135" s="202"/>
      <c r="U135" s="246"/>
      <c r="V135" s="246"/>
      <c r="W135" s="246"/>
      <c r="BA135"/>
      <c r="BB135"/>
    </row>
    <row r="136" spans="1:54" s="191" customFormat="1" ht="13.5">
      <c r="A136" s="226"/>
      <c r="B136" s="180"/>
      <c r="C136" s="183" t="str">
        <f>IFERROR(IF(VLOOKUP($B136,勘定科目!$A:$H,HLOOKUP($E$5,勘定科目!$F$1:$H$2,2,0),0)="","",VLOOKUP($B136,勘定科目!$A:$E,2,0)),"")</f>
        <v/>
      </c>
      <c r="D136" s="239" t="str">
        <f>IF(C136="","",VLOOKUP($B136,勘定科目!$A:$E,4,0))</f>
        <v/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9"/>
        <v>0</v>
      </c>
      <c r="S136" s="201"/>
      <c r="T136" s="202"/>
      <c r="U136" s="246"/>
      <c r="V136" s="246"/>
      <c r="W136" s="246"/>
      <c r="BA136"/>
      <c r="BB136"/>
    </row>
    <row r="137" spans="1:54" s="191" customFormat="1" ht="13.5">
      <c r="A137" s="226"/>
      <c r="B137" s="180"/>
      <c r="C137" s="183" t="str">
        <f>IFERROR(IF(VLOOKUP($B137,勘定科目!$A:$H,HLOOKUP($E$5,勘定科目!$F$1:$H$2,2,0),0)="","",VLOOKUP($B137,勘定科目!$A:$E,2,0)),"")</f>
        <v/>
      </c>
      <c r="D137" s="239" t="str">
        <f>IF(C137="","",VLOOKUP($B137,勘定科目!$A:$E,4,0))</f>
        <v/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9"/>
        <v>0</v>
      </c>
      <c r="S137" s="201"/>
      <c r="T137" s="202"/>
      <c r="U137" s="246"/>
      <c r="V137" s="246"/>
      <c r="W137" s="246"/>
      <c r="BA137"/>
      <c r="BB137"/>
    </row>
    <row r="138" spans="1:54" s="191" customFormat="1" ht="13.5">
      <c r="A138" s="226"/>
      <c r="B138" s="180"/>
      <c r="C138" s="183" t="str">
        <f>IFERROR(IF(VLOOKUP($B138,勘定科目!$A:$H,HLOOKUP($E$5,勘定科目!$F$1:$H$2,2,0),0)="","",VLOOKUP($B138,勘定科目!$A:$E,2,0)),"")</f>
        <v/>
      </c>
      <c r="D138" s="239" t="str">
        <f>IF(C138="","",VLOOKUP($B138,勘定科目!$A:$E,4,0))</f>
        <v/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9"/>
        <v>0</v>
      </c>
      <c r="S138" s="201"/>
      <c r="T138" s="202"/>
      <c r="U138" s="246"/>
      <c r="V138" s="246"/>
      <c r="W138" s="246"/>
      <c r="BA138"/>
      <c r="BB138"/>
    </row>
    <row r="139" spans="1:54" s="191" customFormat="1" ht="13.5">
      <c r="A139" s="226"/>
      <c r="B139" s="180"/>
      <c r="C139" s="183" t="str">
        <f>IFERROR(IF(VLOOKUP($B139,勘定科目!$A:$H,HLOOKUP($E$5,勘定科目!$F$1:$H$2,2,0),0)="","",VLOOKUP($B139,勘定科目!$A:$E,2,0)),"")</f>
        <v/>
      </c>
      <c r="D139" s="239" t="str">
        <f>IF(C139="","",VLOOKUP($B139,勘定科目!$A:$E,4,0))</f>
        <v/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9"/>
        <v>0</v>
      </c>
      <c r="S139" s="201"/>
      <c r="T139" s="202"/>
      <c r="U139" s="246"/>
      <c r="V139" s="246"/>
      <c r="W139" s="246"/>
      <c r="BA139"/>
      <c r="BB139"/>
    </row>
    <row r="140" spans="1:54" s="191" customFormat="1" ht="13.5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9"/>
        <v>0</v>
      </c>
      <c r="S140" s="201"/>
      <c r="T140" s="202"/>
      <c r="U140" s="246"/>
      <c r="V140" s="246"/>
      <c r="W140" s="246"/>
      <c r="BA140"/>
      <c r="BB140"/>
    </row>
    <row r="141" spans="1:54" s="191" customFormat="1" ht="13.5">
      <c r="A141" s="226"/>
      <c r="B141" s="180"/>
      <c r="C141" s="183" t="str">
        <f>IFERROR(IF(VLOOKUP($B141,勘定科目!$A:$H,HLOOKUP($E$5,勘定科目!$F$1:$H$2,2,0),0)="","",VLOOKUP($B141,勘定科目!$A:$E,2,0)),"")</f>
        <v/>
      </c>
      <c r="D141" s="239" t="str">
        <f>IF(C141="","",VLOOKUP($B141,勘定科目!$A:$E,4,0))</f>
        <v/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9"/>
        <v>0</v>
      </c>
      <c r="S141" s="201"/>
      <c r="T141" s="202"/>
      <c r="U141" s="246"/>
      <c r="V141" s="246"/>
      <c r="W141" s="246"/>
      <c r="BA141"/>
      <c r="BB141"/>
    </row>
    <row r="142" spans="1:54" s="191" customFormat="1" ht="13.5">
      <c r="A142" s="226"/>
      <c r="B142" s="180"/>
      <c r="C142" s="183" t="str">
        <f>IFERROR(IF(VLOOKUP($B142,勘定科目!$A:$H,HLOOKUP($E$5,勘定科目!$F$1:$H$2,2,0),0)="","",VLOOKUP($B142,勘定科目!$A:$E,2,0)),"")</f>
        <v/>
      </c>
      <c r="D142" s="239" t="str">
        <f>IF(C142="","",VLOOKUP($B142,勘定科目!$A:$E,4,0))</f>
        <v/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9"/>
        <v>0</v>
      </c>
      <c r="S142" s="201"/>
      <c r="T142" s="202"/>
      <c r="U142" s="246"/>
      <c r="V142" s="246"/>
      <c r="W142" s="246"/>
      <c r="BA142"/>
      <c r="BB142"/>
    </row>
    <row r="143" spans="1:54" s="191" customFormat="1" ht="13.5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9"/>
        <v>0</v>
      </c>
      <c r="S143" s="201"/>
      <c r="T143" s="202"/>
      <c r="U143" s="246"/>
      <c r="V143" s="246"/>
      <c r="W143" s="246"/>
      <c r="BA143"/>
      <c r="BB143"/>
    </row>
    <row r="144" spans="1:54" s="191" customFormat="1" ht="13.5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9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.5">
      <c r="A145" s="226"/>
      <c r="B145" s="180"/>
      <c r="C145" s="183" t="str">
        <f>IFERROR(IF(VLOOKUP($B145,勘定科目!$A:$H,HLOOKUP($E$5,勘定科目!$F$1:$H$2,2,0),0)="","",VLOOKUP($B145,勘定科目!$A:$E,2,0)),"")</f>
        <v/>
      </c>
      <c r="D145" s="239" t="str">
        <f>IF(C145="","",VLOOKUP($B145,勘定科目!$A:$E,4,0))</f>
        <v/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9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.5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9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.5">
      <c r="A147" s="226"/>
      <c r="B147" s="180"/>
      <c r="C147" s="183" t="str">
        <f>IFERROR(IF(VLOOKUP($B147,勘定科目!$A:$H,HLOOKUP($E$5,勘定科目!$F$1:$H$2,2,0),0)="","",VLOOKUP($B147,勘定科目!$A:$E,2,0)),"")</f>
        <v/>
      </c>
      <c r="D147" s="239" t="str">
        <f>IF(C147="","",VLOOKUP($B147,勘定科目!$A:$E,4,0))</f>
        <v/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9"/>
        <v>0</v>
      </c>
      <c r="S147" s="201"/>
      <c r="T147" s="202"/>
      <c r="U147" s="246"/>
      <c r="V147" s="246"/>
      <c r="W147" s="246"/>
      <c r="BA147"/>
      <c r="BB147"/>
    </row>
    <row r="148" spans="1:54" s="191" customFormat="1" ht="13.5">
      <c r="A148" s="226"/>
      <c r="B148" s="180"/>
      <c r="C148" s="183" t="str">
        <f>IFERROR(IF(VLOOKUP($B148,勘定科目!$A:$H,HLOOKUP($E$5,勘定科目!$F$1:$H$2,2,0),0)="","",VLOOKUP($B148,勘定科目!$A:$E,2,0)),"")</f>
        <v/>
      </c>
      <c r="D148" s="239" t="str">
        <f>IF(C148="","",VLOOKUP($B148,勘定科目!$A:$E,4,0))</f>
        <v/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9"/>
        <v>0</v>
      </c>
      <c r="S148" s="201"/>
      <c r="T148" s="202"/>
      <c r="U148" s="246"/>
      <c r="V148" s="246"/>
      <c r="W148" s="246"/>
      <c r="BA148"/>
      <c r="BB148"/>
    </row>
    <row r="149" spans="1:54" s="191" customFormat="1" ht="13.5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9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.5">
      <c r="A150" s="226"/>
      <c r="B150" s="180"/>
      <c r="C150" s="183" t="str">
        <f>IFERROR(IF(VLOOKUP($B150,勘定科目!$A:$H,HLOOKUP($E$5,勘定科目!$F$1:$H$2,2,0),0)="","",VLOOKUP($B150,勘定科目!$A:$E,2,0)),"")</f>
        <v/>
      </c>
      <c r="D150" s="239" t="str">
        <f>IF(C150="","",VLOOKUP($B150,勘定科目!$A:$E,4,0))</f>
        <v/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9"/>
        <v>0</v>
      </c>
      <c r="S150" s="201"/>
      <c r="T150" s="202"/>
      <c r="U150" s="246"/>
      <c r="V150" s="246"/>
      <c r="W150" s="246"/>
      <c r="BA150"/>
      <c r="BB150"/>
    </row>
    <row r="151" spans="1:54" s="191" customFormat="1" ht="13.5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9"/>
        <v>0</v>
      </c>
      <c r="S151" s="201"/>
      <c r="T151" s="202"/>
      <c r="U151" s="246"/>
      <c r="V151" s="246"/>
      <c r="W151" s="246"/>
      <c r="BA151"/>
      <c r="BB151"/>
    </row>
    <row r="152" spans="1:54" s="191" customFormat="1" ht="13.5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9"/>
        <v>0</v>
      </c>
      <c r="S152" s="201"/>
      <c r="T152" s="202"/>
      <c r="U152" s="246"/>
      <c r="V152" s="246"/>
      <c r="W152" s="246"/>
      <c r="BA152"/>
      <c r="BB152"/>
    </row>
    <row r="153" spans="1:54" s="191" customFormat="1" ht="13.5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9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.5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9"/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.5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9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.5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9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.5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9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.5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9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.5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9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.5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9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.5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9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.5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9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.5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9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.5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9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.5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9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.5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9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.5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9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.5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9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.5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9"/>
        <v>0</v>
      </c>
      <c r="S169" s="201"/>
      <c r="T169" s="202"/>
      <c r="U169" s="246"/>
      <c r="V169" s="246"/>
      <c r="W169" s="246"/>
      <c r="BA169"/>
      <c r="BB169"/>
    </row>
    <row r="170" spans="1:54" s="191" customFormat="1" ht="13.5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9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.5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9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.5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9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.5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9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.5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9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.5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9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.5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9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.5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9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.5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9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.5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9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.5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9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.5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9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.5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9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.5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si="9"/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.5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ref="R184:R247" si="10">SUM(F184:Q184)</f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.5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10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.5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10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.5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10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.5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10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.5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10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.5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10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.5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10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.5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10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.5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10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.5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10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.5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10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.5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10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.5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10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.5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10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.5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10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.5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10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.5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10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.5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10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.5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10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.5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10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.5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10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.5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10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.5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10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.5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10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.5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10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.5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10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.5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10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.5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10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.5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10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.5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10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.5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10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.5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10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.5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10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.5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10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.5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10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.5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10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.5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10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.5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10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.5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10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.5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10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.5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10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.5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10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.5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10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.5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10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.5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10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.5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10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.5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10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.5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10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.5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10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.5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10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.5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10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.5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10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.5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10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.5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10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.5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10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.5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10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.5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10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.5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10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.5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10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.5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10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.5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10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.5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10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.5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si="10"/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.5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ref="R248:R311" si="11">SUM(F248:Q248)</f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.5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11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.5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11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.5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11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.5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11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.5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11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.5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11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.5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11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.5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11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.5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11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.5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11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.5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11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.5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11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.5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11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.5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11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.5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11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.5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11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.5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11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.5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11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.5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11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.5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11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.5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11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.5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11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.5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11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.5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11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.5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11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.5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11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.5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11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.5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11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.5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11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.5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11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.5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11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.5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11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.5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11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.5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11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.5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11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.5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11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.5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11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.5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11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.5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11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.5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11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.5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11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.5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11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.5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11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.5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11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.5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11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.5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11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.5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11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.5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11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.5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11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.5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11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.5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11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.5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11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.5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11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.5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11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.5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11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.5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11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.5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11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.5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11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.5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11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.5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11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.5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11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.5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11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.5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si="11"/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.5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ref="R312:R375" si="12">SUM(F312:Q312)</f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.5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12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.5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12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.5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12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.5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12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.5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12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.5">
      <c r="A318" s="226"/>
      <c r="B318" s="180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194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00">
        <f t="shared" si="12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.5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12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.5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12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.5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12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12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12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12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12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12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12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12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12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12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12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12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12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12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12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12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12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12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12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12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12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12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12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12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12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12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12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12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12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12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12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12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12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12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12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12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12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12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12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12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12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12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12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12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12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12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12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12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12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12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12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12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12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12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si="12"/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ref="R376:R439" si="13">SUM(F376:Q376)</f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13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13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13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13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13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13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13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13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13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13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13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13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13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13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13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13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13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13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13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13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13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13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13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13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13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13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13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13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13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13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13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13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13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13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13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13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13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13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13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13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13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13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13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13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13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13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13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13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13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13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13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13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13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13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13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13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13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13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13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13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13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13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si="13"/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ref="R440:R503" si="14">SUM(F440:Q440)</f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14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14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14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14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14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14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14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14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14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14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14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14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14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14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14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14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14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14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14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14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14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14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14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14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14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14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14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14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14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14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14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14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14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14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14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14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14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14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14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14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14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14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14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14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14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14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14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14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14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14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14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14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14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14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14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14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14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14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14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14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14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14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si="14"/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ref="R504:R567" si="15">SUM(F504:Q504)</f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15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15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15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15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15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15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15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15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15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15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15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15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15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15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15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15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15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15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15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15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15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15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15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15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15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15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15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15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15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15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15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15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15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15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15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15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15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15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15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15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15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15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15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15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15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15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15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15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15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15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15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15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15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15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15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15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15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15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15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15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15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15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si="15"/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ref="R568:R631" si="16">SUM(F568:Q568)</f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16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16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16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16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16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16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16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16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16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16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16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16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16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16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16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16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16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16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16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16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16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16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16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16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16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16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16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16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16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16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16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16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16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16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16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16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16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16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16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16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16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16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16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16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16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16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16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16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16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16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16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16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16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16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16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16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16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16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16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16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16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16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si="16"/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ref="R632:R695" si="17">SUM(F632:Q632)</f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17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17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17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17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17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17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17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17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17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17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17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17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17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17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17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17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17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17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17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17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17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17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17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17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17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17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17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17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17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17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17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17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17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17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17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17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17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17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17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17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17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17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17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17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17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17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17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17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17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17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17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17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17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17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17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17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17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17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17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17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17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17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si="17"/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ref="R696:R759" si="18">SUM(F696:Q696)</f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18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18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18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18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18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18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18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18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18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18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18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18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18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18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18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18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18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18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18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18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18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18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18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18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18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18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18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18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18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18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18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18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18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18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18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18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18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18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18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18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18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18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18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18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18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18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18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18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18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18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18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18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18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18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18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18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18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18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18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18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18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18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si="18"/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ref="R760:R800" si="19">SUM(F760:Q760)</f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19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19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19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19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19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19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19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19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19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19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19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19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19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19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19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19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19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19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19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19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19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19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19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19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19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19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19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19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19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19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19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19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19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19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19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19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19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19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19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>
        <f t="shared" si="19"/>
        <v>0</v>
      </c>
      <c r="S800" s="201"/>
      <c r="T800" s="202"/>
      <c r="U800" s="246"/>
      <c r="V800" s="246"/>
      <c r="W800" s="246"/>
      <c r="BA800"/>
      <c r="BB800"/>
    </row>
    <row r="801" spans="1:54" s="191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  <row r="1001" spans="1:54" s="191" customFormat="1" ht="13.5">
      <c r="A1001" s="182"/>
      <c r="B1001" s="178"/>
      <c r="C1001" s="183" t="str">
        <f>IFERROR(IF(VLOOKUP($B1001,勘定科目!$A:$H,HLOOKUP($E$5,勘定科目!$F$1:$H$2,2,0),0)="","",VLOOKUP($B1001,勘定科目!$A:$E,2,0)),"")</f>
        <v/>
      </c>
      <c r="D1001" s="239" t="str">
        <f>IF(C1001="","",VLOOKUP($B1001,勘定科目!$A:$E,4,0))</f>
        <v/>
      </c>
      <c r="E1001" s="245"/>
      <c r="F1001" s="240"/>
      <c r="G1001" s="241"/>
      <c r="H1001" s="241"/>
      <c r="I1001" s="241"/>
      <c r="J1001" s="241"/>
      <c r="K1001" s="241"/>
      <c r="L1001" s="241"/>
      <c r="M1001" s="241"/>
      <c r="N1001" s="241"/>
      <c r="O1001" s="241"/>
      <c r="P1001" s="241"/>
      <c r="Q1001" s="241"/>
      <c r="R1001" s="200"/>
      <c r="S1001" s="201"/>
      <c r="T1001" s="202"/>
      <c r="U1001" s="246"/>
      <c r="V1001" s="246"/>
      <c r="W1001" s="246"/>
      <c r="BA1001"/>
      <c r="BB1001"/>
    </row>
  </sheetData>
  <autoFilter ref="A7:T800" xr:uid="{B21AE32C-4FF1-4E6B-8178-654EC440007D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00" xr:uid="{B1D2CD45-B92E-488A-8C7A-831CB7D6A25A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9DB6-7E0C-41BC-820F-DB67C0046698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第4資材課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7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.25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4490BFE5-691C-4065-A912-0F73025C1A1F}"/>
  <phoneticPr fontId="3"/>
  <dataValidations count="1">
    <dataValidation type="list" allowBlank="1" showInputMessage="1" showErrorMessage="1" sqref="S4:S49" xr:uid="{98EB6B1E-F576-4AB3-8576-AD6B6B909857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B7DC-14FF-44AD-8ED6-B4CD6106B73A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8D88E6D8-A014-4C5A-B964-F41C3DB62A3C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256F-E214-40A2-86DF-E2DABD59CA35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5"/>
  <cols>
    <col min="1" max="1" width="11.625" style="294" bestFit="1" customWidth="1"/>
    <col min="2" max="2" width="19" style="291" bestFit="1" customWidth="1"/>
    <col min="3" max="3" width="3.875" style="292" bestFit="1" customWidth="1"/>
    <col min="4" max="4" width="10.25" style="291" bestFit="1" customWidth="1"/>
    <col min="5" max="5" width="9" style="291"/>
    <col min="6" max="6" width="10.875" style="291" bestFit="1" customWidth="1"/>
    <col min="7" max="7" width="19.5" style="291" bestFit="1" customWidth="1"/>
    <col min="8" max="8" width="9" style="291"/>
    <col min="9" max="9" width="13.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3A66C7F7-C82E-4B5D-947F-EA3ED662A3B6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C461-446F-4F0C-BB6F-25858ED432F8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8" customWidth="1"/>
  </cols>
  <sheetData>
    <row r="2" spans="1:2">
      <c r="A2" s="123" t="s">
        <v>674</v>
      </c>
      <c r="B2" s="248" t="s">
        <v>401</v>
      </c>
    </row>
    <row r="3" spans="1:2" ht="15">
      <c r="A3" s="92">
        <v>4</v>
      </c>
      <c r="B3" s="249">
        <v>20</v>
      </c>
    </row>
    <row r="4" spans="1:2" ht="15">
      <c r="A4" s="92">
        <v>5</v>
      </c>
      <c r="B4" s="249">
        <v>19</v>
      </c>
    </row>
    <row r="5" spans="1:2" ht="15">
      <c r="A5" s="92">
        <v>6</v>
      </c>
      <c r="B5" s="249">
        <v>21</v>
      </c>
    </row>
    <row r="6" spans="1:2" ht="15">
      <c r="A6" s="92">
        <v>7</v>
      </c>
      <c r="B6" s="249">
        <v>23</v>
      </c>
    </row>
    <row r="7" spans="1:2" ht="15">
      <c r="A7" s="92">
        <v>8</v>
      </c>
      <c r="B7" s="249">
        <v>20</v>
      </c>
    </row>
    <row r="8" spans="1:2" ht="15">
      <c r="A8" s="92">
        <v>9</v>
      </c>
      <c r="B8" s="249">
        <v>19</v>
      </c>
    </row>
    <row r="9" spans="1:2" ht="15">
      <c r="A9" s="92">
        <v>10</v>
      </c>
      <c r="B9" s="249">
        <v>23</v>
      </c>
    </row>
    <row r="10" spans="1:2" ht="15">
      <c r="A10" s="92">
        <v>11</v>
      </c>
      <c r="B10" s="249">
        <v>20</v>
      </c>
    </row>
    <row r="11" spans="1:2" ht="15">
      <c r="A11" s="92">
        <v>12</v>
      </c>
      <c r="B11" s="249">
        <v>22</v>
      </c>
    </row>
    <row r="12" spans="1:2" ht="15">
      <c r="A12" s="92">
        <v>1</v>
      </c>
      <c r="B12" s="249">
        <v>20</v>
      </c>
    </row>
    <row r="13" spans="1:2" ht="15">
      <c r="A13" s="92">
        <v>2</v>
      </c>
      <c r="B13" s="249">
        <v>15</v>
      </c>
    </row>
    <row r="14" spans="1:2" ht="1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Hà Thị Thu Phương(Ha Thi Thu Phuong)</cp:lastModifiedBy>
  <cp:lastPrinted>2017-10-06T02:39:42Z</cp:lastPrinted>
  <dcterms:created xsi:type="dcterms:W3CDTF">2002-04-10T08:05:47Z</dcterms:created>
  <dcterms:modified xsi:type="dcterms:W3CDTF">2025-01-07T10:20:04Z</dcterms:modified>
</cp:coreProperties>
</file>