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.kdtvn.local\Data\10_Production Engineering Department(製造技術部)\02.製造技術課\PE Dept\9. KE HOACH CHI TIEU HANG THANG-採算管理\FY2026\メカ1\"/>
    </mc:Choice>
  </mc:AlternateContent>
  <xr:revisionPtr revIDLastSave="0" documentId="13_ncr:1_{913FAB66-1BD4-45A1-A634-720ADB07C5D6}" xr6:coauthVersionLast="47" xr6:coauthVersionMax="47" xr10:uidLastSave="{00000000-0000-0000-0000-000000000000}"/>
  <bookViews>
    <workbookView xWindow="-120" yWindow="-120" windowWidth="20730" windowHeight="1104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2" hidden="1">'内訳ﾘｽﾄ(4～3月)'!$A$7:$T$799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0" i="10" l="1"/>
  <c r="P60" i="10"/>
  <c r="P50" i="10" l="1"/>
  <c r="Q41" i="10"/>
  <c r="Q92" i="10"/>
  <c r="P92" i="10"/>
  <c r="O92" i="10"/>
  <c r="Q91" i="10"/>
  <c r="P91" i="10"/>
  <c r="O91" i="10"/>
  <c r="Q73" i="10"/>
  <c r="P73" i="10"/>
  <c r="O73" i="10"/>
  <c r="Q71" i="10"/>
  <c r="Q67" i="10" l="1"/>
  <c r="P67" i="10"/>
  <c r="O60" i="10"/>
  <c r="Q51" i="10"/>
  <c r="P51" i="10"/>
  <c r="O51" i="10"/>
  <c r="Q50" i="10"/>
  <c r="O50" i="10"/>
  <c r="Q47" i="10"/>
  <c r="P47" i="10"/>
  <c r="O47" i="10"/>
  <c r="Q46" i="10"/>
  <c r="P46" i="10"/>
  <c r="O46" i="10"/>
  <c r="Q44" i="10"/>
  <c r="P44" i="10"/>
  <c r="O44" i="10"/>
  <c r="Q42" i="10" l="1"/>
  <c r="P42" i="10"/>
  <c r="O42" i="10"/>
  <c r="P41" i="10"/>
  <c r="O41" i="10"/>
  <c r="Q40" i="10"/>
  <c r="P40" i="10"/>
  <c r="O40" i="10"/>
  <c r="Q38" i="10"/>
  <c r="P38" i="10"/>
  <c r="O38" i="10"/>
  <c r="Q25" i="10" l="1"/>
  <c r="P25" i="10"/>
  <c r="O25" i="10"/>
  <c r="I70" i="10"/>
  <c r="Q102" i="10"/>
  <c r="M102" i="10"/>
  <c r="M80" i="10"/>
  <c r="L54" i="10" l="1"/>
  <c r="J73" i="10" l="1"/>
  <c r="F73" i="10"/>
  <c r="J92" i="10" l="1"/>
  <c r="J91" i="10"/>
  <c r="F92" i="10"/>
  <c r="F91" i="10"/>
  <c r="J44" i="10"/>
  <c r="F44" i="10"/>
  <c r="J42" i="10"/>
  <c r="F42" i="10"/>
  <c r="G38" i="10"/>
  <c r="H38" i="10"/>
  <c r="I38" i="10"/>
  <c r="J38" i="10"/>
  <c r="K38" i="10"/>
  <c r="L38" i="10"/>
  <c r="M38" i="10"/>
  <c r="N38" i="10"/>
  <c r="F38" i="10"/>
  <c r="K65" i="10"/>
  <c r="L69" i="10"/>
  <c r="K73" i="10"/>
  <c r="L73" i="10"/>
  <c r="M73" i="10"/>
  <c r="N73" i="10"/>
  <c r="H73" i="10"/>
  <c r="I73" i="10"/>
  <c r="G73" i="10"/>
  <c r="N60" i="10" l="1"/>
  <c r="M60" i="10"/>
  <c r="J60" i="10"/>
  <c r="F60" i="10"/>
  <c r="K60" i="10"/>
  <c r="H60" i="10"/>
  <c r="M67" i="10"/>
  <c r="K67" i="10"/>
  <c r="G63" i="10"/>
  <c r="N66" i="10"/>
  <c r="J135" i="10"/>
  <c r="F135" i="10"/>
  <c r="J134" i="10"/>
  <c r="F134" i="10"/>
  <c r="I133" i="10"/>
  <c r="I132" i="10"/>
  <c r="I131" i="10"/>
  <c r="I130" i="10"/>
  <c r="I129" i="10"/>
  <c r="J128" i="10"/>
  <c r="F128" i="10"/>
  <c r="K127" i="10"/>
  <c r="J127" i="10"/>
  <c r="G127" i="10"/>
  <c r="F127" i="10"/>
  <c r="O123" i="10"/>
  <c r="L123" i="10"/>
  <c r="K123" i="10"/>
  <c r="O122" i="10"/>
  <c r="L122" i="10"/>
  <c r="K122" i="10"/>
  <c r="L121" i="10"/>
  <c r="P98" i="10"/>
  <c r="L98" i="10"/>
  <c r="J97" i="10"/>
  <c r="F97" i="10"/>
  <c r="J95" i="10"/>
  <c r="F95" i="10"/>
  <c r="J79" i="10"/>
  <c r="F79" i="10"/>
  <c r="H67" i="10"/>
  <c r="G65" i="10"/>
  <c r="J58" i="10"/>
  <c r="F58" i="10"/>
  <c r="J56" i="10"/>
  <c r="F56" i="10"/>
  <c r="J55" i="10"/>
  <c r="F54" i="10"/>
  <c r="N51" i="10" l="1"/>
  <c r="M51" i="10"/>
  <c r="L51" i="10"/>
  <c r="K51" i="10"/>
  <c r="J51" i="10"/>
  <c r="I51" i="10"/>
  <c r="H51" i="10"/>
  <c r="G51" i="10"/>
  <c r="F51" i="10"/>
  <c r="N50" i="10"/>
  <c r="M50" i="10"/>
  <c r="L50" i="10"/>
  <c r="K50" i="10"/>
  <c r="J50" i="10"/>
  <c r="I50" i="10"/>
  <c r="H50" i="10"/>
  <c r="G50" i="10"/>
  <c r="F50" i="10"/>
  <c r="N46" i="10"/>
  <c r="M46" i="10"/>
  <c r="M47" i="10"/>
  <c r="N47" i="10"/>
  <c r="L47" i="10"/>
  <c r="L46" i="10"/>
  <c r="K47" i="10"/>
  <c r="K46" i="10"/>
  <c r="J47" i="10"/>
  <c r="J46" i="10"/>
  <c r="I47" i="10"/>
  <c r="I46" i="10"/>
  <c r="H47" i="10"/>
  <c r="H46" i="10"/>
  <c r="G47" i="10"/>
  <c r="F47" i="10"/>
  <c r="G46" i="10"/>
  <c r="F46" i="10"/>
  <c r="P71" i="10" l="1"/>
  <c r="O71" i="10"/>
  <c r="N71" i="10"/>
  <c r="M71" i="10"/>
  <c r="L71" i="10"/>
  <c r="K71" i="10"/>
  <c r="J71" i="10"/>
  <c r="I71" i="10"/>
  <c r="H71" i="10"/>
  <c r="G71" i="10"/>
  <c r="F71" i="10"/>
  <c r="N44" i="10" l="1"/>
  <c r="M44" i="10"/>
  <c r="L44" i="10"/>
  <c r="K44" i="10"/>
  <c r="I44" i="10"/>
  <c r="H44" i="10"/>
  <c r="G44" i="10"/>
  <c r="N92" i="10"/>
  <c r="N91" i="10"/>
  <c r="M92" i="10"/>
  <c r="M91" i="10"/>
  <c r="L92" i="10"/>
  <c r="L91" i="10"/>
  <c r="K92" i="10"/>
  <c r="K91" i="10"/>
  <c r="I92" i="10"/>
  <c r="I91" i="10"/>
  <c r="H92" i="10"/>
  <c r="H91" i="10"/>
  <c r="G92" i="10"/>
  <c r="G91" i="10"/>
  <c r="N42" i="10"/>
  <c r="M42" i="10"/>
  <c r="L42" i="10"/>
  <c r="K42" i="10"/>
  <c r="I42" i="10"/>
  <c r="H42" i="10"/>
  <c r="G42" i="10"/>
  <c r="G93" i="5" l="1"/>
  <c r="G93" i="32" s="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K98" i="5"/>
  <c r="K98" i="32" s="1"/>
  <c r="J98" i="5"/>
  <c r="J98" i="32" s="1"/>
  <c r="I98" i="5"/>
  <c r="H98" i="5"/>
  <c r="G98" i="5"/>
  <c r="F98" i="5"/>
  <c r="F98" i="32" s="1"/>
  <c r="E98" i="5"/>
  <c r="E98" i="32" s="1"/>
  <c r="D98" i="5"/>
  <c r="D98" i="32" s="1"/>
  <c r="C98" i="5"/>
  <c r="C98" i="32" s="1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E97" i="5"/>
  <c r="E97" i="32" s="1"/>
  <c r="D97" i="5"/>
  <c r="D97" i="32" s="1"/>
  <c r="C97" i="5"/>
  <c r="C97" i="32" s="1"/>
  <c r="D93" i="5"/>
  <c r="D93" i="32" s="1"/>
  <c r="N92" i="5"/>
  <c r="M92" i="5"/>
  <c r="M92" i="32" s="1"/>
  <c r="L92" i="5"/>
  <c r="K92" i="5"/>
  <c r="K92" i="32" s="1"/>
  <c r="J92" i="5"/>
  <c r="J92" i="32" s="1"/>
  <c r="I92" i="5"/>
  <c r="H92" i="5"/>
  <c r="G92" i="5"/>
  <c r="G92" i="32" s="1"/>
  <c r="F92" i="5"/>
  <c r="F92" i="32" s="1"/>
  <c r="E92" i="5"/>
  <c r="D92" i="5"/>
  <c r="D92" i="32" s="1"/>
  <c r="C92" i="5"/>
  <c r="C92" i="32" s="1"/>
  <c r="N88" i="5"/>
  <c r="N88" i="32" s="1"/>
  <c r="M88" i="5"/>
  <c r="M88" i="32" s="1"/>
  <c r="L88" i="5"/>
  <c r="L88" i="32" s="1"/>
  <c r="K88" i="5"/>
  <c r="K88" i="32" s="1"/>
  <c r="J88" i="5"/>
  <c r="I88" i="5"/>
  <c r="I88" i="32" s="1"/>
  <c r="H88" i="5"/>
  <c r="H88" i="32" s="1"/>
  <c r="G88" i="5"/>
  <c r="G88" i="32" s="1"/>
  <c r="F88" i="5"/>
  <c r="E88" i="5"/>
  <c r="E88" i="32" s="1"/>
  <c r="D88" i="5"/>
  <c r="D88" i="32" s="1"/>
  <c r="C88" i="5"/>
  <c r="C88" i="32" s="1"/>
  <c r="N87" i="5"/>
  <c r="M87" i="5"/>
  <c r="M87" i="32" s="1"/>
  <c r="L87" i="5"/>
  <c r="L87" i="32" s="1"/>
  <c r="K87" i="5"/>
  <c r="K87" i="32" s="1"/>
  <c r="J87" i="5"/>
  <c r="I87" i="5"/>
  <c r="H87" i="5"/>
  <c r="G87" i="5"/>
  <c r="G87" i="32" s="1"/>
  <c r="F87" i="5"/>
  <c r="F87" i="32" s="1"/>
  <c r="E87" i="5"/>
  <c r="E87" i="32" s="1"/>
  <c r="D87" i="5"/>
  <c r="D87" i="32" s="1"/>
  <c r="C87" i="5"/>
  <c r="C87" i="32" s="1"/>
  <c r="K74" i="5"/>
  <c r="K76" i="5" s="1"/>
  <c r="K76" i="32" s="1"/>
  <c r="J74" i="5"/>
  <c r="J74" i="32" s="1"/>
  <c r="I74" i="5"/>
  <c r="H74" i="5"/>
  <c r="H76" i="5" s="1"/>
  <c r="H76" i="32" s="1"/>
  <c r="G74" i="5"/>
  <c r="G76" i="5" s="1"/>
  <c r="G76" i="32" s="1"/>
  <c r="F74" i="5"/>
  <c r="F74" i="32" s="1"/>
  <c r="E74" i="5"/>
  <c r="E76" i="5" s="1"/>
  <c r="E76" i="32" s="1"/>
  <c r="D74" i="5"/>
  <c r="D76" i="5" s="1"/>
  <c r="D76" i="32" s="1"/>
  <c r="C74" i="5"/>
  <c r="C76" i="5" s="1"/>
  <c r="C76" i="32" s="1"/>
  <c r="G68" i="5"/>
  <c r="G70" i="5" s="1"/>
  <c r="G70" i="32" s="1"/>
  <c r="D68" i="5"/>
  <c r="D70" i="5" s="1"/>
  <c r="D70" i="32" s="1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O97" i="5" s="1"/>
  <c r="R16" i="10"/>
  <c r="R15" i="10"/>
  <c r="R14" i="10"/>
  <c r="R13" i="10"/>
  <c r="R12" i="10"/>
  <c r="R11" i="10"/>
  <c r="R10" i="10"/>
  <c r="R8" i="10"/>
  <c r="H74" i="32"/>
  <c r="C5" i="10"/>
  <c r="B2" i="5" s="1"/>
  <c r="B2" i="32" s="1"/>
  <c r="N1" i="32"/>
  <c r="Q2" i="10"/>
  <c r="Q17" i="10" s="1"/>
  <c r="P2" i="10"/>
  <c r="O2" i="10"/>
  <c r="O17" i="10" s="1"/>
  <c r="N2" i="10"/>
  <c r="M2" i="10"/>
  <c r="L2" i="10"/>
  <c r="K2" i="10"/>
  <c r="J2" i="10"/>
  <c r="I2" i="10"/>
  <c r="H2" i="10"/>
  <c r="C4" i="5"/>
  <c r="C4" i="32" s="1"/>
  <c r="H87" i="32"/>
  <c r="J88" i="32"/>
  <c r="D4" i="32"/>
  <c r="E4" i="32"/>
  <c r="F4" i="32"/>
  <c r="G4" i="32"/>
  <c r="H4" i="32"/>
  <c r="I4" i="32"/>
  <c r="J4" i="32"/>
  <c r="K4" i="32"/>
  <c r="L4" i="32"/>
  <c r="M4" i="32"/>
  <c r="N4" i="32"/>
  <c r="O4" i="32"/>
  <c r="E74" i="32"/>
  <c r="G74" i="32"/>
  <c r="I87" i="32"/>
  <c r="K69" i="5"/>
  <c r="K69" i="32" s="1"/>
  <c r="C184" i="10"/>
  <c r="D184" i="10" s="1"/>
  <c r="C197" i="10"/>
  <c r="D197" i="10" s="1"/>
  <c r="C669" i="10"/>
  <c r="D669" i="10" s="1"/>
  <c r="C462" i="10"/>
  <c r="D462" i="10" s="1"/>
  <c r="C338" i="10"/>
  <c r="D338" i="10" s="1"/>
  <c r="C602" i="10"/>
  <c r="D602" i="10" s="1"/>
  <c r="C504" i="10"/>
  <c r="D504" i="10" s="1"/>
  <c r="C418" i="10"/>
  <c r="D418" i="10" s="1"/>
  <c r="C205" i="10"/>
  <c r="D205" i="10" s="1"/>
  <c r="C961" i="10"/>
  <c r="D961" i="10" s="1"/>
  <c r="C68" i="10"/>
  <c r="D68" i="10" s="1"/>
  <c r="C354" i="10"/>
  <c r="D354" i="10" s="1"/>
  <c r="O72" i="5"/>
  <c r="K72" i="5"/>
  <c r="K72" i="32" s="1"/>
  <c r="N72" i="5"/>
  <c r="N72" i="32" s="1"/>
  <c r="H78" i="5"/>
  <c r="H78" i="32" s="1"/>
  <c r="M72" i="5"/>
  <c r="M72" i="32" s="1"/>
  <c r="K77" i="5"/>
  <c r="K77" i="32" s="1"/>
  <c r="H75" i="5"/>
  <c r="H75" i="32" s="1"/>
  <c r="F71" i="5"/>
  <c r="F71" i="32" s="1"/>
  <c r="M78" i="5"/>
  <c r="M78" i="32" s="1"/>
  <c r="F77" i="5"/>
  <c r="F77" i="32" s="1"/>
  <c r="I75" i="5"/>
  <c r="I71" i="5"/>
  <c r="I71" i="32" s="1"/>
  <c r="J75" i="5"/>
  <c r="J75" i="32" s="1"/>
  <c r="N78" i="5"/>
  <c r="N78" i="32" s="1"/>
  <c r="L78" i="5"/>
  <c r="L78" i="32" s="1"/>
  <c r="J71" i="5"/>
  <c r="J71" i="32" s="1"/>
  <c r="M77" i="5"/>
  <c r="M77" i="32" s="1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G75" i="5"/>
  <c r="G75" i="32" s="1"/>
  <c r="I69" i="5"/>
  <c r="I69" i="32" s="1"/>
  <c r="C71" i="5"/>
  <c r="C71" i="32" s="1"/>
  <c r="F75" i="5"/>
  <c r="F75" i="32" s="1"/>
  <c r="O71" i="5"/>
  <c r="I77" i="5"/>
  <c r="I77" i="32" s="1"/>
  <c r="N77" i="5"/>
  <c r="N77" i="32" s="1"/>
  <c r="E69" i="5"/>
  <c r="E69" i="32" s="1"/>
  <c r="F69" i="5"/>
  <c r="F69" i="32" s="1"/>
  <c r="N71" i="5"/>
  <c r="N71" i="32" s="1"/>
  <c r="M69" i="5"/>
  <c r="M69" i="32" s="1"/>
  <c r="D78" i="5"/>
  <c r="D78" i="32" s="1"/>
  <c r="C72" i="5"/>
  <c r="C72" i="32" s="1"/>
  <c r="F72" i="5"/>
  <c r="F72" i="32" s="1"/>
  <c r="L69" i="5"/>
  <c r="L69" i="32" s="1"/>
  <c r="O77" i="5"/>
  <c r="J69" i="5"/>
  <c r="J69" i="32" s="1"/>
  <c r="I72" i="5"/>
  <c r="I72" i="32" s="1"/>
  <c r="D72" i="5"/>
  <c r="D72" i="32" s="1"/>
  <c r="L71" i="5"/>
  <c r="L71" i="32" s="1"/>
  <c r="O75" i="5"/>
  <c r="C78" i="5"/>
  <c r="C78" i="32" s="1"/>
  <c r="N75" i="5"/>
  <c r="H72" i="5"/>
  <c r="H72" i="32" s="1"/>
  <c r="L75" i="5"/>
  <c r="L75" i="32" s="1"/>
  <c r="C75" i="5"/>
  <c r="C75" i="32" s="1"/>
  <c r="H71" i="5"/>
  <c r="H71" i="32" s="1"/>
  <c r="I78" i="5"/>
  <c r="I78" i="32" s="1"/>
  <c r="K71" i="5"/>
  <c r="K71" i="32" s="1"/>
  <c r="D75" i="5"/>
  <c r="D75" i="32" s="1"/>
  <c r="D69" i="5"/>
  <c r="D69" i="32" s="1"/>
  <c r="G77" i="5"/>
  <c r="G77" i="32" s="1"/>
  <c r="O78" i="5"/>
  <c r="N69" i="5"/>
  <c r="N69" i="32" s="1"/>
  <c r="J78" i="5"/>
  <c r="J78" i="32" s="1"/>
  <c r="G71" i="5"/>
  <c r="G71" i="32" s="1"/>
  <c r="O69" i="5"/>
  <c r="K75" i="5"/>
  <c r="K75" i="32" s="1"/>
  <c r="E75" i="5"/>
  <c r="E75" i="32" s="1"/>
  <c r="M71" i="5"/>
  <c r="D71" i="5"/>
  <c r="D71" i="32" s="1"/>
  <c r="E78" i="5"/>
  <c r="E78" i="32" s="1"/>
  <c r="J77" i="5"/>
  <c r="J77" i="32" s="1"/>
  <c r="G78" i="5"/>
  <c r="G78" i="32" s="1"/>
  <c r="G69" i="5"/>
  <c r="C77" i="5"/>
  <c r="C77" i="32" s="1"/>
  <c r="C69" i="5"/>
  <c r="C69" i="32" s="1"/>
  <c r="H77" i="5"/>
  <c r="H77" i="32"/>
  <c r="K78" i="5"/>
  <c r="K78" i="32" s="1"/>
  <c r="J72" i="5"/>
  <c r="J72" i="32" s="1"/>
  <c r="M75" i="5"/>
  <c r="M75" i="32" s="1"/>
  <c r="H69" i="5"/>
  <c r="D77" i="5"/>
  <c r="D77" i="32" s="1"/>
  <c r="F78" i="5"/>
  <c r="F78" i="32" s="1"/>
  <c r="C864" i="10"/>
  <c r="D864" i="10" s="1"/>
  <c r="C119" i="10"/>
  <c r="D119" i="10" s="1"/>
  <c r="C111" i="10"/>
  <c r="D111" i="10" s="1"/>
  <c r="C879" i="10"/>
  <c r="D879" i="10" s="1"/>
  <c r="I89" i="5" l="1"/>
  <c r="R26" i="10"/>
  <c r="O92" i="5"/>
  <c r="Q9" i="10"/>
  <c r="N68" i="5" s="1"/>
  <c r="P9" i="10"/>
  <c r="M93" i="5" s="1"/>
  <c r="M93" i="32" s="1"/>
  <c r="M94" i="32" s="1"/>
  <c r="P17" i="10"/>
  <c r="O9" i="10"/>
  <c r="L68" i="5" s="1"/>
  <c r="L68" i="32" s="1"/>
  <c r="O89" i="5"/>
  <c r="L89" i="32"/>
  <c r="E89" i="5"/>
  <c r="J89" i="5"/>
  <c r="C89" i="32"/>
  <c r="K89" i="32"/>
  <c r="L89" i="5"/>
  <c r="R28" i="10"/>
  <c r="R27" i="10"/>
  <c r="D74" i="32"/>
  <c r="H89" i="5"/>
  <c r="E89" i="32"/>
  <c r="C89" i="5"/>
  <c r="M89" i="32"/>
  <c r="I89" i="32"/>
  <c r="D89" i="32"/>
  <c r="F99" i="5"/>
  <c r="K74" i="32"/>
  <c r="K79" i="32" s="1"/>
  <c r="J99" i="32"/>
  <c r="F97" i="32"/>
  <c r="J99" i="5"/>
  <c r="C74" i="32"/>
  <c r="J76" i="5"/>
  <c r="J79" i="5" s="1"/>
  <c r="I93" i="5"/>
  <c r="I93" i="32" s="1"/>
  <c r="I68" i="5"/>
  <c r="I68" i="32" s="1"/>
  <c r="J93" i="5"/>
  <c r="J93" i="32" s="1"/>
  <c r="J94" i="32" s="1"/>
  <c r="J68" i="5"/>
  <c r="J70" i="5" s="1"/>
  <c r="K93" i="5"/>
  <c r="K93" i="32" s="1"/>
  <c r="K68" i="5"/>
  <c r="H93" i="5"/>
  <c r="H93" i="32" s="1"/>
  <c r="H68" i="5"/>
  <c r="L93" i="5"/>
  <c r="L93" i="32" s="1"/>
  <c r="E93" i="5"/>
  <c r="E93" i="32" s="1"/>
  <c r="E68" i="5"/>
  <c r="C93" i="5"/>
  <c r="C68" i="5"/>
  <c r="C68" i="32" s="1"/>
  <c r="N93" i="5"/>
  <c r="N93" i="32" s="1"/>
  <c r="M68" i="5"/>
  <c r="M70" i="5" s="1"/>
  <c r="M70" i="32" s="1"/>
  <c r="F68" i="5"/>
  <c r="F68" i="32" s="1"/>
  <c r="F93" i="5"/>
  <c r="F94" i="5" s="1"/>
  <c r="D68" i="32"/>
  <c r="D73" i="32" s="1"/>
  <c r="G68" i="32"/>
  <c r="H89" i="32"/>
  <c r="K89" i="5"/>
  <c r="G89" i="32"/>
  <c r="G89" i="5"/>
  <c r="C589" i="10"/>
  <c r="D589" i="10" s="1"/>
  <c r="C988" i="10"/>
  <c r="D988" i="10" s="1"/>
  <c r="C409" i="10"/>
  <c r="D409" i="10" s="1"/>
  <c r="C624" i="10"/>
  <c r="D624" i="10" s="1"/>
  <c r="C848" i="10"/>
  <c r="D848" i="10" s="1"/>
  <c r="C756" i="10"/>
  <c r="D756" i="10" s="1"/>
  <c r="C107" i="10"/>
  <c r="D107" i="10" s="1"/>
  <c r="C334" i="10"/>
  <c r="D334" i="10" s="1"/>
  <c r="C867" i="10"/>
  <c r="D867" i="10" s="1"/>
  <c r="C679" i="10"/>
  <c r="D679" i="10" s="1"/>
  <c r="C590" i="10"/>
  <c r="D590" i="10" s="1"/>
  <c r="C741" i="10"/>
  <c r="D741" i="10" s="1"/>
  <c r="C485" i="10"/>
  <c r="D485" i="10" s="1"/>
  <c r="C557" i="10"/>
  <c r="D557" i="10" s="1"/>
  <c r="C170" i="10"/>
  <c r="D170" i="10" s="1"/>
  <c r="C750" i="10"/>
  <c r="D750" i="10" s="1"/>
  <c r="C906" i="10"/>
  <c r="D906" i="10" s="1"/>
  <c r="C992" i="10"/>
  <c r="D992" i="10" s="1"/>
  <c r="C110" i="10"/>
  <c r="D110" i="10" s="1"/>
  <c r="C980" i="10"/>
  <c r="D980" i="10" s="1"/>
  <c r="C471" i="10"/>
  <c r="D471" i="10" s="1"/>
  <c r="C449" i="10"/>
  <c r="D449" i="10" s="1"/>
  <c r="C510" i="10"/>
  <c r="D510" i="10" s="1"/>
  <c r="C526" i="10"/>
  <c r="D526" i="10" s="1"/>
  <c r="C65" i="10"/>
  <c r="D65" i="10" s="1"/>
  <c r="C191" i="10"/>
  <c r="D191" i="10" s="1"/>
  <c r="C948" i="10"/>
  <c r="D948" i="10" s="1"/>
  <c r="C902" i="10"/>
  <c r="D902" i="10" s="1"/>
  <c r="C947" i="10"/>
  <c r="D947" i="10" s="1"/>
  <c r="C723" i="10"/>
  <c r="D723" i="10" s="1"/>
  <c r="C89" i="10"/>
  <c r="D89" i="10" s="1"/>
  <c r="C972" i="10"/>
  <c r="D972" i="10" s="1"/>
  <c r="C290" i="10"/>
  <c r="D290" i="10" s="1"/>
  <c r="C730" i="10"/>
  <c r="D730" i="10" s="1"/>
  <c r="C304" i="10"/>
  <c r="D304" i="10" s="1"/>
  <c r="C898" i="10"/>
  <c r="D898" i="10" s="1"/>
  <c r="C581" i="10"/>
  <c r="D581" i="10" s="1"/>
  <c r="C373" i="10"/>
  <c r="D373" i="10" s="1"/>
  <c r="C474" i="10"/>
  <c r="D474" i="10" s="1"/>
  <c r="C464" i="10"/>
  <c r="D464" i="10" s="1"/>
  <c r="C706" i="10"/>
  <c r="D706" i="10" s="1"/>
  <c r="C86" i="10"/>
  <c r="D86" i="10" s="1"/>
  <c r="C716" i="10"/>
  <c r="D716" i="10" s="1"/>
  <c r="C467" i="10"/>
  <c r="D467" i="10" s="1"/>
  <c r="C853" i="10"/>
  <c r="D853" i="10" s="1"/>
  <c r="C502" i="10"/>
  <c r="D502" i="10" s="1"/>
  <c r="C49" i="10"/>
  <c r="D49" i="10" s="1"/>
  <c r="C842" i="10"/>
  <c r="D842" i="10" s="1"/>
  <c r="C489" i="10"/>
  <c r="D489" i="10" s="1"/>
  <c r="C687" i="10"/>
  <c r="D687" i="10" s="1"/>
  <c r="C804" i="10"/>
  <c r="D804" i="10" s="1"/>
  <c r="C702" i="10"/>
  <c r="D702" i="10" s="1"/>
  <c r="C900" i="10"/>
  <c r="D900" i="10" s="1"/>
  <c r="C147" i="10"/>
  <c r="D147" i="10" s="1"/>
  <c r="C163" i="10"/>
  <c r="D163" i="10" s="1"/>
  <c r="D1" i="21"/>
  <c r="C783" i="10"/>
  <c r="D783" i="10" s="1"/>
  <c r="C249" i="10"/>
  <c r="D249" i="10" s="1"/>
  <c r="C31" i="10"/>
  <c r="D31" i="10" s="1"/>
  <c r="C148" i="10"/>
  <c r="D148" i="10" s="1"/>
  <c r="C793" i="10"/>
  <c r="D793" i="10" s="1"/>
  <c r="C224" i="10"/>
  <c r="D224" i="10" s="1"/>
  <c r="C562" i="10"/>
  <c r="D562" i="10" s="1"/>
  <c r="C298" i="10"/>
  <c r="D298" i="10" s="1"/>
  <c r="C357" i="10"/>
  <c r="D357" i="10" s="1"/>
  <c r="C180" i="10"/>
  <c r="D180" i="10" s="1"/>
  <c r="C118" i="10"/>
  <c r="D118" i="10" s="1"/>
  <c r="C668" i="10"/>
  <c r="D668" i="10" s="1"/>
  <c r="J87" i="32"/>
  <c r="I74" i="32"/>
  <c r="I76" i="5"/>
  <c r="I76" i="32" s="1"/>
  <c r="D89" i="5"/>
  <c r="N89" i="5"/>
  <c r="N87" i="32"/>
  <c r="N89" i="32" s="1"/>
  <c r="R29" i="10"/>
  <c r="R5" i="10" s="1"/>
  <c r="C508" i="10"/>
  <c r="D508" i="10" s="1"/>
  <c r="F76" i="5"/>
  <c r="F76" i="32" s="1"/>
  <c r="C335" i="10"/>
  <c r="D335" i="10" s="1"/>
  <c r="C314" i="10"/>
  <c r="D314" i="10" s="1"/>
  <c r="C80" i="10"/>
  <c r="D80" i="10" s="1"/>
  <c r="C852" i="10"/>
  <c r="D852" i="10" s="1"/>
  <c r="C712" i="10"/>
  <c r="D712" i="10" s="1"/>
  <c r="C265" i="10"/>
  <c r="D265" i="10" s="1"/>
  <c r="C492" i="10"/>
  <c r="D492" i="10" s="1"/>
  <c r="C92" i="10"/>
  <c r="D92" i="10" s="1"/>
  <c r="C826" i="10"/>
  <c r="D826" i="10" s="1"/>
  <c r="C761" i="10"/>
  <c r="D761" i="10" s="1"/>
  <c r="C383" i="10"/>
  <c r="D383" i="10" s="1"/>
  <c r="C123" i="10"/>
  <c r="D123" i="10" s="1"/>
  <c r="C237" i="10"/>
  <c r="D237" i="10" s="1"/>
  <c r="C673" i="10"/>
  <c r="D673" i="10" s="1"/>
  <c r="C347" i="10"/>
  <c r="D347" i="10" s="1"/>
  <c r="C986" i="10"/>
  <c r="D986" i="10" s="1"/>
  <c r="C117" i="10"/>
  <c r="D117" i="10" s="1"/>
  <c r="C621" i="10"/>
  <c r="D621" i="10" s="1"/>
  <c r="C306" i="10"/>
  <c r="D306" i="10" s="1"/>
  <c r="C391" i="10"/>
  <c r="D391" i="10" s="1"/>
  <c r="C175" i="10"/>
  <c r="D175" i="10" s="1"/>
  <c r="C577" i="10"/>
  <c r="D577" i="10" s="1"/>
  <c r="C428" i="10"/>
  <c r="D428" i="10" s="1"/>
  <c r="C659" i="10"/>
  <c r="D659" i="10" s="1"/>
  <c r="C724" i="10"/>
  <c r="D724" i="10" s="1"/>
  <c r="M89" i="5"/>
  <c r="F89" i="5"/>
  <c r="F88" i="32"/>
  <c r="F89" i="32" s="1"/>
  <c r="G99" i="5"/>
  <c r="C99" i="5"/>
  <c r="C869" i="10"/>
  <c r="D869" i="10" s="1"/>
  <c r="C935" i="10"/>
  <c r="D935" i="10" s="1"/>
  <c r="C544" i="10"/>
  <c r="D544" i="10" s="1"/>
  <c r="C393" i="10"/>
  <c r="D393" i="10" s="1"/>
  <c r="C59" i="10"/>
  <c r="D59" i="10" s="1"/>
  <c r="C436" i="10"/>
  <c r="D436" i="10" s="1"/>
  <c r="C327" i="10"/>
  <c r="D327" i="10" s="1"/>
  <c r="C27" i="10"/>
  <c r="D27" i="10" s="1"/>
  <c r="C871" i="10"/>
  <c r="D871" i="10" s="1"/>
  <c r="C950" i="10"/>
  <c r="D950" i="10" s="1"/>
  <c r="C461" i="10"/>
  <c r="D461" i="10" s="1"/>
  <c r="C292" i="10"/>
  <c r="D292" i="10" s="1"/>
  <c r="C430" i="10"/>
  <c r="D430" i="10" s="1"/>
  <c r="C206" i="10"/>
  <c r="D206" i="10" s="1"/>
  <c r="C301" i="10"/>
  <c r="D301" i="10" s="1"/>
  <c r="C897" i="10"/>
  <c r="D897" i="10" s="1"/>
  <c r="C984" i="10"/>
  <c r="D984" i="10" s="1"/>
  <c r="C275" i="10"/>
  <c r="D275" i="10" s="1"/>
  <c r="C156" i="10"/>
  <c r="D156" i="10" s="1"/>
  <c r="C792" i="10"/>
  <c r="D792" i="10" s="1"/>
  <c r="C187" i="10"/>
  <c r="D187" i="10" s="1"/>
  <c r="C893" i="10"/>
  <c r="D893" i="10" s="1"/>
  <c r="C916" i="10"/>
  <c r="D916" i="10" s="1"/>
  <c r="C791" i="10"/>
  <c r="D791" i="10" s="1"/>
  <c r="C704" i="10"/>
  <c r="D704" i="10" s="1"/>
  <c r="C54" i="10"/>
  <c r="D54" i="10" s="1"/>
  <c r="C313" i="10"/>
  <c r="D313" i="10" s="1"/>
  <c r="C365" i="10"/>
  <c r="D365" i="10" s="1"/>
  <c r="C252" i="10"/>
  <c r="D252" i="10" s="1"/>
  <c r="C356" i="10"/>
  <c r="D356" i="10" s="1"/>
  <c r="C654" i="10"/>
  <c r="D654" i="10" s="1"/>
  <c r="C788" i="10"/>
  <c r="D788" i="10" s="1"/>
  <c r="C214" i="10"/>
  <c r="D214" i="10" s="1"/>
  <c r="C459" i="10"/>
  <c r="D459" i="10" s="1"/>
  <c r="C630" i="10"/>
  <c r="D630" i="10" s="1"/>
  <c r="C360" i="10"/>
  <c r="D360" i="10" s="1"/>
  <c r="C567" i="10"/>
  <c r="D567" i="10" s="1"/>
  <c r="C212" i="10"/>
  <c r="D212" i="10" s="1"/>
  <c r="C971" i="10"/>
  <c r="D971" i="10" s="1"/>
  <c r="C638" i="10"/>
  <c r="D638" i="10" s="1"/>
  <c r="C382" i="10"/>
  <c r="D382" i="10" s="1"/>
  <c r="C490" i="10"/>
  <c r="D490" i="10" s="1"/>
  <c r="C960" i="10"/>
  <c r="D960" i="10" s="1"/>
  <c r="C551" i="10"/>
  <c r="D551" i="10" s="1"/>
  <c r="C359" i="10"/>
  <c r="D359" i="10" s="1"/>
  <c r="C251" i="10"/>
  <c r="D251" i="10" s="1"/>
  <c r="C603" i="10"/>
  <c r="D603" i="10" s="1"/>
  <c r="C693" i="10"/>
  <c r="D693" i="10" s="1"/>
  <c r="C196" i="10"/>
  <c r="D196" i="10" s="1"/>
  <c r="C173" i="10"/>
  <c r="D173" i="10" s="1"/>
  <c r="C387" i="10"/>
  <c r="D387" i="10" s="1"/>
  <c r="C47" i="10"/>
  <c r="D47" i="10" s="1"/>
  <c r="C989" i="10"/>
  <c r="D989" i="10" s="1"/>
  <c r="C355" i="10"/>
  <c r="D355" i="10" s="1"/>
  <c r="C732" i="10"/>
  <c r="D732" i="10" s="1"/>
  <c r="C881" i="10"/>
  <c r="D881" i="10" s="1"/>
  <c r="C808" i="10"/>
  <c r="D808" i="10" s="1"/>
  <c r="C341" i="10"/>
  <c r="D341" i="10" s="1"/>
  <c r="C199" i="10"/>
  <c r="D199" i="10" s="1"/>
  <c r="C952" i="10"/>
  <c r="D952" i="10" s="1"/>
  <c r="C967" i="10"/>
  <c r="D967" i="10" s="1"/>
  <c r="C43" i="10"/>
  <c r="D43" i="10" s="1"/>
  <c r="C207" i="10"/>
  <c r="D207" i="10" s="1"/>
  <c r="C882" i="10"/>
  <c r="D882" i="10" s="1"/>
  <c r="C594" i="10"/>
  <c r="D594" i="10" s="1"/>
  <c r="C376" i="10"/>
  <c r="D376" i="10" s="1"/>
  <c r="C250" i="10"/>
  <c r="D250" i="10" s="1"/>
  <c r="C497" i="10"/>
  <c r="D497" i="10" s="1"/>
  <c r="C40" i="10"/>
  <c r="D40" i="10" s="1"/>
  <c r="C636" i="10"/>
  <c r="D636" i="10" s="1"/>
  <c r="C223" i="10"/>
  <c r="D223" i="10" s="1"/>
  <c r="C705" i="10"/>
  <c r="D705" i="10" s="1"/>
  <c r="C856" i="10"/>
  <c r="D856" i="10" s="1"/>
  <c r="C101" i="10"/>
  <c r="D101" i="10" s="1"/>
  <c r="C193" i="10"/>
  <c r="D193" i="10" s="1"/>
  <c r="C936" i="10"/>
  <c r="D936" i="10" s="1"/>
  <c r="C165" i="10"/>
  <c r="D165" i="10" s="1"/>
  <c r="C795" i="10"/>
  <c r="D795" i="10" s="1"/>
  <c r="C331" i="10"/>
  <c r="D331" i="10" s="1"/>
  <c r="C760" i="10"/>
  <c r="D760" i="10" s="1"/>
  <c r="C662" i="10"/>
  <c r="D662" i="10" s="1"/>
  <c r="C38" i="10"/>
  <c r="D38" i="10" s="1"/>
  <c r="C454" i="10"/>
  <c r="D454" i="10" s="1"/>
  <c r="C523" i="10"/>
  <c r="D523" i="10" s="1"/>
  <c r="C294" i="10"/>
  <c r="D294" i="10" s="1"/>
  <c r="C410" i="10"/>
  <c r="D410" i="10" s="1"/>
  <c r="C479" i="10"/>
  <c r="D479" i="10" s="1"/>
  <c r="C155" i="10"/>
  <c r="D155" i="10" s="1"/>
  <c r="C234" i="10"/>
  <c r="D234" i="10" s="1"/>
  <c r="C740" i="10"/>
  <c r="D740" i="10" s="1"/>
  <c r="C266" i="10"/>
  <c r="D266" i="10" s="1"/>
  <c r="C429" i="10"/>
  <c r="D429" i="10" s="1"/>
  <c r="C586" i="10"/>
  <c r="D586" i="10" s="1"/>
  <c r="C911" i="10"/>
  <c r="D911" i="10" s="1"/>
  <c r="C221" i="10"/>
  <c r="D221" i="10" s="1"/>
  <c r="C248" i="10"/>
  <c r="D248" i="10" s="1"/>
  <c r="C412" i="10"/>
  <c r="D412" i="10" s="1"/>
  <c r="C554" i="10"/>
  <c r="D554" i="10" s="1"/>
  <c r="C805" i="10"/>
  <c r="D805" i="10" s="1"/>
  <c r="C560" i="10"/>
  <c r="D560" i="10" s="1"/>
  <c r="C58" i="10"/>
  <c r="D58" i="10" s="1"/>
  <c r="C813" i="10"/>
  <c r="D813" i="10" s="1"/>
  <c r="C225" i="10"/>
  <c r="D225" i="10" s="1"/>
  <c r="C211" i="10"/>
  <c r="D211" i="10" s="1"/>
  <c r="C762" i="10"/>
  <c r="D762" i="10" s="1"/>
  <c r="C371" i="10"/>
  <c r="D371" i="10" s="1"/>
  <c r="C718" i="10"/>
  <c r="D718" i="10" s="1"/>
  <c r="I75" i="32"/>
  <c r="G98" i="32"/>
  <c r="G99" i="32" s="1"/>
  <c r="C874" i="10"/>
  <c r="D874" i="10" s="1"/>
  <c r="C121" i="10"/>
  <c r="D121" i="10" s="1"/>
  <c r="C404" i="10"/>
  <c r="D404" i="10" s="1"/>
  <c r="C610" i="10"/>
  <c r="D610" i="10" s="1"/>
  <c r="C130" i="10"/>
  <c r="D130" i="10" s="1"/>
  <c r="C623" i="10"/>
  <c r="D623" i="10" s="1"/>
  <c r="C427" i="10"/>
  <c r="D427" i="10" s="1"/>
  <c r="C690" i="10"/>
  <c r="D690" i="10" s="1"/>
  <c r="C51" i="10"/>
  <c r="D51" i="10" s="1"/>
  <c r="C457" i="10"/>
  <c r="D457" i="10" s="1"/>
  <c r="C67" i="10"/>
  <c r="D67" i="10" s="1"/>
  <c r="C811" i="10"/>
  <c r="D811" i="10" s="1"/>
  <c r="C963" i="10"/>
  <c r="D963" i="10" s="1"/>
  <c r="C48" i="10"/>
  <c r="D48" i="10" s="1"/>
  <c r="C672" i="10"/>
  <c r="D672" i="10" s="1"/>
  <c r="C666" i="10"/>
  <c r="D666" i="10" s="1"/>
  <c r="C179" i="10"/>
  <c r="D179" i="10" s="1"/>
  <c r="C116" i="10"/>
  <c r="D116" i="10" s="1"/>
  <c r="C351" i="10"/>
  <c r="D351" i="10" s="1"/>
  <c r="C547" i="10"/>
  <c r="D547" i="10" s="1"/>
  <c r="C657" i="10"/>
  <c r="D657" i="10" s="1"/>
  <c r="C534" i="10"/>
  <c r="D534" i="10" s="1"/>
  <c r="C721" i="10"/>
  <c r="D721" i="10" s="1"/>
  <c r="C903" i="10"/>
  <c r="D903" i="10" s="1"/>
  <c r="C160" i="10"/>
  <c r="D160" i="10" s="1"/>
  <c r="C477" i="10"/>
  <c r="D477" i="10" s="1"/>
  <c r="C801" i="10"/>
  <c r="D801" i="10" s="1"/>
  <c r="C748" i="10"/>
  <c r="D748" i="10" s="1"/>
  <c r="C281" i="10"/>
  <c r="D281" i="10" s="1"/>
  <c r="C397" i="10"/>
  <c r="D397" i="10" s="1"/>
  <c r="C282" i="10"/>
  <c r="D282" i="10" s="1"/>
  <c r="C408" i="10"/>
  <c r="D408" i="10" s="1"/>
  <c r="C575" i="10"/>
  <c r="D575" i="10" s="1"/>
  <c r="C664" i="10"/>
  <c r="D664" i="10" s="1"/>
  <c r="C742" i="10"/>
  <c r="D742" i="10" s="1"/>
  <c r="C823" i="10"/>
  <c r="D823" i="10" s="1"/>
  <c r="C985" i="10"/>
  <c r="D985" i="10" s="1"/>
  <c r="C532" i="10"/>
  <c r="D532" i="10" s="1"/>
  <c r="C137" i="10"/>
  <c r="D137" i="10" s="1"/>
  <c r="C855" i="10"/>
  <c r="D855" i="10" s="1"/>
  <c r="C154" i="10"/>
  <c r="D154" i="10" s="1"/>
  <c r="C108" i="10"/>
  <c r="D108" i="10" s="1"/>
  <c r="C1000" i="10"/>
  <c r="D1000" i="10" s="1"/>
  <c r="C951" i="10"/>
  <c r="D951" i="10" s="1"/>
  <c r="C973" i="10"/>
  <c r="D973" i="10" s="1"/>
  <c r="C415" i="10"/>
  <c r="D415" i="10" s="1"/>
  <c r="C98" i="10"/>
  <c r="D98" i="10" s="1"/>
  <c r="C194" i="10"/>
  <c r="D194" i="10" s="1"/>
  <c r="C463" i="10"/>
  <c r="D463" i="10" s="1"/>
  <c r="C600" i="10"/>
  <c r="D600" i="10" s="1"/>
  <c r="C340" i="10"/>
  <c r="D340" i="10" s="1"/>
  <c r="C703" i="10"/>
  <c r="D703" i="10" s="1"/>
  <c r="C786" i="10"/>
  <c r="D786" i="10" s="1"/>
  <c r="C619" i="10"/>
  <c r="D619" i="10" s="1"/>
  <c r="C643" i="10"/>
  <c r="D643" i="10" s="1"/>
  <c r="C671" i="10"/>
  <c r="D671" i="10" s="1"/>
  <c r="C758" i="10"/>
  <c r="D758" i="10" s="1"/>
  <c r="C807" i="10"/>
  <c r="D807" i="10" s="1"/>
  <c r="C361" i="10"/>
  <c r="D361" i="10" s="1"/>
  <c r="C965" i="10"/>
  <c r="D965" i="10" s="1"/>
  <c r="C914" i="10"/>
  <c r="D914" i="10" s="1"/>
  <c r="C921" i="10"/>
  <c r="D921" i="10" s="1"/>
  <c r="C996" i="10"/>
  <c r="D996" i="10" s="1"/>
  <c r="C379" i="10"/>
  <c r="D379" i="10" s="1"/>
  <c r="C41" i="10"/>
  <c r="D41" i="10" s="1"/>
  <c r="C145" i="10"/>
  <c r="D145" i="10" s="1"/>
  <c r="C940" i="10"/>
  <c r="D940" i="10" s="1"/>
  <c r="C896" i="10"/>
  <c r="D896" i="10" s="1"/>
  <c r="C789" i="10"/>
  <c r="D789" i="10" s="1"/>
  <c r="C209" i="10"/>
  <c r="D209" i="10" s="1"/>
  <c r="C166" i="10"/>
  <c r="D166" i="10" s="1"/>
  <c r="C134" i="10"/>
  <c r="D134" i="10" s="1"/>
  <c r="C77" i="10"/>
  <c r="D77" i="10" s="1"/>
  <c r="C261" i="10"/>
  <c r="D261" i="10" s="1"/>
  <c r="C494" i="10"/>
  <c r="D494" i="10" s="1"/>
  <c r="C949" i="10"/>
  <c r="D949" i="10" s="1"/>
  <c r="C168" i="10"/>
  <c r="D168" i="10" s="1"/>
  <c r="C655" i="10"/>
  <c r="D655" i="10" s="1"/>
  <c r="C535" i="10"/>
  <c r="D535" i="10" s="1"/>
  <c r="C746" i="10"/>
  <c r="D746" i="10" s="1"/>
  <c r="C696" i="10"/>
  <c r="D696" i="10" s="1"/>
  <c r="C878" i="10"/>
  <c r="D878" i="10" s="1"/>
  <c r="C302" i="10"/>
  <c r="D302" i="10" s="1"/>
  <c r="C970" i="10"/>
  <c r="D970" i="10" s="1"/>
  <c r="C781" i="10"/>
  <c r="D781" i="10" s="1"/>
  <c r="C923" i="10"/>
  <c r="D923" i="10" s="1"/>
  <c r="C876" i="10"/>
  <c r="D876" i="10" s="1"/>
  <c r="C152" i="10"/>
  <c r="D152" i="10" s="1"/>
  <c r="C959" i="10"/>
  <c r="D959" i="10" s="1"/>
  <c r="C458" i="10"/>
  <c r="D458" i="10" s="1"/>
  <c r="C639" i="10"/>
  <c r="D639" i="10" s="1"/>
  <c r="C661" i="10"/>
  <c r="D661" i="10" s="1"/>
  <c r="C587" i="10"/>
  <c r="D587" i="10" s="1"/>
  <c r="C539" i="10"/>
  <c r="D539" i="10" s="1"/>
  <c r="C278" i="10"/>
  <c r="D278" i="10" s="1"/>
  <c r="C699" i="10"/>
  <c r="D699" i="10" s="1"/>
  <c r="C235" i="10"/>
  <c r="D235" i="10" s="1"/>
  <c r="C407" i="10"/>
  <c r="D407" i="10" s="1"/>
  <c r="C859" i="10"/>
  <c r="D859" i="10" s="1"/>
  <c r="C128" i="10"/>
  <c r="D128" i="10" s="1"/>
  <c r="C770" i="10"/>
  <c r="D770" i="10" s="1"/>
  <c r="C79" i="10"/>
  <c r="D79" i="10" s="1"/>
  <c r="C64" i="10"/>
  <c r="D64" i="10" s="1"/>
  <c r="C552" i="10"/>
  <c r="D552" i="10" s="1"/>
  <c r="C322" i="10"/>
  <c r="D322" i="10" s="1"/>
  <c r="C481" i="10"/>
  <c r="D481" i="10" s="1"/>
  <c r="C714" i="10"/>
  <c r="D714" i="10" s="1"/>
  <c r="C615" i="10"/>
  <c r="D615" i="10" s="1"/>
  <c r="C686" i="10"/>
  <c r="D686" i="10" s="1"/>
  <c r="C763" i="10"/>
  <c r="D763" i="10" s="1"/>
  <c r="C518" i="10"/>
  <c r="D518" i="10" s="1"/>
  <c r="C729" i="10"/>
  <c r="D729" i="10" s="1"/>
  <c r="C872" i="10"/>
  <c r="D872" i="10" s="1"/>
  <c r="C323" i="10"/>
  <c r="D323" i="10" s="1"/>
  <c r="C926" i="10"/>
  <c r="D926" i="10" s="1"/>
  <c r="C809" i="10"/>
  <c r="D809" i="10" s="1"/>
  <c r="C138" i="10"/>
  <c r="D138" i="10" s="1"/>
  <c r="C61" i="10"/>
  <c r="D61" i="10" s="1"/>
  <c r="C420" i="10"/>
  <c r="D420" i="10" s="1"/>
  <c r="C870" i="10"/>
  <c r="D870" i="10" s="1"/>
  <c r="C55" i="10"/>
  <c r="D55" i="10" s="1"/>
  <c r="C480" i="10"/>
  <c r="D480" i="10" s="1"/>
  <c r="C76" i="10"/>
  <c r="D76" i="10" s="1"/>
  <c r="C236" i="10"/>
  <c r="D236" i="10" s="1"/>
  <c r="C258" i="10"/>
  <c r="D258" i="10" s="1"/>
  <c r="C384" i="10"/>
  <c r="D384" i="10" s="1"/>
  <c r="C530" i="10"/>
  <c r="D530" i="10" s="1"/>
  <c r="C790" i="10"/>
  <c r="D790" i="10" s="1"/>
  <c r="C857" i="10"/>
  <c r="D857" i="10" s="1"/>
  <c r="C241" i="10"/>
  <c r="D241" i="10" s="1"/>
  <c r="C829" i="10"/>
  <c r="D829" i="10" s="1"/>
  <c r="C725" i="10"/>
  <c r="D725" i="10" s="1"/>
  <c r="C381" i="10"/>
  <c r="D381" i="10" s="1"/>
  <c r="C208" i="10"/>
  <c r="D208" i="10" s="1"/>
  <c r="C319" i="10"/>
  <c r="D319" i="10" s="1"/>
  <c r="C688" i="10"/>
  <c r="D688" i="10" s="1"/>
  <c r="C146" i="10"/>
  <c r="D146" i="10" s="1"/>
  <c r="C273" i="10"/>
  <c r="D273" i="10" s="1"/>
  <c r="C773" i="10"/>
  <c r="D773" i="10" s="1"/>
  <c r="C680" i="10"/>
  <c r="D680" i="10" s="1"/>
  <c r="C835" i="10"/>
  <c r="D835" i="10" s="1"/>
  <c r="C32" i="10"/>
  <c r="D32" i="10" s="1"/>
  <c r="C592" i="10"/>
  <c r="D592" i="10" s="1"/>
  <c r="C631" i="10"/>
  <c r="D631" i="10" s="1"/>
  <c r="C784" i="10"/>
  <c r="D784" i="10" s="1"/>
  <c r="C922" i="10"/>
  <c r="D922" i="10" s="1"/>
  <c r="C176" i="10"/>
  <c r="D176" i="10" s="1"/>
  <c r="C822" i="10"/>
  <c r="D822" i="10" s="1"/>
  <c r="C122" i="10"/>
  <c r="D122" i="10" s="1"/>
  <c r="C512" i="10"/>
  <c r="D512" i="10" s="1"/>
  <c r="C717" i="10"/>
  <c r="D717" i="10" s="1"/>
  <c r="C612" i="10"/>
  <c r="D612" i="10" s="1"/>
  <c r="C720" i="10"/>
  <c r="D720" i="10" s="1"/>
  <c r="C776" i="10"/>
  <c r="D776" i="10" s="1"/>
  <c r="C431" i="10"/>
  <c r="D431" i="10" s="1"/>
  <c r="C838" i="10"/>
  <c r="D838" i="10" s="1"/>
  <c r="C966" i="10"/>
  <c r="D966" i="10" s="1"/>
  <c r="C785" i="10"/>
  <c r="D785" i="10" s="1"/>
  <c r="C295" i="10"/>
  <c r="D295" i="10" s="1"/>
  <c r="C113" i="10"/>
  <c r="D113" i="10" s="1"/>
  <c r="C851" i="10"/>
  <c r="D851" i="10" s="1"/>
  <c r="C905" i="10"/>
  <c r="D905" i="10" s="1"/>
  <c r="C181" i="10"/>
  <c r="D181" i="10" s="1"/>
  <c r="C126" i="10"/>
  <c r="D126" i="10" s="1"/>
  <c r="C45" i="10"/>
  <c r="D45" i="10" s="1"/>
  <c r="C446" i="10"/>
  <c r="D446" i="10" s="1"/>
  <c r="C695" i="10"/>
  <c r="D695" i="10" s="1"/>
  <c r="C891" i="10"/>
  <c r="D891" i="10" s="1"/>
  <c r="C887" i="10"/>
  <c r="D887" i="10" s="1"/>
  <c r="C749" i="10"/>
  <c r="D749" i="10" s="1"/>
  <c r="C941" i="10"/>
  <c r="D941" i="10" s="1"/>
  <c r="C172" i="10"/>
  <c r="D172" i="10" s="1"/>
  <c r="C401" i="10"/>
  <c r="D401" i="10" s="1"/>
  <c r="C564" i="10"/>
  <c r="D564" i="10" s="1"/>
  <c r="C42" i="10"/>
  <c r="D42" i="10" s="1"/>
  <c r="C244" i="10"/>
  <c r="D244" i="10" s="1"/>
  <c r="C491" i="10"/>
  <c r="D491" i="10" s="1"/>
  <c r="C486" i="10"/>
  <c r="D486" i="10" s="1"/>
  <c r="C268" i="10"/>
  <c r="D268" i="10" s="1"/>
  <c r="C352" i="10"/>
  <c r="D352" i="10" s="1"/>
  <c r="C414" i="10"/>
  <c r="D414" i="10" s="1"/>
  <c r="C632" i="10"/>
  <c r="D632" i="10" s="1"/>
  <c r="C591" i="10"/>
  <c r="D591" i="10" s="1"/>
  <c r="C558" i="10"/>
  <c r="D558" i="10" s="1"/>
  <c r="C863" i="10"/>
  <c r="D863" i="10" s="1"/>
  <c r="C540" i="10"/>
  <c r="D540" i="10" s="1"/>
  <c r="C263" i="10"/>
  <c r="D263" i="10" s="1"/>
  <c r="C644" i="10"/>
  <c r="D644" i="10" s="1"/>
  <c r="C403" i="10"/>
  <c r="D403" i="10" s="1"/>
  <c r="C599" i="10"/>
  <c r="D599" i="10" s="1"/>
  <c r="C522" i="10"/>
  <c r="D522" i="10" s="1"/>
  <c r="C754" i="10"/>
  <c r="D754" i="10" s="1"/>
  <c r="C595" i="10"/>
  <c r="D595" i="10" s="1"/>
  <c r="C513" i="10"/>
  <c r="D513" i="10" s="1"/>
  <c r="C440" i="10"/>
  <c r="D440" i="10" s="1"/>
  <c r="C406" i="10"/>
  <c r="D406" i="10" s="1"/>
  <c r="C374" i="10"/>
  <c r="D374" i="10" s="1"/>
  <c r="C350" i="10"/>
  <c r="D350" i="10" s="1"/>
  <c r="C318" i="10"/>
  <c r="D318" i="10" s="1"/>
  <c r="C288" i="10"/>
  <c r="D288" i="10" s="1"/>
  <c r="C256" i="10"/>
  <c r="D256" i="10" s="1"/>
  <c r="C698" i="10"/>
  <c r="D698" i="10" s="1"/>
  <c r="C561" i="10"/>
  <c r="D561" i="10" s="1"/>
  <c r="C444" i="10"/>
  <c r="D444" i="10" s="1"/>
  <c r="C722" i="10"/>
  <c r="D722" i="10" s="1"/>
  <c r="C507" i="10"/>
  <c r="D507" i="10" s="1"/>
  <c r="C834" i="10"/>
  <c r="D834" i="10" s="1"/>
  <c r="C830" i="10"/>
  <c r="D830" i="10" s="1"/>
  <c r="C227" i="10"/>
  <c r="D227" i="10" s="1"/>
  <c r="C81" i="10"/>
  <c r="D81" i="10" s="1"/>
  <c r="C423" i="10"/>
  <c r="D423" i="10" s="1"/>
  <c r="C817" i="10"/>
  <c r="D817" i="10" s="1"/>
  <c r="C593" i="10"/>
  <c r="D593" i="10" s="1"/>
  <c r="C634" i="10"/>
  <c r="D634" i="10" s="1"/>
  <c r="C546" i="10"/>
  <c r="D546" i="10" s="1"/>
  <c r="C764" i="10"/>
  <c r="D764" i="10" s="1"/>
  <c r="C549" i="10"/>
  <c r="D549" i="10" s="1"/>
  <c r="C448" i="10"/>
  <c r="D448" i="10" s="1"/>
  <c r="C392" i="10"/>
  <c r="D392" i="10" s="1"/>
  <c r="C348" i="10"/>
  <c r="D348" i="10" s="1"/>
  <c r="C276" i="10"/>
  <c r="D276" i="10" s="1"/>
  <c r="C711" i="10"/>
  <c r="D711" i="10" s="1"/>
  <c r="C566" i="10"/>
  <c r="D566" i="10" s="1"/>
  <c r="C413" i="10"/>
  <c r="D413" i="10" s="1"/>
  <c r="C548" i="10"/>
  <c r="D548" i="10" s="1"/>
  <c r="C321" i="10"/>
  <c r="D321" i="10" s="1"/>
  <c r="C242" i="10"/>
  <c r="D242" i="10" s="1"/>
  <c r="C182" i="10"/>
  <c r="D182" i="10" s="1"/>
  <c r="C36" i="10"/>
  <c r="D36" i="10" s="1"/>
  <c r="C60" i="10"/>
  <c r="D60" i="10" s="1"/>
  <c r="C968" i="10"/>
  <c r="D968" i="10" s="1"/>
  <c r="C663" i="10"/>
  <c r="D663" i="10" s="1"/>
  <c r="C578" i="10"/>
  <c r="D578" i="10" s="1"/>
  <c r="C519" i="10"/>
  <c r="D519" i="10" s="1"/>
  <c r="C743" i="10"/>
  <c r="D743" i="10" s="1"/>
  <c r="C545" i="10"/>
  <c r="D545" i="10" s="1"/>
  <c r="C400" i="10"/>
  <c r="D400" i="10" s="1"/>
  <c r="C368" i="10"/>
  <c r="D368" i="10" s="1"/>
  <c r="C336" i="10"/>
  <c r="D336" i="10" s="1"/>
  <c r="C284" i="10"/>
  <c r="D284" i="10" s="1"/>
  <c r="C794" i="10"/>
  <c r="D794" i="10" s="1"/>
  <c r="C585" i="10"/>
  <c r="D585" i="10" s="1"/>
  <c r="C433" i="10"/>
  <c r="D433" i="10" s="1"/>
  <c r="C473" i="10"/>
  <c r="D473" i="10" s="1"/>
  <c r="C345" i="10"/>
  <c r="D345" i="10" s="1"/>
  <c r="C240" i="10"/>
  <c r="D240" i="10" s="1"/>
  <c r="C186" i="10"/>
  <c r="D186" i="10" s="1"/>
  <c r="C46" i="10"/>
  <c r="D46" i="10" s="1"/>
  <c r="C78" i="10"/>
  <c r="D78" i="10" s="1"/>
  <c r="C102" i="10"/>
  <c r="D102" i="10" s="1"/>
  <c r="C629" i="10"/>
  <c r="D629" i="10" s="1"/>
  <c r="C653" i="10"/>
  <c r="D653" i="10" s="1"/>
  <c r="C694" i="10"/>
  <c r="D694" i="10" s="1"/>
  <c r="C771" i="10"/>
  <c r="D771" i="10" s="1"/>
  <c r="C812" i="10"/>
  <c r="D812" i="10" s="1"/>
  <c r="C483" i="10"/>
  <c r="D483" i="10" s="1"/>
  <c r="C35" i="10"/>
  <c r="D35" i="10" s="1"/>
  <c r="C837" i="10"/>
  <c r="D837" i="10" s="1"/>
  <c r="C843" i="10"/>
  <c r="D843" i="10" s="1"/>
  <c r="C810" i="10"/>
  <c r="D810" i="10" s="1"/>
  <c r="C417" i="10"/>
  <c r="D417" i="10" s="1"/>
  <c r="C57" i="10"/>
  <c r="D57" i="10" s="1"/>
  <c r="C932" i="10"/>
  <c r="D932" i="10" s="1"/>
  <c r="C888" i="10"/>
  <c r="D888" i="10" s="1"/>
  <c r="C745" i="10"/>
  <c r="D745" i="10" s="1"/>
  <c r="C981" i="10"/>
  <c r="D981" i="10" s="1"/>
  <c r="C177" i="10"/>
  <c r="D177" i="10" s="1"/>
  <c r="C140" i="10"/>
  <c r="D140" i="10" s="1"/>
  <c r="C233" i="10"/>
  <c r="D233" i="10" s="1"/>
  <c r="C367" i="10"/>
  <c r="D367" i="10" s="1"/>
  <c r="C569" i="10"/>
  <c r="D569" i="10" s="1"/>
  <c r="C814" i="10"/>
  <c r="D814" i="10" s="1"/>
  <c r="C942" i="10"/>
  <c r="D942" i="10" s="1"/>
  <c r="C769" i="10"/>
  <c r="D769" i="10" s="1"/>
  <c r="C849" i="10"/>
  <c r="D849" i="10" s="1"/>
  <c r="C66" i="10"/>
  <c r="D66" i="10" s="1"/>
  <c r="C239" i="10"/>
  <c r="D239" i="10" s="1"/>
  <c r="C757" i="10"/>
  <c r="D757" i="10" s="1"/>
  <c r="C752" i="10"/>
  <c r="D752" i="10" s="1"/>
  <c r="C293" i="10"/>
  <c r="D293" i="10" s="1"/>
  <c r="C437" i="10"/>
  <c r="D437" i="10" s="1"/>
  <c r="C868" i="10"/>
  <c r="D868" i="10" s="1"/>
  <c r="C487" i="10"/>
  <c r="D487" i="10" s="1"/>
  <c r="C609" i="10"/>
  <c r="D609" i="10" s="1"/>
  <c r="C828" i="10"/>
  <c r="D828" i="10" s="1"/>
  <c r="C885" i="10"/>
  <c r="D885" i="10" s="1"/>
  <c r="C831" i="10"/>
  <c r="D831" i="10" s="1"/>
  <c r="C222" i="10"/>
  <c r="D222" i="10" s="1"/>
  <c r="C738" i="10"/>
  <c r="D738" i="10" s="1"/>
  <c r="C495" i="10"/>
  <c r="D495" i="10" s="1"/>
  <c r="C647" i="10"/>
  <c r="D647" i="10" s="1"/>
  <c r="C995" i="10"/>
  <c r="D995" i="10" s="1"/>
  <c r="C105" i="10"/>
  <c r="D105" i="10" s="1"/>
  <c r="C713" i="10"/>
  <c r="D713" i="10" s="1"/>
  <c r="C652" i="10"/>
  <c r="D652" i="10" s="1"/>
  <c r="C845" i="10"/>
  <c r="D845" i="10" s="1"/>
  <c r="C582" i="10"/>
  <c r="D582" i="10" s="1"/>
  <c r="C329" i="10"/>
  <c r="D329" i="10" s="1"/>
  <c r="C300" i="10"/>
  <c r="D300" i="10" s="1"/>
  <c r="C846" i="10"/>
  <c r="D846" i="10" s="1"/>
  <c r="C470" i="10"/>
  <c r="D470" i="10" s="1"/>
  <c r="C633" i="10"/>
  <c r="D633" i="10" s="1"/>
  <c r="C708" i="10"/>
  <c r="D708" i="10" s="1"/>
  <c r="C649" i="10"/>
  <c r="D649" i="10" s="1"/>
  <c r="C34" i="10"/>
  <c r="D34" i="10" s="1"/>
  <c r="C755" i="10"/>
  <c r="D755" i="10" s="1"/>
  <c r="C216" i="10"/>
  <c r="D216" i="10" s="1"/>
  <c r="C536" i="10"/>
  <c r="D536" i="10" s="1"/>
  <c r="C894" i="10"/>
  <c r="D894" i="10" s="1"/>
  <c r="C219" i="10"/>
  <c r="D219" i="10" s="1"/>
  <c r="C998" i="10"/>
  <c r="D998" i="10" s="1"/>
  <c r="C279" i="10"/>
  <c r="D279" i="10" s="1"/>
  <c r="C315" i="10"/>
  <c r="D315" i="10" s="1"/>
  <c r="C451" i="10"/>
  <c r="D451" i="10" s="1"/>
  <c r="C627" i="10"/>
  <c r="D627" i="10" s="1"/>
  <c r="C678" i="10"/>
  <c r="D678" i="10" s="1"/>
  <c r="C747" i="10"/>
  <c r="D747" i="10" s="1"/>
  <c r="C501" i="10"/>
  <c r="D501" i="10" s="1"/>
  <c r="C709" i="10"/>
  <c r="D709" i="10" s="1"/>
  <c r="C862" i="10"/>
  <c r="D862" i="10" s="1"/>
  <c r="C442" i="10"/>
  <c r="D442" i="10" s="1"/>
  <c r="C129" i="10"/>
  <c r="D129" i="10" s="1"/>
  <c r="C836" i="10"/>
  <c r="D836" i="10" s="1"/>
  <c r="C841" i="10"/>
  <c r="D841" i="10" s="1"/>
  <c r="C158" i="10"/>
  <c r="D158" i="10" s="1"/>
  <c r="C112" i="10"/>
  <c r="D112" i="10" s="1"/>
  <c r="C343" i="10"/>
  <c r="D343" i="10" s="1"/>
  <c r="C978" i="10"/>
  <c r="D978" i="10" s="1"/>
  <c r="C976" i="10"/>
  <c r="D976" i="10" s="1"/>
  <c r="C685" i="10"/>
  <c r="D685" i="10" s="1"/>
  <c r="C103" i="10"/>
  <c r="D103" i="10" s="1"/>
  <c r="C287" i="10"/>
  <c r="D287" i="10" s="1"/>
  <c r="C505" i="10"/>
  <c r="D505" i="10" s="1"/>
  <c r="C82" i="10"/>
  <c r="D82" i="10" s="1"/>
  <c r="C178" i="10"/>
  <c r="D178" i="10" s="1"/>
  <c r="C439" i="10"/>
  <c r="D439" i="10" s="1"/>
  <c r="C571" i="10"/>
  <c r="D571" i="10" s="1"/>
  <c r="C310" i="10"/>
  <c r="D310" i="10" s="1"/>
  <c r="C394" i="10"/>
  <c r="D394" i="10" s="1"/>
  <c r="C772" i="10"/>
  <c r="D772" i="10" s="1"/>
  <c r="C767" i="10"/>
  <c r="D767" i="10" s="1"/>
  <c r="C682" i="10"/>
  <c r="D682" i="10" s="1"/>
  <c r="C861" i="10"/>
  <c r="D861" i="10" s="1"/>
  <c r="C475" i="10"/>
  <c r="D475" i="10" s="1"/>
  <c r="C815" i="10"/>
  <c r="D815" i="10" s="1"/>
  <c r="C640" i="10"/>
  <c r="D640" i="10" s="1"/>
  <c r="C538" i="10"/>
  <c r="D538" i="10" s="1"/>
  <c r="C684" i="10"/>
  <c r="D684" i="10" s="1"/>
  <c r="C556" i="10"/>
  <c r="D556" i="10" s="1"/>
  <c r="C456" i="10"/>
  <c r="D456" i="10" s="1"/>
  <c r="C398" i="10"/>
  <c r="D398" i="10" s="1"/>
  <c r="C358" i="10"/>
  <c r="D358" i="10" s="1"/>
  <c r="C326" i="10"/>
  <c r="D326" i="10" s="1"/>
  <c r="C280" i="10"/>
  <c r="D280" i="10" s="1"/>
  <c r="C580" i="10"/>
  <c r="D580" i="10" s="1"/>
  <c r="C419" i="10"/>
  <c r="D419" i="10" s="1"/>
  <c r="C614" i="10"/>
  <c r="D614" i="10" s="1"/>
  <c r="C277" i="10"/>
  <c r="D277" i="10" s="1"/>
  <c r="C183" i="10"/>
  <c r="D183" i="10" s="1"/>
  <c r="C395" i="10"/>
  <c r="D395" i="10" s="1"/>
  <c r="C727" i="10"/>
  <c r="D727" i="10" s="1"/>
  <c r="C93" i="10"/>
  <c r="D93" i="10" s="1"/>
  <c r="C520" i="10"/>
  <c r="D520" i="10" s="1"/>
  <c r="C109" i="10"/>
  <c r="D109" i="10" s="1"/>
  <c r="C245" i="10"/>
  <c r="D245" i="10" s="1"/>
  <c r="C188" i="10"/>
  <c r="D188" i="10" s="1"/>
  <c r="C364" i="10"/>
  <c r="D364" i="10" s="1"/>
  <c r="C707" i="10"/>
  <c r="D707" i="10" s="1"/>
  <c r="C957" i="10"/>
  <c r="D957" i="10" s="1"/>
  <c r="C937" i="10"/>
  <c r="D937" i="10" s="1"/>
  <c r="C955" i="10"/>
  <c r="D955" i="10" s="1"/>
  <c r="C50" i="10"/>
  <c r="D50" i="10" s="1"/>
  <c r="C432" i="10"/>
  <c r="D432" i="10" s="1"/>
  <c r="C635" i="10"/>
  <c r="D635" i="10" s="1"/>
  <c r="C691" i="10"/>
  <c r="D691" i="10" s="1"/>
  <c r="C768" i="10"/>
  <c r="D768" i="10" s="1"/>
  <c r="C267" i="10"/>
  <c r="D267" i="10" s="1"/>
  <c r="C962" i="10"/>
  <c r="D962" i="10" s="1"/>
  <c r="C913" i="10"/>
  <c r="D913" i="10" s="1"/>
  <c r="C161" i="10"/>
  <c r="D161" i="10" s="1"/>
  <c r="C944" i="10"/>
  <c r="D944" i="10" s="1"/>
  <c r="C969" i="10"/>
  <c r="D969" i="10" s="1"/>
  <c r="C150" i="10"/>
  <c r="D150" i="10" s="1"/>
  <c r="C553" i="10"/>
  <c r="D553" i="10" s="1"/>
  <c r="C806" i="10"/>
  <c r="D806" i="10" s="1"/>
  <c r="C844" i="10"/>
  <c r="D844" i="10" s="1"/>
  <c r="C71" i="10"/>
  <c r="D71" i="10" s="1"/>
  <c r="C333" i="10"/>
  <c r="D333" i="10" s="1"/>
  <c r="C597" i="10"/>
  <c r="D597" i="10" s="1"/>
  <c r="C72" i="10"/>
  <c r="D72" i="10" s="1"/>
  <c r="C228" i="10"/>
  <c r="D228" i="10" s="1"/>
  <c r="C568" i="10"/>
  <c r="D568" i="10" s="1"/>
  <c r="C650" i="10"/>
  <c r="D650" i="10" s="1"/>
  <c r="C330" i="10"/>
  <c r="D330" i="10" s="1"/>
  <c r="C453" i="10"/>
  <c r="D453" i="10" s="1"/>
  <c r="C511" i="10"/>
  <c r="D511" i="10" s="1"/>
  <c r="C271" i="10"/>
  <c r="D271" i="10" s="1"/>
  <c r="C964" i="10"/>
  <c r="D964" i="10" s="1"/>
  <c r="C854" i="10"/>
  <c r="D854" i="10" s="1"/>
  <c r="C753" i="10"/>
  <c r="D753" i="10" s="1"/>
  <c r="C990" i="10"/>
  <c r="D990" i="10" s="1"/>
  <c r="C775" i="10"/>
  <c r="D775" i="10" s="1"/>
  <c r="C618" i="10"/>
  <c r="D618" i="10" s="1"/>
  <c r="C506" i="10"/>
  <c r="D506" i="10" s="1"/>
  <c r="C642" i="10"/>
  <c r="D642" i="10" s="1"/>
  <c r="C531" i="10"/>
  <c r="D531" i="10" s="1"/>
  <c r="C424" i="10"/>
  <c r="D424" i="10" s="1"/>
  <c r="C390" i="10"/>
  <c r="D390" i="10" s="1"/>
  <c r="C312" i="10"/>
  <c r="D312" i="10" s="1"/>
  <c r="C272" i="10"/>
  <c r="D272" i="10" s="1"/>
  <c r="C778" i="10"/>
  <c r="D778" i="10" s="1"/>
  <c r="C537" i="10"/>
  <c r="D537" i="10" s="1"/>
  <c r="C389" i="10"/>
  <c r="D389" i="10" s="1"/>
  <c r="C733" i="10"/>
  <c r="D733" i="10" s="1"/>
  <c r="C135" i="10"/>
  <c r="D135" i="10" s="1"/>
  <c r="C525" i="10"/>
  <c r="D525" i="10" s="1"/>
  <c r="C953" i="10"/>
  <c r="D953" i="10" s="1"/>
  <c r="C97" i="10"/>
  <c r="D97" i="10" s="1"/>
  <c r="C692" i="10"/>
  <c r="D692" i="10" s="1"/>
  <c r="C527" i="10"/>
  <c r="D527" i="10" s="1"/>
  <c r="C626" i="10"/>
  <c r="D626" i="10" s="1"/>
  <c r="C469" i="10"/>
  <c r="D469" i="10" s="1"/>
  <c r="C380" i="10"/>
  <c r="D380" i="10" s="1"/>
  <c r="C328" i="10"/>
  <c r="D328" i="10" s="1"/>
  <c r="C286" i="10"/>
  <c r="D286" i="10" s="1"/>
  <c r="C476" i="10"/>
  <c r="D476" i="10" s="1"/>
  <c r="C598" i="10"/>
  <c r="D598" i="10" s="1"/>
  <c r="C435" i="10"/>
  <c r="D435" i="10" s="1"/>
  <c r="C289" i="10"/>
  <c r="D289" i="10" s="1"/>
  <c r="C218" i="10"/>
  <c r="D218" i="10" s="1"/>
  <c r="C44" i="10"/>
  <c r="D44" i="10" s="1"/>
  <c r="C798" i="10"/>
  <c r="D798" i="10" s="1"/>
  <c r="C159" i="10"/>
  <c r="D159" i="10" s="1"/>
  <c r="C517" i="10"/>
  <c r="D517" i="10" s="1"/>
  <c r="D79" i="5"/>
  <c r="C151" i="10"/>
  <c r="D151" i="10" s="1"/>
  <c r="C933" i="10"/>
  <c r="D933" i="10" s="1"/>
  <c r="C291" i="10"/>
  <c r="D291" i="10" s="1"/>
  <c r="C915" i="10"/>
  <c r="D915" i="10" s="1"/>
  <c r="C285" i="10"/>
  <c r="D285" i="10" s="1"/>
  <c r="C991" i="10"/>
  <c r="D991" i="10" s="1"/>
  <c r="C975" i="10"/>
  <c r="D975" i="10" s="1"/>
  <c r="E79" i="5"/>
  <c r="C987" i="10"/>
  <c r="D987" i="10" s="1"/>
  <c r="C780" i="10"/>
  <c r="D780" i="10" s="1"/>
  <c r="C559" i="10"/>
  <c r="D559" i="10" s="1"/>
  <c r="C648" i="10"/>
  <c r="D648" i="10" s="1"/>
  <c r="C416" i="10"/>
  <c r="D416" i="10" s="1"/>
  <c r="C270" i="10"/>
  <c r="D270" i="10" s="1"/>
  <c r="C576" i="10"/>
  <c r="D576" i="10" s="1"/>
  <c r="C799" i="10"/>
  <c r="D799" i="10" s="1"/>
  <c r="C363" i="10"/>
  <c r="D363" i="10" s="1"/>
  <c r="C230" i="10"/>
  <c r="D230" i="10" s="1"/>
  <c r="C90" i="10"/>
  <c r="D90" i="10" s="1"/>
  <c r="C572" i="10"/>
  <c r="D572" i="10" s="1"/>
  <c r="C434" i="10"/>
  <c r="D434" i="10" s="1"/>
  <c r="C63" i="10"/>
  <c r="D63" i="10" s="1"/>
  <c r="C833" i="10"/>
  <c r="D833" i="10" s="1"/>
  <c r="C938" i="10"/>
  <c r="D938" i="10" s="1"/>
  <c r="C719" i="10"/>
  <c r="D719" i="10" s="1"/>
  <c r="C452" i="10"/>
  <c r="D452" i="10" s="1"/>
  <c r="C200" i="10"/>
  <c r="D200" i="10" s="1"/>
  <c r="C124" i="10"/>
  <c r="D124" i="10" s="1"/>
  <c r="C164" i="10"/>
  <c r="D164" i="10" s="1"/>
  <c r="C919" i="10"/>
  <c r="D919" i="10" s="1"/>
  <c r="C839" i="10"/>
  <c r="D839" i="10" s="1"/>
  <c r="C884" i="10"/>
  <c r="D884" i="10" s="1"/>
  <c r="C149" i="10"/>
  <c r="D149" i="10" s="1"/>
  <c r="C259" i="10"/>
  <c r="D259" i="10" s="1"/>
  <c r="C565" i="10"/>
  <c r="D565" i="10" s="1"/>
  <c r="C910" i="10"/>
  <c r="D910" i="10" s="1"/>
  <c r="C954" i="10"/>
  <c r="D954" i="10" s="1"/>
  <c r="C99" i="10"/>
  <c r="D99" i="10" s="1"/>
  <c r="C584" i="10"/>
  <c r="D584" i="10" s="1"/>
  <c r="C779" i="10"/>
  <c r="D779" i="10" s="1"/>
  <c r="C739" i="10"/>
  <c r="D739" i="10" s="1"/>
  <c r="C683" i="10"/>
  <c r="D683" i="10" s="1"/>
  <c r="C645" i="10"/>
  <c r="D645" i="10" s="1"/>
  <c r="C613" i="10"/>
  <c r="D613" i="10" s="1"/>
  <c r="C70" i="10"/>
  <c r="D70" i="10" s="1"/>
  <c r="C30" i="10"/>
  <c r="D30" i="10" s="1"/>
  <c r="C232" i="10"/>
  <c r="D232" i="10" s="1"/>
  <c r="C377" i="10"/>
  <c r="D377" i="10" s="1"/>
  <c r="C541" i="10"/>
  <c r="D541" i="10" s="1"/>
  <c r="C405" i="10"/>
  <c r="D405" i="10" s="1"/>
  <c r="C262" i="10"/>
  <c r="D262" i="10" s="1"/>
  <c r="C324" i="10"/>
  <c r="D324" i="10" s="1"/>
  <c r="C378" i="10"/>
  <c r="D378" i="10" s="1"/>
  <c r="C421" i="10"/>
  <c r="D421" i="10" s="1"/>
  <c r="C574" i="10"/>
  <c r="D574" i="10" s="1"/>
  <c r="C498" i="10"/>
  <c r="D498" i="10" s="1"/>
  <c r="C628" i="10"/>
  <c r="D628" i="10" s="1"/>
  <c r="C192" i="10"/>
  <c r="D192" i="10" s="1"/>
  <c r="C198" i="10"/>
  <c r="D198" i="10" s="1"/>
  <c r="C484" i="10"/>
  <c r="D484" i="10" s="1"/>
  <c r="C447" i="10"/>
  <c r="D447" i="10" s="1"/>
  <c r="C820" i="10"/>
  <c r="D820" i="10" s="1"/>
  <c r="C308" i="10"/>
  <c r="D308" i="10" s="1"/>
  <c r="C370" i="10"/>
  <c r="D370" i="10" s="1"/>
  <c r="C496" i="10"/>
  <c r="D496" i="10" s="1"/>
  <c r="C482" i="10"/>
  <c r="D482" i="10" s="1"/>
  <c r="C607" i="10"/>
  <c r="D607" i="10" s="1"/>
  <c r="C886" i="10"/>
  <c r="D886" i="10" s="1"/>
  <c r="C819" i="10"/>
  <c r="D819" i="10" s="1"/>
  <c r="C689" i="10"/>
  <c r="D689" i="10" s="1"/>
  <c r="C500" i="10"/>
  <c r="D500" i="10" s="1"/>
  <c r="C264" i="10"/>
  <c r="D264" i="10" s="1"/>
  <c r="C342" i="10"/>
  <c r="D342" i="10" s="1"/>
  <c r="C583" i="10"/>
  <c r="D583" i="10" s="1"/>
  <c r="C889" i="10"/>
  <c r="D889" i="10" s="1"/>
  <c r="C797" i="10"/>
  <c r="D797" i="10" s="1"/>
  <c r="C890" i="10"/>
  <c r="D890" i="10" s="1"/>
  <c r="C499" i="10"/>
  <c r="D499" i="10" s="1"/>
  <c r="C246" i="10"/>
  <c r="D246" i="10" s="1"/>
  <c r="C297" i="10"/>
  <c r="D297" i="10" s="1"/>
  <c r="C104" i="10"/>
  <c r="D104" i="10" s="1"/>
  <c r="C39" i="10"/>
  <c r="D39" i="10" s="1"/>
  <c r="C930" i="10"/>
  <c r="D930" i="10" s="1"/>
  <c r="C142" i="10"/>
  <c r="D142" i="10" s="1"/>
  <c r="C803" i="10"/>
  <c r="D803" i="10" s="1"/>
  <c r="C229" i="10"/>
  <c r="D229" i="10" s="1"/>
  <c r="C858" i="10"/>
  <c r="D858" i="10" s="1"/>
  <c r="C787" i="10"/>
  <c r="D787" i="10" s="1"/>
  <c r="C651" i="10"/>
  <c r="D651" i="10" s="1"/>
  <c r="C231" i="10"/>
  <c r="D231" i="10" s="1"/>
  <c r="C171" i="10"/>
  <c r="D171" i="10" s="1"/>
  <c r="C904" i="10"/>
  <c r="D904" i="10" s="1"/>
  <c r="C114" i="10"/>
  <c r="D114" i="10" s="1"/>
  <c r="C994" i="10"/>
  <c r="D994" i="10" s="1"/>
  <c r="C802" i="10"/>
  <c r="D802" i="10" s="1"/>
  <c r="C670" i="10"/>
  <c r="D670" i="10" s="1"/>
  <c r="E79" i="32"/>
  <c r="E92" i="32"/>
  <c r="E94" i="5"/>
  <c r="M97" i="32"/>
  <c r="C79" i="5"/>
  <c r="C349" i="10"/>
  <c r="D349" i="10" s="1"/>
  <c r="C875" i="10"/>
  <c r="D875" i="10" s="1"/>
  <c r="C924" i="10"/>
  <c r="D924" i="10" s="1"/>
  <c r="C883" i="10"/>
  <c r="D883" i="10" s="1"/>
  <c r="C945" i="10"/>
  <c r="D945" i="10" s="1"/>
  <c r="C28" i="10"/>
  <c r="D28" i="10" s="1"/>
  <c r="C979" i="10"/>
  <c r="D979" i="10" s="1"/>
  <c r="C927" i="10"/>
  <c r="D927" i="10" s="1"/>
  <c r="C816" i="10"/>
  <c r="D816" i="10" s="1"/>
  <c r="C735" i="10"/>
  <c r="D735" i="10" s="1"/>
  <c r="C215" i="10"/>
  <c r="D215" i="10" s="1"/>
  <c r="C840" i="10"/>
  <c r="D840" i="10" s="1"/>
  <c r="C33" i="10"/>
  <c r="D33" i="10" s="1"/>
  <c r="C997" i="10"/>
  <c r="D997" i="10" s="1"/>
  <c r="C608" i="10"/>
  <c r="D608" i="10" s="1"/>
  <c r="C299" i="10"/>
  <c r="D299" i="10" s="1"/>
  <c r="C243" i="10"/>
  <c r="D243" i="10" s="1"/>
  <c r="C946" i="10"/>
  <c r="D946" i="10" s="1"/>
  <c r="C800" i="10"/>
  <c r="D800" i="10" s="1"/>
  <c r="C91" i="10"/>
  <c r="D91" i="10" s="1"/>
  <c r="C850" i="10"/>
  <c r="D850" i="10" s="1"/>
  <c r="C139" i="10"/>
  <c r="D139" i="10" s="1"/>
  <c r="C493" i="10"/>
  <c r="D493" i="10" s="1"/>
  <c r="C920" i="10"/>
  <c r="D920" i="10" s="1"/>
  <c r="C75" i="10"/>
  <c r="D75" i="10" s="1"/>
  <c r="C167" i="10"/>
  <c r="D167" i="10" s="1"/>
  <c r="C956" i="10"/>
  <c r="D956" i="10" s="1"/>
  <c r="C931" i="10"/>
  <c r="D931" i="10" s="1"/>
  <c r="C438" i="10"/>
  <c r="D438" i="10" s="1"/>
  <c r="C939" i="10"/>
  <c r="D939" i="10" s="1"/>
  <c r="C825" i="10"/>
  <c r="D825" i="10" s="1"/>
  <c r="C375" i="10"/>
  <c r="D375" i="10" s="1"/>
  <c r="C656" i="10"/>
  <c r="D656" i="10" s="1"/>
  <c r="C514" i="10"/>
  <c r="D514" i="10" s="1"/>
  <c r="C563" i="10"/>
  <c r="D563" i="10" s="1"/>
  <c r="C396" i="10"/>
  <c r="D396" i="10" s="1"/>
  <c r="C332" i="10"/>
  <c r="D332" i="10" s="1"/>
  <c r="C509" i="10"/>
  <c r="D509" i="10" s="1"/>
  <c r="C573" i="10"/>
  <c r="D573" i="10" s="1"/>
  <c r="C305" i="10"/>
  <c r="D305" i="10" s="1"/>
  <c r="C174" i="10"/>
  <c r="D174" i="10" s="1"/>
  <c r="C56" i="10"/>
  <c r="D56" i="10" s="1"/>
  <c r="C100" i="10"/>
  <c r="D100" i="10" s="1"/>
  <c r="C521" i="10"/>
  <c r="D521" i="10" s="1"/>
  <c r="C411" i="10"/>
  <c r="D411" i="10" s="1"/>
  <c r="C255" i="10"/>
  <c r="D255" i="10" s="1"/>
  <c r="C95" i="10"/>
  <c r="D95" i="10" s="1"/>
  <c r="C895" i="10"/>
  <c r="D895" i="10" s="1"/>
  <c r="C899" i="10"/>
  <c r="D899" i="10" s="1"/>
  <c r="C616" i="10"/>
  <c r="D616" i="10" s="1"/>
  <c r="C311" i="10"/>
  <c r="D311" i="10" s="1"/>
  <c r="C69" i="10"/>
  <c r="D69" i="10" s="1"/>
  <c r="C132" i="10"/>
  <c r="D132" i="10" s="1"/>
  <c r="C133" i="10"/>
  <c r="D133" i="10" s="1"/>
  <c r="C369" i="10"/>
  <c r="D369" i="10" s="1"/>
  <c r="C765" i="10"/>
  <c r="D765" i="10" s="1"/>
  <c r="C958" i="10"/>
  <c r="D958" i="10" s="1"/>
  <c r="C665" i="10"/>
  <c r="D665" i="10" s="1"/>
  <c r="C253" i="10"/>
  <c r="D253" i="10" s="1"/>
  <c r="C731" i="10"/>
  <c r="D731" i="10" s="1"/>
  <c r="C675" i="10"/>
  <c r="D675" i="10" s="1"/>
  <c r="C637" i="10"/>
  <c r="D637" i="10" s="1"/>
  <c r="C94" i="10"/>
  <c r="D94" i="10" s="1"/>
  <c r="C62" i="10"/>
  <c r="D62" i="10" s="1"/>
  <c r="C202" i="10"/>
  <c r="D202" i="10" s="1"/>
  <c r="C257" i="10"/>
  <c r="D257" i="10" s="1"/>
  <c r="C425" i="10"/>
  <c r="D425" i="10" s="1"/>
  <c r="C579" i="10"/>
  <c r="D579" i="10" s="1"/>
  <c r="C465" i="10"/>
  <c r="D465" i="10" s="1"/>
  <c r="C620" i="10"/>
  <c r="D620" i="10" s="1"/>
  <c r="C274" i="10"/>
  <c r="D274" i="10" s="1"/>
  <c r="C346" i="10"/>
  <c r="D346" i="10" s="1"/>
  <c r="C388" i="10"/>
  <c r="D388" i="10" s="1"/>
  <c r="C445" i="10"/>
  <c r="D445" i="10" s="1"/>
  <c r="C606" i="10"/>
  <c r="D606" i="10" s="1"/>
  <c r="C543" i="10"/>
  <c r="D543" i="10" s="1"/>
  <c r="C751" i="10"/>
  <c r="D751" i="10" s="1"/>
  <c r="C385" i="10"/>
  <c r="D385" i="10" s="1"/>
  <c r="C52" i="10"/>
  <c r="D52" i="10" s="1"/>
  <c r="C226" i="10"/>
  <c r="D226" i="10" s="1"/>
  <c r="C353" i="10"/>
  <c r="D353" i="10" s="1"/>
  <c r="C516" i="10"/>
  <c r="D516" i="10" s="1"/>
  <c r="C533" i="10"/>
  <c r="D533" i="10" s="1"/>
  <c r="C254" i="10"/>
  <c r="D254" i="10" s="1"/>
  <c r="C316" i="10"/>
  <c r="D316" i="10" s="1"/>
  <c r="C402" i="10"/>
  <c r="D402" i="10" s="1"/>
  <c r="C524" i="10"/>
  <c r="D524" i="10" s="1"/>
  <c r="C503" i="10"/>
  <c r="D503" i="10" s="1"/>
  <c r="C759" i="10"/>
  <c r="D759" i="10" s="1"/>
  <c r="C143" i="10"/>
  <c r="D143" i="10" s="1"/>
  <c r="C450" i="10"/>
  <c r="D450" i="10" s="1"/>
  <c r="C131" i="10"/>
  <c r="D131" i="10" s="1"/>
  <c r="C605" i="10"/>
  <c r="D605" i="10" s="1"/>
  <c r="C604" i="10"/>
  <c r="D604" i="10" s="1"/>
  <c r="C296" i="10"/>
  <c r="D296" i="10" s="1"/>
  <c r="C366" i="10"/>
  <c r="D366" i="10" s="1"/>
  <c r="C472" i="10"/>
  <c r="D472" i="10" s="1"/>
  <c r="C26" i="10"/>
  <c r="D26" i="10" s="1"/>
  <c r="C676" i="10"/>
  <c r="D676" i="10" s="1"/>
  <c r="C127" i="10"/>
  <c r="D127" i="10" s="1"/>
  <c r="C115" i="10"/>
  <c r="D115" i="10" s="1"/>
  <c r="C646" i="10"/>
  <c r="D646" i="10" s="1"/>
  <c r="C372" i="10"/>
  <c r="D372" i="10" s="1"/>
  <c r="C426" i="10"/>
  <c r="D426" i="10" s="1"/>
  <c r="C210" i="10"/>
  <c r="D210" i="10" s="1"/>
  <c r="C466" i="10"/>
  <c r="D466" i="10" s="1"/>
  <c r="C877" i="10"/>
  <c r="D877" i="10" s="1"/>
  <c r="C934" i="10"/>
  <c r="D934" i="10" s="1"/>
  <c r="C307" i="10"/>
  <c r="D307" i="10" s="1"/>
  <c r="C892" i="10"/>
  <c r="D892" i="10" s="1"/>
  <c r="C515" i="10"/>
  <c r="D515" i="10" s="1"/>
  <c r="C83" i="10"/>
  <c r="D83" i="10" s="1"/>
  <c r="C728" i="10"/>
  <c r="D728" i="10" s="1"/>
  <c r="C611" i="10"/>
  <c r="D611" i="10" s="1"/>
  <c r="C528" i="10"/>
  <c r="D528" i="10" s="1"/>
  <c r="C866" i="10"/>
  <c r="D866" i="10" s="1"/>
  <c r="C701" i="10"/>
  <c r="D701" i="10" s="1"/>
  <c r="C125" i="10"/>
  <c r="D125" i="10" s="1"/>
  <c r="C873" i="10"/>
  <c r="D873" i="10" s="1"/>
  <c r="C269" i="10"/>
  <c r="D269" i="10" s="1"/>
  <c r="C386" i="10"/>
  <c r="D386" i="10" s="1"/>
  <c r="G94" i="32"/>
  <c r="K94" i="32"/>
  <c r="D99" i="5"/>
  <c r="C99" i="32"/>
  <c r="K94" i="5"/>
  <c r="E99" i="5"/>
  <c r="G79" i="5"/>
  <c r="N75" i="32"/>
  <c r="D79" i="32"/>
  <c r="D94" i="5"/>
  <c r="F79" i="32"/>
  <c r="G94" i="5"/>
  <c r="K99" i="5"/>
  <c r="F93" i="32"/>
  <c r="F94" i="32" s="1"/>
  <c r="N97" i="32"/>
  <c r="H98" i="32"/>
  <c r="H99" i="5"/>
  <c r="H69" i="32"/>
  <c r="O78" i="32"/>
  <c r="L92" i="32"/>
  <c r="C93" i="32"/>
  <c r="C94" i="32" s="1"/>
  <c r="C94" i="5"/>
  <c r="C79" i="32"/>
  <c r="H79" i="5"/>
  <c r="I92" i="32"/>
  <c r="I94" i="32" s="1"/>
  <c r="I94" i="5"/>
  <c r="G79" i="32"/>
  <c r="D73" i="5"/>
  <c r="H79" i="32"/>
  <c r="K79" i="5"/>
  <c r="O77" i="32"/>
  <c r="D94" i="32"/>
  <c r="L97" i="32"/>
  <c r="I98" i="32"/>
  <c r="I99" i="32" s="1"/>
  <c r="I99" i="5"/>
  <c r="C983" i="10"/>
  <c r="D983" i="10" s="1"/>
  <c r="C337" i="10"/>
  <c r="D337" i="10" s="1"/>
  <c r="C734" i="10"/>
  <c r="D734" i="10" s="1"/>
  <c r="C744" i="10"/>
  <c r="D744" i="10" s="1"/>
  <c r="C441" i="10"/>
  <c r="D441" i="10" s="1"/>
  <c r="C982" i="10"/>
  <c r="D982" i="10" s="1"/>
  <c r="C993" i="10"/>
  <c r="D993" i="10" s="1"/>
  <c r="C667" i="10"/>
  <c r="D667" i="10" s="1"/>
  <c r="C87" i="10"/>
  <c r="D87" i="10" s="1"/>
  <c r="C774" i="10"/>
  <c r="D774" i="10" s="1"/>
  <c r="C455" i="10"/>
  <c r="D455" i="10" s="1"/>
  <c r="C169" i="10"/>
  <c r="D169" i="10" s="1"/>
  <c r="C737" i="10"/>
  <c r="D737" i="10" s="1"/>
  <c r="C542" i="10"/>
  <c r="D542" i="10" s="1"/>
  <c r="C710" i="10"/>
  <c r="D710" i="10" s="1"/>
  <c r="C928" i="10"/>
  <c r="D928" i="10" s="1"/>
  <c r="C162" i="10"/>
  <c r="D162" i="10" s="1"/>
  <c r="C658" i="10"/>
  <c r="D658" i="10" s="1"/>
  <c r="C320" i="10"/>
  <c r="D320" i="10" s="1"/>
  <c r="C681" i="10"/>
  <c r="D681" i="10" s="1"/>
  <c r="C443" i="10"/>
  <c r="D443" i="10" s="1"/>
  <c r="C153" i="10"/>
  <c r="D153" i="10" s="1"/>
  <c r="C821" i="10"/>
  <c r="D821" i="10" s="1"/>
  <c r="C120" i="10"/>
  <c r="D120" i="10" s="1"/>
  <c r="C29" i="10"/>
  <c r="D29" i="10" s="1"/>
  <c r="C488" i="10"/>
  <c r="D488" i="10" s="1"/>
  <c r="C238" i="10"/>
  <c r="D238" i="10" s="1"/>
  <c r="C260" i="10"/>
  <c r="D260" i="10" s="1"/>
  <c r="C622" i="10"/>
  <c r="D622" i="10" s="1"/>
  <c r="C726" i="10"/>
  <c r="D726" i="10" s="1"/>
  <c r="C317" i="10"/>
  <c r="D317" i="10" s="1"/>
  <c r="C824" i="10"/>
  <c r="D824" i="10" s="1"/>
  <c r="C847" i="10"/>
  <c r="D847" i="10" s="1"/>
  <c r="C37" i="10"/>
  <c r="D37" i="10" s="1"/>
  <c r="C827" i="10"/>
  <c r="D827" i="10" s="1"/>
  <c r="C909" i="10"/>
  <c r="D909" i="10" s="1"/>
  <c r="C88" i="10"/>
  <c r="D88" i="10" s="1"/>
  <c r="C362" i="10"/>
  <c r="D362" i="10" s="1"/>
  <c r="C700" i="10"/>
  <c r="D700" i="10" s="1"/>
  <c r="C625" i="10"/>
  <c r="D625" i="10" s="1"/>
  <c r="C674" i="10"/>
  <c r="D674" i="10" s="1"/>
  <c r="C782" i="10"/>
  <c r="D782" i="10" s="1"/>
  <c r="C399" i="10"/>
  <c r="D399" i="10" s="1"/>
  <c r="C880" i="10"/>
  <c r="D880" i="10" s="1"/>
  <c r="C550" i="10"/>
  <c r="D550" i="10" s="1"/>
  <c r="C157" i="10"/>
  <c r="D157" i="10" s="1"/>
  <c r="C974" i="10"/>
  <c r="D974" i="10" s="1"/>
  <c r="C213" i="10"/>
  <c r="D213" i="10" s="1"/>
  <c r="C144" i="10"/>
  <c r="D144" i="10" s="1"/>
  <c r="C247" i="10"/>
  <c r="D247" i="10" s="1"/>
  <c r="C596" i="10"/>
  <c r="D596" i="10" s="1"/>
  <c r="C917" i="10"/>
  <c r="D917" i="10" s="1"/>
  <c r="C929" i="10"/>
  <c r="D929" i="10" s="1"/>
  <c r="C460" i="10"/>
  <c r="D460" i="10" s="1"/>
  <c r="C84" i="10"/>
  <c r="D84" i="10" s="1"/>
  <c r="C908" i="10"/>
  <c r="D908" i="10" s="1"/>
  <c r="C217" i="10"/>
  <c r="D217" i="10" s="1"/>
  <c r="C422" i="10"/>
  <c r="D422" i="10" s="1"/>
  <c r="C141" i="10"/>
  <c r="D141" i="10" s="1"/>
  <c r="C601" i="10"/>
  <c r="D601" i="10" s="1"/>
  <c r="C136" i="10"/>
  <c r="D136" i="10" s="1"/>
  <c r="C74" i="10"/>
  <c r="D74" i="10" s="1"/>
  <c r="C907" i="10"/>
  <c r="D907" i="10" s="1"/>
  <c r="C570" i="10"/>
  <c r="D570" i="10" s="1"/>
  <c r="C303" i="10"/>
  <c r="D303" i="10" s="1"/>
  <c r="C195" i="10"/>
  <c r="D195" i="10" s="1"/>
  <c r="C106" i="10"/>
  <c r="D106" i="10" s="1"/>
  <c r="C190" i="10"/>
  <c r="D190" i="10" s="1"/>
  <c r="C697" i="10"/>
  <c r="D697" i="10" s="1"/>
  <c r="C796" i="10"/>
  <c r="D796" i="10" s="1"/>
  <c r="C309" i="10"/>
  <c r="D309" i="10" s="1"/>
  <c r="C912" i="10"/>
  <c r="D912" i="10" s="1"/>
  <c r="C220" i="10"/>
  <c r="D220" i="10" s="1"/>
  <c r="C588" i="10"/>
  <c r="D588" i="10" s="1"/>
  <c r="C715" i="10"/>
  <c r="D715" i="10" s="1"/>
  <c r="C832" i="10"/>
  <c r="D832" i="10" s="1"/>
  <c r="C918" i="10"/>
  <c r="D918" i="10" s="1"/>
  <c r="C201" i="10"/>
  <c r="D201" i="10" s="1"/>
  <c r="C53" i="10"/>
  <c r="D53" i="10" s="1"/>
  <c r="C865" i="10"/>
  <c r="D865" i="10" s="1"/>
  <c r="C96" i="10"/>
  <c r="D96" i="10" s="1"/>
  <c r="C468" i="10"/>
  <c r="D468" i="10" s="1"/>
  <c r="C344" i="10"/>
  <c r="D344" i="10" s="1"/>
  <c r="C617" i="10"/>
  <c r="D617" i="10" s="1"/>
  <c r="C766" i="10"/>
  <c r="D766" i="10" s="1"/>
  <c r="C901" i="10"/>
  <c r="D901" i="10" s="1"/>
  <c r="C660" i="10"/>
  <c r="D660" i="10" s="1"/>
  <c r="C189" i="10"/>
  <c r="D189" i="10" s="1"/>
  <c r="C325" i="10"/>
  <c r="D325" i="10" s="1"/>
  <c r="C999" i="10"/>
  <c r="D999" i="10" s="1"/>
  <c r="C204" i="10"/>
  <c r="D204" i="10" s="1"/>
  <c r="C529" i="10"/>
  <c r="D529" i="10" s="1"/>
  <c r="C478" i="10"/>
  <c r="D478" i="10" s="1"/>
  <c r="C860" i="10"/>
  <c r="D860" i="10" s="1"/>
  <c r="C641" i="10"/>
  <c r="D641" i="10" s="1"/>
  <c r="C736" i="10"/>
  <c r="D736" i="10" s="1"/>
  <c r="C818" i="10"/>
  <c r="D818" i="10" s="1"/>
  <c r="C943" i="10"/>
  <c r="D943" i="10" s="1"/>
  <c r="C977" i="10"/>
  <c r="D977" i="10" s="1"/>
  <c r="C73" i="10"/>
  <c r="D73" i="10" s="1"/>
  <c r="C203" i="10"/>
  <c r="D203" i="10" s="1"/>
  <c r="C777" i="10"/>
  <c r="D777" i="10" s="1"/>
  <c r="C185" i="10"/>
  <c r="D185" i="10" s="1"/>
  <c r="C85" i="10"/>
  <c r="D85" i="10" s="1"/>
  <c r="C339" i="10"/>
  <c r="D339" i="10" s="1"/>
  <c r="C925" i="10"/>
  <c r="D925" i="10" s="1"/>
  <c r="C677" i="10"/>
  <c r="D677" i="10" s="1"/>
  <c r="C283" i="10"/>
  <c r="D283" i="10" s="1"/>
  <c r="C555" i="10"/>
  <c r="D555" i="10" s="1"/>
  <c r="E99" i="32"/>
  <c r="H92" i="32"/>
  <c r="H94" i="32" s="1"/>
  <c r="H94" i="5"/>
  <c r="N92" i="32"/>
  <c r="D99" i="32"/>
  <c r="K99" i="32"/>
  <c r="G69" i="32"/>
  <c r="G73" i="5"/>
  <c r="M71" i="32"/>
  <c r="O72" i="32"/>
  <c r="F99" i="32"/>
  <c r="D67" i="5" l="1"/>
  <c r="I70" i="5"/>
  <c r="R9" i="10"/>
  <c r="O93" i="5" s="1"/>
  <c r="O94" i="5" s="1"/>
  <c r="N74" i="5"/>
  <c r="N98" i="5"/>
  <c r="M74" i="5"/>
  <c r="M98" i="5"/>
  <c r="L94" i="32"/>
  <c r="L94" i="5"/>
  <c r="R17" i="10"/>
  <c r="L98" i="5"/>
  <c r="L74" i="5"/>
  <c r="M94" i="5"/>
  <c r="L70" i="5"/>
  <c r="L70" i="32" s="1"/>
  <c r="L73" i="32" s="1"/>
  <c r="J70" i="32"/>
  <c r="J73" i="5"/>
  <c r="J67" i="5" s="1"/>
  <c r="F70" i="5"/>
  <c r="F70" i="32" s="1"/>
  <c r="F73" i="32" s="1"/>
  <c r="J68" i="32"/>
  <c r="J94" i="5"/>
  <c r="M73" i="5"/>
  <c r="E94" i="32"/>
  <c r="J76" i="32"/>
  <c r="J79" i="32" s="1"/>
  <c r="F79" i="5"/>
  <c r="C70" i="5"/>
  <c r="C70" i="32" s="1"/>
  <c r="H70" i="5"/>
  <c r="H70" i="32" s="1"/>
  <c r="H68" i="32"/>
  <c r="N94" i="5"/>
  <c r="K68" i="32"/>
  <c r="K70" i="5"/>
  <c r="N94" i="32"/>
  <c r="M68" i="32"/>
  <c r="M73" i="32" s="1"/>
  <c r="E68" i="32"/>
  <c r="E70" i="5"/>
  <c r="N70" i="5"/>
  <c r="N68" i="32"/>
  <c r="F67" i="32"/>
  <c r="I79" i="32"/>
  <c r="C73" i="32"/>
  <c r="C67" i="32" s="1"/>
  <c r="I79" i="5"/>
  <c r="F73" i="5"/>
  <c r="O88" i="32"/>
  <c r="J89" i="32"/>
  <c r="O87" i="32"/>
  <c r="F58" i="5"/>
  <c r="F58" i="32" s="1"/>
  <c r="L23" i="5"/>
  <c r="L23" i="32" s="1"/>
  <c r="C45" i="5"/>
  <c r="C45" i="32" s="1"/>
  <c r="C33" i="5"/>
  <c r="C33" i="32" s="1"/>
  <c r="D22" i="5"/>
  <c r="D22" i="32" s="1"/>
  <c r="M14" i="5"/>
  <c r="M14" i="32" s="1"/>
  <c r="E39" i="5"/>
  <c r="E39" i="32" s="1"/>
  <c r="E42" i="5"/>
  <c r="E42" i="32" s="1"/>
  <c r="N57" i="5"/>
  <c r="N57" i="32" s="1"/>
  <c r="D7" i="5"/>
  <c r="D7" i="32" s="1"/>
  <c r="I14" i="5"/>
  <c r="K9" i="5"/>
  <c r="K9" i="32" s="1"/>
  <c r="M26" i="5"/>
  <c r="M26" i="32" s="1"/>
  <c r="H40" i="5"/>
  <c r="H40" i="32" s="1"/>
  <c r="C58" i="5"/>
  <c r="C58" i="32" s="1"/>
  <c r="C32" i="5"/>
  <c r="C32" i="32" s="1"/>
  <c r="O49" i="5"/>
  <c r="O29" i="5"/>
  <c r="H41" i="5"/>
  <c r="H41" i="32" s="1"/>
  <c r="E10" i="5"/>
  <c r="E10" i="32" s="1"/>
  <c r="I33" i="5"/>
  <c r="I33" i="32" s="1"/>
  <c r="K42" i="5"/>
  <c r="K42" i="32" s="1"/>
  <c r="L17" i="5"/>
  <c r="L17" i="32" s="1"/>
  <c r="G65" i="5"/>
  <c r="G65" i="32" s="1"/>
  <c r="H51" i="5"/>
  <c r="H51" i="32" s="1"/>
  <c r="O53" i="5"/>
  <c r="H39" i="5"/>
  <c r="H39" i="32" s="1"/>
  <c r="F49" i="5"/>
  <c r="F49" i="32" s="1"/>
  <c r="O44" i="5"/>
  <c r="O43" i="5"/>
  <c r="K34" i="5"/>
  <c r="K34" i="32" s="1"/>
  <c r="J41" i="5"/>
  <c r="J41" i="32" s="1"/>
  <c r="J39" i="5"/>
  <c r="J39" i="32" s="1"/>
  <c r="O32" i="5"/>
  <c r="H30" i="5"/>
  <c r="H30" i="32" s="1"/>
  <c r="H35" i="5"/>
  <c r="H35" i="32" s="1"/>
  <c r="D59" i="5"/>
  <c r="D59" i="32" s="1"/>
  <c r="G67" i="5"/>
  <c r="G17" i="5"/>
  <c r="G17" i="32" s="1"/>
  <c r="N10" i="5"/>
  <c r="N10" i="32" s="1"/>
  <c r="N7" i="5"/>
  <c r="N7" i="32" s="1"/>
  <c r="F15" i="5"/>
  <c r="F15" i="32" s="1"/>
  <c r="E27" i="5"/>
  <c r="E27" i="32" s="1"/>
  <c r="H52" i="5"/>
  <c r="H52" i="32" s="1"/>
  <c r="M65" i="5"/>
  <c r="M65" i="32" s="1"/>
  <c r="O52" i="5"/>
  <c r="O38" i="5"/>
  <c r="J29" i="5"/>
  <c r="J29" i="32" s="1"/>
  <c r="E33" i="5"/>
  <c r="E33" i="32" s="1"/>
  <c r="D14" i="5"/>
  <c r="D14" i="32" s="1"/>
  <c r="I16" i="5"/>
  <c r="I16" i="32" s="1"/>
  <c r="H24" i="5"/>
  <c r="H24" i="32" s="1"/>
  <c r="G47" i="5"/>
  <c r="G47" i="32" s="1"/>
  <c r="F9" i="5"/>
  <c r="F9" i="32" s="1"/>
  <c r="G30" i="5"/>
  <c r="G30" i="32" s="1"/>
  <c r="L47" i="5"/>
  <c r="L47" i="32" s="1"/>
  <c r="F47" i="5"/>
  <c r="F47" i="32" s="1"/>
  <c r="E32" i="5"/>
  <c r="E32" i="32" s="1"/>
  <c r="E6" i="5"/>
  <c r="E6" i="32" s="1"/>
  <c r="D38" i="5"/>
  <c r="D38" i="32" s="1"/>
  <c r="L44" i="5"/>
  <c r="L44" i="32" s="1"/>
  <c r="K33" i="5"/>
  <c r="K33" i="32" s="1"/>
  <c r="I45" i="5"/>
  <c r="I45" i="32" s="1"/>
  <c r="H27" i="5"/>
  <c r="H27" i="32" s="1"/>
  <c r="L51" i="5"/>
  <c r="L51" i="32" s="1"/>
  <c r="D49" i="5"/>
  <c r="D49" i="32" s="1"/>
  <c r="G10" i="5"/>
  <c r="G10" i="32" s="1"/>
  <c r="N53" i="5"/>
  <c r="N53" i="32" s="1"/>
  <c r="D67" i="32"/>
  <c r="L9" i="5"/>
  <c r="L9" i="32" s="1"/>
  <c r="L7" i="5"/>
  <c r="L7" i="32" s="1"/>
  <c r="C6" i="5"/>
  <c r="C6" i="32" s="1"/>
  <c r="I56" i="5"/>
  <c r="I56" i="32" s="1"/>
  <c r="I27" i="5"/>
  <c r="I27" i="32" s="1"/>
  <c r="I43" i="5"/>
  <c r="I43" i="32" s="1"/>
  <c r="E29" i="5"/>
  <c r="E29" i="32" s="1"/>
  <c r="K28" i="5"/>
  <c r="K28" i="32" s="1"/>
  <c r="O35" i="5"/>
  <c r="E44" i="5"/>
  <c r="E44" i="32" s="1"/>
  <c r="F50" i="5"/>
  <c r="F50" i="32" s="1"/>
  <c r="I9" i="5"/>
  <c r="I9" i="32" s="1"/>
  <c r="N33" i="5"/>
  <c r="N33" i="32" s="1"/>
  <c r="C23" i="5"/>
  <c r="C23" i="32" s="1"/>
  <c r="I42" i="5"/>
  <c r="I42" i="32" s="1"/>
  <c r="J14" i="5"/>
  <c r="J14" i="32" s="1"/>
  <c r="O50" i="5"/>
  <c r="H42" i="5"/>
  <c r="H42" i="32" s="1"/>
  <c r="O9" i="5"/>
  <c r="O16" i="5"/>
  <c r="L10" i="5"/>
  <c r="L10" i="32" s="1"/>
  <c r="M42" i="5"/>
  <c r="M42" i="32" s="1"/>
  <c r="K65" i="5"/>
  <c r="K65" i="32" s="1"/>
  <c r="K24" i="5"/>
  <c r="K24" i="32" s="1"/>
  <c r="H19" i="5"/>
  <c r="H19" i="32" s="1"/>
  <c r="M56" i="5"/>
  <c r="M56" i="32" s="1"/>
  <c r="F6" i="5"/>
  <c r="F6" i="32" s="1"/>
  <c r="L29" i="5"/>
  <c r="L29" i="32" s="1"/>
  <c r="I41" i="5"/>
  <c r="I41" i="32" s="1"/>
  <c r="K20" i="5"/>
  <c r="K20" i="32" s="1"/>
  <c r="N51" i="5"/>
  <c r="N51" i="32" s="1"/>
  <c r="L33" i="5"/>
  <c r="L33" i="32" s="1"/>
  <c r="H34" i="5"/>
  <c r="H34" i="32" s="1"/>
  <c r="N55" i="5"/>
  <c r="N55" i="32" s="1"/>
  <c r="F28" i="5"/>
  <c r="F28" i="32" s="1"/>
  <c r="L56" i="5"/>
  <c r="L56" i="32" s="1"/>
  <c r="D33" i="5"/>
  <c r="D33" i="32" s="1"/>
  <c r="F57" i="5"/>
  <c r="F57" i="32" s="1"/>
  <c r="L36" i="5"/>
  <c r="L36" i="32" s="1"/>
  <c r="F56" i="5"/>
  <c r="F56" i="32" s="1"/>
  <c r="I52" i="5"/>
  <c r="I52" i="32" s="1"/>
  <c r="F60" i="5"/>
  <c r="F60" i="32" s="1"/>
  <c r="C43" i="5"/>
  <c r="C43" i="32" s="1"/>
  <c r="L55" i="5"/>
  <c r="L5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K46" i="5"/>
  <c r="K46" i="32" s="1"/>
  <c r="G48" i="5"/>
  <c r="G48" i="32" s="1"/>
  <c r="J45" i="5"/>
  <c r="J45" i="32" s="1"/>
  <c r="M48" i="5"/>
  <c r="M48" i="32" s="1"/>
  <c r="I54" i="5"/>
  <c r="I54" i="32" s="1"/>
  <c r="I20" i="5"/>
  <c r="I20" i="32" s="1"/>
  <c r="H59" i="5"/>
  <c r="H59" i="32" s="1"/>
  <c r="K6" i="5"/>
  <c r="E53" i="5"/>
  <c r="E53" i="32" s="1"/>
  <c r="L14" i="5"/>
  <c r="L14" i="32" s="1"/>
  <c r="O65" i="5"/>
  <c r="L57" i="5"/>
  <c r="L57" i="32" s="1"/>
  <c r="C26" i="5"/>
  <c r="C26" i="32" s="1"/>
  <c r="I58" i="5"/>
  <c r="I58" i="32" s="1"/>
  <c r="H25" i="5"/>
  <c r="H25" i="32" s="1"/>
  <c r="K26" i="5"/>
  <c r="K26" i="32" s="1"/>
  <c r="O71" i="32"/>
  <c r="L41" i="5"/>
  <c r="L41" i="32" s="1"/>
  <c r="O20" i="5"/>
  <c r="D10" i="5"/>
  <c r="D10" i="32" s="1"/>
  <c r="G52" i="5"/>
  <c r="G52" i="32" s="1"/>
  <c r="J18" i="5"/>
  <c r="J18" i="32" s="1"/>
  <c r="N24" i="5"/>
  <c r="N24" i="32" s="1"/>
  <c r="J19" i="5"/>
  <c r="J19" i="32" s="1"/>
  <c r="C56" i="5"/>
  <c r="C56" i="32" s="1"/>
  <c r="O33" i="5"/>
  <c r="K23" i="5"/>
  <c r="K23" i="32" s="1"/>
  <c r="K19" i="5"/>
  <c r="K19" i="32" s="1"/>
  <c r="D52" i="5"/>
  <c r="D52" i="32" s="1"/>
  <c r="M49" i="5"/>
  <c r="M49" i="32" s="1"/>
  <c r="O40" i="5"/>
  <c r="L49" i="5"/>
  <c r="L49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M22" i="5"/>
  <c r="M22" i="32" s="1"/>
  <c r="F32" i="5"/>
  <c r="F32" i="32" s="1"/>
  <c r="N38" i="5"/>
  <c r="N38" i="32" s="1"/>
  <c r="D16" i="5"/>
  <c r="D16" i="32" s="1"/>
  <c r="E59" i="5"/>
  <c r="E59" i="32" s="1"/>
  <c r="I15" i="5"/>
  <c r="I15" i="32" s="1"/>
  <c r="J35" i="5"/>
  <c r="J35" i="32" s="1"/>
  <c r="I29" i="5"/>
  <c r="I29" i="32" s="1"/>
  <c r="L59" i="5"/>
  <c r="L59" i="32" s="1"/>
  <c r="G27" i="5"/>
  <c r="G27" i="32" s="1"/>
  <c r="I55" i="5"/>
  <c r="I55" i="32" s="1"/>
  <c r="C51" i="5"/>
  <c r="C51" i="32" s="1"/>
  <c r="C20" i="5"/>
  <c r="C20" i="32" s="1"/>
  <c r="E22" i="5"/>
  <c r="E22" i="32" s="1"/>
  <c r="D56" i="5"/>
  <c r="D56" i="32" s="1"/>
  <c r="F54" i="5"/>
  <c r="F54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E49" i="5"/>
  <c r="E49" i="32" s="1"/>
  <c r="G6" i="5"/>
  <c r="G6" i="32" s="1"/>
  <c r="O36" i="5"/>
  <c r="E61" i="5"/>
  <c r="E61" i="32" s="1"/>
  <c r="K63" i="5"/>
  <c r="K63" i="32" s="1"/>
  <c r="C61" i="5"/>
  <c r="C61" i="32" s="1"/>
  <c r="G61" i="5"/>
  <c r="G61" i="32" s="1"/>
  <c r="F63" i="5"/>
  <c r="F63" i="32" s="1"/>
  <c r="I61" i="5"/>
  <c r="I61" i="32" s="1"/>
  <c r="J61" i="5"/>
  <c r="J61" i="32" s="1"/>
  <c r="M63" i="5"/>
  <c r="M63" i="32" s="1"/>
  <c r="M61" i="5"/>
  <c r="M61" i="32" s="1"/>
  <c r="L61" i="5"/>
  <c r="L61" i="32" s="1"/>
  <c r="N63" i="5"/>
  <c r="N63" i="32" s="1"/>
  <c r="F61" i="5"/>
  <c r="F61" i="32" s="1"/>
  <c r="D63" i="5"/>
  <c r="D63" i="32" s="1"/>
  <c r="O61" i="5"/>
  <c r="I63" i="5"/>
  <c r="I63" i="32" s="1"/>
  <c r="O63" i="5"/>
  <c r="K61" i="5"/>
  <c r="K61" i="32" s="1"/>
  <c r="D61" i="5"/>
  <c r="D61" i="32" s="1"/>
  <c r="H61" i="5"/>
  <c r="H61" i="32" s="1"/>
  <c r="J63" i="5"/>
  <c r="J63" i="32" s="1"/>
  <c r="G63" i="5"/>
  <c r="G63" i="32" s="1"/>
  <c r="L63" i="5"/>
  <c r="L63" i="32" s="1"/>
  <c r="N61" i="5"/>
  <c r="N61" i="32" s="1"/>
  <c r="C63" i="5"/>
  <c r="C63" i="32" s="1"/>
  <c r="E63" i="5"/>
  <c r="E63" i="32" s="1"/>
  <c r="H63" i="5"/>
  <c r="H63" i="32" s="1"/>
  <c r="K10" i="5"/>
  <c r="K10" i="32" s="1"/>
  <c r="I65" i="5"/>
  <c r="I65" i="32" s="1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5"/>
  <c r="F65" i="32" s="1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5"/>
  <c r="L65" i="32" s="1"/>
  <c r="J46" i="5"/>
  <c r="J46" i="32" s="1"/>
  <c r="M51" i="5"/>
  <c r="M51" i="32" s="1"/>
  <c r="E65" i="5"/>
  <c r="E65" i="32" s="1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5"/>
  <c r="D65" i="32" s="1"/>
  <c r="O7" i="5"/>
  <c r="G41" i="5"/>
  <c r="G41" i="32" s="1"/>
  <c r="K7" i="5"/>
  <c r="K7" i="32" s="1"/>
  <c r="E14" i="5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F24" i="5"/>
  <c r="F24" i="32" s="1"/>
  <c r="L38" i="5"/>
  <c r="L38" i="32" s="1"/>
  <c r="F53" i="5"/>
  <c r="F53" i="32" s="1"/>
  <c r="C65" i="5"/>
  <c r="C65" i="32" s="1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31" i="5"/>
  <c r="J31" i="32" s="1"/>
  <c r="J43" i="5"/>
  <c r="J43" i="32" s="1"/>
  <c r="K17" i="5"/>
  <c r="K17" i="32" s="1"/>
  <c r="D27" i="5"/>
  <c r="D27" i="32" s="1"/>
  <c r="O75" i="32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5"/>
  <c r="H65" i="32" s="1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N6" i="32" s="1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H64" i="5" s="1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D6" i="32" s="1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O64" i="5" s="1"/>
  <c r="M24" i="5"/>
  <c r="M24" i="32" s="1"/>
  <c r="O97" i="32"/>
  <c r="O93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H99" i="32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I14" i="32"/>
  <c r="G73" i="32"/>
  <c r="G67" i="32" s="1"/>
  <c r="O69" i="32"/>
  <c r="K6" i="32"/>
  <c r="K8" i="32" s="1"/>
  <c r="K5" i="32" l="1"/>
  <c r="K12" i="32" s="1"/>
  <c r="J73" i="32"/>
  <c r="I70" i="32"/>
  <c r="I73" i="32" s="1"/>
  <c r="I67" i="32" s="1"/>
  <c r="I73" i="5"/>
  <c r="I67" i="5" s="1"/>
  <c r="O68" i="5"/>
  <c r="O70" i="5" s="1"/>
  <c r="O73" i="5" s="1"/>
  <c r="L73" i="5"/>
  <c r="N98" i="32"/>
  <c r="N99" i="32" s="1"/>
  <c r="N99" i="5"/>
  <c r="N74" i="32"/>
  <c r="N76" i="5"/>
  <c r="N76" i="32" s="1"/>
  <c r="M98" i="32"/>
  <c r="M99" i="32" s="1"/>
  <c r="M99" i="5"/>
  <c r="M76" i="5"/>
  <c r="M76" i="32" s="1"/>
  <c r="M74" i="32"/>
  <c r="L76" i="5"/>
  <c r="L76" i="32" s="1"/>
  <c r="L74" i="32"/>
  <c r="L98" i="32"/>
  <c r="L99" i="5"/>
  <c r="O74" i="5"/>
  <c r="O76" i="5" s="1"/>
  <c r="O98" i="5"/>
  <c r="O99" i="5" s="1"/>
  <c r="H73" i="32"/>
  <c r="H67" i="32" s="1"/>
  <c r="J67" i="32"/>
  <c r="F67" i="5"/>
  <c r="I8" i="5"/>
  <c r="I5" i="5" s="1"/>
  <c r="I12" i="5" s="1"/>
  <c r="L8" i="5"/>
  <c r="L5" i="5" s="1"/>
  <c r="L12" i="5" s="1"/>
  <c r="H8" i="32"/>
  <c r="H5" i="32" s="1"/>
  <c r="H12" i="32" s="1"/>
  <c r="O8" i="5"/>
  <c r="O5" i="5" s="1"/>
  <c r="O12" i="5" s="1"/>
  <c r="E8" i="5"/>
  <c r="E5" i="5" s="1"/>
  <c r="E12" i="5" s="1"/>
  <c r="E8" i="32"/>
  <c r="E5" i="32" s="1"/>
  <c r="E12" i="32" s="1"/>
  <c r="L8" i="32"/>
  <c r="L5" i="32" s="1"/>
  <c r="L12" i="32" s="1"/>
  <c r="H8" i="5"/>
  <c r="H5" i="5" s="1"/>
  <c r="H12" i="5" s="1"/>
  <c r="K8" i="5"/>
  <c r="K5" i="5" s="1"/>
  <c r="K12" i="5" s="1"/>
  <c r="J8" i="5"/>
  <c r="J5" i="5" s="1"/>
  <c r="J12" i="5" s="1"/>
  <c r="J81" i="5" s="1"/>
  <c r="I6" i="32"/>
  <c r="I8" i="32" s="1"/>
  <c r="I5" i="32" s="1"/>
  <c r="I12" i="32" s="1"/>
  <c r="O26" i="32"/>
  <c r="C73" i="5"/>
  <c r="C67" i="5" s="1"/>
  <c r="H73" i="5"/>
  <c r="H67" i="5" s="1"/>
  <c r="N70" i="32"/>
  <c r="N73" i="32" s="1"/>
  <c r="N73" i="5"/>
  <c r="O68" i="32"/>
  <c r="E70" i="32"/>
  <c r="E73" i="5"/>
  <c r="E67" i="5" s="1"/>
  <c r="K70" i="32"/>
  <c r="K73" i="32" s="1"/>
  <c r="K67" i="32" s="1"/>
  <c r="K73" i="5"/>
  <c r="K67" i="5" s="1"/>
  <c r="O89" i="32"/>
  <c r="O34" i="32"/>
  <c r="N8" i="5"/>
  <c r="N5" i="5" s="1"/>
  <c r="N12" i="5" s="1"/>
  <c r="D8" i="32"/>
  <c r="D5" i="32" s="1"/>
  <c r="D12" i="32" s="1"/>
  <c r="D81" i="32" s="1"/>
  <c r="D8" i="5"/>
  <c r="D5" i="5" s="1"/>
  <c r="D12" i="5" s="1"/>
  <c r="D81" i="5" s="1"/>
  <c r="N8" i="32"/>
  <c r="N5" i="32" s="1"/>
  <c r="N12" i="32" s="1"/>
  <c r="M8" i="5"/>
  <c r="M5" i="5" s="1"/>
  <c r="M12" i="5" s="1"/>
  <c r="G8" i="32"/>
  <c r="G5" i="32" s="1"/>
  <c r="G12" i="32" s="1"/>
  <c r="G81" i="32" s="1"/>
  <c r="F8" i="32"/>
  <c r="F5" i="32" s="1"/>
  <c r="F12" i="32" s="1"/>
  <c r="F81" i="32" s="1"/>
  <c r="K62" i="5"/>
  <c r="K62" i="32" s="1"/>
  <c r="M6" i="32"/>
  <c r="M8" i="32" s="1"/>
  <c r="M5" i="32" s="1"/>
  <c r="M12" i="32" s="1"/>
  <c r="G8" i="5"/>
  <c r="G5" i="5" s="1"/>
  <c r="G12" i="5" s="1"/>
  <c r="G81" i="5" s="1"/>
  <c r="F8" i="5"/>
  <c r="F5" i="5" s="1"/>
  <c r="F12" i="5" s="1"/>
  <c r="E62" i="5"/>
  <c r="E62" i="32" s="1"/>
  <c r="E14" i="32"/>
  <c r="O62" i="5"/>
  <c r="O13" i="5" s="1"/>
  <c r="N62" i="5"/>
  <c r="N62" i="32" s="1"/>
  <c r="J62" i="5"/>
  <c r="J62" i="32" s="1"/>
  <c r="C62" i="5"/>
  <c r="C62" i="32" s="1"/>
  <c r="M62" i="5"/>
  <c r="M62" i="32" s="1"/>
  <c r="O16" i="32"/>
  <c r="L62" i="5"/>
  <c r="L62" i="32" s="1"/>
  <c r="H62" i="5"/>
  <c r="H62" i="32" s="1"/>
  <c r="F62" i="5"/>
  <c r="F62" i="32" s="1"/>
  <c r="G62" i="5"/>
  <c r="G62" i="32" s="1"/>
  <c r="I62" i="5"/>
  <c r="I62" i="32" s="1"/>
  <c r="D62" i="5"/>
  <c r="D62" i="32" s="1"/>
  <c r="O46" i="32"/>
  <c r="O18" i="32"/>
  <c r="O50" i="32"/>
  <c r="O39" i="32"/>
  <c r="O32" i="32"/>
  <c r="O41" i="32"/>
  <c r="O53" i="32"/>
  <c r="O35" i="32"/>
  <c r="O65" i="32"/>
  <c r="O56" i="32"/>
  <c r="O33" i="32"/>
  <c r="O23" i="32"/>
  <c r="O54" i="32"/>
  <c r="O51" i="32"/>
  <c r="O52" i="32"/>
  <c r="O40" i="32"/>
  <c r="O20" i="32"/>
  <c r="O43" i="32"/>
  <c r="O7" i="32"/>
  <c r="O25" i="32"/>
  <c r="O37" i="32"/>
  <c r="O17" i="32"/>
  <c r="O31" i="32"/>
  <c r="O55" i="32"/>
  <c r="O9" i="32"/>
  <c r="O36" i="32"/>
  <c r="O61" i="32"/>
  <c r="O57" i="32"/>
  <c r="O22" i="32"/>
  <c r="O45" i="32"/>
  <c r="O15" i="32"/>
  <c r="O58" i="32"/>
  <c r="O63" i="32"/>
  <c r="O29" i="32"/>
  <c r="O27" i="32"/>
  <c r="O28" i="32"/>
  <c r="J8" i="32"/>
  <c r="J5" i="32" s="1"/>
  <c r="J12" i="32" s="1"/>
  <c r="J81" i="32" s="1"/>
  <c r="J64" i="5"/>
  <c r="J64" i="32" s="1"/>
  <c r="O59" i="32"/>
  <c r="H14" i="32"/>
  <c r="C8" i="5"/>
  <c r="C5" i="5" s="1"/>
  <c r="C12" i="5" s="1"/>
  <c r="C81" i="5" s="1"/>
  <c r="O94" i="32"/>
  <c r="O24" i="32"/>
  <c r="O21" i="32"/>
  <c r="O19" i="32"/>
  <c r="O10" i="32"/>
  <c r="O60" i="32"/>
  <c r="G64" i="5"/>
  <c r="G64" i="32" s="1"/>
  <c r="C64" i="5"/>
  <c r="C64" i="32" s="1"/>
  <c r="L64" i="5"/>
  <c r="L64" i="32" s="1"/>
  <c r="K64" i="5"/>
  <c r="I64" i="5"/>
  <c r="I64" i="32" s="1"/>
  <c r="O42" i="32"/>
  <c r="O44" i="32"/>
  <c r="O30" i="32"/>
  <c r="O49" i="32"/>
  <c r="O38" i="32"/>
  <c r="F64" i="5"/>
  <c r="N64" i="5"/>
  <c r="N64" i="32" s="1"/>
  <c r="M64" i="5"/>
  <c r="M64" i="32" s="1"/>
  <c r="E64" i="5"/>
  <c r="E64" i="32" s="1"/>
  <c r="O48" i="32"/>
  <c r="D64" i="5"/>
  <c r="D64" i="32" s="1"/>
  <c r="O47" i="32"/>
  <c r="F3" i="10" a="1"/>
  <c r="F3" i="10" s="1"/>
  <c r="C8" i="32"/>
  <c r="C5" i="32" s="1"/>
  <c r="C12" i="32" s="1"/>
  <c r="L3" i="10" a="1"/>
  <c r="L3" i="10" s="1"/>
  <c r="H64" i="32"/>
  <c r="P3" i="10" a="1"/>
  <c r="P3" i="10" s="1"/>
  <c r="M3" i="10" a="1"/>
  <c r="M3" i="10" s="1"/>
  <c r="K81" i="32" l="1"/>
  <c r="H81" i="32"/>
  <c r="I81" i="32"/>
  <c r="I81" i="5"/>
  <c r="N79" i="5"/>
  <c r="N67" i="5" s="1"/>
  <c r="N81" i="5" s="1"/>
  <c r="N79" i="32"/>
  <c r="N67" i="32" s="1"/>
  <c r="N81" i="32" s="1"/>
  <c r="O76" i="32"/>
  <c r="M79" i="32"/>
  <c r="M67" i="32" s="1"/>
  <c r="M81" i="32" s="1"/>
  <c r="M79" i="5"/>
  <c r="M67" i="5" s="1"/>
  <c r="M81" i="5" s="1"/>
  <c r="O79" i="5"/>
  <c r="O67" i="5" s="1"/>
  <c r="O81" i="5" s="1"/>
  <c r="O98" i="32"/>
  <c r="O99" i="32" s="1"/>
  <c r="L99" i="32"/>
  <c r="L79" i="5"/>
  <c r="L67" i="5" s="1"/>
  <c r="L81" i="5" s="1"/>
  <c r="L79" i="32"/>
  <c r="L67" i="32" s="1"/>
  <c r="L81" i="32" s="1"/>
  <c r="O74" i="32"/>
  <c r="O70" i="32"/>
  <c r="O73" i="32" s="1"/>
  <c r="H81" i="5"/>
  <c r="C13" i="32"/>
  <c r="C66" i="32" s="1"/>
  <c r="C80" i="32" s="1"/>
  <c r="K3" i="10" a="1"/>
  <c r="K3" i="10" s="1"/>
  <c r="E13" i="32"/>
  <c r="E66" i="32" s="1"/>
  <c r="O62" i="32"/>
  <c r="O66" i="5"/>
  <c r="G13" i="32"/>
  <c r="G66" i="32" s="1"/>
  <c r="G80" i="32" s="1"/>
  <c r="I3" i="10" a="1"/>
  <c r="I3" i="10" s="1"/>
  <c r="H13" i="5"/>
  <c r="H66" i="5" s="1"/>
  <c r="H80" i="5" s="1"/>
  <c r="O6" i="32"/>
  <c r="O8" i="32" s="1"/>
  <c r="O5" i="32" s="1"/>
  <c r="O12" i="32" s="1"/>
  <c r="F13" i="5"/>
  <c r="F66" i="5" s="1"/>
  <c r="F80" i="5" s="1"/>
  <c r="E13" i="5"/>
  <c r="E66" i="5" s="1"/>
  <c r="E80" i="5" s="1"/>
  <c r="N13" i="5"/>
  <c r="N66" i="5" s="1"/>
  <c r="K81" i="5"/>
  <c r="E81" i="5"/>
  <c r="E73" i="32"/>
  <c r="E67" i="32" s="1"/>
  <c r="E81" i="32" s="1"/>
  <c r="J13" i="32"/>
  <c r="J66" i="32" s="1"/>
  <c r="J80" i="32" s="1"/>
  <c r="I13" i="5"/>
  <c r="I66" i="5" s="1"/>
  <c r="I80" i="5" s="1"/>
  <c r="I13" i="32"/>
  <c r="I66" i="32" s="1"/>
  <c r="I80" i="32" s="1"/>
  <c r="C13" i="5"/>
  <c r="C66" i="5" s="1"/>
  <c r="C80" i="5" s="1"/>
  <c r="N3" i="10" a="1"/>
  <c r="N3" i="10" s="1"/>
  <c r="N13" i="32"/>
  <c r="N66" i="32" s="1"/>
  <c r="K13" i="5"/>
  <c r="K66" i="5" s="1"/>
  <c r="K80" i="5" s="1"/>
  <c r="J13" i="5"/>
  <c r="J66" i="5" s="1"/>
  <c r="J80" i="5" s="1"/>
  <c r="F81" i="5"/>
  <c r="L13" i="5"/>
  <c r="L66" i="5" s="1"/>
  <c r="G13" i="5"/>
  <c r="G66" i="5" s="1"/>
  <c r="G80" i="5" s="1"/>
  <c r="J3" i="10" a="1"/>
  <c r="J3" i="10" s="1"/>
  <c r="L13" i="32"/>
  <c r="L66" i="32" s="1"/>
  <c r="O14" i="32"/>
  <c r="D13" i="32"/>
  <c r="D66" i="32" s="1"/>
  <c r="D80" i="32" s="1"/>
  <c r="D13" i="5"/>
  <c r="D66" i="5" s="1"/>
  <c r="D80" i="5" s="1"/>
  <c r="M13" i="32"/>
  <c r="M66" i="32" s="1"/>
  <c r="F64" i="32"/>
  <c r="F13" i="32" s="1"/>
  <c r="F66" i="32" s="1"/>
  <c r="F80" i="32" s="1"/>
  <c r="H13" i="32"/>
  <c r="H66" i="32" s="1"/>
  <c r="H80" i="32" s="1"/>
  <c r="Q3" i="10" a="1"/>
  <c r="Q3" i="10" s="1"/>
  <c r="M13" i="5"/>
  <c r="M66" i="5" s="1"/>
  <c r="K64" i="32"/>
  <c r="K13" i="32" s="1"/>
  <c r="K66" i="32" s="1"/>
  <c r="K80" i="32" s="1"/>
  <c r="H3" i="10" a="1"/>
  <c r="H3" i="10" s="1"/>
  <c r="G3" i="10" a="1"/>
  <c r="G3" i="10" s="1"/>
  <c r="O3" i="10" a="1"/>
  <c r="O3" i="10" s="1"/>
  <c r="C81" i="32"/>
  <c r="M80" i="5" l="1"/>
  <c r="O79" i="32"/>
  <c r="O67" i="32" s="1"/>
  <c r="O81" i="32" s="1"/>
  <c r="M80" i="32"/>
  <c r="N80" i="5"/>
  <c r="L80" i="5"/>
  <c r="N80" i="32"/>
  <c r="O80" i="5"/>
  <c r="L80" i="32"/>
  <c r="O64" i="32"/>
  <c r="O13" i="32" s="1"/>
  <c r="O66" i="32" s="1"/>
  <c r="E80" i="32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Nguyễn Thùy Linh(Nguyen Thuy Linh)</author>
    <author>Lê Thị Mai Hương(Le Thi Mai Huong)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54" authorId="1" shapeId="0" xr:uid="{5D6EBFD5-246B-4501-88AA-C870F225B965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新制服：14人（新人を含む）</t>
        </r>
      </text>
    </comment>
    <comment ref="L54" authorId="1" shapeId="0" xr:uid="{E2324500-EFA2-4353-9ECD-ECC69B63D5EF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8月入社の新人の分
冬服：175,000</t>
        </r>
      </text>
    </comment>
    <comment ref="J55" authorId="1" shapeId="0" xr:uid="{41CA161F-9524-496D-A0F8-87C97E97CEB8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
夏服</t>
        </r>
      </text>
    </comment>
    <comment ref="F56" authorId="1" shapeId="0" xr:uid="{CF517AAC-0EC2-446E-835B-01450714E33C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J56" authorId="1" shapeId="0" xr:uid="{703885A6-225D-461C-9A82-21D2FD2E8583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F57" authorId="1" shapeId="0" xr:uid="{E65FD52A-B4AE-4B88-B8AE-9409BF0C39EA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J57" authorId="1" shapeId="0" xr:uid="{E08E9002-BD11-4B72-92AA-8FC29E0D8659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F58" authorId="1" shapeId="0" xr:uid="{5AB17FCB-0BB3-4878-B6B7-7540B6CA9F42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J58" authorId="1" shapeId="0" xr:uid="{C19BB953-3063-4096-828C-89EAC4E732EE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F60" authorId="1" shapeId="0" xr:uid="{F4055315-FBD0-4DBC-8BF3-2961ABB3C99C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Nghĩa
新人</t>
        </r>
      </text>
    </comment>
    <comment ref="H60" authorId="1" shapeId="0" xr:uid="{2BC779DB-6068-48D0-B69E-35BB9A9529BE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Quỳnh + Thuần</t>
        </r>
      </text>
    </comment>
    <comment ref="J60" authorId="1" shapeId="0" xr:uid="{4DB5509D-EDB6-4611-8762-F3DA0B429A0B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</t>
        </r>
      </text>
    </comment>
    <comment ref="K60" authorId="1" shapeId="0" xr:uid="{0D90E84A-A9C3-4F6D-B9C7-6070BBE01A01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Khiêm</t>
        </r>
      </text>
    </comment>
    <comment ref="M60" authorId="1" shapeId="0" xr:uid="{766287FA-BE33-4586-BD2F-8380D87D0797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Phan</t>
        </r>
      </text>
    </comment>
    <comment ref="N60" authorId="1" shapeId="0" xr:uid="{6D6808BE-82CD-45FA-B52C-2D1F11DBDC5B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Việt + Thanh</t>
        </r>
      </text>
    </comment>
    <comment ref="O60" authorId="1" shapeId="0" xr:uid="{CEE85BFA-1BF5-4A58-8C9C-4DCCA30F3DA0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Độ + Nguyệt
新人2名</t>
        </r>
      </text>
    </comment>
    <comment ref="P60" authorId="1" shapeId="0" xr:uid="{B8685B25-67EA-44F3-9ABA-829C9B70A38D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Tuấn + Đạt+Hai</t>
        </r>
      </text>
    </comment>
    <comment ref="Q60" authorId="1" shapeId="0" xr:uid="{B1A7713D-118F-427D-AB91-1386D2DFA4F2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Chính + Hưng+Nhung</t>
        </r>
      </text>
    </comment>
    <comment ref="G63" authorId="1" shapeId="0" xr:uid="{36A4493A-4904-46CE-A8FF-C89F3BCEFC11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社員旅行</t>
        </r>
      </text>
    </comment>
    <comment ref="G65" authorId="1" shapeId="0" xr:uid="{A3AC511A-90E4-455D-93E8-883D1BC2CF97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新人の健康診断</t>
        </r>
      </text>
    </comment>
    <comment ref="K65" authorId="1" shapeId="0" xr:uid="{5C3048BB-5DB9-4FF2-BA07-B51C7A152686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新人の健康診断</t>
        </r>
      </text>
    </comment>
    <comment ref="N66" authorId="1" shapeId="0" xr:uid="{B4F769F2-03F4-4B1D-861C-C9661EBEB69C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男性：13人（新人1人）
女性：1人</t>
        </r>
      </text>
    </comment>
    <comment ref="H67" authorId="1" shapeId="0" xr:uid="{9F06C589-04B1-4909-9202-FFB0B9CF6AF3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決起コンパー</t>
        </r>
      </text>
    </comment>
    <comment ref="K67" authorId="1" shapeId="0" xr:uid="{36253F9D-B7F0-4FF2-88A2-F85FE4835DE4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Kyocrea フェスティバル</t>
        </r>
      </text>
    </comment>
    <comment ref="M67" authorId="1" shapeId="0" xr:uid="{A8CA74B2-B43A-4F46-B788-4834E894B65E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運動会</t>
        </r>
      </text>
    </comment>
    <comment ref="P67" authorId="1" shapeId="0" xr:uid="{9B24E9DC-04A3-4839-BB63-4A80569A1EA9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お年玉</t>
        </r>
      </text>
    </comment>
    <comment ref="Q67" authorId="1" shapeId="0" xr:uid="{F73F36C6-B3A3-46CD-B44D-DAE9C6E083F9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忘年会補助金</t>
        </r>
      </text>
    </comment>
    <comment ref="L69" authorId="1" shapeId="0" xr:uid="{CF5AF22B-9070-47C6-9740-810F6BFB911D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Luna Cake</t>
        </r>
      </text>
    </comment>
    <comment ref="I70" authorId="1" shapeId="0" xr:uid="{24B08238-5ADB-4ED6-A22A-684DB3425F43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フィロソフィー賞品</t>
        </r>
      </text>
    </comment>
    <comment ref="Q71" authorId="2" shapeId="0" xr:uid="{C0404F31-E585-462B-85F2-EF9D45E5ACD4}">
      <text>
        <r>
          <rPr>
            <b/>
            <sz val="9"/>
            <color indexed="81"/>
            <rFont val="Tahoma"/>
            <charset val="1"/>
          </rPr>
          <t>Lê Thị Mai Hương(Le Thi Mai Huong):</t>
        </r>
        <r>
          <rPr>
            <sz val="9"/>
            <color indexed="81"/>
            <rFont val="Tahoma"/>
            <charset val="1"/>
          </rPr>
          <t xml:space="preserve">
メカ2：2名</t>
        </r>
      </text>
    </comment>
    <comment ref="F77" authorId="1" shapeId="0" xr:uid="{43D57FCF-A27F-4058-808F-126DC2B733F7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J77" authorId="1" shapeId="0" xr:uid="{76178B19-23BD-4766-835E-D898586F71DA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F79" authorId="1" shapeId="0" xr:uid="{63D959F3-B399-4B6F-B750-245CFF10A8E6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J79" authorId="1" shapeId="0" xr:uid="{F773A4BA-E888-46C9-AA43-4E728EDEE619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F80" authorId="1" shapeId="0" xr:uid="{38A11222-898D-42DD-9DA9-F45EF45C2392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J80" authorId="1" shapeId="0" xr:uid="{5FB9A802-524F-4548-B610-452B94DC9859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F86" authorId="1" shapeId="0" xr:uid="{39ED8AB9-5260-4223-811A-E3BD47C50C6E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J86" authorId="1" shapeId="0" xr:uid="{5974B82C-0D5B-4932-B9CB-BB424D6905AC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F87" authorId="1" shapeId="0" xr:uid="{A34291D8-E256-46DF-813C-A1A17888BF5B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J87" authorId="1" shapeId="0" xr:uid="{403CBE5D-F94C-42DA-AA62-820442EDCD12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F88" authorId="1" shapeId="0" xr:uid="{536669E8-0E3F-4B76-9E20-71FC5A9A6116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J88" authorId="1" shapeId="0" xr:uid="{3B165FF8-B814-4355-A64E-4727A869250A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新人社員分</t>
        </r>
      </text>
    </comment>
    <comment ref="F95" authorId="1" shapeId="0" xr:uid="{6F014408-3DBE-4BCB-AEC0-4922D659DC55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新人の机＋椅子</t>
        </r>
      </text>
    </comment>
    <comment ref="J95" authorId="1" shapeId="0" xr:uid="{3B0B0C1A-A7F3-4BDC-A549-3BA92383D9D0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新人の机＋椅子</t>
        </r>
      </text>
    </comment>
    <comment ref="F96" authorId="1" shapeId="0" xr:uid="{B3874D54-81B0-420F-83DB-DB55C08A56C6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新人分のマウス購入</t>
        </r>
      </text>
    </comment>
    <comment ref="J96" authorId="1" shapeId="0" xr:uid="{B40FF2BC-C508-45E5-93A2-BE98123E08E3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新人分のマウス購入</t>
        </r>
      </text>
    </comment>
    <comment ref="F97" authorId="1" shapeId="0" xr:uid="{709BA4EB-8CDB-4BA4-AB41-F14243B59203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新人のPC1台</t>
        </r>
      </text>
    </comment>
    <comment ref="G97" authorId="1" shapeId="0" xr:uid="{71FEBE1C-E587-49E0-A3BD-E6E6D251F6CA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Phanのパソコン（No License）</t>
        </r>
      </text>
    </comment>
    <comment ref="J97" authorId="1" shapeId="0" xr:uid="{CAE60CB2-99B5-478E-80D3-8BFA95A9FFFD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新人のPC1台</t>
        </r>
      </text>
    </comment>
    <comment ref="L98" authorId="1" shapeId="0" xr:uid="{E0A13123-6424-4801-96E2-C43A4F93BEF2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Leo DMT
本体1台：€610　
PF1台：¥10875
（為替レート：1€=26,461 VND)
</t>
        </r>
      </text>
    </comment>
    <comment ref="P98" authorId="1" shapeId="0" xr:uid="{A649C3DA-4AAC-4DB1-BA21-387CD4304501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Leo DMT
本体2台：€1220　
（為替レート：1€=26,461 VND)</t>
        </r>
      </text>
    </comment>
    <comment ref="M102" authorId="1" shapeId="0" xr:uid="{47DE84D9-096F-4883-A2B1-BFA66DFD21C7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Leo 本体＋PFの通関費</t>
        </r>
      </text>
    </comment>
    <comment ref="Q102" authorId="1" shapeId="0" xr:uid="{3EEA6F0F-83B7-4E4A-9A8F-6ECCA693A670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Leo 本体2台の通関費</t>
        </r>
      </text>
    </comment>
    <comment ref="L121" authorId="1" shapeId="0" xr:uid="{391FA96F-4343-49D9-88CF-22AC0491609D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Leo DMT
本体1台：€610　
PF1台：¥10875
（為替レート：1€=26,461 VND)
</t>
        </r>
      </text>
    </comment>
    <comment ref="K122" authorId="1" shapeId="0" xr:uid="{5BE21444-088C-4E4F-A23C-F8BFF4EEC826}">
      <text>
        <r>
          <rPr>
            <b/>
            <sz val="9"/>
            <color indexed="81"/>
            <rFont val="Tahoma"/>
            <family val="2"/>
          </rPr>
          <t>Nguyễn Thùy Linh(Nguyen Thuy Linh):
6人</t>
        </r>
        <r>
          <rPr>
            <sz val="9"/>
            <color indexed="81"/>
            <rFont val="Tahoma"/>
            <family val="2"/>
          </rPr>
          <t xml:space="preserve">
出張食事代：70,000VND</t>
        </r>
      </text>
    </comment>
    <comment ref="L122" authorId="1" shapeId="0" xr:uid="{D4640DF0-AD56-4A1E-B072-7ECD58FF6A04}">
      <text>
        <r>
          <rPr>
            <b/>
            <sz val="9"/>
            <color indexed="81"/>
            <rFont val="Tahoma"/>
            <family val="2"/>
          </rPr>
          <t>Nguyễn Thùy Linh(Nguyen Thuy Linh):
6人</t>
        </r>
        <r>
          <rPr>
            <sz val="9"/>
            <color indexed="81"/>
            <rFont val="Tahoma"/>
            <family val="2"/>
          </rPr>
          <t xml:space="preserve">
出張食事代：70,000VND</t>
        </r>
      </text>
    </comment>
    <comment ref="O122" authorId="1" shapeId="0" xr:uid="{E7C83E5E-0C7F-40C4-9674-A422CB1D7D5C}">
      <text>
        <r>
          <rPr>
            <b/>
            <sz val="9"/>
            <color indexed="81"/>
            <rFont val="Tahoma"/>
            <family val="2"/>
          </rPr>
          <t>Nguyễn Thùy Linh(Nguyen Thuy Linh):
6人</t>
        </r>
        <r>
          <rPr>
            <sz val="9"/>
            <color indexed="81"/>
            <rFont val="Tahoma"/>
            <family val="2"/>
          </rPr>
          <t xml:space="preserve">
出張食事代：70,000VND</t>
        </r>
      </text>
    </comment>
    <comment ref="K123" authorId="1" shapeId="0" xr:uid="{7711BD4E-F3D3-4A3D-A052-04E8E1B73515}">
      <text>
        <r>
          <rPr>
            <b/>
            <sz val="9"/>
            <color indexed="81"/>
            <rFont val="Tahoma"/>
            <family val="2"/>
          </rPr>
          <t>Nguyễn Thùy Linh(Nguyen Thuy Linh):
6人</t>
        </r>
        <r>
          <rPr>
            <sz val="9"/>
            <color indexed="81"/>
            <rFont val="Tahoma"/>
            <family val="2"/>
          </rPr>
          <t xml:space="preserve">
出張手当て：70,000VND</t>
        </r>
      </text>
    </comment>
    <comment ref="L123" authorId="1" shapeId="0" xr:uid="{5AF15A17-429B-4165-81D3-F8EF1F954818}">
      <text>
        <r>
          <rPr>
            <b/>
            <sz val="9"/>
            <color indexed="81"/>
            <rFont val="Tahoma"/>
            <family val="2"/>
          </rPr>
          <t>Nguyễn Thùy Linh(Nguyen Thuy Linh):
6人</t>
        </r>
        <r>
          <rPr>
            <sz val="9"/>
            <color indexed="81"/>
            <rFont val="Tahoma"/>
            <family val="2"/>
          </rPr>
          <t xml:space="preserve">
出張手当て：70,000VND</t>
        </r>
      </text>
    </comment>
    <comment ref="O123" authorId="1" shapeId="0" xr:uid="{839C4FC8-2FC9-46CF-8BFF-10A383F16D2B}">
      <text>
        <r>
          <rPr>
            <b/>
            <sz val="9"/>
            <color indexed="81"/>
            <rFont val="Tahoma"/>
            <family val="2"/>
          </rPr>
          <t>Nguyễn Thùy Linh(Nguyen Thuy Linh):
6人</t>
        </r>
        <r>
          <rPr>
            <sz val="9"/>
            <color indexed="81"/>
            <rFont val="Tahoma"/>
            <family val="2"/>
          </rPr>
          <t xml:space="preserve">
出張手当て：70,000VND</t>
        </r>
      </text>
    </comment>
    <comment ref="F127" authorId="1" shapeId="0" xr:uid="{A111B1F7-5322-4F8F-8550-91D7FAED0EB9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・国内日当の交通費：650,000
(Taxi ra sân bay)</t>
        </r>
      </text>
    </comment>
    <comment ref="G127" authorId="1" shapeId="0" xr:uid="{1E8B4215-7E2D-40CD-BD5A-EB579B4014DB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・国内日当の交通費：650,000
(Taxi từ sân bay về công ty)</t>
        </r>
      </text>
    </comment>
    <comment ref="J127" authorId="1" shapeId="0" xr:uid="{74FD1693-2BC9-418E-8407-E808E61D1AD6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・国内日当の交通費：650,000
(Taxi ra sân bay)</t>
        </r>
      </text>
    </comment>
    <comment ref="K127" authorId="1" shapeId="0" xr:uid="{12EC69C0-8CCF-412B-A7CB-1061AA4EBBF4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・国内日当の交通費：650,000
(Taxi từ sân bay về công ty)</t>
        </r>
      </text>
    </comment>
    <comment ref="F128" authorId="1" shapeId="0" xr:uid="{4815E8A3-D687-4B3A-A36A-1616A263720F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・往復航空運賃
（ベトナム⇔日本）850 USD
</t>
        </r>
      </text>
    </comment>
    <comment ref="J128" authorId="1" shapeId="0" xr:uid="{C56D078C-898C-4604-9D09-2392FAB24F1E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・往復航空運賃
（ベトナム⇔日本）850 USD
</t>
        </r>
      </text>
    </comment>
    <comment ref="F134" authorId="1" shapeId="0" xr:uid="{FCF547B0-6B51-4345-A32D-A6C12F8D4390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・国際日当：602 USD
</t>
        </r>
      </text>
    </comment>
    <comment ref="J134" authorId="1" shapeId="0" xr:uid="{600C19F4-7BE8-4B7A-B3F5-A3E8CE89B1BB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・国際日当：602 USD
</t>
        </r>
      </text>
    </comment>
    <comment ref="F135" authorId="1" shapeId="0" xr:uid="{824A07D8-111E-4020-B5A1-DDA8211138ED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・国際手当：602 USD
 Phí công tác tại Nhật
</t>
        </r>
      </text>
    </comment>
    <comment ref="J135" authorId="1" shapeId="0" xr:uid="{D0A640A6-D225-4377-A199-1777E481750B}">
      <text>
        <r>
          <rPr>
            <b/>
            <sz val="9"/>
            <color indexed="81"/>
            <rFont val="Tahoma"/>
            <family val="2"/>
          </rPr>
          <t>Nguyễn Thùy Linh(Nguyen Thuy Linh):</t>
        </r>
        <r>
          <rPr>
            <sz val="9"/>
            <color indexed="81"/>
            <rFont val="Tahoma"/>
            <family val="2"/>
          </rPr>
          <t xml:space="preserve">
JP出張費（Leo: 2人）
・国際手当：602 USD
 Phí công tác tại Nhật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<sst xmlns="http://schemas.openxmlformats.org/spreadsheetml/2006/main" count="1711" uniqueCount="773">
  <si>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</si>
  <si>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</si>
  <si>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</si>
  <si>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</si>
  <si>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</si>
  <si>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</si>
  <si>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</si>
  <si>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</si>
  <si>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</si>
  <si>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</si>
  <si>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</si>
  <si>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</si>
  <si>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</si>
  <si>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</si>
  <si>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</si>
  <si>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</si>
  <si>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</si>
  <si>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</si>
  <si>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</si>
  <si>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</si>
  <si>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</si>
  <si>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</si>
  <si>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</si>
  <si>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</si>
  <si>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</si>
  <si>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</si>
  <si>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</si>
  <si>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</si>
  <si>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</si>
  <si>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</si>
  <si>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</si>
  <si>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</si>
  <si>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</si>
  <si>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</si>
  <si>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</si>
  <si>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</si>
  <si>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</si>
  <si>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</si>
  <si>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</si>
  <si>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</si>
  <si>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</si>
  <si>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</si>
  <si>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</si>
  <si>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</si>
  <si>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</si>
  <si>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</si>
  <si>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</si>
  <si>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</si>
  <si>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</si>
  <si>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</si>
  <si>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</si>
  <si>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</si>
  <si>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</si>
  <si>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</si>
  <si>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</si>
  <si>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</si>
  <si>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</si>
  <si>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</si>
  <si>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</si>
  <si>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</si>
  <si>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</si>
  <si>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</si>
  <si>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</si>
  <si>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</si>
  <si>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</si>
  <si>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</si>
  <si>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</si>
  <si>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</si>
  <si>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</si>
  <si>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</si>
  <si>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</si>
  <si>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</si>
  <si>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</si>
  <si>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</si>
  <si>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</si>
  <si>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</si>
  <si>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</si>
  <si>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</si>
  <si>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</si>
  <si>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</si>
  <si>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</si>
  <si>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</si>
  <si>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</si>
  <si>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</si>
  <si>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</si>
  <si>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</si>
  <si>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</si>
  <si>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</si>
  <si>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</si>
  <si>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</si>
  <si>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</si>
  <si>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</si>
  <si>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</si>
  <si>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</si>
  <si>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</si>
  <si>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</si>
  <si>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</si>
  <si>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</si>
  <si>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</si>
  <si>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</si>
  <si>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</si>
  <si>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</si>
  <si>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</si>
  <si>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</si>
  <si>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</si>
  <si>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</si>
  <si>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</si>
  <si>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</si>
  <si>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</si>
  <si>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</si>
  <si>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</si>
  <si>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</si>
  <si>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</si>
  <si>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</si>
  <si>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</si>
  <si>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</si>
  <si>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</si>
  <si>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</si>
  <si>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</si>
  <si>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</si>
  <si>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</si>
  <si>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</si>
  <si>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</si>
  <si>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</si>
  <si>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</si>
  <si>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</si>
  <si>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</si>
  <si>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</si>
  <si>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</si>
  <si>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</si>
  <si>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</si>
  <si>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</si>
  <si>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</si>
  <si>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</si>
  <si>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</si>
  <si>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</si>
  <si>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</si>
  <si>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</si>
  <si>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</si>
  <si>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</si>
  <si>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</si>
  <si>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</si>
  <si>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</si>
  <si>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</si>
  <si>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</si>
  <si>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</si>
  <si>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</si>
  <si>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</si>
  <si>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</si>
  <si>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</si>
  <si>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</si>
  <si>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</si>
  <si>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</si>
  <si>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</si>
  <si>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</si>
  <si>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</si>
  <si>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</si>
  <si>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</si>
  <si>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</si>
  <si>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</si>
  <si>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</si>
  <si>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</si>
  <si>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</si>
  <si>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</si>
  <si>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</si>
  <si>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</si>
  <si>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</si>
  <si>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</si>
  <si>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</si>
  <si>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</si>
  <si>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</si>
  <si>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</si>
  <si>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</si>
  <si>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</si>
  <si>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</si>
  <si>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</si>
  <si>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</si>
  <si>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</si>
  <si>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</si>
  <si>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</si>
  <si>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</si>
  <si>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</si>
  <si>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</si>
  <si>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</si>
  <si>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</si>
  <si>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</si>
  <si>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</si>
  <si>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</si>
  <si>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</si>
  <si>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</si>
  <si>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</si>
  <si>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</si>
  <si>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</si>
  <si>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</si>
  <si>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</si>
  <si>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</si>
  <si>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</si>
  <si>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</si>
  <si>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</si>
  <si>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</si>
  <si>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</si>
  <si>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</si>
  <si>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</si>
  <si>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</si>
  <si>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</si>
  <si>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</si>
  <si>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</si>
  <si>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</si>
  <si>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</si>
  <si>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</si>
  <si>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</si>
  <si>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</si>
  <si>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</si>
  <si>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</si>
  <si>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</si>
  <si>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</si>
  <si>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</si>
  <si>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</si>
  <si>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</si>
  <si>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</si>
  <si>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</si>
  <si>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</si>
  <si>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</si>
  <si>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</si>
  <si>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</si>
  <si>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</si>
  <si>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</si>
  <si>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</si>
  <si>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</si>
  <si>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</si>
  <si>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</si>
  <si>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</si>
  <si>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</si>
  <si>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</si>
  <si>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</si>
  <si>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</si>
  <si>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</si>
  <si>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</si>
  <si>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</si>
  <si>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</si>
  <si>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</si>
  <si>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</si>
  <si>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</si>
  <si>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</si>
  <si>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</si>
  <si>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</si>
  <si>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</si>
  <si>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</si>
  <si>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</si>
  <si>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</si>
  <si>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</si>
  <si>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</si>
  <si>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</si>
  <si>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</si>
  <si>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</si>
  <si>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</si>
  <si>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</si>
  <si>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</si>
  <si>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</si>
  <si>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</si>
  <si>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</si>
  <si>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</si>
  <si>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</si>
  <si>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</si>
  <si>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</si>
  <si>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</si>
  <si>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</si>
  <si>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</si>
  <si>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</si>
  <si>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</si>
  <si>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</si>
  <si>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</si>
  <si>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</si>
  <si>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</si>
  <si>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</si>
  <si>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</si>
  <si>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</si>
  <si>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</si>
  <si>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</si>
  <si>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</si>
  <si>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</si>
  <si>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</si>
  <si>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</si>
  <si>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</si>
  <si>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</si>
  <si>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</si>
  <si>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</si>
  <si>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</si>
  <si>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</si>
  <si>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</si>
  <si>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</si>
  <si>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</si>
  <si>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</si>
  <si>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</si>
  <si>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</si>
  <si>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</si>
  <si>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</si>
  <si>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</si>
  <si>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</si>
  <si>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</si>
  <si>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</si>
  <si>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</si>
  <si>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</si>
  <si>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</si>
  <si>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</si>
  <si>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</si>
  <si>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</si>
  <si>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</si>
  <si>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</si>
  <si>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</si>
  <si>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</si>
  <si>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</si>
  <si>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</si>
  <si>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</si>
  <si>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</si>
  <si>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</si>
  <si>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</si>
  <si>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</si>
  <si>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</si>
  <si>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</si>
  <si>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</si>
  <si>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</si>
  <si>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</si>
  <si>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</si>
  <si>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</si>
  <si>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</si>
  <si>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</si>
  <si>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</si>
  <si>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</si>
  <si>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</si>
  <si>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</si>
  <si>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</si>
  <si>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</si>
  <si>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</si>
  <si>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</si>
  <si>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</si>
  <si>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</si>
  <si>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</si>
  <si>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</si>
  <si>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</si>
  <si>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</si>
  <si>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</si>
  <si>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</si>
  <si>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</si>
  <si>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</si>
  <si>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</si>
  <si>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</si>
  <si>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</si>
  <si>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</si>
  <si>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</si>
  <si>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</si>
  <si>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</si>
  <si>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</si>
  <si>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</si>
  <si>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</si>
  <si>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</si>
  <si>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</si>
  <si>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</si>
  <si>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</si>
  <si>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</si>
  <si>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</si>
  <si>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</si>
  <si>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</si>
  <si>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</si>
  <si>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</si>
  <si>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</si>
  <si>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</si>
  <si>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</si>
  <si>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</si>
  <si>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</si>
  <si>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</si>
  <si>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</si>
  <si>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</si>
  <si>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</si>
  <si>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</si>
  <si>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</si>
  <si>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</si>
  <si>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</si>
  <si>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</si>
  <si>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</si>
  <si>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</si>
  <si>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</si>
  <si>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</si>
  <si>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</si>
  <si>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</si>
  <si>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</si>
  <si>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</si>
  <si>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</si>
  <si>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</si>
  <si>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</si>
  <si>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</si>
  <si>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</si>
  <si>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</si>
  <si>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</si>
  <si>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</si>
  <si>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</si>
  <si>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</si>
  <si>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</si>
  <si>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</si>
  <si>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</si>
  <si>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</si>
  <si>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</si>
  <si>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</si>
  <si>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</si>
  <si>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</si>
  <si>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</si>
  <si>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</si>
  <si>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</si>
  <si>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</si>
  <si>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</si>
  <si>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</si>
  <si>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</si>
  <si>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</si>
  <si>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</si>
  <si>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</si>
  <si>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</si>
  <si>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</si>
  <si>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</si>
  <si>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</si>
  <si>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</si>
  <si>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</si>
  <si>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</si>
  <si>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</si>
  <si>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</si>
  <si>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</si>
  <si>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</si>
  <si>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</si>
  <si>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</si>
  <si>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</si>
  <si>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</si>
  <si>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</si>
  <si>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</si>
  <si>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</si>
  <si>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</si>
  <si>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</si>
  <si>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</si>
  <si>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</si>
  <si>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</si>
  <si>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</si>
  <si>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</si>
  <si>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</si>
  <si>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</si>
  <si>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</si>
  <si>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</si>
  <si>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</si>
  <si>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</si>
  <si>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</si>
  <si>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</si>
  <si>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</si>
  <si>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</si>
  <si>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</si>
  <si>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</si>
  <si>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</si>
  <si>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</si>
  <si>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</si>
  <si>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</si>
  <si>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</si>
  <si>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</si>
  <si>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</si>
  <si>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</si>
  <si>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</si>
  <si>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</si>
  <si>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</si>
  <si>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</si>
  <si>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</si>
  <si>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</si>
  <si>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</si>
  <si>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</si>
  <si>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</si>
  <si>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</si>
  <si>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</si>
  <si>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</si>
  <si>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</si>
  <si>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</si>
  <si>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</si>
  <si>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</si>
  <si>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</si>
  <si>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</si>
  <si>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</si>
  <si>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</si>
  <si>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</si>
  <si>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</si>
  <si>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</si>
  <si>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</si>
  <si>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</si>
  <si>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</si>
  <si>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</si>
  <si>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</si>
  <si>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</si>
  <si>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</si>
  <si>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</si>
  <si>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</si>
  <si>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</si>
  <si>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</si>
  <si>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</si>
  <si>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</si>
  <si>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</si>
  <si>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</si>
  <si>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</si>
  <si>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</si>
  <si>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</si>
  <si>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</si>
  <si>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</si>
  <si>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</si>
  <si>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</si>
  <si>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</si>
  <si>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</si>
  <si>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</si>
  <si>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</si>
  <si>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</si>
  <si>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</si>
  <si>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</si>
  <si>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</si>
  <si>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</si>
  <si>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</si>
  <si>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</si>
  <si>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</si>
  <si>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</si>
  <si>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</si>
  <si>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</si>
  <si>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</si>
  <si>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</si>
  <si>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</si>
  <si>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</si>
  <si>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</si>
  <si>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</si>
  <si>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</si>
  <si>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</si>
  <si>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</si>
  <si>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</si>
  <si>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</si>
  <si>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</si>
  <si>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</si>
  <si>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</si>
  <si>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</si>
  <si>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</si>
  <si>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</si>
  <si>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</si>
  <si>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</si>
  <si>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</si>
  <si>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</si>
  <si>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</si>
  <si>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</si>
  <si>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</si>
  <si>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</si>
  <si>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</si>
  <si>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</si>
  <si>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</si>
  <si>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</si>
  <si>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</si>
  <si>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</si>
  <si>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</si>
  <si>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</si>
  <si>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</si>
  <si>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</si>
  <si>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</si>
  <si>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</si>
  <si>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</si>
  <si>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</si>
  <si>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</si>
  <si>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</si>
  <si>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</si>
  <si>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</si>
  <si>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</si>
  <si>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</si>
  <si>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</si>
  <si>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</si>
  <si>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</si>
  <si>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</si>
  <si>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</si>
  <si>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</si>
  <si>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</si>
  <si>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</si>
  <si>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</si>
  <si>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</si>
  <si>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</si>
  <si>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</si>
  <si>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</si>
  <si>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</si>
  <si>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</si>
  <si>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</si>
  <si>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</si>
  <si>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</si>
  <si>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</si>
  <si>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</si>
  <si>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</si>
  <si>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</si>
  <si>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</si>
  <si>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</si>
  <si>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</si>
  <si>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</si>
  <si>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</si>
  <si>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</si>
  <si>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</si>
  <si>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</si>
  <si>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</si>
  <si>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</si>
  <si>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</si>
  <si>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</si>
  <si>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</si>
  <si>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</si>
  <si>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</si>
  <si>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</si>
  <si>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</si>
  <si>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</si>
  <si>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</si>
  <si>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</si>
  <si>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</si>
  <si>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</si>
  <si>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</si>
  <si>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</si>
  <si>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</si>
  <si>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</si>
  <si>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</si>
  <si>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</si>
  <si>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</si>
  <si>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</si>
  <si>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</si>
  <si>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</si>
  <si>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</si>
  <si>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</si>
  <si>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</si>
  <si>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</si>
  <si>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</si>
  <si>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</si>
  <si>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</si>
  <si>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</si>
  <si>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</si>
  <si>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</si>
  <si>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</si>
  <si>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</si>
  <si>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</si>
  <si>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</si>
  <si>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</si>
  <si>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</si>
  <si>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</si>
  <si>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</si>
  <si>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</si>
  <si>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</si>
  <si>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</si>
  <si>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</si>
  <si>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</si>
  <si>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</si>
  <si>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</si>
  <si>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</si>
  <si>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</si>
  <si>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</si>
  <si>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</si>
  <si>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</si>
  <si>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</si>
  <si>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</si>
  <si>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</si>
  <si>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</si>
  <si>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</si>
  <si>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</si>
  <si>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</si>
  <si>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</si>
  <si>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</si>
  <si>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</si>
  <si>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</si>
  <si>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</si>
  <si>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</si>
  <si>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</si>
  <si>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</si>
  <si>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</si>
  <si>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</si>
  <si>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</si>
  <si>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</si>
  <si>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</si>
  <si>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</si>
  <si>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</si>
  <si>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</si>
  <si>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</si>
  <si>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</si>
  <si>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</si>
  <si>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</si>
  <si>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</si>
  <si>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</si>
  <si>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</si>
  <si>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</si>
  <si>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</si>
  <si>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</si>
  <si>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</si>
  <si>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</si>
  <si>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</si>
  <si>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</si>
  <si>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</si>
  <si>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</si>
  <si>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</si>
  <si>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</si>
  <si>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</si>
  <si>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</si>
  <si>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</si>
  <si>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データの翻訳</t>
  </si>
  <si>
    <t>労働許可証取得費用</t>
  </si>
  <si>
    <t>Officeライセンスのアップグレード費用</t>
  </si>
  <si>
    <t>Telephone cost (Phan,Son,Tiep) 翌月計上</t>
  </si>
  <si>
    <t>電気代(人数は先月の１日現在の人数と使用面積に基づく)</t>
  </si>
  <si>
    <t>水道代（人数は先月の１日現在の人数と使用面積に基づく)</t>
  </si>
  <si>
    <t>Gas（振替単価は予定と同額とし、当月1日～末日購入分を前月末の実績人数（当月初の人事課の人員データ）に応じ各部門に振替）</t>
  </si>
  <si>
    <t>cleaning fee（Gasと同じ）</t>
  </si>
  <si>
    <t>減価償却費（建物）人数は先月の１日現在の人数と使用面積に基づく</t>
  </si>
  <si>
    <t>減価償却費（土地）人数は先月の１日現在の人数と使用面積に基づく</t>
  </si>
  <si>
    <t>減価償却費（設備）会計の振替通り</t>
  </si>
  <si>
    <t>固定資産金利（建物）人数は先月の１日現在の人数と使用面積に基づく</t>
  </si>
  <si>
    <t>固定資産金利（土地）人数は先月の１日現在の人数と使用面積に基づく</t>
  </si>
  <si>
    <t>固定資産金利（設備＋ＶＰＳ用 PC）会計の振替通り</t>
  </si>
  <si>
    <t>Uniform (冬服) 　145,500/人x2　引渡し月に振替（1日～24日）※25日以降に配布したものは翌月振替</t>
  </si>
  <si>
    <t xml:space="preserve">Uniform (夏服) 　135800/人x2　引渡し月に振替 </t>
  </si>
  <si>
    <t>Uniform (trousers) 　118,600/人x2　引渡し月に振替</t>
  </si>
  <si>
    <t>Uniform(Shoes) 82,000/人(女）,87,000/人（男）　配布数で引渡し月に振替</t>
  </si>
  <si>
    <t>Uniform (Cap)　39,900/人x2　引渡し月に振替</t>
  </si>
  <si>
    <t>慶弔金　結婚 300,000　出産 300,000　出金処理</t>
  </si>
  <si>
    <t>4月以降Lunch 昼食費24,700人･日　前月16日～当月15日の喫食数を当月に計上</t>
  </si>
  <si>
    <t>出向者送迎 　前月16日～当月15日分を実際使用人数で按分翌月に振替する</t>
  </si>
  <si>
    <t>会社が払い出しするマスク</t>
  </si>
  <si>
    <t>採用時検診&amp;定期　175000　受診者人数で実施月の翌月に振替  (Chi phí chuyển sang tháng sau)</t>
  </si>
  <si>
    <t>10年勤続記念コンパ++10年勤続記念品</t>
  </si>
  <si>
    <t>Luna cake 月餅：9月計上　56,000/人</t>
  </si>
  <si>
    <t>ﾌｨﾛｿﾌｨ賞品 (フィロソフィ論文参加賞 giải tham gia luận văn philosophy　7月_25,000/人 vào trước 31/3)</t>
  </si>
  <si>
    <t>Bus  ローカル社員送迎費 - Xe đưa đón NV 前月16日～当月15日分を実際使用人数で按分翌月に振替する</t>
  </si>
  <si>
    <t>Taxi   ローカル社員送迎費 - Xe đưa đón NV 前月16日～当月15日分を実際使用人数で按分翌月に振替する</t>
  </si>
  <si>
    <t>Mail,VPN,R3, Mes,PLM,VPS usage cost</t>
  </si>
  <si>
    <t>Toner Gemini (Máy in loại cũ, hiện nay máy này đang ở trong phòng thực nghiệm, người Nhật công tác sử dụng)</t>
  </si>
  <si>
    <t>新入社員：名札+写真　58,000/pcs　入社月に振替</t>
  </si>
  <si>
    <t xml:space="preserve">社員証用写真のみ（再発行時）5,00/pcs </t>
  </si>
  <si>
    <t>新入社員：ﾌｨﾛｿﾌｨ手帳①　18,000/pcs,ﾌｨﾛｿﾌｨ手帳②: 9,200/pcs　,入社月に振替</t>
  </si>
  <si>
    <t>Small Calendar　1,000/pcs　（新入社員用）</t>
  </si>
  <si>
    <t>Office parts (Ball pen, File, Clamp, Notes, tape etc）、12月電話3台追加690,000vnd</t>
  </si>
  <si>
    <t>Mebius Toner</t>
  </si>
  <si>
    <t>電話機 2台</t>
  </si>
  <si>
    <t>Laptop持ち帰りの物</t>
  </si>
  <si>
    <t>新入社員：名札ケース 3,600/pcs 入社月に振替- Vỏ thẻ+kẹp</t>
  </si>
  <si>
    <t>新入社員：ペン 3000/pcs 入社月に振替- bút bi</t>
  </si>
  <si>
    <t>新入社員：ノート 9,100/pcs 入社月に振替- sổ tay</t>
  </si>
  <si>
    <t>Hand wash手洗い洗剤費 　Gasと同じ</t>
  </si>
  <si>
    <t>Toiret paper トイレットペーパ 　Gasと同じ</t>
  </si>
  <si>
    <t>Masks and Glovers</t>
  </si>
  <si>
    <t>Tonner Cartridge購入</t>
  </si>
  <si>
    <t>机+椅子</t>
  </si>
  <si>
    <t>マウス購入</t>
  </si>
  <si>
    <t>パソコン購入</t>
  </si>
  <si>
    <t xml:space="preserve">DECLARATION FEE (P)/通関費 </t>
  </si>
  <si>
    <t>COURIER CHARGES (P)</t>
  </si>
  <si>
    <t>IMPORT BOAT FEE (P)</t>
  </si>
  <si>
    <t>JLPT試験費用</t>
  </si>
  <si>
    <t>健康診断時の写真代- ảnh +khám SK</t>
  </si>
  <si>
    <t>健康診断(労働許可書)-Khám Sk khi xin cấp GPLD</t>
  </si>
  <si>
    <t>滞在カード取得費用</t>
  </si>
  <si>
    <t>PASSPORT</t>
  </si>
  <si>
    <t>PASSPORT（235,000vnd×1人：3月）</t>
  </si>
  <si>
    <t>アルコール消毒</t>
  </si>
  <si>
    <t>7月の3セット机･椅子購入費</t>
  </si>
  <si>
    <t>PASSPORT作成に行くタクシー代</t>
  </si>
  <si>
    <t>Tenma社へ出張</t>
  </si>
  <si>
    <t>日本出張の為（国内日当）</t>
  </si>
  <si>
    <t>日本出張の為（VISA取得）</t>
  </si>
  <si>
    <t>日本出張の為（写真・公証経費）</t>
  </si>
  <si>
    <t>日本出張の為（大使館の手数料）</t>
  </si>
  <si>
    <t xml:space="preserve">日本出張の為（航空運賃）  </t>
  </si>
  <si>
    <t xml:space="preserve">日本出張の為（保険料） </t>
  </si>
  <si>
    <t>日本出張の為（宿泊費）</t>
  </si>
  <si>
    <t>日本出張時(日当)</t>
  </si>
  <si>
    <t>日本出張時(国内交通費)</t>
  </si>
  <si>
    <t>日本出張の為（現地交通費、通信費）</t>
  </si>
  <si>
    <t>在庫金利（経管のポータルで）</t>
  </si>
  <si>
    <t>PC修正</t>
  </si>
  <si>
    <t>マウス破損</t>
  </si>
  <si>
    <r>
      <t>健康診断（ローカル）発生した月に経費</t>
    </r>
    <r>
      <rPr>
        <sz val="9"/>
        <color rgb="FFFF0000"/>
        <rFont val="ＭＳ Ｐゴシック"/>
        <family val="3"/>
        <charset val="128"/>
      </rPr>
      <t>（男：189,000、女：204,000）</t>
    </r>
  </si>
  <si>
    <r>
      <t>社員旅行　2,012,000／人→</t>
    </r>
    <r>
      <rPr>
        <sz val="9"/>
        <color rgb="FFFF0000"/>
        <rFont val="ＭＳ Ｐゴシック"/>
        <family val="3"/>
        <charset val="128"/>
      </rPr>
      <t>1,890,000vnd</t>
    </r>
  </si>
  <si>
    <r>
      <t>イベント ；人運動会 11月計上；</t>
    </r>
    <r>
      <rPr>
        <sz val="9"/>
        <color rgb="FFFF0000"/>
        <rFont val="ＭＳ Ｐゴシック"/>
        <family val="3"/>
        <charset val="128"/>
      </rPr>
      <t>107,000</t>
    </r>
    <r>
      <rPr>
        <sz val="9"/>
        <rFont val="ＭＳ Ｐゴシック"/>
        <family val="3"/>
        <charset val="128"/>
      </rPr>
      <t>人,秋まつり9月計上；</t>
    </r>
    <r>
      <rPr>
        <sz val="9"/>
        <color rgb="FFFF0000"/>
        <rFont val="ＭＳ Ｐゴシック"/>
        <family val="3"/>
        <charset val="128"/>
      </rPr>
      <t>126,000/</t>
    </r>
    <r>
      <rPr>
        <sz val="9"/>
        <rFont val="ＭＳ Ｐゴシック"/>
        <family val="3"/>
        <charset val="128"/>
      </rPr>
      <t>人,決起コンパー : 200.000/人,お年玉 2月；100000/人,忘年会補助金:</t>
    </r>
    <r>
      <rPr>
        <sz val="9"/>
        <color rgb="FFFF0000"/>
        <rFont val="ＭＳ Ｐゴシック"/>
        <family val="3"/>
        <charset val="128"/>
      </rPr>
      <t>300,000</t>
    </r>
  </si>
  <si>
    <r>
      <t xml:space="preserve">Bithday party cost </t>
    </r>
    <r>
      <rPr>
        <sz val="9"/>
        <color rgb="FFFF0000"/>
        <rFont val="ＭＳ Ｐゴシック"/>
        <family val="3"/>
        <charset val="128"/>
      </rPr>
      <t>163,000/</t>
    </r>
    <r>
      <rPr>
        <sz val="9"/>
        <rFont val="ＭＳ Ｐゴシック"/>
        <family val="3"/>
        <charset val="128"/>
      </rPr>
      <t>人　当月の予定者分を当月に計上</t>
    </r>
  </si>
  <si>
    <t>Leo本体＋PF購入通関費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</si>
</sst>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9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FF0000"/>
      <name val="ＭＳ Ｐゴシック"/>
      <family val="3"/>
      <charset val="128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6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69" fontId="73" fillId="0" borderId="0" xfId="67" applyNumberFormat="1" applyFont="1" applyFill="1" applyAlignment="1">
      <alignment horizontal="center" vertical="center"/>
    </xf>
    <xf numFmtId="168" fontId="74" fillId="25" borderId="10" xfId="67" applyNumberFormat="1" applyFont="1" applyFill="1" applyBorder="1" applyAlignment="1">
      <alignment horizontal="center" vertical="center"/>
    </xf>
    <xf numFmtId="168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69" fontId="73" fillId="0" borderId="0" xfId="68" applyNumberFormat="1" applyFont="1" applyFill="1" applyAlignment="1">
      <alignment horizontal="center" vertical="center"/>
    </xf>
    <xf numFmtId="168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3" fillId="0" borderId="0" xfId="67" applyNumberFormat="1" applyFont="1" applyAlignment="1">
      <alignment horizontal="center" vertical="center"/>
    </xf>
    <xf numFmtId="180" fontId="73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2" fontId="85" fillId="0" borderId="0" xfId="171" applyNumberFormat="1" applyFont="1">
      <alignment vertical="center"/>
    </xf>
    <xf numFmtId="172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2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40" fontId="5" fillId="34" borderId="39" xfId="66" applyFont="1" applyFill="1" applyBorder="1" applyAlignment="1" applyProtection="1">
      <alignment horizontal="right" vertical="center"/>
      <protection locked="0"/>
    </xf>
    <xf numFmtId="40" fontId="73" fillId="32" borderId="39" xfId="66" applyFont="1" applyFill="1" applyBorder="1" applyAlignment="1" applyProtection="1">
      <alignment horizontal="right" vertical="center"/>
      <protection locked="0"/>
    </xf>
    <xf numFmtId="40" fontId="5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39" xfId="66" applyFont="1" applyFill="1" applyBorder="1" applyAlignment="1" applyProtection="1">
      <alignment horizontal="right" vertical="center"/>
      <protection locked="0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入力" xfId="161" xr:uid="{C2DFFBC4-C404-48B1-90A3-87FE342B7747}"/>
    <cellStyle name="入力 2" xfId="162" xr:uid="{A412DD7B-43F2-4473-A9DA-F8B3E3E98E41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悪い" xfId="126" xr:uid="{F69DD0D1-F5B9-43E1-8FEA-49BE292D9603}"/>
    <cellStyle name="悪い 2" xfId="127" xr:uid="{C07ACB36-C2BF-453A-9358-185F014B625E}"/>
    <cellStyle name="未定義" xfId="172" xr:uid="{733415D2-06C5-4E20-BD43-A9C469219456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良い" xfId="173" xr:uid="{2D3E2A06-6074-41F4-99C2-5D3C62694F78}"/>
    <cellStyle name="良い 2" xfId="174" xr:uid="{D9973607-A1A0-40E7-8692-32D6D593E18F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計算" xfId="130" xr:uid="{6F5C4C80-375F-4666-BF76-EEC04DC98C7E}"/>
    <cellStyle name="計算 2" xfId="131" xr:uid="{E8B34AE7-261B-4AB3-89B5-740B093C2CE1}"/>
    <cellStyle name="説明文" xfId="157" xr:uid="{BED0F12A-990A-42B1-8C98-78C437B3C0DF}"/>
    <cellStyle name="説明文 2" xfId="158" xr:uid="{E5858331-FB1E-4F78-9C33-1305E180D272}"/>
    <cellStyle name="警告文" xfId="132" xr:uid="{290E5CB7-DF2A-46B2-97C0-33601A355B30}"/>
    <cellStyle name="警告文 2" xfId="133" xr:uid="{15C1B7D8-F7FD-4606-BDE8-8DA46C2F32F4}"/>
    <cellStyle name="通貨 2" xfId="159" xr:uid="{31611A0E-4F07-4498-B4E0-FD7077369C25}"/>
    <cellStyle name="通貨 3" xfId="160" xr:uid="{9BB8D89F-F2F2-4F71-956E-F5CF14CB7534}"/>
    <cellStyle name="集計" xfId="152" xr:uid="{7FB6E6C0-34AB-449C-B42F-2B94261B1E38}"/>
    <cellStyle name="集計 2" xfId="153" xr:uid="{BFCDBC1E-CB3A-4179-9FDF-31D927DEE85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メカ製造技術1課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4.9999999999272404E-2</v>
      </c>
      <c r="D13" s="133">
        <f t="shared" ref="D13:O13" si="3">SUM(D14:D65)</f>
        <v>5.0000000000181899E-2</v>
      </c>
      <c r="E13" s="133">
        <f t="shared" si="3"/>
        <v>2.0000000001346052E-2</v>
      </c>
      <c r="F13" s="133">
        <f t="shared" si="3"/>
        <v>3.0000000000654836E-2</v>
      </c>
      <c r="G13" s="133">
        <f t="shared" si="3"/>
        <v>4.9999999999272404E-2</v>
      </c>
      <c r="H13" s="133">
        <f t="shared" si="3"/>
        <v>4.0000000000873115E-2</v>
      </c>
      <c r="I13" s="133">
        <f t="shared" si="3"/>
        <v>7.0000000000618456E-2</v>
      </c>
      <c r="J13" s="133">
        <f t="shared" si="3"/>
        <v>4.9999999999272404E-2</v>
      </c>
      <c r="K13" s="133">
        <f t="shared" si="3"/>
        <v>4.9999999999272404E-2</v>
      </c>
      <c r="L13" s="133">
        <f t="shared" si="3"/>
        <v>3.999999999996362E-2</v>
      </c>
      <c r="M13" s="133">
        <f t="shared" si="3"/>
        <v>3.999999999996362E-2</v>
      </c>
      <c r="N13" s="133">
        <f t="shared" si="3"/>
        <v>2.9999999999745341E-2</v>
      </c>
      <c r="O13" s="133">
        <f t="shared" si="3"/>
        <v>0.51999999998952262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233.26</v>
      </c>
      <c r="D20" s="136">
        <f>ROUNDUP('採算表(VND)'!D20/$N$1,2)</f>
        <v>230.73999999999998</v>
      </c>
      <c r="E20" s="136">
        <f>ROUNDUP('採算表(VND)'!E20/$N$1,2)</f>
        <v>230.8</v>
      </c>
      <c r="F20" s="136">
        <f>ROUNDUP('採算表(VND)'!F20/$N$1,2)</f>
        <v>230.42999999999998</v>
      </c>
      <c r="G20" s="136">
        <f>ROUNDUP('採算表(VND)'!G20/$N$1,2)</f>
        <v>241.32</v>
      </c>
      <c r="H20" s="136">
        <f>ROUNDUP('採算表(VND)'!H20/$N$1,2)</f>
        <v>241.22</v>
      </c>
      <c r="I20" s="136">
        <f>ROUNDUP('採算表(VND)'!I20/$N$1,2)</f>
        <v>241.06</v>
      </c>
      <c r="J20" s="136">
        <f>ROUNDUP('採算表(VND)'!J20/$N$1,2)</f>
        <v>241</v>
      </c>
      <c r="K20" s="136">
        <f>ROUNDUP('採算表(VND)'!K20/$N$1,2)</f>
        <v>241.04</v>
      </c>
      <c r="L20" s="136">
        <f>ROUNDUP('採算表(VND)'!L20/$N$1,2)</f>
        <v>307.90999999999997</v>
      </c>
      <c r="M20" s="136">
        <f>ROUNDUP('採算表(VND)'!M20/$N$1,2)</f>
        <v>307.68</v>
      </c>
      <c r="N20" s="136">
        <f>ROUNDUP('採算表(VND)'!N20/$N$1,2)</f>
        <v>307.92</v>
      </c>
      <c r="O20" s="136">
        <f t="shared" si="4"/>
        <v>3054.3799999999997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10.01</v>
      </c>
      <c r="D25" s="136">
        <f>ROUNDUP('採算表(VND)'!D25/$N$1,2)</f>
        <v>10.41</v>
      </c>
      <c r="E25" s="136">
        <f>ROUNDUP('採算表(VND)'!E25/$N$1,2)</f>
        <v>11.34</v>
      </c>
      <c r="F25" s="136">
        <f>ROUNDUP('採算表(VND)'!F25/$N$1,2)</f>
        <v>12.27</v>
      </c>
      <c r="G25" s="136">
        <f>ROUNDUP('採算表(VND)'!G25/$N$1,2)</f>
        <v>10.75</v>
      </c>
      <c r="H25" s="136">
        <f>ROUNDUP('採算表(VND)'!H25/$N$1,2)</f>
        <v>10.99</v>
      </c>
      <c r="I25" s="136">
        <f>ROUNDUP('採算表(VND)'!I25/$N$1,2)</f>
        <v>13.14</v>
      </c>
      <c r="J25" s="136">
        <f>ROUNDUP('採算表(VND)'!J25/$N$1,2)</f>
        <v>11.549999999999999</v>
      </c>
      <c r="K25" s="136">
        <f>ROUNDUP('採算表(VND)'!K25/$N$1,2)</f>
        <v>12.629999999999999</v>
      </c>
      <c r="L25" s="136">
        <f>ROUNDUP('採算表(VND)'!L25/$N$1,2)</f>
        <v>15.39</v>
      </c>
      <c r="M25" s="136">
        <f>ROUNDUP('採算表(VND)'!M25/$N$1,2)</f>
        <v>11.83</v>
      </c>
      <c r="N25" s="136">
        <f>ROUNDUP('採算表(VND)'!N25/$N$1,2)</f>
        <v>15.379999999999999</v>
      </c>
      <c r="O25" s="136">
        <f t="shared" si="4"/>
        <v>145.69</v>
      </c>
    </row>
    <row r="26" spans="1:15" ht="11.25" customHeight="1">
      <c r="A26" s="34"/>
      <c r="B26" s="37" t="s">
        <v>104</v>
      </c>
      <c r="C26" s="136">
        <f>ROUNDUP('採算表(VND)'!C26/$N$1,2)</f>
        <v>993.11</v>
      </c>
      <c r="D26" s="136">
        <f>ROUNDUP('採算表(VND)'!D26/$N$1,2)</f>
        <v>659.71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993.11</v>
      </c>
      <c r="H26" s="136">
        <f>ROUNDUP('採算表(VND)'!H26/$N$1,2)</f>
        <v>0</v>
      </c>
      <c r="I26" s="136">
        <f>ROUNDUP('採算表(VND)'!I26/$N$1,2)</f>
        <v>704.9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1271.47</v>
      </c>
      <c r="N26" s="136">
        <f>ROUNDUP('採算表(VND)'!N26/$N$1,2)</f>
        <v>0</v>
      </c>
      <c r="O26" s="136">
        <f t="shared" si="4"/>
        <v>4622.3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51.21</v>
      </c>
      <c r="D28" s="136">
        <f>ROUNDUP('採算表(VND)'!D28/$N$1,2)</f>
        <v>51.21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51.21</v>
      </c>
      <c r="H28" s="136">
        <f>ROUNDUP('採算表(VND)'!H28/$N$1,2)</f>
        <v>84.29</v>
      </c>
      <c r="I28" s="136">
        <f>ROUNDUP('採算表(VND)'!I28/$N$1,2)</f>
        <v>33.089999999999996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33.089999999999996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304.09999999999997</v>
      </c>
    </row>
    <row r="29" spans="1:15" ht="11.25" customHeight="1">
      <c r="A29" s="34"/>
      <c r="B29" s="37" t="s">
        <v>57</v>
      </c>
      <c r="C29" s="136">
        <f>ROUNDUP('採算表(VND)'!C29/$N$1,2)</f>
        <v>2998.38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1536.01</v>
      </c>
      <c r="G29" s="136">
        <f>ROUNDUP('採算表(VND)'!G29/$N$1,2)</f>
        <v>2998.38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7532.77</v>
      </c>
    </row>
    <row r="30" spans="1:15" ht="11.25" customHeight="1">
      <c r="A30" s="34"/>
      <c r="B30" s="37" t="s">
        <v>97</v>
      </c>
      <c r="C30" s="136">
        <f>ROUNDUP('採算表(VND)'!C30/$N$1,2)</f>
        <v>67.81</v>
      </c>
      <c r="D30" s="136">
        <f>ROUNDUP('採算表(VND)'!D30/$N$1,2)</f>
        <v>70.81</v>
      </c>
      <c r="E30" s="136">
        <f>ROUNDUP('採算表(VND)'!E30/$N$1,2)</f>
        <v>84.27000000000001</v>
      </c>
      <c r="F30" s="136">
        <f>ROUNDUP('採算表(VND)'!F30/$N$1,2)</f>
        <v>97.01</v>
      </c>
      <c r="G30" s="136">
        <f>ROUNDUP('採算表(VND)'!G30/$N$1,2)</f>
        <v>96.11</v>
      </c>
      <c r="H30" s="136">
        <f>ROUNDUP('採算表(VND)'!H30/$N$1,2)</f>
        <v>87.940000000000012</v>
      </c>
      <c r="I30" s="136">
        <f>ROUNDUP('採算表(VND)'!I30/$N$1,2)</f>
        <v>86.09</v>
      </c>
      <c r="J30" s="136">
        <f>ROUNDUP('採算表(VND)'!J30/$N$1,2)</f>
        <v>84.36</v>
      </c>
      <c r="K30" s="136">
        <f>ROUNDUP('採算表(VND)'!K30/$N$1,2)</f>
        <v>84.53</v>
      </c>
      <c r="L30" s="136">
        <f>ROUNDUP('採算表(VND)'!L30/$N$1,2)</f>
        <v>91.47</v>
      </c>
      <c r="M30" s="136">
        <f>ROUNDUP('採算表(VND)'!M30/$N$1,2)</f>
        <v>78.81</v>
      </c>
      <c r="N30" s="136">
        <f>ROUNDUP('採算表(VND)'!N30/$N$1,2)</f>
        <v>81.39</v>
      </c>
      <c r="O30" s="136">
        <f t="shared" si="4"/>
        <v>1010.6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38.409999999999997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51.21</v>
      </c>
      <c r="O32" s="136">
        <f t="shared" si="4"/>
        <v>89.62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28.8</v>
      </c>
      <c r="D39" s="136">
        <f>ROUNDUP('採算表(VND)'!D39/$N$1,2)</f>
        <v>31.14</v>
      </c>
      <c r="E39" s="136">
        <f>ROUNDUP('採算表(VND)'!E39/$N$1,2)</f>
        <v>32.1</v>
      </c>
      <c r="F39" s="136">
        <f>ROUNDUP('採算表(VND)'!F39/$N$1,2)</f>
        <v>29.400000000000002</v>
      </c>
      <c r="G39" s="136">
        <f>ROUNDUP('採算表(VND)'!G39/$N$1,2)</f>
        <v>28.62</v>
      </c>
      <c r="H39" s="136">
        <f>ROUNDUP('採算表(VND)'!H39/$N$1,2)</f>
        <v>29.3</v>
      </c>
      <c r="I39" s="136">
        <f>ROUNDUP('採算表(VND)'!I39/$N$1,2)</f>
        <v>28.03</v>
      </c>
      <c r="J39" s="136">
        <f>ROUNDUP('採算表(VND)'!J39/$N$1,2)</f>
        <v>27.680000000000003</v>
      </c>
      <c r="K39" s="136">
        <f>ROUNDUP('採算表(VND)'!K39/$N$1,2)</f>
        <v>27.76</v>
      </c>
      <c r="L39" s="136">
        <f>ROUNDUP('採算表(VND)'!L39/$N$1,2)</f>
        <v>35.43</v>
      </c>
      <c r="M39" s="136">
        <f>ROUNDUP('採算表(VND)'!M39/$N$1,2)</f>
        <v>33.53</v>
      </c>
      <c r="N39" s="136">
        <f>ROUNDUP('採算表(VND)'!N39/$N$1,2)</f>
        <v>35.089999999999996</v>
      </c>
      <c r="O39" s="136">
        <f t="shared" si="4"/>
        <v>366.88000000000005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7.8</v>
      </c>
      <c r="D41" s="136">
        <f>ROUNDUP('採算表(VND)'!D41/$N$1,2)</f>
        <v>7.8</v>
      </c>
      <c r="E41" s="136">
        <f>ROUNDUP('採算表(VND)'!E41/$N$1,2)</f>
        <v>7.8</v>
      </c>
      <c r="F41" s="136">
        <f>ROUNDUP('採算表(VND)'!F41/$N$1,2)</f>
        <v>7.8</v>
      </c>
      <c r="G41" s="136">
        <f>ROUNDUP('採算表(VND)'!G41/$N$1,2)</f>
        <v>7.8</v>
      </c>
      <c r="H41" s="136">
        <f>ROUNDUP('採算表(VND)'!H41/$N$1,2)</f>
        <v>7.8</v>
      </c>
      <c r="I41" s="136">
        <f>ROUNDUP('採算表(VND)'!I41/$N$1,2)</f>
        <v>7.8</v>
      </c>
      <c r="J41" s="136">
        <f>ROUNDUP('採算表(VND)'!J41/$N$1,2)</f>
        <v>7.8</v>
      </c>
      <c r="K41" s="136">
        <f>ROUNDUP('採算表(VND)'!K41/$N$1,2)</f>
        <v>7.8</v>
      </c>
      <c r="L41" s="136">
        <f>ROUNDUP('採算表(VND)'!L41/$N$1,2)</f>
        <v>15.6</v>
      </c>
      <c r="M41" s="136">
        <f>ROUNDUP('採算表(VND)'!M41/$N$1,2)</f>
        <v>15.6</v>
      </c>
      <c r="N41" s="136">
        <f>ROUNDUP('採算表(VND)'!N41/$N$1,2)</f>
        <v>15.6</v>
      </c>
      <c r="O41" s="136">
        <f t="shared" si="4"/>
        <v>116.99999999999997</v>
      </c>
    </row>
    <row r="42" spans="1:15" ht="11.25" customHeight="1">
      <c r="A42" s="38"/>
      <c r="B42" s="37" t="s">
        <v>98</v>
      </c>
      <c r="C42" s="136">
        <f>ROUNDUP('採算表(VND)'!C42/$N$1,2)</f>
        <v>4065.23</v>
      </c>
      <c r="D42" s="136">
        <f>ROUNDUP('採算表(VND)'!D42/$N$1,2)</f>
        <v>4072.6800000000003</v>
      </c>
      <c r="E42" s="136">
        <f>ROUNDUP('採算表(VND)'!E42/$N$1,2)</f>
        <v>4072.6800000000003</v>
      </c>
      <c r="F42" s="136">
        <f>ROUNDUP('採算表(VND)'!F42/$N$1,2)</f>
        <v>4072.6800000000003</v>
      </c>
      <c r="G42" s="136">
        <f>ROUNDUP('採算表(VND)'!G42/$N$1,2)</f>
        <v>4076.69</v>
      </c>
      <c r="H42" s="136">
        <f>ROUNDUP('採算表(VND)'!H42/$N$1,2)</f>
        <v>4084.15</v>
      </c>
      <c r="I42" s="136">
        <f>ROUNDUP('採算表(VND)'!I42/$N$1,2)</f>
        <v>4084.15</v>
      </c>
      <c r="J42" s="136">
        <f>ROUNDUP('採算表(VND)'!J42/$N$1,2)</f>
        <v>4084.6200000000003</v>
      </c>
      <c r="K42" s="136">
        <f>ROUNDUP('採算表(VND)'!K42/$N$1,2)</f>
        <v>4084.15</v>
      </c>
      <c r="L42" s="136">
        <f>ROUNDUP('採算表(VND)'!L42/$N$1,2)</f>
        <v>4141.45</v>
      </c>
      <c r="M42" s="136">
        <f>ROUNDUP('採算表(VND)'!M42/$N$1,2)</f>
        <v>4141.45</v>
      </c>
      <c r="N42" s="136">
        <f>ROUNDUP('採算表(VND)'!N42/$N$1,2)</f>
        <v>4141.45</v>
      </c>
      <c r="O42" s="136">
        <f t="shared" si="4"/>
        <v>49121.37999999999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619.88</v>
      </c>
      <c r="D44" s="136">
        <f>ROUNDUP('採算表(VND)'!D44/$N$1,2)</f>
        <v>1299.02</v>
      </c>
      <c r="E44" s="136">
        <f>ROUNDUP('採算表(VND)'!E44/$N$1,2)</f>
        <v>346.59</v>
      </c>
      <c r="F44" s="136">
        <f>ROUNDUP('採算表(VND)'!F44/$N$1,2)</f>
        <v>285.53999999999996</v>
      </c>
      <c r="G44" s="136">
        <f>ROUNDUP('採算表(VND)'!G44/$N$1,2)</f>
        <v>285.17</v>
      </c>
      <c r="H44" s="136">
        <f>ROUNDUP('採算表(VND)'!H44/$N$1,2)</f>
        <v>338.8</v>
      </c>
      <c r="I44" s="136">
        <f>ROUNDUP('採算表(VND)'!I44/$N$1,2)</f>
        <v>235.1</v>
      </c>
      <c r="J44" s="136">
        <f>ROUNDUP('採算表(VND)'!J44/$N$1,2)</f>
        <v>298.49</v>
      </c>
      <c r="K44" s="136">
        <f>ROUNDUP('採算表(VND)'!K44/$N$1,2)</f>
        <v>348.53999999999996</v>
      </c>
      <c r="L44" s="136">
        <f>ROUNDUP('採算表(VND)'!L44/$N$1,2)</f>
        <v>242.92</v>
      </c>
      <c r="M44" s="136">
        <f>ROUNDUP('採算表(VND)'!M44/$N$1,2)</f>
        <v>295.49</v>
      </c>
      <c r="N44" s="136">
        <f>ROUNDUP('採算表(VND)'!N44/$N$1,2)</f>
        <v>561.89</v>
      </c>
      <c r="O44" s="136">
        <f t="shared" si="4"/>
        <v>5157.43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166.66</v>
      </c>
      <c r="D57" s="139">
        <f>ROUNDUP('採算表(VND)'!D57/$N$1,2)</f>
        <v>156.54999999999998</v>
      </c>
      <c r="E57" s="139">
        <f>ROUNDUP('採算表(VND)'!E57/$N$1,2)</f>
        <v>156.6</v>
      </c>
      <c r="F57" s="139">
        <f>ROUNDUP('採算表(VND)'!F57/$N$1,2)</f>
        <v>156.34</v>
      </c>
      <c r="G57" s="139">
        <f>ROUNDUP('採算表(VND)'!G57/$N$1,2)</f>
        <v>163.73999999999998</v>
      </c>
      <c r="H57" s="139">
        <f>ROUNDUP('採算表(VND)'!H57/$N$1,2)</f>
        <v>163.66999999999999</v>
      </c>
      <c r="I57" s="139">
        <f>ROUNDUP('採算表(VND)'!I57/$N$1,2)</f>
        <v>163.54999999999998</v>
      </c>
      <c r="J57" s="139">
        <f>ROUNDUP('採算表(VND)'!J57/$N$1,2)</f>
        <v>163.53</v>
      </c>
      <c r="K57" s="139">
        <f>ROUNDUP('採算表(VND)'!K57/$N$1,2)</f>
        <v>163.54</v>
      </c>
      <c r="L57" s="139">
        <f>ROUNDUP('採算表(VND)'!L57/$N$1,2)</f>
        <v>208.91</v>
      </c>
      <c r="M57" s="139">
        <f>ROUNDUP('採算表(VND)'!M57/$N$1,2)</f>
        <v>208.76</v>
      </c>
      <c r="N57" s="139">
        <f>ROUNDUP('採算表(VND)'!N57/$N$1,2)</f>
        <v>208.92</v>
      </c>
      <c r="O57" s="139">
        <f t="shared" si="4"/>
        <v>2080.77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-9242.1</v>
      </c>
      <c r="D62" s="139">
        <f>ROUNDUP('採算表(VND)'!D62/$N$1,2)</f>
        <v>-6590.02</v>
      </c>
      <c r="E62" s="139">
        <f>ROUNDUP('採算表(VND)'!E62/$N$1,2)</f>
        <v>-4942.16</v>
      </c>
      <c r="F62" s="139">
        <f>ROUNDUP('採算表(VND)'!F62/$N$1,2)</f>
        <v>-6427.45</v>
      </c>
      <c r="G62" s="139">
        <f>ROUNDUP('採算表(VND)'!G62/$N$1,2)</f>
        <v>-8952.85</v>
      </c>
      <c r="H62" s="139">
        <f>ROUNDUP('採算表(VND)'!H62/$N$1,2)</f>
        <v>-5048.12</v>
      </c>
      <c r="I62" s="139">
        <f>ROUNDUP('採算表(VND)'!I62/$N$1,2)</f>
        <v>-5596.84</v>
      </c>
      <c r="J62" s="139">
        <f>ROUNDUP('採算表(VND)'!J62/$N$1,2)</f>
        <v>-4957.3900000000003</v>
      </c>
      <c r="K62" s="139">
        <f>ROUNDUP('採算表(VND)'!K62/$N$1,2)</f>
        <v>-4969.9400000000005</v>
      </c>
      <c r="L62" s="139">
        <f>ROUNDUP('採算表(VND)'!L62/$N$1,2)</f>
        <v>-5092.13</v>
      </c>
      <c r="M62" s="139">
        <f>ROUNDUP('採算表(VND)'!M62/$N$1,2)</f>
        <v>-6364.58</v>
      </c>
      <c r="N62" s="139">
        <f>ROUNDUP('採算表(VND)'!N62/$N$1,2)</f>
        <v>-5418.8200000000006</v>
      </c>
      <c r="O62" s="139">
        <f t="shared" si="4"/>
        <v>-73602.400000000009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-4.9999999999272404E-2</v>
      </c>
      <c r="D66" s="134">
        <f t="shared" ref="D66:O66" si="5">IF(ISBLANK(D4),"",D12-D13)</f>
        <v>-5.0000000000181899E-2</v>
      </c>
      <c r="E66" s="134">
        <f t="shared" si="5"/>
        <v>-2.0000000001346052E-2</v>
      </c>
      <c r="F66" s="134">
        <f t="shared" si="5"/>
        <v>-3.0000000000654836E-2</v>
      </c>
      <c r="G66" s="134">
        <f t="shared" si="5"/>
        <v>-4.9999999999272404E-2</v>
      </c>
      <c r="H66" s="134">
        <f t="shared" si="5"/>
        <v>-4.0000000000873115E-2</v>
      </c>
      <c r="I66" s="134">
        <f t="shared" si="5"/>
        <v>-7.0000000000618456E-2</v>
      </c>
      <c r="J66" s="134">
        <f t="shared" si="5"/>
        <v>-4.9999999999272404E-2</v>
      </c>
      <c r="K66" s="134">
        <f t="shared" si="5"/>
        <v>-4.9999999999272404E-2</v>
      </c>
      <c r="L66" s="134">
        <f t="shared" si="5"/>
        <v>-3.999999999996362E-2</v>
      </c>
      <c r="M66" s="134">
        <f t="shared" si="5"/>
        <v>-3.999999999996362E-2</v>
      </c>
      <c r="N66" s="134">
        <f t="shared" si="5"/>
        <v>-2.9999999999745341E-2</v>
      </c>
      <c r="O66" s="134">
        <f t="shared" si="5"/>
        <v>-0.51999999998952262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ca="1" si="6"/>
        <v>0</v>
      </c>
      <c r="M67" s="133">
        <f t="shared" ca="1" si="6"/>
        <v>0</v>
      </c>
      <c r="N67" s="133">
        <f t="shared" ca="1" si="6"/>
        <v>0</v>
      </c>
      <c r="O67" s="133">
        <f t="shared" ca="1" si="6"/>
        <v>0</v>
      </c>
    </row>
    <row r="68" spans="1:15" ht="11.25" customHeight="1">
      <c r="A68" s="38"/>
      <c r="B68" s="46" t="s">
        <v>144</v>
      </c>
      <c r="C68" s="135">
        <f>'採算表(VND)'!C68</f>
        <v>2303.5</v>
      </c>
      <c r="D68" s="135">
        <f>'採算表(VND)'!D68</f>
        <v>2184.5</v>
      </c>
      <c r="E68" s="135">
        <f>'採算表(VND)'!E68</f>
        <v>2422.5</v>
      </c>
      <c r="F68" s="135">
        <f>'採算表(VND)'!F68</f>
        <v>2660.5</v>
      </c>
      <c r="G68" s="135">
        <f>'採算表(VND)'!G68</f>
        <v>2465</v>
      </c>
      <c r="H68" s="135">
        <f>'採算表(VND)'!H68</f>
        <v>2337.5</v>
      </c>
      <c r="I68" s="135">
        <f>'採算表(VND)'!I68</f>
        <v>2847.5</v>
      </c>
      <c r="J68" s="135">
        <f>'採算表(VND)'!J68</f>
        <v>2465</v>
      </c>
      <c r="K68" s="135">
        <f>'採算表(VND)'!K68</f>
        <v>2720</v>
      </c>
      <c r="L68" s="135">
        <f ca="1">'採算表(VND)'!L68</f>
        <v>3315</v>
      </c>
      <c r="M68" s="135">
        <f ca="1">'採算表(VND)'!M68</f>
        <v>2465</v>
      </c>
      <c r="N68" s="135">
        <f ca="1">'採算表(VND)'!N68</f>
        <v>3315</v>
      </c>
      <c r="O68" s="135">
        <f ca="1">SUM(C68:N68)</f>
        <v>31501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-2303.5</v>
      </c>
      <c r="D70" s="140">
        <f>'採算表(VND)'!D70</f>
        <v>-2184.5</v>
      </c>
      <c r="E70" s="140">
        <f>'採算表(VND)'!E70</f>
        <v>-2422.5</v>
      </c>
      <c r="F70" s="140">
        <f>'採算表(VND)'!F70</f>
        <v>-2660.5</v>
      </c>
      <c r="G70" s="140">
        <f>'採算表(VND)'!G70</f>
        <v>-2465</v>
      </c>
      <c r="H70" s="140">
        <f>'採算表(VND)'!H70</f>
        <v>-2337.5</v>
      </c>
      <c r="I70" s="140">
        <f>'採算表(VND)'!I70</f>
        <v>-2847.5</v>
      </c>
      <c r="J70" s="140">
        <f>'採算表(VND)'!J70</f>
        <v>-2465</v>
      </c>
      <c r="K70" s="140">
        <f>'採算表(VND)'!K70</f>
        <v>-2720</v>
      </c>
      <c r="L70" s="140">
        <f ca="1">'採算表(VND)'!L70</f>
        <v>-3315</v>
      </c>
      <c r="M70" s="140">
        <f ca="1">'採算表(VND)'!M70</f>
        <v>-2465</v>
      </c>
      <c r="N70" s="140">
        <f ca="1">'採算表(VND)'!N70</f>
        <v>-3315</v>
      </c>
      <c r="O70" s="140">
        <f ca="1">SUM(C70:N70)</f>
        <v>-31501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ca="1" si="7"/>
        <v>0</v>
      </c>
      <c r="M73" s="142">
        <f t="shared" ca="1" si="7"/>
        <v>0</v>
      </c>
      <c r="N73" s="142">
        <f t="shared" ca="1" si="7"/>
        <v>0</v>
      </c>
      <c r="O73" s="142">
        <f t="shared" ca="1" si="7"/>
        <v>0</v>
      </c>
    </row>
    <row r="74" spans="1:15" ht="11.25" customHeight="1">
      <c r="A74" s="38"/>
      <c r="B74" s="39" t="s">
        <v>86</v>
      </c>
      <c r="C74" s="135">
        <f>'採算表(VND)'!C74</f>
        <v>130</v>
      </c>
      <c r="D74" s="135">
        <f>'採算表(VND)'!D74</f>
        <v>128</v>
      </c>
      <c r="E74" s="135">
        <f>'採算表(VND)'!E74</f>
        <v>82</v>
      </c>
      <c r="F74" s="135">
        <f>'採算表(VND)'!F74</f>
        <v>144</v>
      </c>
      <c r="G74" s="135">
        <f>'採算表(VND)'!G74</f>
        <v>132</v>
      </c>
      <c r="H74" s="135">
        <f>'採算表(VND)'!H74</f>
        <v>126</v>
      </c>
      <c r="I74" s="135">
        <f>'採算表(VND)'!I74</f>
        <v>198</v>
      </c>
      <c r="J74" s="135">
        <f>'採算表(VND)'!J74</f>
        <v>78</v>
      </c>
      <c r="K74" s="135">
        <f>'採算表(VND)'!K74</f>
        <v>84</v>
      </c>
      <c r="L74" s="135">
        <f ca="1">'採算表(VND)'!L74</f>
        <v>116</v>
      </c>
      <c r="M74" s="135">
        <f ca="1">'採算表(VND)'!M74</f>
        <v>194</v>
      </c>
      <c r="N74" s="135">
        <f ca="1">'採算表(VND)'!N74</f>
        <v>343</v>
      </c>
      <c r="O74" s="135">
        <f ca="1">SUM(C74:N74)</f>
        <v>1755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-130</v>
      </c>
      <c r="D76" s="140">
        <f>'採算表(VND)'!D76</f>
        <v>-128</v>
      </c>
      <c r="E76" s="140">
        <f>'採算表(VND)'!E76</f>
        <v>-82</v>
      </c>
      <c r="F76" s="140">
        <f>'採算表(VND)'!F76</f>
        <v>-144</v>
      </c>
      <c r="G76" s="140">
        <f>'採算表(VND)'!G76</f>
        <v>-132</v>
      </c>
      <c r="H76" s="140">
        <f>'採算表(VND)'!H76</f>
        <v>-126</v>
      </c>
      <c r="I76" s="140">
        <f>'採算表(VND)'!I76</f>
        <v>-198</v>
      </c>
      <c r="J76" s="140">
        <f>'採算表(VND)'!J76</f>
        <v>-78</v>
      </c>
      <c r="K76" s="140">
        <f>'採算表(VND)'!K76</f>
        <v>-84</v>
      </c>
      <c r="L76" s="140">
        <f ca="1">'採算表(VND)'!L76</f>
        <v>-116</v>
      </c>
      <c r="M76" s="140">
        <f ca="1">'採算表(VND)'!M76</f>
        <v>-194</v>
      </c>
      <c r="N76" s="140">
        <f ca="1">'採算表(VND)'!N76</f>
        <v>-343</v>
      </c>
      <c r="O76" s="140">
        <f ca="1">SUM(C76:N76)</f>
        <v>-1755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ca="1" si="8"/>
        <v>0</v>
      </c>
      <c r="M79" s="142">
        <f t="shared" ca="1" si="8"/>
        <v>0</v>
      </c>
      <c r="N79" s="142">
        <f t="shared" ca="1" si="8"/>
        <v>0</v>
      </c>
      <c r="O79" s="142">
        <f t="shared" ca="1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ca="1" si="9"/>
        <v>0</v>
      </c>
      <c r="M80" s="144">
        <f t="shared" ca="1" si="9"/>
        <v>0</v>
      </c>
      <c r="N80" s="144">
        <f t="shared" ca="1" si="9"/>
        <v>0</v>
      </c>
      <c r="O80" s="144">
        <f t="shared" ca="1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ca="1" si="10"/>
        <v>0</v>
      </c>
      <c r="M81" s="146">
        <f t="shared" ca="1" si="10"/>
        <v>0</v>
      </c>
      <c r="N81" s="146">
        <f t="shared" ca="1" si="10"/>
        <v>0</v>
      </c>
      <c r="O81" s="146">
        <f t="shared" ca="1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14</v>
      </c>
      <c r="D88" s="150">
        <f>'採算表(VND)'!D88</f>
        <v>14</v>
      </c>
      <c r="E88" s="150">
        <f>'採算表(VND)'!E88</f>
        <v>14</v>
      </c>
      <c r="F88" s="150">
        <f>'採算表(VND)'!F88</f>
        <v>14</v>
      </c>
      <c r="G88" s="150">
        <f>'採算表(VND)'!G88</f>
        <v>15</v>
      </c>
      <c r="H88" s="150">
        <f>'採算表(VND)'!H88</f>
        <v>15</v>
      </c>
      <c r="I88" s="150">
        <f>'採算表(VND)'!I88</f>
        <v>15</v>
      </c>
      <c r="J88" s="150">
        <f>'採算表(VND)'!J88</f>
        <v>15</v>
      </c>
      <c r="K88" s="150">
        <f>'採算表(VND)'!K88</f>
        <v>15</v>
      </c>
      <c r="L88" s="150">
        <f>'採算表(VND)'!L88</f>
        <v>20</v>
      </c>
      <c r="M88" s="150">
        <f>'採算表(VND)'!M88</f>
        <v>20</v>
      </c>
      <c r="N88" s="150">
        <f>'採算表(VND)'!N88</f>
        <v>20</v>
      </c>
      <c r="O88" s="150">
        <f>SUM(C88:N88)</f>
        <v>191</v>
      </c>
    </row>
    <row r="89" spans="1:15">
      <c r="A89" s="44"/>
      <c r="B89" s="60" t="s">
        <v>18</v>
      </c>
      <c r="C89" s="151">
        <f t="shared" ref="C89:O89" si="11">C87+C88</f>
        <v>14</v>
      </c>
      <c r="D89" s="151">
        <f t="shared" si="11"/>
        <v>14</v>
      </c>
      <c r="E89" s="151">
        <f t="shared" si="11"/>
        <v>14</v>
      </c>
      <c r="F89" s="151">
        <f t="shared" si="11"/>
        <v>14</v>
      </c>
      <c r="G89" s="151">
        <f t="shared" si="11"/>
        <v>15</v>
      </c>
      <c r="H89" s="151">
        <f t="shared" si="11"/>
        <v>15</v>
      </c>
      <c r="I89" s="151">
        <f t="shared" si="11"/>
        <v>15</v>
      </c>
      <c r="J89" s="151">
        <f t="shared" si="11"/>
        <v>15</v>
      </c>
      <c r="K89" s="151">
        <f t="shared" si="11"/>
        <v>15</v>
      </c>
      <c r="L89" s="151">
        <f t="shared" si="11"/>
        <v>20</v>
      </c>
      <c r="M89" s="151">
        <f t="shared" si="11"/>
        <v>20</v>
      </c>
      <c r="N89" s="151">
        <f t="shared" si="11"/>
        <v>20</v>
      </c>
      <c r="O89" s="151">
        <f t="shared" si="11"/>
        <v>191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2303.5</v>
      </c>
      <c r="D93" s="133">
        <f>'採算表(VND)'!D93</f>
        <v>2184.5</v>
      </c>
      <c r="E93" s="133">
        <f>'採算表(VND)'!E93</f>
        <v>2422.5</v>
      </c>
      <c r="F93" s="133">
        <f>'採算表(VND)'!F93</f>
        <v>2660.5</v>
      </c>
      <c r="G93" s="133">
        <f>'採算表(VND)'!G93</f>
        <v>2465</v>
      </c>
      <c r="H93" s="133">
        <f>'採算表(VND)'!H93</f>
        <v>2337.5</v>
      </c>
      <c r="I93" s="133">
        <f>'採算表(VND)'!I93</f>
        <v>2847.5</v>
      </c>
      <c r="J93" s="133">
        <f>'採算表(VND)'!J93</f>
        <v>2465</v>
      </c>
      <c r="K93" s="133">
        <f>'採算表(VND)'!K93</f>
        <v>2720</v>
      </c>
      <c r="L93" s="133">
        <f ca="1">'採算表(VND)'!L93</f>
        <v>3315</v>
      </c>
      <c r="M93" s="133">
        <f ca="1">'採算表(VND)'!M93</f>
        <v>2465</v>
      </c>
      <c r="N93" s="133">
        <f ca="1">'採算表(VND)'!N93</f>
        <v>3315</v>
      </c>
      <c r="O93" s="133">
        <f ca="1">SUM(C93:N93)</f>
        <v>31501</v>
      </c>
    </row>
    <row r="94" spans="1:15">
      <c r="B94" s="61" t="s">
        <v>18</v>
      </c>
      <c r="C94" s="147">
        <f t="shared" ref="C94:O94" si="12">C92+C93</f>
        <v>2303.5</v>
      </c>
      <c r="D94" s="147">
        <f t="shared" si="12"/>
        <v>2184.5</v>
      </c>
      <c r="E94" s="147">
        <f t="shared" si="12"/>
        <v>2422.5</v>
      </c>
      <c r="F94" s="147">
        <f t="shared" si="12"/>
        <v>2660.5</v>
      </c>
      <c r="G94" s="147">
        <f t="shared" si="12"/>
        <v>2465</v>
      </c>
      <c r="H94" s="147">
        <f t="shared" si="12"/>
        <v>2337.5</v>
      </c>
      <c r="I94" s="147">
        <f t="shared" si="12"/>
        <v>2847.5</v>
      </c>
      <c r="J94" s="147">
        <f t="shared" si="12"/>
        <v>2465</v>
      </c>
      <c r="K94" s="147">
        <f t="shared" si="12"/>
        <v>2720</v>
      </c>
      <c r="L94" s="147">
        <f t="shared" ca="1" si="12"/>
        <v>3315</v>
      </c>
      <c r="M94" s="147">
        <f t="shared" ca="1" si="12"/>
        <v>2465</v>
      </c>
      <c r="N94" s="147">
        <f t="shared" ca="1" si="12"/>
        <v>3315</v>
      </c>
      <c r="O94" s="147">
        <f t="shared" ca="1" si="12"/>
        <v>31501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130</v>
      </c>
      <c r="D98" s="133">
        <f>'採算表(VND)'!D98</f>
        <v>128</v>
      </c>
      <c r="E98" s="133">
        <f>'採算表(VND)'!E98</f>
        <v>82</v>
      </c>
      <c r="F98" s="133">
        <f>'採算表(VND)'!F98</f>
        <v>144</v>
      </c>
      <c r="G98" s="133">
        <f>'採算表(VND)'!G98</f>
        <v>132</v>
      </c>
      <c r="H98" s="133">
        <f>'採算表(VND)'!H98</f>
        <v>126</v>
      </c>
      <c r="I98" s="133">
        <f>'採算表(VND)'!I98</f>
        <v>198</v>
      </c>
      <c r="J98" s="133">
        <f>'採算表(VND)'!J98</f>
        <v>78</v>
      </c>
      <c r="K98" s="133">
        <f>'採算表(VND)'!K98</f>
        <v>84</v>
      </c>
      <c r="L98" s="133">
        <f ca="1">'採算表(VND)'!L98</f>
        <v>116</v>
      </c>
      <c r="M98" s="133">
        <f ca="1">'採算表(VND)'!M98</f>
        <v>194</v>
      </c>
      <c r="N98" s="133">
        <f ca="1">'採算表(VND)'!N98</f>
        <v>343</v>
      </c>
      <c r="O98" s="133">
        <f ca="1">SUM(C98:N98)</f>
        <v>1755</v>
      </c>
    </row>
    <row r="99" spans="2:15">
      <c r="B99" s="61" t="s">
        <v>18</v>
      </c>
      <c r="C99" s="147">
        <f t="shared" ref="C99:O99" si="13">C97+C98</f>
        <v>130</v>
      </c>
      <c r="D99" s="147">
        <f t="shared" si="13"/>
        <v>128</v>
      </c>
      <c r="E99" s="147">
        <f t="shared" si="13"/>
        <v>82</v>
      </c>
      <c r="F99" s="147">
        <f t="shared" si="13"/>
        <v>144</v>
      </c>
      <c r="G99" s="147">
        <f t="shared" si="13"/>
        <v>132</v>
      </c>
      <c r="H99" s="147">
        <f t="shared" si="13"/>
        <v>126</v>
      </c>
      <c r="I99" s="147">
        <f t="shared" si="13"/>
        <v>198</v>
      </c>
      <c r="J99" s="147">
        <f t="shared" si="13"/>
        <v>78</v>
      </c>
      <c r="K99" s="147">
        <f t="shared" si="13"/>
        <v>84</v>
      </c>
      <c r="L99" s="147">
        <f t="shared" ca="1" si="13"/>
        <v>116</v>
      </c>
      <c r="M99" s="147">
        <f t="shared" ca="1" si="13"/>
        <v>194</v>
      </c>
      <c r="N99" s="147">
        <f t="shared" ca="1" si="13"/>
        <v>343</v>
      </c>
      <c r="O99" s="147">
        <f t="shared" ca="1" si="13"/>
        <v>1755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メカ製造技術1課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5922218</v>
      </c>
      <c r="D20" s="158">
        <f>SUMIF('内訳ﾘｽﾄ(4～3月)'!$D$26:$D$1000,$B20,'内訳ﾘｽﾄ(4～3月)'!G$26:G$1000)</f>
        <v>5858235</v>
      </c>
      <c r="E20" s="158">
        <f>SUMIF('内訳ﾘｽﾄ(4～3月)'!$D$26:$D$1000,$B20,'内訳ﾘｽﾄ(4～3月)'!H$26:H$1000)</f>
        <v>5860012</v>
      </c>
      <c r="F20" s="158">
        <f>SUMIF('内訳ﾘｽﾄ(4～3月)'!$D$26:$D$1000,$B20,'内訳ﾘｽﾄ(4～3月)'!I$26:I$1000)</f>
        <v>5850364</v>
      </c>
      <c r="G20" s="158">
        <f>SUMIF('内訳ﾘｽﾄ(4～3月)'!$D$26:$D$1000,$B20,'内訳ﾘｽﾄ(4～3月)'!J$26:J$1000)</f>
        <v>6127114</v>
      </c>
      <c r="H20" s="158">
        <f>SUMIF('内訳ﾘｽﾄ(4～3月)'!$D$26:$D$1000,$B20,'内訳ﾘｽﾄ(4～3月)'!K$26:K$1000)</f>
        <v>6124322</v>
      </c>
      <c r="I20" s="158">
        <f>SUMIF('内訳ﾘｽﾄ(4～3月)'!$D$26:$D$1000,$B20,'内訳ﾘｽﾄ(4～3月)'!L$26:L$1000)</f>
        <v>6120260</v>
      </c>
      <c r="J20" s="158">
        <f>SUMIF('内訳ﾘｽﾄ(4～3月)'!$D$26:$D$1000,$B20,'内訳ﾘｽﾄ(4～3月)'!M$26:M$1000)</f>
        <v>6118990</v>
      </c>
      <c r="K20" s="158">
        <f>SUMIF('内訳ﾘｽﾄ(4～3月)'!$D$26:$D$1000,$B20,'内訳ﾘｽﾄ(4～3月)'!N$26:N$1000)</f>
        <v>6119752</v>
      </c>
      <c r="L20" s="158">
        <f>SUMIF('内訳ﾘｽﾄ(4～3月)'!$D$26:$D$1000,$B20,'内訳ﾘｽﾄ(4～3月)'!O$26:O$1000)</f>
        <v>7817724</v>
      </c>
      <c r="M20" s="158">
        <f>SUMIF('内訳ﾘｽﾄ(4～3月)'!$D$26:$D$1000,$B20,'内訳ﾘｽﾄ(4～3月)'!P$26:P$1000)</f>
        <v>7811918</v>
      </c>
      <c r="N20" s="158">
        <f>SUMIF('内訳ﾘｽﾄ(4～3月)'!$D$26:$D$1000,$B20,'内訳ﾘｽﾄ(4～3月)'!Q$26:Q$1000)</f>
        <v>7818033</v>
      </c>
      <c r="O20" s="158">
        <f>SUMIF('内訳ﾘｽﾄ(4～3月)'!$D$26:$D$799,'採算表(VND)'!$B20,'内訳ﾘｽﾄ(4～3月)'!R$26:R$799)</f>
        <v>77548942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254098</v>
      </c>
      <c r="D25" s="158">
        <f>SUMIF('内訳ﾘｽﾄ(4～3月)'!$D$26:$D$1000,$B25,'内訳ﾘｽﾄ(4～3月)'!G$26:G$1000)</f>
        <v>264124</v>
      </c>
      <c r="E25" s="158">
        <f>SUMIF('内訳ﾘｽﾄ(4～3月)'!$D$26:$D$1000,$B25,'内訳ﾘｽﾄ(4～3月)'!H$26:H$1000)</f>
        <v>287812</v>
      </c>
      <c r="F25" s="158">
        <f>SUMIF('内訳ﾘｽﾄ(4～3月)'!$D$26:$D$1000,$B25,'内訳ﾘｽﾄ(4～3月)'!I$26:I$1000)</f>
        <v>311514</v>
      </c>
      <c r="G25" s="158">
        <f>SUMIF('内訳ﾘｽﾄ(4～3月)'!$D$26:$D$1000,$B25,'内訳ﾘｽﾄ(4～3月)'!J$26:J$1000)</f>
        <v>272776</v>
      </c>
      <c r="H25" s="158">
        <f>SUMIF('内訳ﾘｽﾄ(4～3月)'!$D$26:$D$1000,$B25,'内訳ﾘｽﾄ(4～3月)'!K$26:K$1000)</f>
        <v>278895</v>
      </c>
      <c r="I25" s="158">
        <f>SUMIF('内訳ﾘｽﾄ(4～3月)'!$D$26:$D$1000,$B25,'内訳ﾘｽﾄ(4～3月)'!L$26:L$1000)</f>
        <v>333615</v>
      </c>
      <c r="J25" s="158">
        <f>SUMIF('内訳ﾘｽﾄ(4～3月)'!$D$26:$D$1000,$B25,'内訳ﾘｽﾄ(4～3月)'!M$26:M$1000)</f>
        <v>293025</v>
      </c>
      <c r="K25" s="158">
        <f>SUMIF('内訳ﾘｽﾄ(4～3月)'!$D$26:$D$1000,$B25,'内訳ﾘｽﾄ(4～3月)'!N$26:N$1000)</f>
        <v>320670</v>
      </c>
      <c r="L25" s="158">
        <f>SUMIF('内訳ﾘｽﾄ(4～3月)'!$D$26:$D$1000,$B25,'内訳ﾘｽﾄ(4～3月)'!O$26:O$1000)</f>
        <v>390540</v>
      </c>
      <c r="M25" s="158">
        <f>SUMIF('内訳ﾘｽﾄ(4～3月)'!$D$26:$D$1000,$B25,'内訳ﾘｽﾄ(4～3月)'!P$26:P$1000)</f>
        <v>300180</v>
      </c>
      <c r="N25" s="158">
        <f>SUMIF('内訳ﾘｽﾄ(4～3月)'!$D$26:$D$1000,$B25,'内訳ﾘｽﾄ(4～3月)'!Q$26:Q$1000)</f>
        <v>390400</v>
      </c>
      <c r="O25" s="158">
        <f>SUMIF('内訳ﾘｽﾄ(4～3月)'!$D$26:$D$799,'採算表(VND)'!$B25,'内訳ﾘｽﾄ(4～3月)'!R$26:R$799)</f>
        <v>3697649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25215000</v>
      </c>
      <c r="D26" s="158">
        <f>SUMIF('内訳ﾘｽﾄ(4～3月)'!$D$26:$D$1000,$B26,'内訳ﾘｽﾄ(4～3月)'!G$26:G$1000)</f>
        <v>16750000</v>
      </c>
      <c r="E26" s="158">
        <f>SUMIF('内訳ﾘｽﾄ(4～3月)'!$D$26:$D$1000,$B26,'内訳ﾘｽﾄ(4～3月)'!H$26:H$1000)</f>
        <v>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25215000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17897196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0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32282420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117359616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1300000</v>
      </c>
      <c r="D28" s="158">
        <f>SUMIF('内訳ﾘｽﾄ(4～3月)'!$D$26:$D$1000,$B28,'内訳ﾘｽﾄ(4～3月)'!G$26:G$1000)</f>
        <v>1300000</v>
      </c>
      <c r="E28" s="158">
        <f>SUMIF('内訳ﾘｽﾄ(4～3月)'!$D$26:$D$1000,$B28,'内訳ﾘｽﾄ(4～3月)'!H$26:H$1000)</f>
        <v>0</v>
      </c>
      <c r="F28" s="158">
        <f>SUMIF('内訳ﾘｽﾄ(4～3月)'!$D$26:$D$1000,$B28,'内訳ﾘｽﾄ(4～3月)'!I$26:I$1000)</f>
        <v>0</v>
      </c>
      <c r="G28" s="158">
        <f>SUMIF('内訳ﾘｽﾄ(4～3月)'!$D$26:$D$1000,$B28,'内訳ﾘｽﾄ(4～3月)'!J$26:J$1000)</f>
        <v>1300000</v>
      </c>
      <c r="H28" s="158">
        <f>SUMIF('内訳ﾘｽﾄ(4～3月)'!$D$26:$D$1000,$B28,'内訳ﾘｽﾄ(4～3月)'!K$26:K$1000)</f>
        <v>2140000</v>
      </c>
      <c r="I28" s="158">
        <f>SUMIF('内訳ﾘｽﾄ(4～3月)'!$D$26:$D$1000,$B28,'内訳ﾘｽﾄ(4～3月)'!L$26:L$1000)</f>
        <v>840000</v>
      </c>
      <c r="J28" s="158">
        <f>SUMIF('内訳ﾘｽﾄ(4～3月)'!$D$26:$D$1000,$B28,'内訳ﾘｽﾄ(4～3月)'!M$26:M$1000)</f>
        <v>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840000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7720000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76128775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38999120</v>
      </c>
      <c r="G29" s="158">
        <f>SUMIF('内訳ﾘｽﾄ(4～3月)'!$D$26:$D$1000,$B29,'内訳ﾘｽﾄ(4～3月)'!J$26:J$1000)</f>
        <v>76128775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191256670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1721541</v>
      </c>
      <c r="D30" s="158">
        <f>SUMIF('内訳ﾘｽﾄ(4～3月)'!$D$26:$D$1000,$B30,'内訳ﾘｽﾄ(4～3月)'!G$26:G$1000)</f>
        <v>1797764</v>
      </c>
      <c r="E30" s="158">
        <f>SUMIF('内訳ﾘｽﾄ(4～3月)'!$D$26:$D$1000,$B30,'内訳ﾘｽﾄ(4～3月)'!H$26:H$1000)</f>
        <v>2139390</v>
      </c>
      <c r="F30" s="158">
        <f>SUMIF('内訳ﾘｽﾄ(4～3月)'!$D$26:$D$1000,$B30,'内訳ﾘｽﾄ(4～3月)'!I$26:I$1000)</f>
        <v>2463015</v>
      </c>
      <c r="G30" s="158">
        <f>SUMIF('内訳ﾘｽﾄ(4～3月)'!$D$26:$D$1000,$B30,'内訳ﾘｽﾄ(4～3月)'!J$26:J$1000)</f>
        <v>2439990</v>
      </c>
      <c r="H30" s="158">
        <f>SUMIF('内訳ﾘｽﾄ(4～3月)'!$D$26:$D$1000,$B30,'内訳ﾘｽﾄ(4～3月)'!K$26:K$1000)</f>
        <v>2232767</v>
      </c>
      <c r="I30" s="158">
        <f>SUMIF('内訳ﾘｽﾄ(4～3月)'!$D$26:$D$1000,$B30,'内訳ﾘｽﾄ(4～3月)'!L$26:L$1000)</f>
        <v>2185652</v>
      </c>
      <c r="J30" s="158">
        <f>SUMIF('内訳ﾘｽﾄ(4～3月)'!$D$26:$D$1000,$B30,'内訳ﾘｽﾄ(4～3月)'!M$26:M$1000)</f>
        <v>2141831</v>
      </c>
      <c r="K30" s="158">
        <f>SUMIF('内訳ﾘｽﾄ(4～3月)'!$D$26:$D$1000,$B30,'内訳ﾘｽﾄ(4～3月)'!N$26:N$1000)</f>
        <v>2145977</v>
      </c>
      <c r="L30" s="158">
        <f>SUMIF('内訳ﾘｽﾄ(4～3月)'!$D$26:$D$1000,$B30,'内訳ﾘｽﾄ(4～3月)'!O$26:O$1000)</f>
        <v>2322377</v>
      </c>
      <c r="M30" s="158">
        <f>SUMIF('内訳ﾘｽﾄ(4～3月)'!$D$26:$D$1000,$B30,'内訳ﾘｽﾄ(4～3月)'!P$26:P$1000)</f>
        <v>2000924</v>
      </c>
      <c r="N30" s="158">
        <f>SUMIF('内訳ﾘｽﾄ(4～3月)'!$D$26:$D$1000,$B30,'内訳ﾘｽﾄ(4～3月)'!Q$26:Q$1000)</f>
        <v>2066476</v>
      </c>
      <c r="O30" s="158">
        <f>SUMIF('内訳ﾘｽﾄ(4～3月)'!$D$26:$D$799,'採算表(VND)'!$B30,'内訳ﾘｽﾄ(4～3月)'!R$26:R$799)</f>
        <v>25657704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975000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1300000</v>
      </c>
      <c r="O32" s="158">
        <f>SUMIF('内訳ﾘｽﾄ(4～3月)'!$D$26:$D$799,'採算表(VND)'!$B32,'内訳ﾘｽﾄ(4～3月)'!R$26:R$799)</f>
        <v>2275000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731211</v>
      </c>
      <c r="D39" s="158">
        <f>SUMIF('内訳ﾘｽﾄ(4～3月)'!$D$26:$D$1000,$B39,'内訳ﾘｽﾄ(4～3月)'!G$26:G$1000)</f>
        <v>790468</v>
      </c>
      <c r="E39" s="158">
        <f>SUMIF('内訳ﾘｽﾄ(4～3月)'!$D$26:$D$1000,$B39,'内訳ﾘｽﾄ(4～3月)'!H$26:H$1000)</f>
        <v>814814</v>
      </c>
      <c r="F39" s="158">
        <f>SUMIF('内訳ﾘｽﾄ(4～3月)'!$D$26:$D$1000,$B39,'内訳ﾘｽﾄ(4～3月)'!I$26:I$1000)</f>
        <v>746284</v>
      </c>
      <c r="G39" s="158">
        <f>SUMIF('内訳ﾘｽﾄ(4～3月)'!$D$26:$D$1000,$B39,'内訳ﾘｽﾄ(4～3月)'!J$26:J$1000)</f>
        <v>726474</v>
      </c>
      <c r="H39" s="158">
        <f>SUMIF('内訳ﾘｽﾄ(4～3月)'!$D$26:$D$1000,$B39,'内訳ﾘｽﾄ(4～3月)'!K$26:K$1000)</f>
        <v>743850</v>
      </c>
      <c r="I39" s="158">
        <f>SUMIF('内訳ﾘｽﾄ(4～3月)'!$D$26:$D$1000,$B39,'内訳ﾘｽﾄ(4～3月)'!L$26:L$1000)</f>
        <v>711480</v>
      </c>
      <c r="J39" s="158">
        <f>SUMIF('内訳ﾘｽﾄ(4～3月)'!$D$26:$D$1000,$B39,'内訳ﾘｽﾄ(4～3月)'!M$26:M$1000)</f>
        <v>702660</v>
      </c>
      <c r="K39" s="158">
        <f>SUMIF('内訳ﾘｽﾄ(4～3月)'!$D$26:$D$1000,$B39,'内訳ﾘｽﾄ(4～3月)'!N$26:N$1000)</f>
        <v>704655</v>
      </c>
      <c r="L39" s="158">
        <f>SUMIF('内訳ﾘｽﾄ(4～3月)'!$D$26:$D$1000,$B39,'内訳ﾘｽﾄ(4～3月)'!O$26:O$1000)</f>
        <v>899360</v>
      </c>
      <c r="M39" s="158">
        <f>SUMIF('内訳ﾘｽﾄ(4～3月)'!$D$26:$D$1000,$B39,'内訳ﾘｽﾄ(4～3月)'!P$26:P$1000)</f>
        <v>851240</v>
      </c>
      <c r="N39" s="158">
        <f>SUMIF('内訳ﾘｽﾄ(4～3月)'!$D$26:$D$1000,$B39,'内訳ﾘｽﾄ(4～3月)'!Q$26:Q$1000)</f>
        <v>890800</v>
      </c>
      <c r="O39" s="158">
        <f>SUMIF('内訳ﾘｽﾄ(4～3月)'!$D$26:$D$799,'採算表(VND)'!$B39,'内訳ﾘｽﾄ(4～3月)'!R$26:R$799)</f>
        <v>9313296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198000</v>
      </c>
      <c r="D41" s="158">
        <f>SUMIF('内訳ﾘｽﾄ(4～3月)'!$D$26:$D$1000,$B41,'内訳ﾘｽﾄ(4～3月)'!G$26:G$1000)</f>
        <v>198000</v>
      </c>
      <c r="E41" s="158">
        <f>SUMIF('内訳ﾘｽﾄ(4～3月)'!$D$26:$D$1000,$B41,'内訳ﾘｽﾄ(4～3月)'!H$26:H$1000)</f>
        <v>198000</v>
      </c>
      <c r="F41" s="158">
        <f>SUMIF('内訳ﾘｽﾄ(4～3月)'!$D$26:$D$1000,$B41,'内訳ﾘｽﾄ(4～3月)'!I$26:I$1000)</f>
        <v>198000</v>
      </c>
      <c r="G41" s="158">
        <f>SUMIF('内訳ﾘｽﾄ(4～3月)'!$D$26:$D$1000,$B41,'内訳ﾘｽﾄ(4～3月)'!J$26:J$1000)</f>
        <v>198000</v>
      </c>
      <c r="H41" s="158">
        <f>SUMIF('内訳ﾘｽﾄ(4～3月)'!$D$26:$D$1000,$B41,'内訳ﾘｽﾄ(4～3月)'!K$26:K$1000)</f>
        <v>198000</v>
      </c>
      <c r="I41" s="158">
        <f>SUMIF('内訳ﾘｽﾄ(4～3月)'!$D$26:$D$1000,$B41,'内訳ﾘｽﾄ(4～3月)'!L$26:L$1000)</f>
        <v>198000</v>
      </c>
      <c r="J41" s="158">
        <f>SUMIF('内訳ﾘｽﾄ(4～3月)'!$D$26:$D$1000,$B41,'内訳ﾘｽﾄ(4～3月)'!M$26:M$1000)</f>
        <v>198000</v>
      </c>
      <c r="K41" s="158">
        <f>SUMIF('内訳ﾘｽﾄ(4～3月)'!$D$26:$D$1000,$B41,'内訳ﾘｽﾄ(4～3月)'!N$26:N$1000)</f>
        <v>198000</v>
      </c>
      <c r="L41" s="158">
        <f>SUMIF('内訳ﾘｽﾄ(4～3月)'!$D$26:$D$1000,$B41,'内訳ﾘｽﾄ(4～3月)'!O$26:O$1000)</f>
        <v>396000</v>
      </c>
      <c r="M41" s="158">
        <f>SUMIF('内訳ﾘｽﾄ(4～3月)'!$D$26:$D$1000,$B41,'内訳ﾘｽﾄ(4～3月)'!P$26:P$1000)</f>
        <v>396000</v>
      </c>
      <c r="N41" s="158">
        <f>SUMIF('内訳ﾘｽﾄ(4～3月)'!$D$26:$D$1000,$B41,'内訳ﾘｽﾄ(4～3月)'!Q$26:Q$1000)</f>
        <v>396000</v>
      </c>
      <c r="O41" s="158">
        <f>SUMIF('内訳ﾘｽﾄ(4～3月)'!$D$26:$D$799,'採算表(VND)'!$B41,'内訳ﾘｽﾄ(4～3月)'!R$26:R$799)</f>
        <v>2970000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103216076</v>
      </c>
      <c r="D42" s="158">
        <f>SUMIF('内訳ﾘｽﾄ(4～3月)'!$D$26:$D$1000,$B42,'内訳ﾘｽﾄ(4～3月)'!G$26:G$1000)</f>
        <v>103405345</v>
      </c>
      <c r="E42" s="158">
        <f>SUMIF('内訳ﾘｽﾄ(4～3月)'!$D$26:$D$1000,$B42,'内訳ﾘｽﾄ(4～3月)'!H$26:H$1000)</f>
        <v>103405345</v>
      </c>
      <c r="F42" s="158">
        <f>SUMIF('内訳ﾘｽﾄ(4～3月)'!$D$26:$D$1000,$B42,'内訳ﾘｽﾄ(4～3月)'!I$26:I$1000)</f>
        <v>103405345</v>
      </c>
      <c r="G42" s="158">
        <f>SUMIF('内訳ﾘｽﾄ(4～3月)'!$D$26:$D$1000,$B42,'内訳ﾘｽﾄ(4～3月)'!J$26:J$1000)</f>
        <v>103507045</v>
      </c>
      <c r="H42" s="158">
        <f>SUMIF('内訳ﾘｽﾄ(4～3月)'!$D$26:$D$1000,$B42,'内訳ﾘｽﾄ(4～3月)'!K$26:K$1000)</f>
        <v>103696315</v>
      </c>
      <c r="I42" s="158">
        <f>SUMIF('内訳ﾘｽﾄ(4～3月)'!$D$26:$D$1000,$B42,'内訳ﾘｽﾄ(4～3月)'!L$26:L$1000)</f>
        <v>103696315</v>
      </c>
      <c r="J42" s="158">
        <f>SUMIF('内訳ﾘｽﾄ(4～3月)'!$D$26:$D$1000,$B42,'内訳ﾘｽﾄ(4～3月)'!M$26:M$1000)</f>
        <v>103708315</v>
      </c>
      <c r="K42" s="158">
        <f>SUMIF('内訳ﾘｽﾄ(4～3月)'!$D$26:$D$1000,$B42,'内訳ﾘｽﾄ(4～3月)'!N$26:N$1000)</f>
        <v>103696315</v>
      </c>
      <c r="L42" s="158">
        <f>SUMIF('内訳ﾘｽﾄ(4～3月)'!$D$26:$D$1000,$B42,'内訳ﾘｽﾄ(4～3月)'!O$26:O$1000)</f>
        <v>105151162</v>
      </c>
      <c r="M42" s="158">
        <f>SUMIF('内訳ﾘｽﾄ(4～3月)'!$D$26:$D$1000,$B42,'内訳ﾘｽﾄ(4～3月)'!P$26:P$1000)</f>
        <v>105151162</v>
      </c>
      <c r="N42" s="158">
        <f>SUMIF('内訳ﾘｽﾄ(4～3月)'!$D$26:$D$1000,$B42,'内訳ﾘｽﾄ(4～3月)'!Q$26:Q$1000)</f>
        <v>105151162</v>
      </c>
      <c r="O42" s="158">
        <f>SUMIF('内訳ﾘｽﾄ(4～3月)'!$D$26:$D$799,'採算表(VND)'!$B42,'内訳ﾘｽﾄ(4～3月)'!R$26:R$799)</f>
        <v>1247189902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15738712</v>
      </c>
      <c r="D44" s="158">
        <f>SUMIF('内訳ﾘｽﾄ(4～3月)'!$D$26:$D$1000,$B44,'内訳ﾘｽﾄ(4～3月)'!G$26:G$1000)</f>
        <v>32981988</v>
      </c>
      <c r="E44" s="158">
        <f>SUMIF('内訳ﾘｽﾄ(4～3月)'!$D$26:$D$1000,$B44,'内訳ﾘｽﾄ(4～3月)'!H$26:H$1000)</f>
        <v>8799908</v>
      </c>
      <c r="F44" s="158">
        <f>SUMIF('内訳ﾘｽﾄ(4～3月)'!$D$26:$D$1000,$B44,'内訳ﾘｽﾄ(4～3月)'!I$26:I$1000)</f>
        <v>7249852</v>
      </c>
      <c r="G44" s="158">
        <f>SUMIF('内訳ﾘｽﾄ(4～3月)'!$D$26:$D$1000,$B44,'内訳ﾘｽﾄ(4～3月)'!J$26:J$1000)</f>
        <v>7240336</v>
      </c>
      <c r="H44" s="158">
        <f>SUMIF('内訳ﾘｽﾄ(4～3月)'!$D$26:$D$1000,$B44,'内訳ﾘｽﾄ(4～3月)'!K$26:K$1000)</f>
        <v>8602052</v>
      </c>
      <c r="I44" s="158">
        <f>SUMIF('内訳ﾘｽﾄ(4～3月)'!$D$26:$D$1000,$B44,'内訳ﾘｽﾄ(4～3月)'!L$26:L$1000)</f>
        <v>5968940</v>
      </c>
      <c r="J44" s="158">
        <f>SUMIF('内訳ﾘｽﾄ(4～3月)'!$D$26:$D$1000,$B44,'内訳ﾘｽﾄ(4～3月)'!M$26:M$1000)</f>
        <v>7578468</v>
      </c>
      <c r="K44" s="158">
        <f>SUMIF('内訳ﾘｽﾄ(4～3月)'!$D$26:$D$1000,$B44,'内訳ﾘｽﾄ(4～3月)'!N$26:N$1000)</f>
        <v>8849368</v>
      </c>
      <c r="L44" s="158">
        <f>SUMIF('内訳ﾘｽﾄ(4～3月)'!$D$26:$D$1000,$B44,'内訳ﾘｽﾄ(4～3月)'!O$26:O$1000)</f>
        <v>6167700</v>
      </c>
      <c r="M44" s="158">
        <f>SUMIF('内訳ﾘｽﾄ(4～3月)'!$D$26:$D$1000,$B44,'内訳ﾘｽﾄ(4～3月)'!P$26:P$1000)</f>
        <v>7502436</v>
      </c>
      <c r="N44" s="158">
        <f>SUMIF('内訳ﾘｽﾄ(4～3月)'!$D$26:$D$1000,$B44,'内訳ﾘｽﾄ(4～3月)'!Q$26:Q$1000)</f>
        <v>14266368</v>
      </c>
      <c r="O44" s="158">
        <f>SUMIF('内訳ﾘｽﾄ(4～3月)'!$D$26:$D$799,'採算表(VND)'!$B44,'内訳ﾘｽﾄ(4～3月)'!R$26:R$799)</f>
        <v>130946128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4231244</v>
      </c>
      <c r="D57" s="160">
        <f>SUMIF('内訳ﾘｽﾄ(4～3月)'!$D$26:$D$1000,$B57,'内訳ﾘｽﾄ(4～3月)'!G$26:G$1000)</f>
        <v>3974551</v>
      </c>
      <c r="E57" s="160">
        <f>SUMIF('内訳ﾘｽﾄ(4～3月)'!$D$26:$D$1000,$B57,'内訳ﾘｽﾄ(4～3月)'!H$26:H$1000)</f>
        <v>3976074</v>
      </c>
      <c r="F57" s="160">
        <f>SUMIF('内訳ﾘｽﾄ(4～3月)'!$D$26:$D$1000,$B57,'内訳ﾘｽﾄ(4～3月)'!I$26:I$1000)</f>
        <v>3969219</v>
      </c>
      <c r="G57" s="160">
        <f>SUMIF('内訳ﾘｽﾄ(4～3月)'!$D$26:$D$1000,$B57,'内訳ﾘｽﾄ(4～3月)'!J$26:J$1000)</f>
        <v>4157105</v>
      </c>
      <c r="H57" s="160">
        <f>SUMIF('内訳ﾘｽﾄ(4～3月)'!$D$26:$D$1000,$B57,'内訳ﾘｽﾄ(4～3月)'!K$26:K$1000)</f>
        <v>4155328</v>
      </c>
      <c r="I57" s="160">
        <f>SUMIF('内訳ﾘｽﾄ(4～3月)'!$D$26:$D$1000,$B57,'内訳ﾘｽﾄ(4～3月)'!L$26:L$1000)</f>
        <v>4152281</v>
      </c>
      <c r="J57" s="160">
        <f>SUMIF('内訳ﾘｽﾄ(4～3月)'!$D$26:$D$1000,$B57,'内訳ﾘｽﾄ(4～3月)'!M$26:M$1000)</f>
        <v>4151773</v>
      </c>
      <c r="K57" s="160">
        <f>SUMIF('内訳ﾘｽﾄ(4～3月)'!$D$26:$D$1000,$B57,'内訳ﾘｽﾄ(4～3月)'!N$26:N$1000)</f>
        <v>4152027</v>
      </c>
      <c r="L57" s="160">
        <f>SUMIF('内訳ﾘｽﾄ(4～3月)'!$D$26:$D$1000,$B57,'内訳ﾘｽﾄ(4～3月)'!O$26:O$1000)</f>
        <v>5304136</v>
      </c>
      <c r="M57" s="160">
        <f>SUMIF('内訳ﾘｽﾄ(4～3月)'!$D$26:$D$1000,$B57,'内訳ﾘｽﾄ(4～3月)'!P$26:P$1000)</f>
        <v>5300349</v>
      </c>
      <c r="N57" s="160">
        <f>SUMIF('内訳ﾘｽﾄ(4～3月)'!$D$26:$D$1000,$B57,'内訳ﾘｽﾄ(4～3月)'!Q$26:Q$1000)</f>
        <v>5304390</v>
      </c>
      <c r="O57" s="160">
        <f>SUMIF('内訳ﾘｽﾄ(4～3月)'!$D$26:$D$799,'採算表(VND)'!$B57,'内訳ﾘｽﾄ(4～3月)'!R$26:R$799)</f>
        <v>52828477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-234656875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-167320475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-125481355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-163192713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-227312615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-128171529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-142103739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-125868062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-126186764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-129288999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-161596629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-137583629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-1868763384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ca="1" si="5"/>
        <v>0</v>
      </c>
      <c r="M67" s="161">
        <f t="shared" ca="1" si="5"/>
        <v>0</v>
      </c>
      <c r="N67" s="161">
        <f t="shared" ca="1" si="5"/>
        <v>0</v>
      </c>
      <c r="O67" s="161">
        <f ca="1"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2303.5</v>
      </c>
      <c r="D68" s="162">
        <f>SUMIF('内訳ﾘｽﾄ(4～3月)'!$D$8:$D$15,'採算表(VND)'!$B68,'内訳ﾘｽﾄ(4～3月)'!G$8:G$15)</f>
        <v>2184.5</v>
      </c>
      <c r="E68" s="162">
        <f>SUMIF('内訳ﾘｽﾄ(4～3月)'!$D$8:$D$15,'採算表(VND)'!$B68,'内訳ﾘｽﾄ(4～3月)'!H$8:H$15)</f>
        <v>2422.5</v>
      </c>
      <c r="F68" s="162">
        <f>SUMIF('内訳ﾘｽﾄ(4～3月)'!$D$8:$D$15,'採算表(VND)'!$B68,'内訳ﾘｽﾄ(4～3月)'!I$8:I$15)</f>
        <v>2660.5</v>
      </c>
      <c r="G68" s="162">
        <f>SUMIF('内訳ﾘｽﾄ(4～3月)'!$D$8:$D$15,'採算表(VND)'!$B68,'内訳ﾘｽﾄ(4～3月)'!J$8:J$15)</f>
        <v>2465</v>
      </c>
      <c r="H68" s="162">
        <f>SUMIF('内訳ﾘｽﾄ(4～3月)'!$D$8:$D$15,'採算表(VND)'!$B68,'内訳ﾘｽﾄ(4～3月)'!K$8:K$15)</f>
        <v>2337.5</v>
      </c>
      <c r="I68" s="162">
        <f>SUMIF('内訳ﾘｽﾄ(4～3月)'!$D$8:$D$15,'採算表(VND)'!$B68,'内訳ﾘｽﾄ(4～3月)'!L$8:L$15)</f>
        <v>2847.5</v>
      </c>
      <c r="J68" s="162">
        <f>SUMIF('内訳ﾘｽﾄ(4～3月)'!$D$8:$D$15,'採算表(VND)'!$B68,'内訳ﾘｽﾄ(4～3月)'!M$8:M$15)</f>
        <v>2465</v>
      </c>
      <c r="K68" s="162">
        <f>SUMIF('内訳ﾘｽﾄ(4～3月)'!$D$8:$D$15,'採算表(VND)'!$B68,'内訳ﾘｽﾄ(4～3月)'!N$8:N$15)</f>
        <v>2720</v>
      </c>
      <c r="L68" s="162">
        <f ca="1">SUMIF('内訳ﾘｽﾄ(4～3月)'!$D$8:$D$15,'採算表(VND)'!$B68,'内訳ﾘｽﾄ(4～3月)'!O$8:O$15)</f>
        <v>3315</v>
      </c>
      <c r="M68" s="162">
        <f ca="1">SUMIF('内訳ﾘｽﾄ(4～3月)'!$D$8:$D$15,'採算表(VND)'!$B68,'内訳ﾘｽﾄ(4～3月)'!P$8:P$15)</f>
        <v>2465</v>
      </c>
      <c r="N68" s="162">
        <f ca="1">SUMIF('内訳ﾘｽﾄ(4～3月)'!$D$8:$D$15,'採算表(VND)'!$B68,'内訳ﾘｽﾄ(4～3月)'!Q$8:Q$15)</f>
        <v>3315</v>
      </c>
      <c r="O68" s="162">
        <f ca="1">SUMIF('内訳ﾘｽﾄ(4～3月)'!$D$8:$D$15,'採算表(VND)'!$B68,'内訳ﾘｽﾄ(4～3月)'!$R$8:$R$15)</f>
        <v>31501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-2303.5</v>
      </c>
      <c r="D70" s="164">
        <f>IF('内訳ﾘｽﾄ(4～3月)'!$D$5="製造",SUMIF('内訳ﾘｽﾄ(4～3月)'!$D$8:$D$15,$B70,'内訳ﾘｽﾄ(4～3月)'!G$8:G$15),IF('内訳ﾘｽﾄ(4～3月)'!$D$5="部外間接1",-D$68,0))</f>
        <v>-2184.5</v>
      </c>
      <c r="E70" s="164">
        <f>IF('内訳ﾘｽﾄ(4～3月)'!$D$5="製造",SUMIF('内訳ﾘｽﾄ(4～3月)'!$D$8:$D$15,$B70,'内訳ﾘｽﾄ(4～3月)'!H$8:H$15),IF('内訳ﾘｽﾄ(4～3月)'!$D$5="部外間接1",-E$68,0))</f>
        <v>-2422.5</v>
      </c>
      <c r="F70" s="164">
        <f>IF('内訳ﾘｽﾄ(4～3月)'!$D$5="製造",SUMIF('内訳ﾘｽﾄ(4～3月)'!$D$8:$D$15,$B70,'内訳ﾘｽﾄ(4～3月)'!I$8:I$15),IF('内訳ﾘｽﾄ(4～3月)'!$D$5="部外間接1",-F$68,0))</f>
        <v>-2660.5</v>
      </c>
      <c r="G70" s="164">
        <f>IF('内訳ﾘｽﾄ(4～3月)'!$D$5="製造",SUMIF('内訳ﾘｽﾄ(4～3月)'!$D$8:$D$15,$B70,'内訳ﾘｽﾄ(4～3月)'!J$8:J$15),IF('内訳ﾘｽﾄ(4～3月)'!$D$5="部外間接1",-G$68,0))</f>
        <v>-2465</v>
      </c>
      <c r="H70" s="164">
        <f>IF('内訳ﾘｽﾄ(4～3月)'!$D$5="製造",SUMIF('内訳ﾘｽﾄ(4～3月)'!$D$8:$D$15,$B70,'内訳ﾘｽﾄ(4～3月)'!K$8:K$15),IF('内訳ﾘｽﾄ(4～3月)'!$D$5="部外間接1",-H$68,0))</f>
        <v>-2337.5</v>
      </c>
      <c r="I70" s="164">
        <f>IF('内訳ﾘｽﾄ(4～3月)'!$D$5="製造",SUMIF('内訳ﾘｽﾄ(4～3月)'!$D$8:$D$15,$B70,'内訳ﾘｽﾄ(4～3月)'!L$8:L$15),IF('内訳ﾘｽﾄ(4～3月)'!$D$5="部外間接1",-I$68,0))</f>
        <v>-2847.5</v>
      </c>
      <c r="J70" s="164">
        <f>IF('内訳ﾘｽﾄ(4～3月)'!$D$5="製造",SUMIF('内訳ﾘｽﾄ(4～3月)'!$D$8:$D$15,$B70,'内訳ﾘｽﾄ(4～3月)'!M$8:M$15),IF('内訳ﾘｽﾄ(4～3月)'!$D$5="部外間接1",-J$68,0))</f>
        <v>-2465</v>
      </c>
      <c r="K70" s="164">
        <f>IF('内訳ﾘｽﾄ(4～3月)'!$D$5="製造",SUMIF('内訳ﾘｽﾄ(4～3月)'!$D$8:$D$15,$B70,'内訳ﾘｽﾄ(4～3月)'!N$8:N$15),IF('内訳ﾘｽﾄ(4～3月)'!$D$5="部外間接1",-K$68,0))</f>
        <v>-2720</v>
      </c>
      <c r="L70" s="164">
        <f ca="1">IF('内訳ﾘｽﾄ(4～3月)'!$D$5="製造",SUMIF('内訳ﾘｽﾄ(4～3月)'!$D$8:$D$15,$B70,'内訳ﾘｽﾄ(4～3月)'!O$8:O$15),IF('内訳ﾘｽﾄ(4～3月)'!$D$5="部外間接1",-L$68,0))</f>
        <v>-3315</v>
      </c>
      <c r="M70" s="164">
        <f ca="1">IF('内訳ﾘｽﾄ(4～3月)'!$D$5="製造",SUMIF('内訳ﾘｽﾄ(4～3月)'!$D$8:$D$15,$B70,'内訳ﾘｽﾄ(4～3月)'!P$8:P$15),IF('内訳ﾘｽﾄ(4～3月)'!$D$5="部外間接1",-M$68,0))</f>
        <v>-2465</v>
      </c>
      <c r="N70" s="164">
        <f ca="1">IF('内訳ﾘｽﾄ(4～3月)'!$D$5="製造",SUMIF('内訳ﾘｽﾄ(4～3月)'!$D$8:$D$15,$B70,'内訳ﾘｽﾄ(4～3月)'!Q$8:Q$15),IF('内訳ﾘｽﾄ(4～3月)'!$D$5="部外間接1",-N$68,0))</f>
        <v>-3315</v>
      </c>
      <c r="O70" s="164">
        <f ca="1">IF('内訳ﾘｽﾄ(4～3月)'!$D$5="部外間接1",-SUM(O$68),IF('内訳ﾘｽﾄ(4～3月)'!$D$5="製造",SUMIF('内訳ﾘｽﾄ(4～3月)'!$D$8:$D$15,'採算表(VND)'!$B70,'内訳ﾘｽﾄ(4～3月)'!$R$8:$R$15),0))</f>
        <v>-31501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ca="1" si="6"/>
        <v>0</v>
      </c>
      <c r="M73" s="166">
        <f t="shared" ca="1" si="6"/>
        <v>0</v>
      </c>
      <c r="N73" s="166">
        <f t="shared" ca="1" si="6"/>
        <v>0</v>
      </c>
      <c r="O73" s="166">
        <f ca="1"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130</v>
      </c>
      <c r="D74" s="162">
        <f>SUMIF('内訳ﾘｽﾄ(4～3月)'!$D$16:$D$23,'採算表(VND)'!$B74,'内訳ﾘｽﾄ(4～3月)'!G$16:G$23)</f>
        <v>128</v>
      </c>
      <c r="E74" s="162">
        <f>SUMIF('内訳ﾘｽﾄ(4～3月)'!$D$16:$D$23,'採算表(VND)'!$B74,'内訳ﾘｽﾄ(4～3月)'!H$16:H$23)</f>
        <v>82</v>
      </c>
      <c r="F74" s="162">
        <f>SUMIF('内訳ﾘｽﾄ(4～3月)'!$D$16:$D$23,'採算表(VND)'!$B74,'内訳ﾘｽﾄ(4～3月)'!I$16:I$23)</f>
        <v>144</v>
      </c>
      <c r="G74" s="162">
        <f>SUMIF('内訳ﾘｽﾄ(4～3月)'!$D$16:$D$23,'採算表(VND)'!$B74,'内訳ﾘｽﾄ(4～3月)'!J$16:J$23)</f>
        <v>132</v>
      </c>
      <c r="H74" s="162">
        <f>SUMIF('内訳ﾘｽﾄ(4～3月)'!$D$16:$D$23,'採算表(VND)'!$B74,'内訳ﾘｽﾄ(4～3月)'!K$16:K$23)</f>
        <v>126</v>
      </c>
      <c r="I74" s="162">
        <f>SUMIF('内訳ﾘｽﾄ(4～3月)'!$D$16:$D$23,'採算表(VND)'!$B74,'内訳ﾘｽﾄ(4～3月)'!L$16:L$23)</f>
        <v>198</v>
      </c>
      <c r="J74" s="162">
        <f>SUMIF('内訳ﾘｽﾄ(4～3月)'!$D$16:$D$23,'採算表(VND)'!$B74,'内訳ﾘｽﾄ(4～3月)'!M$16:M$23)</f>
        <v>78</v>
      </c>
      <c r="K74" s="162">
        <f>SUMIF('内訳ﾘｽﾄ(4～3月)'!$D$16:$D$23,'採算表(VND)'!$B74,'内訳ﾘｽﾄ(4～3月)'!N$16:N$23)</f>
        <v>84</v>
      </c>
      <c r="L74" s="162">
        <f ca="1">SUMIF('内訳ﾘｽﾄ(4～3月)'!$D$16:$D$23,'採算表(VND)'!$B74,'内訳ﾘｽﾄ(4～3月)'!O$16:O$23)</f>
        <v>116</v>
      </c>
      <c r="M74" s="162">
        <f ca="1">SUMIF('内訳ﾘｽﾄ(4～3月)'!$D$16:$D$23,'採算表(VND)'!$B74,'内訳ﾘｽﾄ(4～3月)'!P$16:P$23)</f>
        <v>194</v>
      </c>
      <c r="N74" s="162">
        <f ca="1">SUMIF('内訳ﾘｽﾄ(4～3月)'!$D$16:$D$23,'採算表(VND)'!$B74,'内訳ﾘｽﾄ(4～3月)'!Q$16:Q$23)</f>
        <v>343</v>
      </c>
      <c r="O74" s="162">
        <f ca="1">SUMIF('内訳ﾘｽﾄ(4～3月)'!$D$16:$D$23,'採算表(VND)'!$B74,'内訳ﾘｽﾄ(4～3月)'!$R$16:$R$23)</f>
        <v>1755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-130</v>
      </c>
      <c r="D76" s="164">
        <f>IF('内訳ﾘｽﾄ(4～3月)'!$D$5="製造",SUMIF('内訳ﾘｽﾄ(4～3月)'!$D$16:$D$23,$B76,'内訳ﾘｽﾄ(4～3月)'!G$16:G$23),IF('内訳ﾘｽﾄ(4～3月)'!$D$5="部外間接1",-D$74,0))</f>
        <v>-128</v>
      </c>
      <c r="E76" s="164">
        <f>IF('内訳ﾘｽﾄ(4～3月)'!$D$5="製造",SUMIF('内訳ﾘｽﾄ(4～3月)'!$D$16:$D$23,$B76,'内訳ﾘｽﾄ(4～3月)'!H$16:H$23),IF('内訳ﾘｽﾄ(4～3月)'!$D$5="部外間接1",-E$74,0))</f>
        <v>-82</v>
      </c>
      <c r="F76" s="164">
        <f>IF('内訳ﾘｽﾄ(4～3月)'!$D$5="製造",SUMIF('内訳ﾘｽﾄ(4～3月)'!$D$16:$D$23,$B76,'内訳ﾘｽﾄ(4～3月)'!I$16:I$23),IF('内訳ﾘｽﾄ(4～3月)'!$D$5="部外間接1",-F$74,0))</f>
        <v>-144</v>
      </c>
      <c r="G76" s="164">
        <f>IF('内訳ﾘｽﾄ(4～3月)'!$D$5="製造",SUMIF('内訳ﾘｽﾄ(4～3月)'!$D$16:$D$23,$B76,'内訳ﾘｽﾄ(4～3月)'!J$16:J$23),IF('内訳ﾘｽﾄ(4～3月)'!$D$5="部外間接1",-G$74,0))</f>
        <v>-132</v>
      </c>
      <c r="H76" s="164">
        <f>IF('内訳ﾘｽﾄ(4～3月)'!$D$5="製造",SUMIF('内訳ﾘｽﾄ(4～3月)'!$D$16:$D$23,$B76,'内訳ﾘｽﾄ(4～3月)'!K$16:K$23),IF('内訳ﾘｽﾄ(4～3月)'!$D$5="部外間接1",-H$74,0))</f>
        <v>-126</v>
      </c>
      <c r="I76" s="164">
        <f>IF('内訳ﾘｽﾄ(4～3月)'!$D$5="製造",SUMIF('内訳ﾘｽﾄ(4～3月)'!$D$16:$D$23,$B76,'内訳ﾘｽﾄ(4～3月)'!L$16:L$23),IF('内訳ﾘｽﾄ(4～3月)'!$D$5="部外間接1",-I$74,0))</f>
        <v>-198</v>
      </c>
      <c r="J76" s="164">
        <f>IF('内訳ﾘｽﾄ(4～3月)'!$D$5="製造",SUMIF('内訳ﾘｽﾄ(4～3月)'!$D$16:$D$23,$B76,'内訳ﾘｽﾄ(4～3月)'!M$16:M$23),IF('内訳ﾘｽﾄ(4～3月)'!$D$5="部外間接1",-J$74,0))</f>
        <v>-78</v>
      </c>
      <c r="K76" s="164">
        <f>IF('内訳ﾘｽﾄ(4～3月)'!$D$5="製造",SUMIF('内訳ﾘｽﾄ(4～3月)'!$D$16:$D$23,$B76,'内訳ﾘｽﾄ(4～3月)'!N$16:N$23),IF('内訳ﾘｽﾄ(4～3月)'!$D$5="部外間接1",-K$74,0))</f>
        <v>-84</v>
      </c>
      <c r="L76" s="164">
        <f ca="1">IF('内訳ﾘｽﾄ(4～3月)'!$D$5="製造",SUMIF('内訳ﾘｽﾄ(4～3月)'!$D$16:$D$23,$B76,'内訳ﾘｽﾄ(4～3月)'!O$16:O$23),IF('内訳ﾘｽﾄ(4～3月)'!$D$5="部外間接1",-L$74,0))</f>
        <v>-116</v>
      </c>
      <c r="M76" s="164">
        <f ca="1">IF('内訳ﾘｽﾄ(4～3月)'!$D$5="製造",SUMIF('内訳ﾘｽﾄ(4～3月)'!$D$16:$D$23,$B76,'内訳ﾘｽﾄ(4～3月)'!P$16:P$23),IF('内訳ﾘｽﾄ(4～3月)'!$D$5="部外間接1",-M$74,0))</f>
        <v>-194</v>
      </c>
      <c r="N76" s="164">
        <f ca="1">IF('内訳ﾘｽﾄ(4～3月)'!$D$5="製造",SUMIF('内訳ﾘｽﾄ(4～3月)'!$D$16:$D$23,$B76,'内訳ﾘｽﾄ(4～3月)'!Q$16:Q$23),IF('内訳ﾘｽﾄ(4～3月)'!$D$5="部外間接1",-N$74,0))</f>
        <v>-343</v>
      </c>
      <c r="O76" s="164">
        <f ca="1">IF('内訳ﾘｽﾄ(4～3月)'!$D$5="部外間接1",-SUM(O$74),IF('内訳ﾘｽﾄ(4～3月)'!$D$5="製造",SUMIF('内訳ﾘｽﾄ(4～3月)'!$D$16:$D$23,'採算表(VND)'!$B76,'内訳ﾘｽﾄ(4～3月)'!$R$16:$R$23),0))</f>
        <v>-1755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ca="1" si="7"/>
        <v>0</v>
      </c>
      <c r="M79" s="166">
        <f t="shared" ca="1" si="7"/>
        <v>0</v>
      </c>
      <c r="N79" s="166">
        <f t="shared" ca="1" si="7"/>
        <v>0</v>
      </c>
      <c r="O79" s="166">
        <f ca="1"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ca="1" si="8"/>
        <v>0</v>
      </c>
      <c r="M80" s="167">
        <f t="shared" ca="1" si="8"/>
        <v>0</v>
      </c>
      <c r="N80" s="167">
        <f t="shared" ca="1" si="8"/>
        <v>0</v>
      </c>
      <c r="O80" s="167">
        <f ca="1"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ca="1" si="9"/>
        <v>0</v>
      </c>
      <c r="M81" s="168">
        <f t="shared" ca="1" si="9"/>
        <v>0</v>
      </c>
      <c r="N81" s="168">
        <f t="shared" ca="1" si="9"/>
        <v>0</v>
      </c>
      <c r="O81" s="168">
        <f ca="1"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14</v>
      </c>
      <c r="D88" s="150">
        <f>SUMIF('内訳ﾘｽﾄ(4～3月)'!$D$24:$D$25,'採算表(VND)'!$B88,'内訳ﾘｽﾄ(4～3月)'!G$24:G$25)</f>
        <v>14</v>
      </c>
      <c r="E88" s="150">
        <f>SUMIF('内訳ﾘｽﾄ(4～3月)'!$D$24:$D$25,'採算表(VND)'!$B88,'内訳ﾘｽﾄ(4～3月)'!H$24:H$25)</f>
        <v>14</v>
      </c>
      <c r="F88" s="150">
        <f>SUMIF('内訳ﾘｽﾄ(4～3月)'!$D$24:$D$25,'採算表(VND)'!$B88,'内訳ﾘｽﾄ(4～3月)'!I$24:I$25)</f>
        <v>14</v>
      </c>
      <c r="G88" s="150">
        <f>SUMIF('内訳ﾘｽﾄ(4～3月)'!$D$24:$D$25,'採算表(VND)'!$B88,'内訳ﾘｽﾄ(4～3月)'!J$24:J$25)</f>
        <v>15</v>
      </c>
      <c r="H88" s="150">
        <f>SUMIF('内訳ﾘｽﾄ(4～3月)'!$D$24:$D$25,'採算表(VND)'!$B88,'内訳ﾘｽﾄ(4～3月)'!K$24:K$25)</f>
        <v>15</v>
      </c>
      <c r="I88" s="150">
        <f>SUMIF('内訳ﾘｽﾄ(4～3月)'!$D$24:$D$25,'採算表(VND)'!$B88,'内訳ﾘｽﾄ(4～3月)'!L$24:L$25)</f>
        <v>15</v>
      </c>
      <c r="J88" s="150">
        <f>SUMIF('内訳ﾘｽﾄ(4～3月)'!$D$24:$D$25,'採算表(VND)'!$B88,'内訳ﾘｽﾄ(4～3月)'!M$24:M$25)</f>
        <v>15</v>
      </c>
      <c r="K88" s="150">
        <f>SUMIF('内訳ﾘｽﾄ(4～3月)'!$D$24:$D$25,'採算表(VND)'!$B88,'内訳ﾘｽﾄ(4～3月)'!N$24:N$25)</f>
        <v>15</v>
      </c>
      <c r="L88" s="150">
        <f>SUMIF('内訳ﾘｽﾄ(4～3月)'!$D$24:$D$25,'採算表(VND)'!$B88,'内訳ﾘｽﾄ(4～3月)'!O$24:O$25)</f>
        <v>20</v>
      </c>
      <c r="M88" s="150">
        <f>SUMIF('内訳ﾘｽﾄ(4～3月)'!$D$24:$D$25,'採算表(VND)'!$B88,'内訳ﾘｽﾄ(4～3月)'!P$24:P$25)</f>
        <v>20</v>
      </c>
      <c r="N88" s="150">
        <f>SUMIF('内訳ﾘｽﾄ(4～3月)'!$D$24:$D$25,'採算表(VND)'!$B88,'内訳ﾘｽﾄ(4～3月)'!Q$24:Q$25)</f>
        <v>20</v>
      </c>
      <c r="O88" s="150">
        <f>SUMIF('内訳ﾘｽﾄ(4～3月)'!$D$24:$D$25,'採算表(VND)'!$B88,'内訳ﾘｽﾄ(4～3月)'!R$24:R$25)</f>
        <v>20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14</v>
      </c>
      <c r="D89" s="151">
        <f t="shared" si="10"/>
        <v>14</v>
      </c>
      <c r="E89" s="151">
        <f t="shared" si="10"/>
        <v>14</v>
      </c>
      <c r="F89" s="151">
        <f t="shared" si="10"/>
        <v>14</v>
      </c>
      <c r="G89" s="151">
        <f t="shared" si="10"/>
        <v>15</v>
      </c>
      <c r="H89" s="151">
        <f t="shared" si="10"/>
        <v>15</v>
      </c>
      <c r="I89" s="151">
        <f t="shared" si="10"/>
        <v>15</v>
      </c>
      <c r="J89" s="151">
        <f t="shared" si="10"/>
        <v>15</v>
      </c>
      <c r="K89" s="151">
        <f t="shared" si="10"/>
        <v>15</v>
      </c>
      <c r="L89" s="151">
        <f t="shared" si="10"/>
        <v>20</v>
      </c>
      <c r="M89" s="151">
        <f t="shared" si="10"/>
        <v>20</v>
      </c>
      <c r="N89" s="151">
        <f t="shared" si="10"/>
        <v>20</v>
      </c>
      <c r="O89" s="151">
        <f>O87+O88</f>
        <v>20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2303.5</v>
      </c>
      <c r="D93" s="161">
        <f>SUMIF('内訳ﾘｽﾄ(4～3月)'!$B$8:$B$15,$B93,'内訳ﾘｽﾄ(4～3月)'!G$8:G$15)</f>
        <v>2184.5</v>
      </c>
      <c r="E93" s="161">
        <f>SUMIF('内訳ﾘｽﾄ(4～3月)'!$B$8:$B$15,$B93,'内訳ﾘｽﾄ(4～3月)'!H$8:H$15)</f>
        <v>2422.5</v>
      </c>
      <c r="F93" s="161">
        <f>SUMIF('内訳ﾘｽﾄ(4～3月)'!$B$8:$B$15,$B93,'内訳ﾘｽﾄ(4～3月)'!I$8:I$15)</f>
        <v>2660.5</v>
      </c>
      <c r="G93" s="161">
        <f>SUMIF('内訳ﾘｽﾄ(4～3月)'!$B$8:$B$15,$B93,'内訳ﾘｽﾄ(4～3月)'!J$8:J$15)</f>
        <v>2465</v>
      </c>
      <c r="H93" s="161">
        <f>SUMIF('内訳ﾘｽﾄ(4～3月)'!$B$8:$B$15,$B93,'内訳ﾘｽﾄ(4～3月)'!K$8:K$15)</f>
        <v>2337.5</v>
      </c>
      <c r="I93" s="161">
        <f>SUMIF('内訳ﾘｽﾄ(4～3月)'!$B$8:$B$15,$B93,'内訳ﾘｽﾄ(4～3月)'!L$8:L$15)</f>
        <v>2847.5</v>
      </c>
      <c r="J93" s="161">
        <f>SUMIF('内訳ﾘｽﾄ(4～3月)'!$B$8:$B$15,$B93,'内訳ﾘｽﾄ(4～3月)'!M$8:M$15)</f>
        <v>2465</v>
      </c>
      <c r="K93" s="161">
        <f>SUMIF('内訳ﾘｽﾄ(4～3月)'!$B$8:$B$15,$B93,'内訳ﾘｽﾄ(4～3月)'!N$8:N$15)</f>
        <v>2720</v>
      </c>
      <c r="L93" s="161">
        <f ca="1">SUMIF('内訳ﾘｽﾄ(4～3月)'!$B$8:$B$15,$B93,'内訳ﾘｽﾄ(4～3月)'!O$8:O$15)</f>
        <v>3315</v>
      </c>
      <c r="M93" s="161">
        <f ca="1">SUMIF('内訳ﾘｽﾄ(4～3月)'!$B$8:$B$15,$B93,'内訳ﾘｽﾄ(4～3月)'!P$8:P$15)</f>
        <v>2465</v>
      </c>
      <c r="N93" s="161">
        <f ca="1">SUMIF('内訳ﾘｽﾄ(4～3月)'!$B$8:$B$15,$B93,'内訳ﾘｽﾄ(4～3月)'!Q$8:Q$15)</f>
        <v>3315</v>
      </c>
      <c r="O93" s="161">
        <f ca="1">SUMIF('内訳ﾘｽﾄ(4～3月)'!$B$8:$B$15,$B93,'内訳ﾘｽﾄ(4～3月)'!R$8:R$15)</f>
        <v>31501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2303.5</v>
      </c>
      <c r="D94" s="169">
        <f t="shared" si="11"/>
        <v>2184.5</v>
      </c>
      <c r="E94" s="169">
        <f t="shared" si="11"/>
        <v>2422.5</v>
      </c>
      <c r="F94" s="169">
        <f t="shared" si="11"/>
        <v>2660.5</v>
      </c>
      <c r="G94" s="169">
        <f t="shared" si="11"/>
        <v>2465</v>
      </c>
      <c r="H94" s="169">
        <f t="shared" si="11"/>
        <v>2337.5</v>
      </c>
      <c r="I94" s="169">
        <f t="shared" si="11"/>
        <v>2847.5</v>
      </c>
      <c r="J94" s="169">
        <f t="shared" si="11"/>
        <v>2465</v>
      </c>
      <c r="K94" s="169">
        <f t="shared" si="11"/>
        <v>2720</v>
      </c>
      <c r="L94" s="169">
        <f t="shared" ca="1" si="11"/>
        <v>3315</v>
      </c>
      <c r="M94" s="169">
        <f t="shared" ca="1" si="11"/>
        <v>2465</v>
      </c>
      <c r="N94" s="169">
        <f t="shared" ca="1" si="11"/>
        <v>3315</v>
      </c>
      <c r="O94" s="169">
        <f ca="1">O92+O93</f>
        <v>31501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130</v>
      </c>
      <c r="D98" s="161">
        <f>SUMIF('内訳ﾘｽﾄ(4～3月)'!$B$16:$B$23,$B98,'内訳ﾘｽﾄ(4～3月)'!G$16:G$23)</f>
        <v>128</v>
      </c>
      <c r="E98" s="161">
        <f>SUMIF('内訳ﾘｽﾄ(4～3月)'!$B$16:$B$23,$B98,'内訳ﾘｽﾄ(4～3月)'!H$16:H$23)</f>
        <v>82</v>
      </c>
      <c r="F98" s="161">
        <f>SUMIF('内訳ﾘｽﾄ(4～3月)'!$B$16:$B$23,$B98,'内訳ﾘｽﾄ(4～3月)'!I$16:I$23)</f>
        <v>144</v>
      </c>
      <c r="G98" s="161">
        <f>SUMIF('内訳ﾘｽﾄ(4～3月)'!$B$16:$B$23,$B98,'内訳ﾘｽﾄ(4～3月)'!J$16:J$23)</f>
        <v>132</v>
      </c>
      <c r="H98" s="161">
        <f>SUMIF('内訳ﾘｽﾄ(4～3月)'!$B$16:$B$23,$B98,'内訳ﾘｽﾄ(4～3月)'!K$16:K$23)</f>
        <v>126</v>
      </c>
      <c r="I98" s="161">
        <f>SUMIF('内訳ﾘｽﾄ(4～3月)'!$B$16:$B$23,$B98,'内訳ﾘｽﾄ(4～3月)'!L$16:L$23)</f>
        <v>198</v>
      </c>
      <c r="J98" s="161">
        <f>SUMIF('内訳ﾘｽﾄ(4～3月)'!$B$16:$B$23,$B98,'内訳ﾘｽﾄ(4～3月)'!M$16:M$23)</f>
        <v>78</v>
      </c>
      <c r="K98" s="161">
        <f>SUMIF('内訳ﾘｽﾄ(4～3月)'!$B$16:$B$23,$B98,'内訳ﾘｽﾄ(4～3月)'!N$16:N$23)</f>
        <v>84</v>
      </c>
      <c r="L98" s="161">
        <f ca="1">SUMIF('内訳ﾘｽﾄ(4～3月)'!$B$16:$B$23,$B98,'内訳ﾘｽﾄ(4～3月)'!O$16:O$23)</f>
        <v>116</v>
      </c>
      <c r="M98" s="161">
        <f ca="1">SUMIF('内訳ﾘｽﾄ(4～3月)'!$B$16:$B$23,$B98,'内訳ﾘｽﾄ(4～3月)'!P$16:P$23)</f>
        <v>194</v>
      </c>
      <c r="N98" s="161">
        <f ca="1">SUMIF('内訳ﾘｽﾄ(4～3月)'!$B$16:$B$23,$B98,'内訳ﾘｽﾄ(4～3月)'!Q$16:Q$23)</f>
        <v>343</v>
      </c>
      <c r="O98" s="161">
        <f ca="1">SUMIF('内訳ﾘｽﾄ(4～3月)'!$B$16:$B$23,$B98,'内訳ﾘｽﾄ(4～3月)'!R$16:R$23)</f>
        <v>1755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130</v>
      </c>
      <c r="D99" s="169">
        <f t="shared" si="12"/>
        <v>128</v>
      </c>
      <c r="E99" s="169">
        <f t="shared" si="12"/>
        <v>82</v>
      </c>
      <c r="F99" s="169">
        <f t="shared" si="12"/>
        <v>144</v>
      </c>
      <c r="G99" s="169">
        <f t="shared" si="12"/>
        <v>132</v>
      </c>
      <c r="H99" s="169">
        <f t="shared" si="12"/>
        <v>126</v>
      </c>
      <c r="I99" s="169">
        <f t="shared" si="12"/>
        <v>198</v>
      </c>
      <c r="J99" s="169">
        <f t="shared" si="12"/>
        <v>78</v>
      </c>
      <c r="K99" s="169">
        <f t="shared" si="12"/>
        <v>84</v>
      </c>
      <c r="L99" s="169">
        <f t="shared" ca="1" si="12"/>
        <v>116</v>
      </c>
      <c r="M99" s="169">
        <f t="shared" ca="1" si="12"/>
        <v>194</v>
      </c>
      <c r="N99" s="169">
        <f t="shared" ca="1" si="12"/>
        <v>343</v>
      </c>
      <c r="O99" s="169">
        <f ca="1">O97+O98</f>
        <v>1755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C1000"/>
  <sheetViews>
    <sheetView tabSelected="1" zoomScaleNormal="100" workbookViewId="0">
      <pane xSplit="4" ySplit="7" topLeftCell="E120" activePane="bottomRight" state="frozen"/>
      <selection pane="topRight" activeCell="E1" sqref="E1"/>
      <selection pane="bottomLeft" activeCell="A8" sqref="A8"/>
      <selection pane="bottomRight" activeCell="P128" sqref="P128"/>
    </sheetView>
  </sheetViews>
  <sheetFormatPr defaultColWidth="9" defaultRowHeight="11.25"/>
  <cols>
    <col min="1" max="1" width="2" style="1" customWidth="1"/>
    <col min="2" max="2" width="12.375" style="181" customWidth="1"/>
    <col min="3" max="3" width="28.125" style="4" customWidth="1"/>
    <col min="4" max="4" width="19.125" style="4" bestFit="1" customWidth="1"/>
    <col min="5" max="5" width="7.625" style="3" customWidth="1"/>
    <col min="6" max="6" width="13" style="124" hidden="1" customWidth="1"/>
    <col min="7" max="14" width="11.625" style="125" hidden="1" customWidth="1"/>
    <col min="15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aca="1" ref="O3" ca="1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aca="1" ref="P3" ca="1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aca="1" ref="Q3" ca="1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1412000006</v>
      </c>
      <c r="C5" s="7" t="str">
        <f>VLOOKUP($B$5,原価センタ!$A:$E,2,0)</f>
        <v>メカ製造技術1課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52">
        <f t="shared" ref="F5:R5" si="0">SUM(F29:F1000)</f>
        <v>234656875</v>
      </c>
      <c r="G5" s="252">
        <f t="shared" si="0"/>
        <v>167320475</v>
      </c>
      <c r="H5" s="252">
        <f t="shared" si="0"/>
        <v>125481355</v>
      </c>
      <c r="I5" s="252">
        <f t="shared" si="0"/>
        <v>163192713</v>
      </c>
      <c r="J5" s="252">
        <f t="shared" si="0"/>
        <v>227312615</v>
      </c>
      <c r="K5" s="252">
        <f t="shared" si="0"/>
        <v>128171529</v>
      </c>
      <c r="L5" s="252">
        <f t="shared" si="0"/>
        <v>142103739</v>
      </c>
      <c r="M5" s="252">
        <f t="shared" si="0"/>
        <v>125868062</v>
      </c>
      <c r="N5" s="252">
        <f t="shared" si="0"/>
        <v>126186764</v>
      </c>
      <c r="O5" s="252">
        <f t="shared" si="0"/>
        <v>129288999</v>
      </c>
      <c r="P5" s="252">
        <f t="shared" si="0"/>
        <v>161596629</v>
      </c>
      <c r="Q5" s="252">
        <f t="shared" si="0"/>
        <v>137583629</v>
      </c>
      <c r="R5" s="253">
        <f t="shared" si="0"/>
        <v>1868763384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v>2303.5</v>
      </c>
      <c r="G9" s="194">
        <v>2184.5</v>
      </c>
      <c r="H9" s="194">
        <v>2422.5</v>
      </c>
      <c r="I9" s="194">
        <v>2660.5</v>
      </c>
      <c r="J9" s="194">
        <v>2465</v>
      </c>
      <c r="K9" s="194">
        <v>2337.5</v>
      </c>
      <c r="L9" s="194">
        <v>2847.5</v>
      </c>
      <c r="M9" s="194">
        <v>2465</v>
      </c>
      <c r="N9" s="194">
        <v>2720</v>
      </c>
      <c r="O9" s="194">
        <f ca="1">2465+5*8.5*O2</f>
        <v>3315</v>
      </c>
      <c r="P9" s="194">
        <f ca="1">1827.5+5*8.5*P2</f>
        <v>2465</v>
      </c>
      <c r="Q9" s="194">
        <f ca="1">2465+5*8.5*Q2</f>
        <v>3315</v>
      </c>
      <c r="R9" s="195">
        <f t="shared" ref="R9:R23" ca="1" si="1">SUM(F9:Q9)</f>
        <v>31501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130</v>
      </c>
      <c r="G17" s="194">
        <v>128</v>
      </c>
      <c r="H17" s="194">
        <v>82</v>
      </c>
      <c r="I17" s="194">
        <v>144</v>
      </c>
      <c r="J17" s="194">
        <v>132</v>
      </c>
      <c r="K17" s="194">
        <v>126</v>
      </c>
      <c r="L17" s="194">
        <v>198</v>
      </c>
      <c r="M17" s="194">
        <v>78</v>
      </c>
      <c r="N17" s="194">
        <v>84</v>
      </c>
      <c r="O17" s="194">
        <f ca="1">76+1*2*O2</f>
        <v>116</v>
      </c>
      <c r="P17" s="194">
        <f ca="1">164+1*2*P2</f>
        <v>194</v>
      </c>
      <c r="Q17" s="194">
        <f ca="1">78+1*2*Q2+225</f>
        <v>343</v>
      </c>
      <c r="R17" s="205">
        <f t="shared" ca="1" si="1"/>
        <v>1755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.7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14</v>
      </c>
      <c r="G25" s="271">
        <v>14</v>
      </c>
      <c r="H25" s="271">
        <v>14</v>
      </c>
      <c r="I25" s="271">
        <v>14</v>
      </c>
      <c r="J25" s="271">
        <v>15</v>
      </c>
      <c r="K25" s="271">
        <v>15</v>
      </c>
      <c r="L25" s="271">
        <v>15</v>
      </c>
      <c r="M25" s="271">
        <v>15</v>
      </c>
      <c r="N25" s="271">
        <v>15</v>
      </c>
      <c r="O25" s="271">
        <f>15+5</f>
        <v>20</v>
      </c>
      <c r="P25" s="271">
        <f>15+5</f>
        <v>20</v>
      </c>
      <c r="Q25" s="271">
        <f>15+5</f>
        <v>20</v>
      </c>
      <c r="R25" s="272">
        <f>Q25</f>
        <v>20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2">ROUNDDOWN(V26*$B$2,0)</f>
        <v>0</v>
      </c>
      <c r="G26" s="220">
        <f t="shared" si="2"/>
        <v>0</v>
      </c>
      <c r="H26" s="220">
        <f t="shared" si="2"/>
        <v>0</v>
      </c>
      <c r="I26" s="220">
        <f t="shared" si="2"/>
        <v>0</v>
      </c>
      <c r="J26" s="220">
        <f t="shared" si="2"/>
        <v>0</v>
      </c>
      <c r="K26" s="220">
        <f t="shared" si="2"/>
        <v>0</v>
      </c>
      <c r="L26" s="220">
        <f t="shared" si="2"/>
        <v>0</v>
      </c>
      <c r="M26" s="220">
        <f t="shared" si="2"/>
        <v>0</v>
      </c>
      <c r="N26" s="220">
        <f t="shared" si="2"/>
        <v>0</v>
      </c>
      <c r="O26" s="220">
        <f t="shared" si="2"/>
        <v>0</v>
      </c>
      <c r="P26" s="220">
        <f t="shared" si="2"/>
        <v>0</v>
      </c>
      <c r="Q26" s="220">
        <f t="shared" si="2"/>
        <v>0</v>
      </c>
      <c r="R26" s="221">
        <f t="shared" ref="R26:R118" si="3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2"/>
        <v>0</v>
      </c>
      <c r="G27" s="230">
        <f t="shared" si="2"/>
        <v>0</v>
      </c>
      <c r="H27" s="230">
        <f t="shared" si="2"/>
        <v>0</v>
      </c>
      <c r="I27" s="230">
        <f t="shared" si="2"/>
        <v>0</v>
      </c>
      <c r="J27" s="230">
        <f t="shared" si="2"/>
        <v>0</v>
      </c>
      <c r="K27" s="230">
        <f t="shared" si="2"/>
        <v>0</v>
      </c>
      <c r="L27" s="230">
        <f t="shared" si="2"/>
        <v>0</v>
      </c>
      <c r="M27" s="230">
        <f t="shared" si="2"/>
        <v>0</v>
      </c>
      <c r="N27" s="230">
        <f t="shared" si="2"/>
        <v>0</v>
      </c>
      <c r="O27" s="230">
        <f t="shared" si="2"/>
        <v>0</v>
      </c>
      <c r="P27" s="230">
        <f t="shared" si="2"/>
        <v>0</v>
      </c>
      <c r="Q27" s="230">
        <f t="shared" si="2"/>
        <v>0</v>
      </c>
      <c r="R27" s="221">
        <f t="shared" si="3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2"/>
        <v>0</v>
      </c>
      <c r="G28" s="230">
        <f t="shared" si="2"/>
        <v>0</v>
      </c>
      <c r="H28" s="230">
        <f t="shared" si="2"/>
        <v>0</v>
      </c>
      <c r="I28" s="230">
        <f t="shared" si="2"/>
        <v>0</v>
      </c>
      <c r="J28" s="230">
        <f t="shared" si="2"/>
        <v>0</v>
      </c>
      <c r="K28" s="230">
        <f t="shared" si="2"/>
        <v>0</v>
      </c>
      <c r="L28" s="230">
        <f t="shared" si="2"/>
        <v>0</v>
      </c>
      <c r="M28" s="230">
        <f t="shared" si="2"/>
        <v>0</v>
      </c>
      <c r="N28" s="230">
        <f t="shared" si="2"/>
        <v>0</v>
      </c>
      <c r="O28" s="230">
        <f t="shared" si="2"/>
        <v>0</v>
      </c>
      <c r="P28" s="230">
        <f t="shared" si="2"/>
        <v>0</v>
      </c>
      <c r="Q28" s="230">
        <f t="shared" si="2"/>
        <v>0</v>
      </c>
      <c r="R28" s="221">
        <f t="shared" si="3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4">ROUNDUP(V29*$B$2,0)</f>
        <v>0</v>
      </c>
      <c r="G29" s="235">
        <f t="shared" si="4"/>
        <v>0</v>
      </c>
      <c r="H29" s="235">
        <f t="shared" si="4"/>
        <v>0</v>
      </c>
      <c r="I29" s="235">
        <f t="shared" si="4"/>
        <v>0</v>
      </c>
      <c r="J29" s="235">
        <f t="shared" si="4"/>
        <v>0</v>
      </c>
      <c r="K29" s="235">
        <f t="shared" si="4"/>
        <v>0</v>
      </c>
      <c r="L29" s="235">
        <f t="shared" si="4"/>
        <v>0</v>
      </c>
      <c r="M29" s="235">
        <f t="shared" si="4"/>
        <v>0</v>
      </c>
      <c r="N29" s="235">
        <f t="shared" si="4"/>
        <v>0</v>
      </c>
      <c r="O29" s="235">
        <f t="shared" si="4"/>
        <v>0</v>
      </c>
      <c r="P29" s="235">
        <f t="shared" si="4"/>
        <v>0</v>
      </c>
      <c r="Q29" s="235">
        <f t="shared" si="4"/>
        <v>0</v>
      </c>
      <c r="R29" s="236">
        <f t="shared" si="3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3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3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3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3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3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3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5005136281</v>
      </c>
      <c r="C38" s="183" t="str">
        <f>IFERROR(IF(VLOOKUP($B38,勘定科目!$A:$H,HLOOKUP($E$5,勘定科目!$F$1:$H$2,2,0),0)="","",VLOOKUP($B38,勘定科目!$A:$E,2,0)),"")</f>
        <v>通信費（製）</v>
      </c>
      <c r="D38" s="239" t="str">
        <f>IF(C38="","",VLOOKUP($B38,勘定科目!$A:$E,4,0))</f>
        <v>通信費</v>
      </c>
      <c r="E38" s="245"/>
      <c r="F38" s="194">
        <f>99000*2</f>
        <v>198000</v>
      </c>
      <c r="G38" s="194">
        <f t="shared" ref="G38:N38" si="5">99000*2</f>
        <v>198000</v>
      </c>
      <c r="H38" s="194">
        <f t="shared" si="5"/>
        <v>198000</v>
      </c>
      <c r="I38" s="194">
        <f t="shared" si="5"/>
        <v>198000</v>
      </c>
      <c r="J38" s="194">
        <f t="shared" si="5"/>
        <v>198000</v>
      </c>
      <c r="K38" s="194">
        <f t="shared" si="5"/>
        <v>198000</v>
      </c>
      <c r="L38" s="194">
        <f t="shared" si="5"/>
        <v>198000</v>
      </c>
      <c r="M38" s="194">
        <f t="shared" si="5"/>
        <v>198000</v>
      </c>
      <c r="N38" s="194">
        <f t="shared" si="5"/>
        <v>198000</v>
      </c>
      <c r="O38" s="212">
        <f>99000*4</f>
        <v>396000</v>
      </c>
      <c r="P38" s="212">
        <f>99000*4</f>
        <v>396000</v>
      </c>
      <c r="Q38" s="212">
        <f>99000*4</f>
        <v>396000</v>
      </c>
      <c r="R38" s="200">
        <f t="shared" si="3"/>
        <v>2970000</v>
      </c>
      <c r="S38" s="201" t="s">
        <v>696</v>
      </c>
      <c r="T38" s="202"/>
      <c r="U38" s="246"/>
      <c r="V38" s="246"/>
      <c r="W38" s="246"/>
      <c r="BA38"/>
      <c r="BB38"/>
    </row>
    <row r="39" spans="1:54" s="191" customFormat="1" ht="13.5">
      <c r="A39" s="226"/>
      <c r="B39" s="180">
        <v>5005136281</v>
      </c>
      <c r="C39" s="183" t="str">
        <f>IFERROR(IF(VLOOKUP($B39,勘定科目!$A:$H,HLOOKUP($E$5,勘定科目!$F$1:$H$2,2,0),0)="","",VLOOKUP($B39,勘定科目!$A:$E,2,0)),"")</f>
        <v>通信費（製）</v>
      </c>
      <c r="D39" s="239" t="str">
        <f>IF(C39="","",VLOOKUP($B39,勘定科目!$A:$E,4,0))</f>
        <v>通信費</v>
      </c>
      <c r="E39" s="245"/>
      <c r="F39" s="194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00">
        <f t="shared" si="3"/>
        <v>0</v>
      </c>
      <c r="S39" s="201"/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5005066281</v>
      </c>
      <c r="C40" s="183" t="str">
        <f>IFERROR(IF(VLOOKUP($B40,勘定科目!$A:$H,HLOOKUP($E$5,勘定科目!$F$1:$H$2,2,0),0)="","",VLOOKUP($B40,勘定科目!$A:$E,2,0)),"")</f>
        <v>電気代（製）</v>
      </c>
      <c r="D40" s="239" t="str">
        <f>IF(C40="","",VLOOKUP($B40,勘定科目!$A:$E,4,0))</f>
        <v>水道光熱費</v>
      </c>
      <c r="E40" s="245"/>
      <c r="F40" s="194">
        <v>789900</v>
      </c>
      <c r="G40" s="247">
        <v>800538</v>
      </c>
      <c r="H40" s="247">
        <v>1003526</v>
      </c>
      <c r="I40" s="247">
        <v>1080720</v>
      </c>
      <c r="J40" s="247">
        <v>1146360</v>
      </c>
      <c r="K40" s="247">
        <v>1051489</v>
      </c>
      <c r="L40" s="247">
        <v>1067300</v>
      </c>
      <c r="M40" s="247">
        <v>948711</v>
      </c>
      <c r="N40" s="247">
        <v>909182</v>
      </c>
      <c r="O40" s="303">
        <f>790593+162275</f>
        <v>952868</v>
      </c>
      <c r="P40" s="303">
        <f>790593+162275</f>
        <v>952868</v>
      </c>
      <c r="Q40" s="303">
        <f>632474+129820</f>
        <v>762294</v>
      </c>
      <c r="R40" s="200">
        <f t="shared" si="3"/>
        <v>11465756</v>
      </c>
      <c r="S40" s="201" t="s">
        <v>697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5005066282</v>
      </c>
      <c r="C41" s="183" t="str">
        <f>IFERROR(IF(VLOOKUP($B41,勘定科目!$A:$H,HLOOKUP($E$5,勘定科目!$F$1:$H$2,2,0),0)="","",VLOOKUP($B41,勘定科目!$A:$E,2,0)),"")</f>
        <v>水道代（製）</v>
      </c>
      <c r="D41" s="239" t="str">
        <f>IF(C41="","",VLOOKUP($B41,勘定科目!$A:$E,4,0))</f>
        <v>水道光熱費</v>
      </c>
      <c r="E41" s="245"/>
      <c r="F41" s="194">
        <v>406883</v>
      </c>
      <c r="G41" s="247">
        <v>449672</v>
      </c>
      <c r="H41" s="247">
        <v>507880</v>
      </c>
      <c r="I41" s="247">
        <v>725289</v>
      </c>
      <c r="J41" s="247">
        <v>695998</v>
      </c>
      <c r="K41" s="247">
        <v>603913</v>
      </c>
      <c r="L41" s="247">
        <v>413697</v>
      </c>
      <c r="M41" s="247">
        <v>576230</v>
      </c>
      <c r="N41" s="247">
        <v>575505</v>
      </c>
      <c r="O41" s="303">
        <f>390247+130082</f>
        <v>520329</v>
      </c>
      <c r="P41" s="303">
        <f>292632+97544</f>
        <v>390176</v>
      </c>
      <c r="Q41" s="303">
        <f>340006+113336</f>
        <v>453342</v>
      </c>
      <c r="R41" s="200">
        <f t="shared" si="3"/>
        <v>6318914</v>
      </c>
      <c r="S41" s="201" t="s">
        <v>698</v>
      </c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5005056281</v>
      </c>
      <c r="C42" s="183" t="str">
        <f>IFERROR(IF(VLOOKUP($B42,勘定科目!$A:$H,HLOOKUP($E$5,勘定科目!$F$1:$H$2,2,0),0)="","",VLOOKUP($B42,勘定科目!$A:$E,2,0)),"")</f>
        <v>ガス代（製）</v>
      </c>
      <c r="D42" s="239" t="str">
        <f>IF(C42="","",VLOOKUP($B42,勘定科目!$A:$E,4,0))</f>
        <v>水道光熱費</v>
      </c>
      <c r="E42" s="245"/>
      <c r="F42" s="267">
        <f>13*40366</f>
        <v>524758</v>
      </c>
      <c r="G42" s="302">
        <f>14*39111</f>
        <v>547554</v>
      </c>
      <c r="H42" s="302">
        <f>14*44856</f>
        <v>627984</v>
      </c>
      <c r="I42" s="302">
        <f>14*46929</f>
        <v>657006</v>
      </c>
      <c r="J42" s="302">
        <f>14*42688</f>
        <v>597632</v>
      </c>
      <c r="K42" s="247">
        <f>15*38491</f>
        <v>577365</v>
      </c>
      <c r="L42" s="247">
        <f>15*46977</f>
        <v>704655</v>
      </c>
      <c r="M42" s="247">
        <f>15*41126</f>
        <v>616890</v>
      </c>
      <c r="N42" s="247">
        <f>15*44086</f>
        <v>661290</v>
      </c>
      <c r="O42" s="303">
        <f>20*42459</f>
        <v>849180</v>
      </c>
      <c r="P42" s="303">
        <f>20*32894</f>
        <v>657880</v>
      </c>
      <c r="Q42" s="303">
        <f>20*42542</f>
        <v>850840</v>
      </c>
      <c r="R42" s="200">
        <f t="shared" si="3"/>
        <v>7873034</v>
      </c>
      <c r="S42" s="201" t="s">
        <v>699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/>
      <c r="C43" s="183" t="str">
        <f>IFERROR(IF(VLOOKUP($B43,勘定科目!$A:$H,HLOOKUP($E$5,勘定科目!$F$1:$H$2,2,0),0)="","",VLOOKUP($B43,勘定科目!$A:$E,2,0)),"")</f>
        <v/>
      </c>
      <c r="D43" s="239" t="str">
        <f>IF(C43="","",VLOOKUP($B43,勘定科目!$A:$E,4,0))</f>
        <v/>
      </c>
      <c r="E43" s="245"/>
      <c r="F43" s="267"/>
      <c r="G43" s="302"/>
      <c r="H43" s="302"/>
      <c r="I43" s="302"/>
      <c r="J43" s="302"/>
      <c r="K43" s="247"/>
      <c r="L43" s="247"/>
      <c r="M43" s="247"/>
      <c r="N43" s="247"/>
      <c r="O43" s="247"/>
      <c r="P43" s="247"/>
      <c r="Q43" s="247"/>
      <c r="R43" s="200">
        <f t="shared" si="3"/>
        <v>0</v>
      </c>
      <c r="S43" s="201"/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5005246286</v>
      </c>
      <c r="C44" s="183" t="str">
        <f>IFERROR(IF(VLOOKUP($B44,勘定科目!$A:$H,HLOOKUP($E$5,勘定科目!$F$1:$H$2,2,0),0)="","",VLOOKUP($B44,勘定科目!$A:$E,2,0)),"")</f>
        <v>その他手数料（製）</v>
      </c>
      <c r="D44" s="239" t="str">
        <f>IF(C44="","",VLOOKUP($B44,勘定科目!$A:$E,4,0))</f>
        <v>手数料</v>
      </c>
      <c r="E44" s="245"/>
      <c r="F44" s="267">
        <f>13*56247</f>
        <v>731211</v>
      </c>
      <c r="G44" s="302">
        <f>14*56462</f>
        <v>790468</v>
      </c>
      <c r="H44" s="302">
        <f>14*58201</f>
        <v>814814</v>
      </c>
      <c r="I44" s="302">
        <f>14*53306</f>
        <v>746284</v>
      </c>
      <c r="J44" s="302">
        <f>14*51891</f>
        <v>726474</v>
      </c>
      <c r="K44" s="247">
        <f>15*49590</f>
        <v>743850</v>
      </c>
      <c r="L44" s="247">
        <f>15*47432</f>
        <v>711480</v>
      </c>
      <c r="M44" s="247">
        <f>15*46844</f>
        <v>702660</v>
      </c>
      <c r="N44" s="247">
        <f>15*46977</f>
        <v>704655</v>
      </c>
      <c r="O44" s="303">
        <f>20*44968</f>
        <v>899360</v>
      </c>
      <c r="P44" s="303">
        <f>20*42562</f>
        <v>851240</v>
      </c>
      <c r="Q44" s="303">
        <f>20*44540</f>
        <v>890800</v>
      </c>
      <c r="R44" s="200">
        <f t="shared" si="3"/>
        <v>9313296</v>
      </c>
      <c r="S44" s="201" t="s">
        <v>700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80"/>
      <c r="C45" s="183" t="str">
        <f>IFERROR(IF(VLOOKUP($B45,勘定科目!$A:$H,HLOOKUP($E$5,勘定科目!$F$1:$H$2,2,0),0)="","",VLOOKUP($B45,勘定科目!$A:$E,2,0)),"")</f>
        <v/>
      </c>
      <c r="D45" s="239" t="str">
        <f>IF(C45="","",VLOOKUP($B45,勘定科目!$A:$E,4,0))</f>
        <v/>
      </c>
      <c r="E45" s="245"/>
      <c r="F45" s="267"/>
      <c r="G45" s="302"/>
      <c r="H45" s="302"/>
      <c r="I45" s="302"/>
      <c r="J45" s="302"/>
      <c r="K45" s="247"/>
      <c r="L45" s="247"/>
      <c r="M45" s="247"/>
      <c r="N45" s="247"/>
      <c r="O45" s="247"/>
      <c r="P45" s="247"/>
      <c r="Q45" s="247"/>
      <c r="R45" s="200">
        <f t="shared" si="3"/>
        <v>0</v>
      </c>
      <c r="S45" s="201"/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5006016260</v>
      </c>
      <c r="C46" s="183" t="str">
        <f>IFERROR(IF(VLOOKUP($B46,勘定科目!$A:$H,HLOOKUP($E$5,勘定科目!$F$1:$H$2,2,0),0)="","",VLOOKUP($B46,勘定科目!$A:$E,2,0)),"")</f>
        <v>減価償却費配賦（製）　建物</v>
      </c>
      <c r="D46" s="239" t="str">
        <f>IF(C46="","",VLOOKUP($B46,勘定科目!$A:$E,4,0))</f>
        <v>減価償却費</v>
      </c>
      <c r="E46" s="245"/>
      <c r="F46" s="194">
        <f>ROUND(218.5*25390,0)</f>
        <v>5547715</v>
      </c>
      <c r="G46" s="194">
        <f>ROUND(216.14*25390,0)</f>
        <v>5487795</v>
      </c>
      <c r="H46" s="194">
        <f>ROUND(216.21*25390,0)</f>
        <v>5489572</v>
      </c>
      <c r="I46" s="194">
        <f>ROUND(215.85*25390,0)</f>
        <v>5480432</v>
      </c>
      <c r="J46" s="194">
        <f>ROUND(226.06*25390,0)</f>
        <v>5739663</v>
      </c>
      <c r="K46" s="194">
        <f>ROUND(225.96*25390,0)</f>
        <v>5737124</v>
      </c>
      <c r="L46" s="194">
        <f>ROUND(225.81*25390,0)</f>
        <v>5733316</v>
      </c>
      <c r="M46" s="194">
        <f>ROUND(225.76*25390,0)</f>
        <v>5732046</v>
      </c>
      <c r="N46" s="194">
        <f>ROUND(225.79*25390,0)</f>
        <v>5732808</v>
      </c>
      <c r="O46" s="212">
        <f>ROUND(225.68*25390,0)+1593443</f>
        <v>7323458</v>
      </c>
      <c r="P46" s="212">
        <f>ROUND(225.52*25390,0)+1592063</f>
        <v>7318016</v>
      </c>
      <c r="Q46" s="212">
        <f>ROUND(225.69*25390,0)+1593498</f>
        <v>7323767</v>
      </c>
      <c r="R46" s="200">
        <f t="shared" si="3"/>
        <v>72645712</v>
      </c>
      <c r="S46" s="201" t="s">
        <v>701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5006016261</v>
      </c>
      <c r="C47" s="183" t="str">
        <f>IFERROR(IF(VLOOKUP($B47,勘定科目!$A:$H,HLOOKUP($E$5,勘定科目!$F$1:$H$2,2,0),0)="","",VLOOKUP($B47,勘定科目!$A:$E,2,0)),"")</f>
        <v>減価償却費配賦（製）　土地使用権</v>
      </c>
      <c r="D47" s="239" t="str">
        <f>IF(C47="","",VLOOKUP($B47,勘定科目!$A:$E,4,0))</f>
        <v>減価償却費</v>
      </c>
      <c r="E47" s="245"/>
      <c r="F47" s="194">
        <f>ROUND(14.75*25390,0)</f>
        <v>374503</v>
      </c>
      <c r="G47" s="194">
        <f>ROUND(14.59*25390,0)</f>
        <v>370440</v>
      </c>
      <c r="H47" s="194">
        <f>ROUND(14.59*25390,0)</f>
        <v>370440</v>
      </c>
      <c r="I47" s="194">
        <f>ROUND(14.57*25390,0)</f>
        <v>369932</v>
      </c>
      <c r="J47" s="194">
        <f>ROUND(15.26*25390,0)</f>
        <v>387451</v>
      </c>
      <c r="K47" s="194">
        <f>ROUND(15.25*25390,0)</f>
        <v>387198</v>
      </c>
      <c r="L47" s="194">
        <f>ROUND(15.24*25390,0)</f>
        <v>386944</v>
      </c>
      <c r="M47" s="194">
        <f t="shared" ref="M47:N47" si="6">ROUND(15.24*25390,0)</f>
        <v>386944</v>
      </c>
      <c r="N47" s="194">
        <f t="shared" si="6"/>
        <v>386944</v>
      </c>
      <c r="O47" s="212">
        <f>ROUND(15.23*25390,0)+107576</f>
        <v>494266</v>
      </c>
      <c r="P47" s="212">
        <f>ROUND(15.22*25390,0)+107466</f>
        <v>493902</v>
      </c>
      <c r="Q47" s="212">
        <f>ROUND(15.23*25390,0)+107576</f>
        <v>494266</v>
      </c>
      <c r="R47" s="200">
        <f t="shared" si="3"/>
        <v>4903230</v>
      </c>
      <c r="S47" s="201" t="s">
        <v>702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5006016244</v>
      </c>
      <c r="C48" s="183" t="str">
        <f>IFERROR(IF(VLOOKUP($B48,勘定科目!$A:$H,HLOOKUP($E$5,勘定科目!$F$1:$H$2,2,0),0)="","",VLOOKUP($B48,勘定科目!$A:$E,2,0)),"")</f>
        <v>減価償却費（製）　工具器具備品</v>
      </c>
      <c r="D48" s="239" t="str">
        <f>IF(C48="","",VLOOKUP($B48,勘定科目!$A:$E,4,0))</f>
        <v>減価償却費</v>
      </c>
      <c r="E48" s="245"/>
      <c r="F48" s="194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00">
        <f t="shared" si="3"/>
        <v>0</v>
      </c>
      <c r="S48" s="201" t="s">
        <v>703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/>
      <c r="C49" s="183" t="str">
        <f>IFERROR(IF(VLOOKUP($B49,勘定科目!$A:$H,HLOOKUP($E$5,勘定科目!$F$1:$H$2,2,0),0)="","",VLOOKUP($B49,勘定科目!$A:$E,2,0)),"")</f>
        <v/>
      </c>
      <c r="D49" s="239" t="str">
        <f>IF(C49="","",VLOOKUP($B49,勘定科目!$A:$E,4,0))</f>
        <v/>
      </c>
      <c r="E49" s="245"/>
      <c r="F49" s="194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00">
        <f t="shared" si="3"/>
        <v>0</v>
      </c>
      <c r="S49" s="201"/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9" t="str">
        <f>IF(C50="","",VLOOKUP($B50,勘定科目!$A:$E,4,0))</f>
        <v>固定資産金利</v>
      </c>
      <c r="E50" s="245"/>
      <c r="F50" s="194">
        <f>ROUND(148.31*25390,0)</f>
        <v>3765591</v>
      </c>
      <c r="G50" s="194">
        <f>ROUND(138.93*25390,0)</f>
        <v>3527433</v>
      </c>
      <c r="H50" s="194">
        <f>ROUND(138.98*25390,0)</f>
        <v>3528702</v>
      </c>
      <c r="I50" s="194">
        <f>ROUND(138.74*25390,0)</f>
        <v>3522609</v>
      </c>
      <c r="J50" s="194">
        <f>ROUND(145.31*25390,0)</f>
        <v>3689421</v>
      </c>
      <c r="K50" s="194">
        <f>ROUND(145.24*25390,0)</f>
        <v>3687644</v>
      </c>
      <c r="L50" s="194">
        <f>ROUND(145.14*25390,0)</f>
        <v>3685105</v>
      </c>
      <c r="M50" s="194">
        <f>ROUND(145.12*25390,0)</f>
        <v>3684597</v>
      </c>
      <c r="N50" s="194">
        <f>ROUND(145.13*25390,0)</f>
        <v>3684851</v>
      </c>
      <c r="O50" s="212">
        <f>ROUND(145.06*25390,0)+1024266</f>
        <v>4707339</v>
      </c>
      <c r="P50" s="212">
        <f>ROUND(144.96*25390,0)+1023382</f>
        <v>4703916</v>
      </c>
      <c r="Q50" s="212">
        <f>ROUND(145.07*25390,0)+1024266</f>
        <v>4707593</v>
      </c>
      <c r="R50" s="200">
        <f t="shared" si="3"/>
        <v>46894801</v>
      </c>
      <c r="S50" s="201" t="s">
        <v>704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9114120007</v>
      </c>
      <c r="C51" s="183" t="str">
        <f>IFERROR(IF(VLOOKUP($B51,勘定科目!$A:$H,HLOOKUP($E$5,勘定科目!$F$1:$H$2,2,0),0)="","",VLOOKUP($B51,勘定科目!$A:$E,2,0)),"")</f>
        <v>社内金利（固定資産）</v>
      </c>
      <c r="D51" s="239" t="str">
        <f>IF(C51="","",VLOOKUP($B51,勘定科目!$A:$E,4,0))</f>
        <v>固定資産金利</v>
      </c>
      <c r="E51" s="245"/>
      <c r="F51" s="194">
        <f>ROUND(18.34*25390,0)</f>
        <v>465653</v>
      </c>
      <c r="G51" s="194">
        <f>ROUND(17.61*25390,0)</f>
        <v>447118</v>
      </c>
      <c r="H51" s="194">
        <f>ROUND(17.62*25390,0)</f>
        <v>447372</v>
      </c>
      <c r="I51" s="194">
        <f>ROUND(17.59*25390,0)</f>
        <v>446610</v>
      </c>
      <c r="J51" s="194">
        <f>ROUND(18.42*25390,0)</f>
        <v>467684</v>
      </c>
      <c r="K51" s="194">
        <f t="shared" ref="K51" si="7">ROUND(18.42*25390,0)</f>
        <v>467684</v>
      </c>
      <c r="L51" s="194">
        <f>ROUND(18.4*25390,0)</f>
        <v>467176</v>
      </c>
      <c r="M51" s="194">
        <f>ROUND(18.4*25390,0)</f>
        <v>467176</v>
      </c>
      <c r="N51" s="194">
        <f>ROUND(18.4*25390,0)</f>
        <v>467176</v>
      </c>
      <c r="O51" s="212">
        <f>ROUND(18.39*25390,0)+129875</f>
        <v>596797</v>
      </c>
      <c r="P51" s="212">
        <f>ROUND(18.38*25390,0)+129765</f>
        <v>596433</v>
      </c>
      <c r="Q51" s="212">
        <f>ROUND(18.39*25390,0)+129875</f>
        <v>596797</v>
      </c>
      <c r="R51" s="200">
        <f t="shared" si="3"/>
        <v>5933676</v>
      </c>
      <c r="S51" s="201" t="s">
        <v>705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9" t="str">
        <f>IF(C52="","",VLOOKUP($B52,勘定科目!$A:$E,4,0))</f>
        <v>固定資産金利</v>
      </c>
      <c r="E52" s="245"/>
      <c r="F52" s="194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00">
        <f t="shared" si="3"/>
        <v>0</v>
      </c>
      <c r="S52" s="201" t="s">
        <v>706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/>
      <c r="C53" s="183" t="str">
        <f>IFERROR(IF(VLOOKUP($B53,勘定科目!$A:$H,HLOOKUP($E$5,勘定科目!$F$1:$H$2,2,0),0)="","",VLOOKUP($B53,勘定科目!$A:$E,2,0)),"")</f>
        <v/>
      </c>
      <c r="D53" s="239" t="str">
        <f>IF(C53="","",VLOOKUP($B53,勘定科目!$A:$E,4,0))</f>
        <v/>
      </c>
      <c r="E53" s="245"/>
      <c r="F53" s="267"/>
      <c r="G53" s="302"/>
      <c r="H53" s="302"/>
      <c r="I53" s="302"/>
      <c r="J53" s="302"/>
      <c r="K53" s="302"/>
      <c r="L53" s="302"/>
      <c r="M53" s="302"/>
      <c r="N53" s="302"/>
      <c r="O53" s="302"/>
      <c r="P53" s="302"/>
      <c r="Q53" s="302"/>
      <c r="R53" s="200">
        <f t="shared" si="3"/>
        <v>0</v>
      </c>
      <c r="S53" s="201"/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39" t="str">
        <f>IF(C54="","",VLOOKUP($B54,勘定科目!$A:$E,4,0))</f>
        <v>福利厚生費</v>
      </c>
      <c r="E54" s="245"/>
      <c r="F54" s="267">
        <f>(165000+175000)*2*14</f>
        <v>9520000</v>
      </c>
      <c r="G54" s="302"/>
      <c r="H54" s="302"/>
      <c r="I54" s="302"/>
      <c r="J54" s="302"/>
      <c r="K54" s="302"/>
      <c r="L54" s="302">
        <f>175000*2</f>
        <v>350000</v>
      </c>
      <c r="M54" s="302"/>
      <c r="N54" s="302"/>
      <c r="O54" s="302"/>
      <c r="P54" s="302"/>
      <c r="Q54" s="302"/>
      <c r="R54" s="200">
        <f t="shared" si="3"/>
        <v>9870000</v>
      </c>
      <c r="S54" s="201" t="s">
        <v>707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5004086291</v>
      </c>
      <c r="C55" s="183" t="str">
        <f>IFERROR(IF(VLOOKUP($B55,勘定科目!$A:$H,HLOOKUP($E$5,勘定科目!$F$1:$H$2,2,0),0)="","",VLOOKUP($B55,勘定科目!$A:$E,2,0)),"")</f>
        <v>福利厚生費（製）</v>
      </c>
      <c r="D55" s="239" t="str">
        <f>IF(C55="","",VLOOKUP($B55,勘定科目!$A:$E,4,0))</f>
        <v>福利厚生費</v>
      </c>
      <c r="E55" s="245"/>
      <c r="F55" s="267"/>
      <c r="G55" s="302"/>
      <c r="H55" s="302"/>
      <c r="I55" s="302"/>
      <c r="J55" s="302">
        <f>165000*2</f>
        <v>330000</v>
      </c>
      <c r="K55" s="302"/>
      <c r="L55" s="302"/>
      <c r="M55" s="302"/>
      <c r="N55" s="302"/>
      <c r="O55" s="302"/>
      <c r="P55" s="302"/>
      <c r="Q55" s="302"/>
      <c r="R55" s="200">
        <f t="shared" si="3"/>
        <v>330000</v>
      </c>
      <c r="S55" s="201" t="s">
        <v>708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9" t="str">
        <f>IF(C56="","",VLOOKUP($B56,勘定科目!$A:$E,4,0))</f>
        <v>福利厚生費</v>
      </c>
      <c r="E56" s="245"/>
      <c r="F56" s="267">
        <f>116000*2</f>
        <v>232000</v>
      </c>
      <c r="G56" s="302"/>
      <c r="H56" s="302"/>
      <c r="I56" s="302"/>
      <c r="J56" s="267">
        <f>116000*2</f>
        <v>232000</v>
      </c>
      <c r="K56" s="302"/>
      <c r="L56" s="302"/>
      <c r="M56" s="302"/>
      <c r="N56" s="302"/>
      <c r="O56" s="302"/>
      <c r="P56" s="302"/>
      <c r="Q56" s="302"/>
      <c r="R56" s="200">
        <f t="shared" si="3"/>
        <v>464000</v>
      </c>
      <c r="S56" s="201" t="s">
        <v>709</v>
      </c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9" t="str">
        <f>IF(C57="","",VLOOKUP($B57,勘定科目!$A:$E,4,0))</f>
        <v>福利厚生費</v>
      </c>
      <c r="E57" s="245"/>
      <c r="F57" s="267">
        <v>84000</v>
      </c>
      <c r="G57" s="302"/>
      <c r="H57" s="302"/>
      <c r="I57" s="302"/>
      <c r="J57" s="267">
        <v>84000</v>
      </c>
      <c r="K57" s="302"/>
      <c r="L57" s="302"/>
      <c r="M57" s="302"/>
      <c r="N57" s="302"/>
      <c r="O57" s="302"/>
      <c r="P57" s="302"/>
      <c r="Q57" s="302"/>
      <c r="R57" s="200">
        <f t="shared" si="3"/>
        <v>168000</v>
      </c>
      <c r="S57" s="201" t="s">
        <v>710</v>
      </c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9" t="str">
        <f>IF(C58="","",VLOOKUP($B58,勘定科目!$A:$E,4,0))</f>
        <v>福利厚生費</v>
      </c>
      <c r="E58" s="245"/>
      <c r="F58" s="267">
        <f>2*39000</f>
        <v>78000</v>
      </c>
      <c r="G58" s="302"/>
      <c r="H58" s="302"/>
      <c r="I58" s="302"/>
      <c r="J58" s="267">
        <f>2*39000</f>
        <v>78000</v>
      </c>
      <c r="K58" s="302"/>
      <c r="L58" s="302"/>
      <c r="M58" s="302"/>
      <c r="N58" s="302"/>
      <c r="O58" s="302"/>
      <c r="P58" s="302"/>
      <c r="Q58" s="302"/>
      <c r="R58" s="200">
        <f t="shared" si="3"/>
        <v>156000</v>
      </c>
      <c r="S58" s="201" t="s">
        <v>711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245"/>
      <c r="F59" s="267"/>
      <c r="G59" s="302"/>
      <c r="H59" s="302"/>
      <c r="I59" s="302"/>
      <c r="J59" s="302"/>
      <c r="K59" s="302"/>
      <c r="L59" s="302"/>
      <c r="M59" s="302"/>
      <c r="N59" s="302"/>
      <c r="O59" s="302"/>
      <c r="P59" s="302"/>
      <c r="Q59" s="302"/>
      <c r="R59" s="200">
        <f t="shared" si="3"/>
        <v>0</v>
      </c>
      <c r="S59" s="201" t="s">
        <v>712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245"/>
      <c r="F60" s="267">
        <f>163000*2</f>
        <v>326000</v>
      </c>
      <c r="G60" s="302"/>
      <c r="H60" s="267">
        <f>163000*2</f>
        <v>326000</v>
      </c>
      <c r="I60" s="302"/>
      <c r="J60" s="267">
        <f>163000*1</f>
        <v>163000</v>
      </c>
      <c r="K60" s="267">
        <f>163000*1</f>
        <v>163000</v>
      </c>
      <c r="L60" s="302"/>
      <c r="M60" s="267">
        <f>163000*1</f>
        <v>163000</v>
      </c>
      <c r="N60" s="267">
        <f>163000*2</f>
        <v>326000</v>
      </c>
      <c r="O60" s="304">
        <f>163000*2*2</f>
        <v>652000</v>
      </c>
      <c r="P60" s="304">
        <f>163000*3</f>
        <v>489000</v>
      </c>
      <c r="Q60" s="304">
        <f>163000*3</f>
        <v>489000</v>
      </c>
      <c r="R60" s="200">
        <f t="shared" si="3"/>
        <v>3097000</v>
      </c>
      <c r="S60" s="201" t="s">
        <v>771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9" t="str">
        <f>IF(C61="","",VLOOKUP($B61,勘定科目!$A:$E,4,0))</f>
        <v>福利厚生費</v>
      </c>
      <c r="E61" s="245"/>
      <c r="F61" s="267"/>
      <c r="G61" s="302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200">
        <f t="shared" si="3"/>
        <v>0</v>
      </c>
      <c r="S61" s="201" t="s">
        <v>713</v>
      </c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9" t="str">
        <f>IF(C62="","",VLOOKUP($B62,勘定科目!$A:$E,4,0))</f>
        <v>福利厚生費</v>
      </c>
      <c r="E62" s="245"/>
      <c r="F62" s="267"/>
      <c r="G62" s="302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200">
        <f t="shared" si="3"/>
        <v>0</v>
      </c>
      <c r="S62" s="201" t="s">
        <v>714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39" t="str">
        <f>IF(C63="","",VLOOKUP($B63,勘定科目!$A:$E,4,0))</f>
        <v>福利厚生費</v>
      </c>
      <c r="E63" s="245"/>
      <c r="F63" s="267"/>
      <c r="G63" s="302">
        <f>14*1890000</f>
        <v>26460000</v>
      </c>
      <c r="H63" s="302"/>
      <c r="I63" s="302"/>
      <c r="J63" s="302"/>
      <c r="K63" s="302"/>
      <c r="L63" s="302"/>
      <c r="M63" s="302"/>
      <c r="N63" s="302"/>
      <c r="O63" s="302"/>
      <c r="P63" s="302"/>
      <c r="Q63" s="302"/>
      <c r="R63" s="200">
        <f t="shared" si="3"/>
        <v>26460000</v>
      </c>
      <c r="S63" s="201" t="s">
        <v>769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9" t="str">
        <f>IF(C64="","",VLOOKUP($B64,勘定科目!$A:$E,4,0))</f>
        <v>福利厚生費</v>
      </c>
      <c r="E64" s="245"/>
      <c r="F64" s="267"/>
      <c r="G64" s="302"/>
      <c r="H64" s="302"/>
      <c r="I64" s="302"/>
      <c r="J64" s="302"/>
      <c r="K64" s="302"/>
      <c r="L64" s="302"/>
      <c r="M64" s="302"/>
      <c r="N64" s="302"/>
      <c r="O64" s="302"/>
      <c r="P64" s="302"/>
      <c r="Q64" s="302"/>
      <c r="R64" s="200">
        <f t="shared" si="3"/>
        <v>0</v>
      </c>
      <c r="S64" s="201" t="s">
        <v>715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245"/>
      <c r="F65" s="267"/>
      <c r="G65" s="267">
        <f>175000</f>
        <v>175000</v>
      </c>
      <c r="H65" s="302"/>
      <c r="I65" s="302"/>
      <c r="J65" s="302"/>
      <c r="K65" s="267">
        <f>175000</f>
        <v>175000</v>
      </c>
      <c r="L65" s="302"/>
      <c r="M65" s="302"/>
      <c r="N65" s="302"/>
      <c r="O65" s="302"/>
      <c r="P65" s="302"/>
      <c r="Q65" s="302"/>
      <c r="R65" s="200">
        <f t="shared" si="3"/>
        <v>350000</v>
      </c>
      <c r="S65" s="201" t="s">
        <v>716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245"/>
      <c r="F66" s="267"/>
      <c r="G66" s="302"/>
      <c r="H66" s="302"/>
      <c r="I66" s="302"/>
      <c r="J66" s="302"/>
      <c r="K66" s="302"/>
      <c r="L66" s="302"/>
      <c r="M66" s="302"/>
      <c r="N66" s="302">
        <f>189000*13+204000*1</f>
        <v>2661000</v>
      </c>
      <c r="O66" s="302"/>
      <c r="P66" s="302"/>
      <c r="Q66" s="302"/>
      <c r="R66" s="200">
        <f t="shared" si="3"/>
        <v>2661000</v>
      </c>
      <c r="S66" s="201" t="s">
        <v>768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245"/>
      <c r="F67" s="267"/>
      <c r="G67" s="302"/>
      <c r="H67" s="302">
        <f>14*200000</f>
        <v>2800000</v>
      </c>
      <c r="I67" s="302"/>
      <c r="J67" s="302"/>
      <c r="K67" s="302">
        <f>15*126000</f>
        <v>1890000</v>
      </c>
      <c r="L67" s="302"/>
      <c r="M67" s="302">
        <f>15*107000</f>
        <v>1605000</v>
      </c>
      <c r="N67" s="302"/>
      <c r="O67" s="302"/>
      <c r="P67" s="305">
        <f>20*100000</f>
        <v>2000000</v>
      </c>
      <c r="Q67" s="305">
        <f>20*300000</f>
        <v>6000000</v>
      </c>
      <c r="R67" s="200">
        <f t="shared" si="3"/>
        <v>14295000</v>
      </c>
      <c r="S67" s="201" t="s">
        <v>770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245"/>
      <c r="F68" s="267"/>
      <c r="G68" s="302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200">
        <f t="shared" si="3"/>
        <v>0</v>
      </c>
      <c r="S68" s="201" t="s">
        <v>717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245"/>
      <c r="F69" s="267"/>
      <c r="G69" s="302"/>
      <c r="H69" s="302"/>
      <c r="I69" s="302"/>
      <c r="J69" s="302"/>
      <c r="K69" s="302"/>
      <c r="L69" s="302">
        <f>15*56000</f>
        <v>840000</v>
      </c>
      <c r="M69" s="302"/>
      <c r="N69" s="302"/>
      <c r="O69" s="302"/>
      <c r="P69" s="302"/>
      <c r="Q69" s="302"/>
      <c r="R69" s="200">
        <f t="shared" si="3"/>
        <v>840000</v>
      </c>
      <c r="S69" s="201" t="s">
        <v>718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9" t="str">
        <f>IF(C70="","",VLOOKUP($B70,勘定科目!$A:$E,4,0))</f>
        <v>福利厚生費</v>
      </c>
      <c r="E70" s="245"/>
      <c r="F70" s="267"/>
      <c r="G70" s="302"/>
      <c r="H70" s="302"/>
      <c r="I70" s="302">
        <f>100000*13</f>
        <v>1300000</v>
      </c>
      <c r="J70" s="302"/>
      <c r="K70" s="302"/>
      <c r="L70" s="302"/>
      <c r="M70" s="302"/>
      <c r="N70" s="302"/>
      <c r="O70" s="302"/>
      <c r="P70" s="302"/>
      <c r="Q70" s="302"/>
      <c r="R70" s="200">
        <f t="shared" si="3"/>
        <v>1300000</v>
      </c>
      <c r="S70" s="201" t="s">
        <v>719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9" t="str">
        <f>IF(C71="","",VLOOKUP($B71,勘定科目!$A:$E,4,0))</f>
        <v>福利厚生費</v>
      </c>
      <c r="E71" s="245"/>
      <c r="F71" s="267">
        <f>4*1374678</f>
        <v>5498712</v>
      </c>
      <c r="G71" s="302">
        <f>4*1586747</f>
        <v>6346988</v>
      </c>
      <c r="H71" s="302">
        <f>4*1418477</f>
        <v>5673908</v>
      </c>
      <c r="I71" s="302">
        <f>4*1487463</f>
        <v>5949852</v>
      </c>
      <c r="J71" s="302">
        <f>4*1588334</f>
        <v>6353336</v>
      </c>
      <c r="K71" s="302">
        <f>4*1593513</f>
        <v>6374052</v>
      </c>
      <c r="L71" s="302">
        <f>4*1194735</f>
        <v>4778940</v>
      </c>
      <c r="M71" s="302">
        <f>4*1452617</f>
        <v>5810468</v>
      </c>
      <c r="N71" s="302">
        <f>4*1465592</f>
        <v>5862368</v>
      </c>
      <c r="O71" s="305">
        <f>4*1378925</f>
        <v>5515700</v>
      </c>
      <c r="P71" s="305">
        <f>4*1253359</f>
        <v>5013436</v>
      </c>
      <c r="Q71" s="305">
        <f>6*1296228</f>
        <v>7777368</v>
      </c>
      <c r="R71" s="200">
        <f t="shared" si="3"/>
        <v>70955128</v>
      </c>
      <c r="S71" s="201" t="s">
        <v>720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245"/>
      <c r="F72" s="267"/>
      <c r="G72" s="302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R72" s="200">
        <f t="shared" si="3"/>
        <v>0</v>
      </c>
      <c r="S72" s="201" t="s">
        <v>721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5005246282</v>
      </c>
      <c r="C73" s="183" t="str">
        <f>IFERROR(IF(VLOOKUP($B73,勘定科目!$A:$H,HLOOKUP($E$5,勘定科目!$F$1:$H$2,2,0),0)="","",VLOOKUP($B73,勘定科目!$A:$E,2,0)),"")</f>
        <v>ＫＤＣシステム使用料（製）</v>
      </c>
      <c r="D73" s="239" t="str">
        <f>IF(C73="","",VLOOKUP($B73,勘定科目!$A:$E,4,0))</f>
        <v>図書及び事務費</v>
      </c>
      <c r="E73" s="245"/>
      <c r="F73" s="267">
        <f>ROUND((13*11.46+80.77+30.53+3759.44+41.5)*25390,0)</f>
        <v>103114376</v>
      </c>
      <c r="G73" s="267">
        <f>ROUND((14*11.46+80.77+30.53+3759.44+41.5)*25390,0)</f>
        <v>103405345</v>
      </c>
      <c r="H73" s="267">
        <f t="shared" ref="H73:I73" si="8">ROUND((14*11.46+80.77+30.53+3759.44+41.5)*25390,0)</f>
        <v>103405345</v>
      </c>
      <c r="I73" s="267">
        <f t="shared" si="8"/>
        <v>103405345</v>
      </c>
      <c r="J73" s="267">
        <f>ROUND((14*11.46+80.77+30.53+3759.44+41.5)*25390,0)</f>
        <v>103405345</v>
      </c>
      <c r="K73" s="267">
        <f t="shared" ref="K73:N73" si="9">ROUND((15*11.46+80.77+30.53+3759.44+41.5)*25390,0)</f>
        <v>103696315</v>
      </c>
      <c r="L73" s="267">
        <f t="shared" si="9"/>
        <v>103696315</v>
      </c>
      <c r="M73" s="267">
        <f t="shared" si="9"/>
        <v>103696315</v>
      </c>
      <c r="N73" s="267">
        <f t="shared" si="9"/>
        <v>103696315</v>
      </c>
      <c r="O73" s="304">
        <f>ROUND((20*11.46+80.77+30.53+3759.44+41.5)*25390,0)</f>
        <v>105151162</v>
      </c>
      <c r="P73" s="304">
        <f>ROUND((20*11.46+80.77+30.53+3759.44+41.5)*25390,0)</f>
        <v>105151162</v>
      </c>
      <c r="Q73" s="304">
        <f>ROUND((20*11.46+80.77+30.53+3759.44+41.5)*25390,0)</f>
        <v>105151162</v>
      </c>
      <c r="R73" s="200">
        <f t="shared" si="3"/>
        <v>1246974502</v>
      </c>
      <c r="S73" s="201" t="s">
        <v>722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/>
      <c r="C74" s="183" t="str">
        <f>IFERROR(IF(VLOOKUP($B74,勘定科目!$A:$H,HLOOKUP($E$5,勘定科目!$F$1:$H$2,2,0),0)="","",VLOOKUP($B74,勘定科目!$A:$E,2,0)),"")</f>
        <v/>
      </c>
      <c r="D74" s="239" t="str">
        <f>IF(C74="","",VLOOKUP($B74,勘定科目!$A:$E,4,0))</f>
        <v/>
      </c>
      <c r="E74" s="245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3"/>
        <v>0</v>
      </c>
      <c r="S74" s="201"/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5005246281</v>
      </c>
      <c r="C75" s="183" t="str">
        <f>IFERROR(IF(VLOOKUP($B75,勘定科目!$A:$H,HLOOKUP($E$5,勘定科目!$F$1:$H$2,2,0),0)="","",VLOOKUP($B75,勘定科目!$A:$E,2,0)),"")</f>
        <v>図書印刷費（製）</v>
      </c>
      <c r="D75" s="239" t="str">
        <f>IF(C75="","",VLOOKUP($B75,勘定科目!$A:$E,4,0))</f>
        <v>図書及び事務費</v>
      </c>
      <c r="E75" s="245"/>
      <c r="F75" s="194"/>
      <c r="G75" s="247"/>
      <c r="H75" s="247"/>
      <c r="I75" s="247"/>
      <c r="J75" s="247"/>
      <c r="K75" s="247"/>
      <c r="L75" s="247"/>
      <c r="M75" s="247"/>
      <c r="N75" s="247"/>
      <c r="O75" s="247"/>
      <c r="P75" s="247"/>
      <c r="Q75" s="247"/>
      <c r="R75" s="200">
        <f t="shared" si="3"/>
        <v>0</v>
      </c>
      <c r="S75" s="201"/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5005246281</v>
      </c>
      <c r="C76" s="183" t="str">
        <f>IFERROR(IF(VLOOKUP($B76,勘定科目!$A:$H,HLOOKUP($E$5,勘定科目!$F$1:$H$2,2,0),0)="","",VLOOKUP($B76,勘定科目!$A:$E,2,0)),"")</f>
        <v>図書印刷費（製）</v>
      </c>
      <c r="D76" s="239" t="str">
        <f>IF(C76="","",VLOOKUP($B76,勘定科目!$A:$E,4,0))</f>
        <v>図書及び事務費</v>
      </c>
      <c r="E76" s="245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3"/>
        <v>0</v>
      </c>
      <c r="S76" s="201" t="s">
        <v>723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5005246281</v>
      </c>
      <c r="C77" s="183" t="str">
        <f>IFERROR(IF(VLOOKUP($B77,勘定科目!$A:$H,HLOOKUP($E$5,勘定科目!$F$1:$H$2,2,0),0)="","",VLOOKUP($B77,勘定科目!$A:$E,2,0)),"")</f>
        <v>図書印刷費（製）</v>
      </c>
      <c r="D77" s="239" t="str">
        <f>IF(C77="","",VLOOKUP($B77,勘定科目!$A:$E,4,0))</f>
        <v>図書及び事務費</v>
      </c>
      <c r="E77" s="245"/>
      <c r="F77" s="194">
        <v>58000</v>
      </c>
      <c r="G77" s="247"/>
      <c r="H77" s="247"/>
      <c r="I77" s="247"/>
      <c r="J77" s="194">
        <v>58000</v>
      </c>
      <c r="K77" s="247"/>
      <c r="L77" s="247"/>
      <c r="M77" s="247"/>
      <c r="N77" s="247"/>
      <c r="O77" s="247"/>
      <c r="P77" s="247"/>
      <c r="Q77" s="247"/>
      <c r="R77" s="200">
        <f t="shared" si="3"/>
        <v>116000</v>
      </c>
      <c r="S77" s="201" t="s">
        <v>724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5005246281</v>
      </c>
      <c r="C78" s="183" t="str">
        <f>IFERROR(IF(VLOOKUP($B78,勘定科目!$A:$H,HLOOKUP($E$5,勘定科目!$F$1:$H$2,2,0),0)="","",VLOOKUP($B78,勘定科目!$A:$E,2,0)),"")</f>
        <v>図書印刷費（製）</v>
      </c>
      <c r="D78" s="239" t="str">
        <f>IF(C78="","",VLOOKUP($B78,勘定科目!$A:$E,4,0))</f>
        <v>図書及び事務費</v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3"/>
        <v>0</v>
      </c>
      <c r="S78" s="201" t="s">
        <v>725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5005246281</v>
      </c>
      <c r="C79" s="183" t="str">
        <f>IFERROR(IF(VLOOKUP($B79,勘定科目!$A:$H,HLOOKUP($E$5,勘定科目!$F$1:$H$2,2,0),0)="","",VLOOKUP($B79,勘定科目!$A:$E,2,0)),"")</f>
        <v>図書印刷費（製）</v>
      </c>
      <c r="D79" s="239" t="str">
        <f>IF(C79="","",VLOOKUP($B79,勘定科目!$A:$E,4,0))</f>
        <v>図書及び事務費</v>
      </c>
      <c r="E79" s="245"/>
      <c r="F79" s="247">
        <f>18000+9200</f>
        <v>27200</v>
      </c>
      <c r="G79" s="247"/>
      <c r="H79" s="247"/>
      <c r="I79" s="247"/>
      <c r="J79" s="247">
        <f>18000+9200</f>
        <v>27200</v>
      </c>
      <c r="K79" s="247"/>
      <c r="L79" s="247"/>
      <c r="M79" s="247"/>
      <c r="N79" s="247"/>
      <c r="O79" s="247"/>
      <c r="P79" s="247"/>
      <c r="Q79" s="247"/>
      <c r="R79" s="200">
        <f t="shared" si="3"/>
        <v>54400</v>
      </c>
      <c r="S79" s="201" t="s">
        <v>726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5005246281</v>
      </c>
      <c r="C80" s="183" t="str">
        <f>IFERROR(IF(VLOOKUP($B80,勘定科目!$A:$H,HLOOKUP($E$5,勘定科目!$F$1:$H$2,2,0),0)="","",VLOOKUP($B80,勘定科目!$A:$E,2,0)),"")</f>
        <v>図書印刷費（製）</v>
      </c>
      <c r="D80" s="239" t="str">
        <f>IF(C80="","",VLOOKUP($B80,勘定科目!$A:$E,4,0))</f>
        <v>図書及び事務費</v>
      </c>
      <c r="E80" s="245"/>
      <c r="F80" s="194">
        <v>800</v>
      </c>
      <c r="G80" s="247"/>
      <c r="H80" s="247"/>
      <c r="I80" s="247"/>
      <c r="J80" s="194">
        <v>800</v>
      </c>
      <c r="K80" s="247"/>
      <c r="L80" s="247"/>
      <c r="M80" s="247">
        <f>800*15</f>
        <v>12000</v>
      </c>
      <c r="N80" s="247"/>
      <c r="O80" s="247"/>
      <c r="P80" s="247"/>
      <c r="Q80" s="247"/>
      <c r="R80" s="200">
        <f t="shared" si="3"/>
        <v>13600</v>
      </c>
      <c r="S80" s="201" t="s">
        <v>727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/>
      <c r="C81" s="183" t="str">
        <f>IFERROR(IF(VLOOKUP($B81,勘定科目!$A:$H,HLOOKUP($E$5,勘定科目!$F$1:$H$2,2,0),0)="","",VLOOKUP($B81,勘定科目!$A:$E,2,0)),"")</f>
        <v/>
      </c>
      <c r="D81" s="239" t="str">
        <f>IF(C81="","",VLOOKUP($B81,勘定科目!$A:$E,4,0))</f>
        <v/>
      </c>
      <c r="E81" s="245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3"/>
        <v>0</v>
      </c>
      <c r="S81" s="201"/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5005246288</v>
      </c>
      <c r="C82" s="183" t="str">
        <f>IFERROR(IF(VLOOKUP($B82,勘定科目!$A:$H,HLOOKUP($E$5,勘定科目!$F$1:$H$2,2,0),0)="","",VLOOKUP($B82,勘定科目!$A:$E,2,0)),"")</f>
        <v>事務用品費（製）</v>
      </c>
      <c r="D82" s="239" t="str">
        <f>IF(C82="","",VLOOKUP($B82,勘定科目!$A:$E,4,0))</f>
        <v>図書及び事務費</v>
      </c>
      <c r="E82" s="245"/>
      <c r="F82" s="194"/>
      <c r="G82" s="247"/>
      <c r="H82" s="247"/>
      <c r="I82" s="247"/>
      <c r="J82" s="247"/>
      <c r="K82" s="247"/>
      <c r="L82" s="247"/>
      <c r="M82" s="247"/>
      <c r="N82" s="247"/>
      <c r="O82" s="247"/>
      <c r="P82" s="247"/>
      <c r="Q82" s="247"/>
      <c r="R82" s="200">
        <f t="shared" si="3"/>
        <v>0</v>
      </c>
      <c r="S82" s="201" t="s">
        <v>728</v>
      </c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5005246288</v>
      </c>
      <c r="C83" s="183" t="str">
        <f>IFERROR(IF(VLOOKUP($B83,勘定科目!$A:$H,HLOOKUP($E$5,勘定科目!$F$1:$H$2,2,0),0)="","",VLOOKUP($B83,勘定科目!$A:$E,2,0)),"")</f>
        <v>事務用品費（製）</v>
      </c>
      <c r="D83" s="239" t="str">
        <f>IF(C83="","",VLOOKUP($B83,勘定科目!$A:$E,4,0))</f>
        <v>図書及び事務費</v>
      </c>
      <c r="E83" s="245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3"/>
        <v>0</v>
      </c>
      <c r="S83" s="201" t="s">
        <v>729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5005246288</v>
      </c>
      <c r="C84" s="183" t="str">
        <f>IFERROR(IF(VLOOKUP($B84,勘定科目!$A:$H,HLOOKUP($E$5,勘定科目!$F$1:$H$2,2,0),0)="","",VLOOKUP($B84,勘定科目!$A:$E,2,0)),"")</f>
        <v>事務用品費（製）</v>
      </c>
      <c r="D84" s="239" t="str">
        <f>IF(C84="","",VLOOKUP($B84,勘定科目!$A:$E,4,0))</f>
        <v>図書及び事務費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3"/>
        <v>0</v>
      </c>
      <c r="S84" s="201" t="s">
        <v>730</v>
      </c>
      <c r="T84" s="202"/>
      <c r="U84" s="246"/>
      <c r="V84" s="246"/>
      <c r="W84" s="246"/>
      <c r="BA84"/>
      <c r="BB84"/>
    </row>
    <row r="85" spans="1:54" s="191" customFormat="1" ht="13.5">
      <c r="A85" s="226"/>
      <c r="B85" s="180">
        <v>5005246288</v>
      </c>
      <c r="C85" s="183" t="str">
        <f>IFERROR(IF(VLOOKUP($B85,勘定科目!$A:$H,HLOOKUP($E$5,勘定科目!$F$1:$H$2,2,0),0)="","",VLOOKUP($B85,勘定科目!$A:$E,2,0)),"")</f>
        <v>事務用品費（製）</v>
      </c>
      <c r="D85" s="239" t="str">
        <f>IF(C85="","",VLOOKUP($B85,勘定科目!$A:$E,4,0))</f>
        <v>図書及び事務費</v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3"/>
        <v>0</v>
      </c>
      <c r="S85" s="201" t="s">
        <v>731</v>
      </c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5005246288</v>
      </c>
      <c r="C86" s="183" t="str">
        <f>IFERROR(IF(VLOOKUP($B86,勘定科目!$A:$H,HLOOKUP($E$5,勘定科目!$F$1:$H$2,2,0),0)="","",VLOOKUP($B86,勘定科目!$A:$E,2,0)),"")</f>
        <v>事務用品費（製）</v>
      </c>
      <c r="D86" s="239" t="str">
        <f>IF(C86="","",VLOOKUP($B86,勘定科目!$A:$E,4,0))</f>
        <v>図書及び事務費</v>
      </c>
      <c r="E86" s="245"/>
      <c r="F86" s="194">
        <v>3600</v>
      </c>
      <c r="G86" s="247"/>
      <c r="H86" s="247"/>
      <c r="I86" s="247"/>
      <c r="J86" s="194">
        <v>3600</v>
      </c>
      <c r="K86" s="247"/>
      <c r="L86" s="247"/>
      <c r="M86" s="247"/>
      <c r="N86" s="247"/>
      <c r="O86" s="247"/>
      <c r="P86" s="247"/>
      <c r="Q86" s="247"/>
      <c r="R86" s="200">
        <f t="shared" si="3"/>
        <v>7200</v>
      </c>
      <c r="S86" s="201" t="s">
        <v>732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80">
        <v>5005246288</v>
      </c>
      <c r="C87" s="183" t="str">
        <f>IFERROR(IF(VLOOKUP($B87,勘定科目!$A:$H,HLOOKUP($E$5,勘定科目!$F$1:$H$2,2,0),0)="","",VLOOKUP($B87,勘定科目!$A:$E,2,0)),"")</f>
        <v>事務用品費（製）</v>
      </c>
      <c r="D87" s="239" t="str">
        <f>IF(C87="","",VLOOKUP($B87,勘定科目!$A:$E,4,0))</f>
        <v>図書及び事務費</v>
      </c>
      <c r="E87" s="245"/>
      <c r="F87" s="194">
        <v>3000</v>
      </c>
      <c r="G87" s="247"/>
      <c r="H87" s="247"/>
      <c r="I87" s="247"/>
      <c r="J87" s="194">
        <v>3000</v>
      </c>
      <c r="K87" s="247"/>
      <c r="L87" s="247"/>
      <c r="M87" s="247"/>
      <c r="N87" s="247"/>
      <c r="O87" s="247"/>
      <c r="P87" s="247"/>
      <c r="Q87" s="247"/>
      <c r="R87" s="200">
        <f t="shared" si="3"/>
        <v>6000</v>
      </c>
      <c r="S87" s="201" t="s">
        <v>733</v>
      </c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5005246288</v>
      </c>
      <c r="C88" s="183" t="str">
        <f>IFERROR(IF(VLOOKUP($B88,勘定科目!$A:$H,HLOOKUP($E$5,勘定科目!$F$1:$H$2,2,0),0)="","",VLOOKUP($B88,勘定科目!$A:$E,2,0)),"")</f>
        <v>事務用品費（製）</v>
      </c>
      <c r="D88" s="239" t="str">
        <f>IF(C88="","",VLOOKUP($B88,勘定科目!$A:$E,4,0))</f>
        <v>図書及び事務費</v>
      </c>
      <c r="E88" s="245"/>
      <c r="F88" s="194">
        <v>9100</v>
      </c>
      <c r="G88" s="247"/>
      <c r="H88" s="247"/>
      <c r="I88" s="247"/>
      <c r="J88" s="194">
        <v>9100</v>
      </c>
      <c r="K88" s="247"/>
      <c r="L88" s="247"/>
      <c r="M88" s="247"/>
      <c r="N88" s="247"/>
      <c r="O88" s="247"/>
      <c r="P88" s="247"/>
      <c r="Q88" s="247"/>
      <c r="R88" s="200">
        <f t="shared" si="3"/>
        <v>18200</v>
      </c>
      <c r="S88" s="201" t="s">
        <v>734</v>
      </c>
      <c r="T88" s="202"/>
      <c r="U88" s="246"/>
      <c r="V88" s="246"/>
      <c r="W88" s="246"/>
      <c r="BA88"/>
      <c r="BB88"/>
    </row>
    <row r="89" spans="1:54" s="191" customFormat="1" ht="13.5">
      <c r="A89" s="226"/>
      <c r="B89" s="180">
        <v>5005246288</v>
      </c>
      <c r="C89" s="183" t="str">
        <f>IFERROR(IF(VLOOKUP($B89,勘定科目!$A:$H,HLOOKUP($E$5,勘定科目!$F$1:$H$2,2,0),0)="","",VLOOKUP($B89,勘定科目!$A:$E,2,0)),"")</f>
        <v>事務用品費（製）</v>
      </c>
      <c r="D89" s="239" t="str">
        <f>IF(C89="","",VLOOKUP($B89,勘定科目!$A:$E,4,0))</f>
        <v>図書及び事務費</v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3"/>
        <v>0</v>
      </c>
      <c r="S89" s="201"/>
      <c r="T89" s="202"/>
      <c r="U89" s="246"/>
      <c r="V89" s="246"/>
      <c r="W89" s="246"/>
      <c r="BA89"/>
      <c r="BB89"/>
    </row>
    <row r="90" spans="1:54" s="191" customFormat="1" ht="13.5">
      <c r="A90" s="226"/>
      <c r="B90" s="180"/>
      <c r="C90" s="183" t="str">
        <f>IFERROR(IF(VLOOKUP($B90,勘定科目!$A:$H,HLOOKUP($E$5,勘定科目!$F$1:$H$2,2,0),0)="","",VLOOKUP($B90,勘定科目!$A:$E,2,0)),"")</f>
        <v/>
      </c>
      <c r="D90" s="239" t="str">
        <f>IF(C90="","",VLOOKUP($B90,勘定科目!$A:$E,4,0))</f>
        <v/>
      </c>
      <c r="E90" s="245"/>
      <c r="F90" s="267"/>
      <c r="G90" s="302"/>
      <c r="H90" s="302"/>
      <c r="I90" s="302"/>
      <c r="J90" s="302"/>
      <c r="K90" s="247"/>
      <c r="L90" s="247"/>
      <c r="M90" s="247"/>
      <c r="N90" s="247"/>
      <c r="O90" s="247"/>
      <c r="P90" s="247"/>
      <c r="Q90" s="247"/>
      <c r="R90" s="200">
        <f t="shared" si="3"/>
        <v>0</v>
      </c>
      <c r="S90" s="201"/>
      <c r="T90" s="202"/>
      <c r="U90" s="246"/>
      <c r="V90" s="246"/>
      <c r="W90" s="246"/>
      <c r="BA90"/>
      <c r="BB90"/>
    </row>
    <row r="91" spans="1:54" s="191" customFormat="1" ht="13.5">
      <c r="A91" s="226"/>
      <c r="B91" s="180">
        <v>5005016372</v>
      </c>
      <c r="C91" s="183" t="str">
        <f>IFERROR(IF(VLOOKUP($B91,勘定科目!$A:$H,HLOOKUP($E$5,勘定科目!$F$1:$H$2,2,0),0)="","",VLOOKUP($B91,勘定科目!$A:$E,2,0)),"")</f>
        <v>その他消耗品（製）</v>
      </c>
      <c r="D91" s="239" t="str">
        <f>IF(C91="","",VLOOKUP($B91,勘定科目!$A:$E,4,0))</f>
        <v>消耗品費</v>
      </c>
      <c r="E91" s="245"/>
      <c r="F91" s="267">
        <f>13*1122</f>
        <v>14586</v>
      </c>
      <c r="G91" s="302">
        <f>14*1130</f>
        <v>15820</v>
      </c>
      <c r="H91" s="302">
        <f>14*1157</f>
        <v>16198</v>
      </c>
      <c r="I91" s="302">
        <f>14*1113</f>
        <v>15582</v>
      </c>
      <c r="J91" s="302">
        <f>14*1080</f>
        <v>15120</v>
      </c>
      <c r="K91" s="247">
        <f>15*1093</f>
        <v>16395</v>
      </c>
      <c r="L91" s="247">
        <f>15*1131</f>
        <v>16965</v>
      </c>
      <c r="M91" s="247">
        <f>15*1114</f>
        <v>16710</v>
      </c>
      <c r="N91" s="247">
        <f>15*1124</f>
        <v>16860</v>
      </c>
      <c r="O91" s="303">
        <f>20*1128</f>
        <v>22560</v>
      </c>
      <c r="P91" s="303">
        <f>20*1146</f>
        <v>22920</v>
      </c>
      <c r="Q91" s="303">
        <f>20*1085</f>
        <v>21700</v>
      </c>
      <c r="R91" s="200">
        <f t="shared" si="3"/>
        <v>211416</v>
      </c>
      <c r="S91" s="201" t="s">
        <v>735</v>
      </c>
      <c r="T91" s="202"/>
      <c r="U91" s="246"/>
      <c r="V91" s="246"/>
      <c r="W91" s="246"/>
      <c r="BA91"/>
      <c r="BB91"/>
    </row>
    <row r="92" spans="1:54" s="191" customFormat="1" ht="13.5">
      <c r="A92" s="226"/>
      <c r="B92" s="180">
        <v>5005016372</v>
      </c>
      <c r="C92" s="183" t="str">
        <f>IFERROR(IF(VLOOKUP($B92,勘定科目!$A:$H,HLOOKUP($E$5,勘定科目!$F$1:$H$2,2,0),0)="","",VLOOKUP($B92,勘定科目!$A:$E,2,0)),"")</f>
        <v>その他消耗品（製）</v>
      </c>
      <c r="D92" s="239" t="str">
        <f>IF(C92="","",VLOOKUP($B92,勘定科目!$A:$E,4,0))</f>
        <v>消耗品費</v>
      </c>
      <c r="E92" s="245"/>
      <c r="F92" s="267">
        <f>13*18424</f>
        <v>239512</v>
      </c>
      <c r="G92" s="302">
        <f>14*17736</f>
        <v>248304</v>
      </c>
      <c r="H92" s="302">
        <f>14*19401</f>
        <v>271614</v>
      </c>
      <c r="I92" s="302">
        <f>14*21138</f>
        <v>295932</v>
      </c>
      <c r="J92" s="302">
        <f>14*18404</f>
        <v>257656</v>
      </c>
      <c r="K92" s="247">
        <f>15*17500</f>
        <v>262500</v>
      </c>
      <c r="L92" s="247">
        <f>15*21110</f>
        <v>316650</v>
      </c>
      <c r="M92" s="247">
        <f>15*18421</f>
        <v>276315</v>
      </c>
      <c r="N92" s="247">
        <f>15*20254</f>
        <v>303810</v>
      </c>
      <c r="O92" s="303">
        <f>20*18399</f>
        <v>367980</v>
      </c>
      <c r="P92" s="303">
        <f>20*13863</f>
        <v>277260</v>
      </c>
      <c r="Q92" s="303">
        <f>20*18435</f>
        <v>368700</v>
      </c>
      <c r="R92" s="200">
        <f t="shared" si="3"/>
        <v>3486233</v>
      </c>
      <c r="S92" s="201" t="s">
        <v>736</v>
      </c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5005016372</v>
      </c>
      <c r="C93" s="183" t="str">
        <f>IFERROR(IF(VLOOKUP($B93,勘定科目!$A:$H,HLOOKUP($E$5,勘定科目!$F$1:$H$2,2,0),0)="","",VLOOKUP($B93,勘定科目!$A:$E,2,0)),"")</f>
        <v>その他消耗品（製）</v>
      </c>
      <c r="D93" s="239" t="str">
        <f>IF(C93="","",VLOOKUP($B93,勘定科目!$A:$E,4,0))</f>
        <v>消耗品費</v>
      </c>
      <c r="E93" s="245"/>
      <c r="F93" s="194"/>
      <c r="G93" s="247"/>
      <c r="H93" s="247"/>
      <c r="I93" s="247"/>
      <c r="J93" s="247"/>
      <c r="K93" s="247"/>
      <c r="L93" s="247"/>
      <c r="M93" s="247"/>
      <c r="N93" s="247"/>
      <c r="O93" s="247"/>
      <c r="P93" s="247"/>
      <c r="Q93" s="247"/>
      <c r="R93" s="200">
        <f t="shared" si="3"/>
        <v>0</v>
      </c>
      <c r="S93" s="201" t="s">
        <v>737</v>
      </c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5005026371</v>
      </c>
      <c r="C94" s="183" t="str">
        <f>IFERROR(IF(VLOOKUP($B94,勘定科目!$A:$H,HLOOKUP($E$5,勘定科目!$F$1:$H$2,2,0),0)="","",VLOOKUP($B94,勘定科目!$A:$E,2,0)),"")</f>
        <v>消耗工具器具備品費（製）</v>
      </c>
      <c r="D94" s="239" t="str">
        <f>IF(C94="","",VLOOKUP($B94,勘定科目!$A:$E,4,0))</f>
        <v>消耗工具器具備品費</v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/>
      <c r="P94" s="247"/>
      <c r="Q94" s="247"/>
      <c r="R94" s="200">
        <f t="shared" si="3"/>
        <v>0</v>
      </c>
      <c r="S94" s="201" t="s">
        <v>738</v>
      </c>
      <c r="T94" s="202"/>
      <c r="U94" s="246"/>
      <c r="V94" s="246"/>
      <c r="W94" s="246"/>
      <c r="BA94"/>
      <c r="BB94"/>
    </row>
    <row r="95" spans="1:54" s="191" customFormat="1" ht="13.5">
      <c r="A95" s="226"/>
      <c r="B95" s="180">
        <v>5005026371</v>
      </c>
      <c r="C95" s="183" t="str">
        <f>IFERROR(IF(VLOOKUP($B95,勘定科目!$A:$H,HLOOKUP($E$5,勘定科目!$F$1:$H$2,2,0),0)="","",VLOOKUP($B95,勘定科目!$A:$E,2,0)),"")</f>
        <v>消耗工具器具備品費（製）</v>
      </c>
      <c r="D95" s="239" t="str">
        <f>IF(C95="","",VLOOKUP($B95,勘定科目!$A:$E,4,0))</f>
        <v>消耗工具器具備品費</v>
      </c>
      <c r="E95" s="245"/>
      <c r="F95" s="194">
        <f>3490000+505000</f>
        <v>3995000</v>
      </c>
      <c r="G95" s="247"/>
      <c r="H95" s="247"/>
      <c r="I95" s="247"/>
      <c r="J95" s="194">
        <f>3490000+505000</f>
        <v>3995000</v>
      </c>
      <c r="K95" s="247"/>
      <c r="L95" s="247"/>
      <c r="M95" s="247"/>
      <c r="N95" s="247"/>
      <c r="O95" s="247"/>
      <c r="P95" s="247"/>
      <c r="Q95" s="247"/>
      <c r="R95" s="200">
        <f t="shared" si="3"/>
        <v>7990000</v>
      </c>
      <c r="S95" s="201" t="s">
        <v>739</v>
      </c>
      <c r="T95" s="202"/>
      <c r="U95" s="246"/>
      <c r="V95" s="246"/>
      <c r="W95" s="246"/>
      <c r="BA95"/>
      <c r="BB95"/>
    </row>
    <row r="96" spans="1:54" s="191" customFormat="1" ht="13.5">
      <c r="A96" s="226"/>
      <c r="B96" s="180">
        <v>5005026371</v>
      </c>
      <c r="C96" s="183" t="str">
        <f>IFERROR(IF(VLOOKUP($B96,勘定科目!$A:$H,HLOOKUP($E$5,勘定科目!$F$1:$H$2,2,0),0)="","",VLOOKUP($B96,勘定科目!$A:$E,2,0)),"")</f>
        <v>消耗工具器具備品費（製）</v>
      </c>
      <c r="D96" s="239" t="str">
        <f>IF(C96="","",VLOOKUP($B96,勘定科目!$A:$E,4,0))</f>
        <v>消耗工具器具備品費</v>
      </c>
      <c r="E96" s="245"/>
      <c r="F96" s="194">
        <v>270000</v>
      </c>
      <c r="G96" s="247"/>
      <c r="H96" s="247"/>
      <c r="I96" s="247"/>
      <c r="J96" s="194">
        <v>270000</v>
      </c>
      <c r="K96" s="247"/>
      <c r="L96" s="247"/>
      <c r="M96" s="247"/>
      <c r="N96" s="247"/>
      <c r="O96" s="247"/>
      <c r="P96" s="247"/>
      <c r="Q96" s="247"/>
      <c r="R96" s="200">
        <f t="shared" si="3"/>
        <v>540000</v>
      </c>
      <c r="S96" s="201" t="s">
        <v>740</v>
      </c>
      <c r="T96" s="202"/>
      <c r="U96" s="246"/>
      <c r="V96" s="246"/>
      <c r="W96" s="246"/>
      <c r="BA96"/>
      <c r="BB96"/>
    </row>
    <row r="97" spans="1:54" s="191" customFormat="1" ht="13.5">
      <c r="A97" s="226"/>
      <c r="B97" s="180">
        <v>5005026371</v>
      </c>
      <c r="C97" s="183" t="str">
        <f>IFERROR(IF(VLOOKUP($B97,勘定科目!$A:$H,HLOOKUP($E$5,勘定科目!$F$1:$H$2,2,0),0)="","",VLOOKUP($B97,勘定科目!$A:$E,2,0)),"")</f>
        <v>消耗工具器具備品費（製）</v>
      </c>
      <c r="D97" s="239" t="str">
        <f>IF(C97="","",VLOOKUP($B97,勘定科目!$A:$E,4,0))</f>
        <v>消耗工具器具備品費</v>
      </c>
      <c r="E97" s="245"/>
      <c r="F97" s="247">
        <f>16750000+4200000</f>
        <v>20950000</v>
      </c>
      <c r="G97" s="247">
        <v>16750000</v>
      </c>
      <c r="H97" s="247"/>
      <c r="I97" s="247"/>
      <c r="J97" s="247">
        <f>16750000+4200000</f>
        <v>20950000</v>
      </c>
      <c r="K97" s="247"/>
      <c r="L97" s="247"/>
      <c r="M97" s="247"/>
      <c r="N97" s="247"/>
      <c r="O97" s="247"/>
      <c r="P97" s="247"/>
      <c r="Q97" s="247"/>
      <c r="R97" s="200">
        <f t="shared" si="3"/>
        <v>58650000</v>
      </c>
      <c r="S97" s="201" t="s">
        <v>741</v>
      </c>
      <c r="T97" s="202"/>
      <c r="U97" s="246"/>
      <c r="V97" s="246"/>
      <c r="W97" s="246"/>
      <c r="BA97"/>
      <c r="BB97"/>
    </row>
    <row r="98" spans="1:54" s="191" customFormat="1" ht="13.5">
      <c r="A98" s="226"/>
      <c r="B98" s="180">
        <v>5005026371</v>
      </c>
      <c r="C98" s="183" t="str">
        <f>IFERROR(IF(VLOOKUP($B98,勘定科目!$A:$H,HLOOKUP($E$5,勘定科目!$F$1:$H$2,2,0),0)="","",VLOOKUP($B98,勘定科目!$A:$E,2,0)),"")</f>
        <v>消耗工具器具備品費（製）</v>
      </c>
      <c r="D98" s="239" t="str">
        <f>IF(C98="","",VLOOKUP($B98,勘定科目!$A:$E,4,0))</f>
        <v>消耗工具器具備品費</v>
      </c>
      <c r="E98" s="245"/>
      <c r="F98" s="194"/>
      <c r="G98" s="247"/>
      <c r="H98" s="247"/>
      <c r="I98" s="247"/>
      <c r="J98" s="247"/>
      <c r="K98" s="247"/>
      <c r="L98" s="247">
        <f>610*26461</f>
        <v>16141210</v>
      </c>
      <c r="M98" s="247"/>
      <c r="N98" s="247"/>
      <c r="O98" s="247"/>
      <c r="P98" s="247">
        <f>ROUND(610*26461*2,0)</f>
        <v>32282420</v>
      </c>
      <c r="Q98" s="247"/>
      <c r="R98" s="200">
        <f t="shared" si="3"/>
        <v>48423630</v>
      </c>
      <c r="S98" s="201"/>
      <c r="T98" s="202"/>
      <c r="U98" s="246"/>
      <c r="V98" s="246"/>
      <c r="W98" s="246"/>
      <c r="BA98"/>
      <c r="BB98"/>
    </row>
    <row r="99" spans="1:54" s="191" customFormat="1" ht="13.5">
      <c r="A99" s="226"/>
      <c r="B99" s="180"/>
      <c r="C99" s="183" t="str">
        <f>IFERROR(IF(VLOOKUP($B99,勘定科目!$A:$H,HLOOKUP($E$5,勘定科目!$F$1:$H$2,2,0),0)="","",VLOOKUP($B99,勘定科目!$A:$E,2,0)),"")</f>
        <v/>
      </c>
      <c r="D99" s="239" t="str">
        <f>IF(C99="","",VLOOKUP($B99,勘定科目!$A:$E,4,0))</f>
        <v/>
      </c>
      <c r="E99" s="245"/>
      <c r="F99" s="194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00">
        <f t="shared" si="3"/>
        <v>0</v>
      </c>
      <c r="S99" s="201"/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>
        <v>5005046281</v>
      </c>
      <c r="C100" s="183" t="str">
        <f>IFERROR(IF(VLOOKUP($B100,勘定科目!$A:$H,HLOOKUP($E$5,勘定科目!$F$1:$H$2,2,0),0)="","",VLOOKUP($B100,勘定科目!$A:$E,2,0)),"")</f>
        <v>機械設備修繕費（製）</v>
      </c>
      <c r="D100" s="239" t="str">
        <f>IF(C100="","",VLOOKUP($B100,勘定科目!$A:$E,4,0))</f>
        <v>修繕費</v>
      </c>
      <c r="E100" s="245"/>
      <c r="F100" s="194"/>
      <c r="G100" s="247"/>
      <c r="H100" s="247"/>
      <c r="I100" s="247"/>
      <c r="J100" s="247"/>
      <c r="K100" s="247"/>
      <c r="L100" s="247"/>
      <c r="M100" s="247"/>
      <c r="N100" s="247"/>
      <c r="O100" s="247"/>
      <c r="P100" s="247"/>
      <c r="Q100" s="247"/>
      <c r="R100" s="200">
        <f t="shared" si="3"/>
        <v>0</v>
      </c>
      <c r="S100" s="201"/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/>
      <c r="C101" s="183" t="str">
        <f>IFERROR(IF(VLOOKUP($B101,勘定科目!$A:$H,HLOOKUP($E$5,勘定科目!$F$1:$H$2,2,0),0)="","",VLOOKUP($B101,勘定科目!$A:$E,2,0)),"")</f>
        <v/>
      </c>
      <c r="D101" s="239" t="str">
        <f>IF(C101="","",VLOOKUP($B101,勘定科目!$A:$E,4,0))</f>
        <v/>
      </c>
      <c r="E101" s="245"/>
      <c r="F101" s="194"/>
      <c r="G101" s="247"/>
      <c r="H101" s="247"/>
      <c r="I101" s="247"/>
      <c r="J101" s="247"/>
      <c r="K101" s="247"/>
      <c r="L101" s="247"/>
      <c r="M101" s="247"/>
      <c r="N101" s="247"/>
      <c r="O101" s="247"/>
      <c r="P101" s="247"/>
      <c r="Q101" s="247"/>
      <c r="R101" s="200">
        <f t="shared" si="3"/>
        <v>0</v>
      </c>
      <c r="S101" s="201"/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>
        <v>5005076281</v>
      </c>
      <c r="C102" s="183" t="str">
        <f>IFERROR(IF(VLOOKUP($B102,勘定科目!$A:$H,HLOOKUP($E$5,勘定科目!$F$1:$H$2,2,0),0)="","",VLOOKUP($B102,勘定科目!$A:$E,2,0)),"")</f>
        <v>通関申告費用（製）</v>
      </c>
      <c r="D102" s="239" t="str">
        <f>IF(C102="","",VLOOKUP($B102,勘定科目!$A:$E,4,0))</f>
        <v>荷造運賃</v>
      </c>
      <c r="E102" s="245"/>
      <c r="F102" s="194"/>
      <c r="G102" s="247"/>
      <c r="H102" s="247"/>
      <c r="I102" s="247"/>
      <c r="J102" s="247"/>
      <c r="K102" s="247"/>
      <c r="L102" s="247"/>
      <c r="M102" s="247">
        <f>325000+650000</f>
        <v>975000</v>
      </c>
      <c r="N102" s="247"/>
      <c r="O102" s="247"/>
      <c r="P102" s="247"/>
      <c r="Q102" s="247">
        <f>650000*2</f>
        <v>1300000</v>
      </c>
      <c r="R102" s="200">
        <f t="shared" si="3"/>
        <v>2275000</v>
      </c>
      <c r="S102" s="201" t="s">
        <v>772</v>
      </c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>
        <v>5005076283</v>
      </c>
      <c r="C103" s="183" t="str">
        <f>IFERROR(IF(VLOOKUP($B103,勘定科目!$A:$H,HLOOKUP($E$5,勘定科目!$F$1:$H$2,2,0),0)="","",VLOOKUP($B103,勘定科目!$A:$E,2,0)),"")</f>
        <v>輸入航空運賃（製）</v>
      </c>
      <c r="D103" s="239" t="str">
        <f>IF(C103="","",VLOOKUP($B103,勘定科目!$A:$E,4,0))</f>
        <v>荷造運賃</v>
      </c>
      <c r="E103" s="245"/>
      <c r="F103" s="194"/>
      <c r="G103" s="247"/>
      <c r="H103" s="247"/>
      <c r="I103" s="247"/>
      <c r="J103" s="247"/>
      <c r="K103" s="247"/>
      <c r="L103" s="247"/>
      <c r="M103" s="247"/>
      <c r="N103" s="247"/>
      <c r="O103" s="247"/>
      <c r="P103" s="247"/>
      <c r="Q103" s="247"/>
      <c r="R103" s="200">
        <f t="shared" si="3"/>
        <v>0</v>
      </c>
      <c r="S103" s="201"/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>
        <v>5005076281</v>
      </c>
      <c r="C104" s="183" t="str">
        <f>IFERROR(IF(VLOOKUP($B104,勘定科目!$A:$H,HLOOKUP($E$5,勘定科目!$F$1:$H$2,2,0),0)="","",VLOOKUP($B104,勘定科目!$A:$E,2,0)),"")</f>
        <v>通関申告費用（製）</v>
      </c>
      <c r="D104" s="239" t="str">
        <f>IF(C104="","",VLOOKUP($B104,勘定科目!$A:$E,4,0))</f>
        <v>荷造運賃</v>
      </c>
      <c r="E104" s="245"/>
      <c r="F104" s="194"/>
      <c r="G104" s="247"/>
      <c r="H104" s="247"/>
      <c r="I104" s="247"/>
      <c r="J104" s="247"/>
      <c r="K104" s="247"/>
      <c r="L104" s="247"/>
      <c r="M104" s="247"/>
      <c r="N104" s="247"/>
      <c r="O104" s="247"/>
      <c r="P104" s="247"/>
      <c r="Q104" s="247"/>
      <c r="R104" s="200">
        <f t="shared" si="3"/>
        <v>0</v>
      </c>
      <c r="S104" s="201" t="s">
        <v>742</v>
      </c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>
        <v>5005076289</v>
      </c>
      <c r="C105" s="183" t="str">
        <f>IFERROR(IF(VLOOKUP($B105,勘定科目!$A:$H,HLOOKUP($E$5,勘定科目!$F$1:$H$2,2,0),0)="","",VLOOKUP($B105,勘定科目!$A:$E,2,0)),"")</f>
        <v>クーリエ費用（製）</v>
      </c>
      <c r="D105" s="239" t="str">
        <f>IF(C105="","",VLOOKUP($B105,勘定科目!$A:$E,4,0))</f>
        <v>荷造運賃</v>
      </c>
      <c r="E105" s="245"/>
      <c r="F105" s="194"/>
      <c r="G105" s="247"/>
      <c r="H105" s="247"/>
      <c r="I105" s="247"/>
      <c r="J105" s="247"/>
      <c r="K105" s="247"/>
      <c r="L105" s="247"/>
      <c r="M105" s="247"/>
      <c r="N105" s="247"/>
      <c r="O105" s="247"/>
      <c r="P105" s="247"/>
      <c r="Q105" s="247"/>
      <c r="R105" s="200">
        <f t="shared" si="3"/>
        <v>0</v>
      </c>
      <c r="S105" s="201" t="s">
        <v>743</v>
      </c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>
        <v>5005076284</v>
      </c>
      <c r="C106" s="183" t="str">
        <f>IFERROR(IF(VLOOKUP($B106,勘定科目!$A:$H,HLOOKUP($E$5,勘定科目!$F$1:$H$2,2,0),0)="","",VLOOKUP($B106,勘定科目!$A:$E,2,0)),"")</f>
        <v>輸入海上運賃（製）</v>
      </c>
      <c r="D106" s="239" t="str">
        <f>IF(C106="","",VLOOKUP($B106,勘定科目!$A:$E,4,0))</f>
        <v>荷造運賃</v>
      </c>
      <c r="E106" s="245"/>
      <c r="F106" s="194"/>
      <c r="G106" s="247"/>
      <c r="H106" s="247"/>
      <c r="I106" s="247"/>
      <c r="J106" s="247"/>
      <c r="K106" s="247"/>
      <c r="L106" s="247"/>
      <c r="M106" s="247"/>
      <c r="N106" s="247"/>
      <c r="O106" s="247"/>
      <c r="P106" s="247"/>
      <c r="Q106" s="247"/>
      <c r="R106" s="200">
        <f t="shared" si="3"/>
        <v>0</v>
      </c>
      <c r="S106" s="201" t="s">
        <v>744</v>
      </c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>
        <v>5005076281</v>
      </c>
      <c r="C107" s="183" t="str">
        <f>IFERROR(IF(VLOOKUP($B107,勘定科目!$A:$H,HLOOKUP($E$5,勘定科目!$F$1:$H$2,2,0),0)="","",VLOOKUP($B107,勘定科目!$A:$E,2,0)),"")</f>
        <v>通関申告費用（製）</v>
      </c>
      <c r="D107" s="239" t="str">
        <f>IF(C107="","",VLOOKUP($B107,勘定科目!$A:$E,4,0))</f>
        <v>荷造運賃</v>
      </c>
      <c r="E107" s="245"/>
      <c r="F107" s="194"/>
      <c r="G107" s="247"/>
      <c r="H107" s="247"/>
      <c r="I107" s="247"/>
      <c r="J107" s="247"/>
      <c r="K107" s="247"/>
      <c r="L107" s="247"/>
      <c r="M107" s="247"/>
      <c r="N107" s="247"/>
      <c r="O107" s="247"/>
      <c r="P107" s="247"/>
      <c r="Q107" s="247"/>
      <c r="R107" s="200">
        <f t="shared" si="3"/>
        <v>0</v>
      </c>
      <c r="S107" s="201"/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/>
      <c r="C108" s="183" t="str">
        <f>IFERROR(IF(VLOOKUP($B108,勘定科目!$A:$H,HLOOKUP($E$5,勘定科目!$F$1:$H$2,2,0),0)="","",VLOOKUP($B108,勘定科目!$A:$E,2,0)),"")</f>
        <v/>
      </c>
      <c r="D108" s="239" t="str">
        <f>IF(C108="","",VLOOKUP($B108,勘定科目!$A:$E,4,0))</f>
        <v/>
      </c>
      <c r="E108" s="245"/>
      <c r="F108" s="194"/>
      <c r="G108" s="247"/>
      <c r="H108" s="247"/>
      <c r="I108" s="247"/>
      <c r="J108" s="247"/>
      <c r="K108" s="247"/>
      <c r="L108" s="247"/>
      <c r="M108" s="247"/>
      <c r="N108" s="247"/>
      <c r="O108" s="247"/>
      <c r="P108" s="247"/>
      <c r="Q108" s="247"/>
      <c r="R108" s="200">
        <f t="shared" si="3"/>
        <v>0</v>
      </c>
      <c r="S108" s="201"/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>
        <v>5004086293</v>
      </c>
      <c r="C109" s="183" t="str">
        <f>IFERROR(IF(VLOOKUP($B109,勘定科目!$A:$H,HLOOKUP($E$5,勘定科目!$F$1:$H$2,2,0),0)="","",VLOOKUP($B109,勘定科目!$A:$E,2,0)),"")</f>
        <v>教育訓練費（製）</v>
      </c>
      <c r="D109" s="239" t="str">
        <f>IF(C109="","",VLOOKUP($B109,勘定科目!$A:$E,4,0))</f>
        <v>募集教育費</v>
      </c>
      <c r="E109" s="245"/>
      <c r="F109" s="194"/>
      <c r="G109" s="247"/>
      <c r="H109" s="247"/>
      <c r="I109" s="247"/>
      <c r="J109" s="247"/>
      <c r="K109" s="247"/>
      <c r="L109" s="247"/>
      <c r="M109" s="247"/>
      <c r="N109" s="247"/>
      <c r="O109" s="247"/>
      <c r="P109" s="247"/>
      <c r="Q109" s="247"/>
      <c r="R109" s="200">
        <f t="shared" si="3"/>
        <v>0</v>
      </c>
      <c r="S109" s="201" t="s">
        <v>745</v>
      </c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247"/>
      <c r="H110" s="247"/>
      <c r="I110" s="247"/>
      <c r="J110" s="247"/>
      <c r="K110" s="247"/>
      <c r="L110" s="247"/>
      <c r="M110" s="247"/>
      <c r="N110" s="247"/>
      <c r="O110" s="247"/>
      <c r="P110" s="247"/>
      <c r="Q110" s="247"/>
      <c r="R110" s="200">
        <f t="shared" si="3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>
        <v>5005246286</v>
      </c>
      <c r="C111" s="183" t="str">
        <f>IFERROR(IF(VLOOKUP($B111,勘定科目!$A:$H,HLOOKUP($E$5,勘定科目!$F$1:$H$2,2,0),0)="","",VLOOKUP($B111,勘定科目!$A:$E,2,0)),"")</f>
        <v>その他手数料（製）</v>
      </c>
      <c r="D111" s="239" t="str">
        <f>IF(C111="","",VLOOKUP($B111,勘定科目!$A:$E,4,0))</f>
        <v>手数料</v>
      </c>
      <c r="E111" s="245"/>
      <c r="F111" s="247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3"/>
        <v>0</v>
      </c>
      <c r="S111" s="201" t="s">
        <v>746</v>
      </c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>
        <v>5005246286</v>
      </c>
      <c r="C112" s="183" t="str">
        <f>IFERROR(IF(VLOOKUP($B112,勘定科目!$A:$H,HLOOKUP($E$5,勘定科目!$F$1:$H$2,2,0),0)="","",VLOOKUP($B112,勘定科目!$A:$E,2,0)),"")</f>
        <v>その他手数料（製）</v>
      </c>
      <c r="D112" s="239" t="str">
        <f>IF(C112="","",VLOOKUP($B112,勘定科目!$A:$E,4,0))</f>
        <v>手数料</v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3"/>
        <v>0</v>
      </c>
      <c r="S112" s="201" t="s">
        <v>747</v>
      </c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>
        <v>5005246286</v>
      </c>
      <c r="C113" s="183" t="str">
        <f>IFERROR(IF(VLOOKUP($B113,勘定科目!$A:$H,HLOOKUP($E$5,勘定科目!$F$1:$H$2,2,0),0)="","",VLOOKUP($B113,勘定科目!$A:$E,2,0)),"")</f>
        <v>その他手数料（製）</v>
      </c>
      <c r="D113" s="239" t="str">
        <f>IF(C113="","",VLOOKUP($B113,勘定科目!$A:$E,4,0))</f>
        <v>手数料</v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3"/>
        <v>0</v>
      </c>
      <c r="S113" s="201" t="s">
        <v>693</v>
      </c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>
        <v>5005246286</v>
      </c>
      <c r="C114" s="183" t="str">
        <f>IFERROR(IF(VLOOKUP($B114,勘定科目!$A:$H,HLOOKUP($E$5,勘定科目!$F$1:$H$2,2,0),0)="","",VLOOKUP($B114,勘定科目!$A:$E,2,0)),"")</f>
        <v>その他手数料（製）</v>
      </c>
      <c r="D114" s="239" t="str">
        <f>IF(C114="","",VLOOKUP($B114,勘定科目!$A:$E,4,0))</f>
        <v>手数料</v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3"/>
        <v>0</v>
      </c>
      <c r="S114" s="201" t="s">
        <v>694</v>
      </c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>
        <v>5005246286</v>
      </c>
      <c r="C115" s="183" t="str">
        <f>IFERROR(IF(VLOOKUP($B115,勘定科目!$A:$H,HLOOKUP($E$5,勘定科目!$F$1:$H$2,2,0),0)="","",VLOOKUP($B115,勘定科目!$A:$E,2,0)),"")</f>
        <v>その他手数料（製）</v>
      </c>
      <c r="D115" s="239" t="str">
        <f>IF(C115="","",VLOOKUP($B115,勘定科目!$A:$E,4,0))</f>
        <v>手数料</v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3"/>
        <v>0</v>
      </c>
      <c r="S115" s="201" t="s">
        <v>748</v>
      </c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>
        <v>5005246286</v>
      </c>
      <c r="C116" s="183" t="str">
        <f>IFERROR(IF(VLOOKUP($B116,勘定科目!$A:$H,HLOOKUP($E$5,勘定科目!$F$1:$H$2,2,0),0)="","",VLOOKUP($B116,勘定科目!$A:$E,2,0)),"")</f>
        <v>その他手数料（製）</v>
      </c>
      <c r="D116" s="239" t="str">
        <f>IF(C116="","",VLOOKUP($B116,勘定科目!$A:$E,4,0))</f>
        <v>手数料</v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3"/>
        <v>0</v>
      </c>
      <c r="S116" s="201" t="s">
        <v>749</v>
      </c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>
        <v>5005246286</v>
      </c>
      <c r="C117" s="183" t="str">
        <f>IFERROR(IF(VLOOKUP($B117,勘定科目!$A:$H,HLOOKUP($E$5,勘定科目!$F$1:$H$2,2,0),0)="","",VLOOKUP($B117,勘定科目!$A:$E,2,0)),"")</f>
        <v>その他手数料（製）</v>
      </c>
      <c r="D117" s="239" t="str">
        <f>IF(C117="","",VLOOKUP($B117,勘定科目!$A:$E,4,0))</f>
        <v>手数料</v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3"/>
        <v>0</v>
      </c>
      <c r="S117" s="201" t="s">
        <v>750</v>
      </c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/>
      <c r="C118" s="183" t="str">
        <f>IFERROR(IF(VLOOKUP($B118,勘定科目!$A:$H,HLOOKUP($E$5,勘定科目!$F$1:$H$2,2,0),0)="","",VLOOKUP($B118,勘定科目!$A:$E,2,0)),"")</f>
        <v/>
      </c>
      <c r="D118" s="239" t="str">
        <f>IF(C118="","",VLOOKUP($B118,勘定科目!$A:$E,4,0))</f>
        <v/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3"/>
        <v>0</v>
      </c>
      <c r="S118" s="201"/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>
        <v>5004086291</v>
      </c>
      <c r="C119" s="183" t="str">
        <f>IFERROR(IF(VLOOKUP($B119,勘定科目!$A:$H,HLOOKUP($E$5,勘定科目!$F$1:$H$2,2,0),0)="","",VLOOKUP($B119,勘定科目!$A:$E,2,0)),"")</f>
        <v>福利厚生費（製）</v>
      </c>
      <c r="D119" s="239" t="str">
        <f>IF(C119="","",VLOOKUP($B119,勘定科目!$A:$E,4,0))</f>
        <v>福利厚生費</v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10">SUM(F119:Q119)</f>
        <v>0</v>
      </c>
      <c r="S119" s="201"/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>
        <v>5005016372</v>
      </c>
      <c r="C120" s="183" t="str">
        <f>IFERROR(IF(VLOOKUP($B120,勘定科目!$A:$H,HLOOKUP($E$5,勘定科目!$F$1:$H$2,2,0),0)="","",VLOOKUP($B120,勘定科目!$A:$E,2,0)),"")</f>
        <v>その他消耗品（製）</v>
      </c>
      <c r="D120" s="239" t="str">
        <f>IF(C120="","",VLOOKUP($B120,勘定科目!$A:$E,4,0))</f>
        <v>消耗品費</v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10"/>
        <v>0</v>
      </c>
      <c r="S120" s="201" t="s">
        <v>751</v>
      </c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>
        <v>5005026371</v>
      </c>
      <c r="C121" s="183" t="str">
        <f>IFERROR(IF(VLOOKUP($B121,勘定科目!$A:$H,HLOOKUP($E$5,勘定科目!$F$1:$H$2,2,0),0)="","",VLOOKUP($B121,勘定科目!$A:$E,2,0)),"")</f>
        <v>消耗工具器具備品費（製）</v>
      </c>
      <c r="D121" s="239" t="str">
        <f>IF(C121="","",VLOOKUP($B121,勘定科目!$A:$E,4,0))</f>
        <v>消耗工具器具備品費</v>
      </c>
      <c r="E121" s="245"/>
      <c r="F121" s="194"/>
      <c r="G121" s="247"/>
      <c r="H121" s="247"/>
      <c r="I121" s="247"/>
      <c r="J121" s="247"/>
      <c r="K121" s="247"/>
      <c r="L121" s="247">
        <f>ROUND(10875*161.47,0)</f>
        <v>1755986</v>
      </c>
      <c r="M121" s="247"/>
      <c r="N121" s="247"/>
      <c r="O121" s="247"/>
      <c r="P121" s="247"/>
      <c r="Q121" s="247"/>
      <c r="R121" s="200">
        <f t="shared" si="10"/>
        <v>1755986</v>
      </c>
      <c r="S121" s="201" t="s">
        <v>752</v>
      </c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>
        <v>5005116291</v>
      </c>
      <c r="C122" s="183" t="str">
        <f>IFERROR(IF(VLOOKUP($B122,勘定科目!$A:$H,HLOOKUP($E$5,勘定科目!$F$1:$H$2,2,0),0)="","",VLOOKUP($B122,勘定科目!$A:$E,2,0)),"")</f>
        <v>ベトナム国内交通費（製）</v>
      </c>
      <c r="D122" s="239" t="str">
        <f>IF(C122="","",VLOOKUP($B122,勘定科目!$A:$E,4,0))</f>
        <v>旅費交通費</v>
      </c>
      <c r="E122" s="245"/>
      <c r="F122" s="194"/>
      <c r="G122" s="247"/>
      <c r="H122" s="247"/>
      <c r="I122" s="247"/>
      <c r="J122" s="247"/>
      <c r="K122" s="300">
        <f>70000*6</f>
        <v>420000</v>
      </c>
      <c r="L122" s="300">
        <f>70000*6</f>
        <v>420000</v>
      </c>
      <c r="M122" s="247"/>
      <c r="N122" s="247"/>
      <c r="O122" s="300">
        <f>70000*6</f>
        <v>420000</v>
      </c>
      <c r="P122" s="247"/>
      <c r="Q122" s="247"/>
      <c r="R122" s="200">
        <f t="shared" si="10"/>
        <v>1260000</v>
      </c>
      <c r="S122" s="201" t="s">
        <v>753</v>
      </c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>
        <v>5005116291</v>
      </c>
      <c r="C123" s="183" t="str">
        <f>IFERROR(IF(VLOOKUP($B123,勘定科目!$A:$H,HLOOKUP($E$5,勘定科目!$F$1:$H$2,2,0),0)="","",VLOOKUP($B123,勘定科目!$A:$E,2,0)),"")</f>
        <v>ベトナム国内交通費（製）</v>
      </c>
      <c r="D123" s="239" t="str">
        <f>IF(C123="","",VLOOKUP($B123,勘定科目!$A:$E,4,0))</f>
        <v>旅費交通費</v>
      </c>
      <c r="E123" s="245"/>
      <c r="F123" s="194"/>
      <c r="G123" s="247"/>
      <c r="H123" s="247"/>
      <c r="I123" s="247"/>
      <c r="J123" s="247"/>
      <c r="K123" s="300">
        <f>70000*6</f>
        <v>420000</v>
      </c>
      <c r="L123" s="300">
        <f>70000*6</f>
        <v>420000</v>
      </c>
      <c r="M123" s="247"/>
      <c r="N123" s="247"/>
      <c r="O123" s="300">
        <f>70000*6</f>
        <v>420000</v>
      </c>
      <c r="P123" s="247"/>
      <c r="Q123" s="247"/>
      <c r="R123" s="200">
        <f t="shared" si="10"/>
        <v>1260000</v>
      </c>
      <c r="S123" s="201" t="s">
        <v>754</v>
      </c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10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/>
      <c r="C125" s="183" t="str">
        <f>IFERROR(IF(VLOOKUP($B125,勘定科目!$A:$H,HLOOKUP($E$5,勘定科目!$F$1:$H$2,2,0),0)="","",VLOOKUP($B125,勘定科目!$A:$E,2,0)),"")</f>
        <v/>
      </c>
      <c r="D125" s="239" t="str">
        <f>IF(C125="","",VLOOKUP($B125,勘定科目!$A:$E,4,0))</f>
        <v/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10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>
        <v>5005116292</v>
      </c>
      <c r="C126" s="183" t="str">
        <f>IFERROR(IF(VLOOKUP($B126,勘定科目!$A:$H,HLOOKUP($E$5,勘定科目!$F$1:$H$2,2,0),0)="","",VLOOKUP($B126,勘定科目!$A:$E,2,0)),"")</f>
        <v>海外渡航費（製）</v>
      </c>
      <c r="D126" s="239" t="str">
        <f>IF(C126="","",VLOOKUP($B126,勘定科目!$A:$E,4,0))</f>
        <v>渡航費</v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10"/>
        <v>0</v>
      </c>
      <c r="S126" s="201"/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>
        <v>5005116291</v>
      </c>
      <c r="C127" s="183" t="str">
        <f>IFERROR(IF(VLOOKUP($B127,勘定科目!$A:$H,HLOOKUP($E$5,勘定科目!$F$1:$H$2,2,0),0)="","",VLOOKUP($B127,勘定科目!$A:$E,2,0)),"")</f>
        <v>ベトナム国内交通費（製）</v>
      </c>
      <c r="D127" s="239" t="str">
        <f>IF(C127="","",VLOOKUP($B127,勘定科目!$A:$E,4,0))</f>
        <v>旅費交通費</v>
      </c>
      <c r="E127" s="245"/>
      <c r="F127" s="301">
        <f>650000*2</f>
        <v>1300000</v>
      </c>
      <c r="G127" s="301">
        <f>650000*2</f>
        <v>1300000</v>
      </c>
      <c r="H127" s="247"/>
      <c r="I127" s="247"/>
      <c r="J127" s="301">
        <f>650000*2</f>
        <v>1300000</v>
      </c>
      <c r="K127" s="301">
        <f>650000*2</f>
        <v>1300000</v>
      </c>
      <c r="L127" s="247"/>
      <c r="M127" s="247"/>
      <c r="N127" s="247"/>
      <c r="O127" s="247"/>
      <c r="P127" s="247"/>
      <c r="Q127" s="247"/>
      <c r="R127" s="200">
        <f t="shared" si="10"/>
        <v>5200000</v>
      </c>
      <c r="S127" s="201" t="s">
        <v>755</v>
      </c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>
        <v>5005116292</v>
      </c>
      <c r="C128" s="183" t="str">
        <f>IFERROR(IF(VLOOKUP($B128,勘定科目!$A:$H,HLOOKUP($E$5,勘定科目!$F$1:$H$2,2,0),0)="","",VLOOKUP($B128,勘定科目!$A:$E,2,0)),"")</f>
        <v>海外渡航費（製）</v>
      </c>
      <c r="D128" s="239" t="str">
        <f>IF(C128="","",VLOOKUP($B128,勘定科目!$A:$E,4,0))</f>
        <v>渡航費</v>
      </c>
      <c r="E128" s="245"/>
      <c r="F128" s="301">
        <f>ROUND(850*25390*2,0)</f>
        <v>43163000</v>
      </c>
      <c r="G128" s="247"/>
      <c r="H128" s="247"/>
      <c r="I128" s="247"/>
      <c r="J128" s="301">
        <f>ROUND(850*25390*2,0)</f>
        <v>43163000</v>
      </c>
      <c r="K128" s="247"/>
      <c r="L128" s="247"/>
      <c r="M128" s="247"/>
      <c r="N128" s="247"/>
      <c r="O128" s="247"/>
      <c r="P128" s="247"/>
      <c r="Q128" s="247"/>
      <c r="R128" s="200">
        <f t="shared" si="10"/>
        <v>86326000</v>
      </c>
      <c r="S128" s="201" t="s">
        <v>756</v>
      </c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>
        <v>5005116292</v>
      </c>
      <c r="C129" s="183" t="str">
        <f>IFERROR(IF(VLOOKUP($B129,勘定科目!$A:$H,HLOOKUP($E$5,勘定科目!$F$1:$H$2,2,0),0)="","",VLOOKUP($B129,勘定科目!$A:$E,2,0)),"")</f>
        <v>海外渡航費（製）</v>
      </c>
      <c r="D129" s="239" t="str">
        <f>IF(C129="","",VLOOKUP($B129,勘定科目!$A:$E,4,0))</f>
        <v>渡航費</v>
      </c>
      <c r="E129" s="245"/>
      <c r="F129" s="194"/>
      <c r="G129" s="247"/>
      <c r="H129" s="247"/>
      <c r="I129" s="247">
        <f>80000*2</f>
        <v>160000</v>
      </c>
      <c r="J129" s="247"/>
      <c r="K129" s="247"/>
      <c r="L129" s="247"/>
      <c r="M129" s="247"/>
      <c r="N129" s="247"/>
      <c r="O129" s="247"/>
      <c r="P129" s="247"/>
      <c r="Q129" s="247"/>
      <c r="R129" s="200">
        <f t="shared" si="10"/>
        <v>160000</v>
      </c>
      <c r="S129" s="201" t="s">
        <v>757</v>
      </c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>
        <v>5005116292</v>
      </c>
      <c r="C130" s="183" t="str">
        <f>IFERROR(IF(VLOOKUP($B130,勘定科目!$A:$H,HLOOKUP($E$5,勘定科目!$F$1:$H$2,2,0),0)="","",VLOOKUP($B130,勘定科目!$A:$E,2,0)),"")</f>
        <v>海外渡航費（製）</v>
      </c>
      <c r="D130" s="239" t="str">
        <f>IF(C130="","",VLOOKUP($B130,勘定科目!$A:$E,4,0))</f>
        <v>渡航費</v>
      </c>
      <c r="E130" s="245"/>
      <c r="F130" s="194"/>
      <c r="G130" s="247"/>
      <c r="H130" s="247"/>
      <c r="I130" s="247">
        <f>640000*2</f>
        <v>1280000</v>
      </c>
      <c r="J130" s="247"/>
      <c r="K130" s="247"/>
      <c r="L130" s="247"/>
      <c r="M130" s="247"/>
      <c r="N130" s="247"/>
      <c r="O130" s="247"/>
      <c r="P130" s="247"/>
      <c r="Q130" s="247"/>
      <c r="R130" s="200">
        <f t="shared" si="10"/>
        <v>1280000</v>
      </c>
      <c r="S130" s="201" t="s">
        <v>758</v>
      </c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>
        <v>5005116292</v>
      </c>
      <c r="C131" s="183" t="str">
        <f>IFERROR(IF(VLOOKUP($B131,勘定科目!$A:$H,HLOOKUP($E$5,勘定科目!$F$1:$H$2,2,0),0)="","",VLOOKUP($B131,勘定科目!$A:$E,2,0)),"")</f>
        <v>海外渡航費（製）</v>
      </c>
      <c r="D131" s="239" t="str">
        <f>IF(C131="","",VLOOKUP($B131,勘定科目!$A:$E,4,0))</f>
        <v>渡航費</v>
      </c>
      <c r="E131" s="245"/>
      <c r="F131" s="194"/>
      <c r="G131" s="247"/>
      <c r="H131" s="247"/>
      <c r="I131" s="247">
        <f>ROUND(35*25390*2,0)</f>
        <v>1777300</v>
      </c>
      <c r="J131" s="247"/>
      <c r="K131" s="247"/>
      <c r="L131" s="247"/>
      <c r="M131" s="247"/>
      <c r="N131" s="247"/>
      <c r="O131" s="247"/>
      <c r="P131" s="247"/>
      <c r="Q131" s="247"/>
      <c r="R131" s="200">
        <f t="shared" si="10"/>
        <v>1777300</v>
      </c>
      <c r="S131" s="201" t="s">
        <v>759</v>
      </c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>
        <v>5005116292</v>
      </c>
      <c r="C132" s="183" t="str">
        <f>IFERROR(IF(VLOOKUP($B132,勘定科目!$A:$H,HLOOKUP($E$5,勘定科目!$F$1:$H$2,2,0),0)="","",VLOOKUP($B132,勘定科目!$A:$E,2,0)),"")</f>
        <v>海外渡航費（製）</v>
      </c>
      <c r="D132" s="239" t="str">
        <f>IF(C132="","",VLOOKUP($B132,勘定科目!$A:$E,4,0))</f>
        <v>渡航費</v>
      </c>
      <c r="E132" s="245"/>
      <c r="F132" s="194"/>
      <c r="G132" s="247"/>
      <c r="H132" s="247"/>
      <c r="I132" s="247">
        <f>ROUND(88000*161.47*2,0)</f>
        <v>28418720</v>
      </c>
      <c r="J132" s="247"/>
      <c r="K132" s="247"/>
      <c r="L132" s="247"/>
      <c r="M132" s="247"/>
      <c r="N132" s="247"/>
      <c r="O132" s="247"/>
      <c r="P132" s="247"/>
      <c r="Q132" s="247"/>
      <c r="R132" s="200">
        <f t="shared" si="10"/>
        <v>28418720</v>
      </c>
      <c r="S132" s="201" t="s">
        <v>760</v>
      </c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>
        <v>5005116292</v>
      </c>
      <c r="C133" s="183" t="str">
        <f>IFERROR(IF(VLOOKUP($B133,勘定科目!$A:$H,HLOOKUP($E$5,勘定科目!$F$1:$H$2,2,0),0)="","",VLOOKUP($B133,勘定科目!$A:$E,2,0)),"")</f>
        <v>海外渡航費（製）</v>
      </c>
      <c r="D133" s="239" t="str">
        <f>IF(C133="","",VLOOKUP($B133,勘定科目!$A:$E,4,0))</f>
        <v>渡航費</v>
      </c>
      <c r="E133" s="245"/>
      <c r="F133" s="194"/>
      <c r="G133" s="247"/>
      <c r="H133" s="247"/>
      <c r="I133" s="247">
        <f>ROUND(145*25390*2,0)</f>
        <v>7363100</v>
      </c>
      <c r="J133" s="247"/>
      <c r="K133" s="247"/>
      <c r="L133" s="247"/>
      <c r="M133" s="247"/>
      <c r="N133" s="247"/>
      <c r="O133" s="247"/>
      <c r="P133" s="247"/>
      <c r="Q133" s="247"/>
      <c r="R133" s="200">
        <f t="shared" si="10"/>
        <v>7363100</v>
      </c>
      <c r="S133" s="201" t="s">
        <v>761</v>
      </c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>
        <v>5005116292</v>
      </c>
      <c r="C134" s="183" t="str">
        <f>IFERROR(IF(VLOOKUP($B134,勘定科目!$A:$H,HLOOKUP($E$5,勘定科目!$F$1:$H$2,2,0),0)="","",VLOOKUP($B134,勘定科目!$A:$E,2,0)),"")</f>
        <v>海外渡航費（製）</v>
      </c>
      <c r="D134" s="239" t="str">
        <f>IF(C134="","",VLOOKUP($B134,勘定科目!$A:$E,4,0))</f>
        <v>渡航費</v>
      </c>
      <c r="E134" s="245"/>
      <c r="F134" s="301">
        <f>ROUND(602*25390*2,0)</f>
        <v>30569560</v>
      </c>
      <c r="G134" s="247"/>
      <c r="H134" s="247"/>
      <c r="I134" s="247"/>
      <c r="J134" s="301">
        <f>ROUND(602*25390*2,0)</f>
        <v>30569560</v>
      </c>
      <c r="K134" s="247"/>
      <c r="L134" s="247"/>
      <c r="M134" s="247"/>
      <c r="N134" s="247"/>
      <c r="O134" s="247"/>
      <c r="P134" s="247"/>
      <c r="Q134" s="247"/>
      <c r="R134" s="200">
        <f t="shared" si="10"/>
        <v>61139120</v>
      </c>
      <c r="S134" s="201" t="s">
        <v>762</v>
      </c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>
        <v>5005116292</v>
      </c>
      <c r="C135" s="183" t="str">
        <f>IFERROR(IF(VLOOKUP($B135,勘定科目!$A:$H,HLOOKUP($E$5,勘定科目!$F$1:$H$2,2,0),0)="","",VLOOKUP($B135,勘定科目!$A:$E,2,0)),"")</f>
        <v>海外渡航費（製）</v>
      </c>
      <c r="D135" s="239" t="str">
        <f>IF(C135="","",VLOOKUP($B135,勘定科目!$A:$E,4,0))</f>
        <v>渡航費</v>
      </c>
      <c r="E135" s="245"/>
      <c r="F135" s="301">
        <f>ROUND(7420*161.47*2,0)</f>
        <v>2396215</v>
      </c>
      <c r="G135" s="247"/>
      <c r="H135" s="247"/>
      <c r="I135" s="247"/>
      <c r="J135" s="301">
        <f>ROUND(7420*161.47*2,0)</f>
        <v>2396215</v>
      </c>
      <c r="K135" s="247"/>
      <c r="L135" s="247"/>
      <c r="M135" s="247"/>
      <c r="N135" s="247"/>
      <c r="O135" s="247"/>
      <c r="P135" s="247"/>
      <c r="Q135" s="247"/>
      <c r="R135" s="200">
        <f t="shared" si="10"/>
        <v>4792430</v>
      </c>
      <c r="S135" s="201" t="s">
        <v>763</v>
      </c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>
        <v>5005116292</v>
      </c>
      <c r="C136" s="183" t="str">
        <f>IFERROR(IF(VLOOKUP($B136,勘定科目!$A:$H,HLOOKUP($E$5,勘定科目!$F$1:$H$2,2,0),0)="","",VLOOKUP($B136,勘定科目!$A:$E,2,0)),"")</f>
        <v>海外渡航費（製）</v>
      </c>
      <c r="D136" s="239" t="str">
        <f>IF(C136="","",VLOOKUP($B136,勘定科目!$A:$E,4,0))</f>
        <v>渡航費</v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10"/>
        <v>0</v>
      </c>
      <c r="S136" s="201" t="s">
        <v>764</v>
      </c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>
        <v>5005116292</v>
      </c>
      <c r="C137" s="183" t="str">
        <f>IFERROR(IF(VLOOKUP($B137,勘定科目!$A:$H,HLOOKUP($E$5,勘定科目!$F$1:$H$2,2,0),0)="","",VLOOKUP($B137,勘定科目!$A:$E,2,0)),"")</f>
        <v>海外渡航費（製）</v>
      </c>
      <c r="D137" s="239" t="str">
        <f>IF(C137="","",VLOOKUP($B137,勘定科目!$A:$E,4,0))</f>
        <v>渡航費</v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10"/>
        <v>0</v>
      </c>
      <c r="S137" s="201"/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/>
      <c r="C138" s="183" t="str">
        <f>IFERROR(IF(VLOOKUP($B138,勘定科目!$A:$H,HLOOKUP($E$5,勘定科目!$F$1:$H$2,2,0),0)="","",VLOOKUP($B138,勘定科目!$A:$E,2,0)),"")</f>
        <v/>
      </c>
      <c r="D138" s="239" t="str">
        <f>IF(C138="","",VLOOKUP($B138,勘定科目!$A:$E,4,0))</f>
        <v/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10"/>
        <v>0</v>
      </c>
      <c r="S138" s="201"/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>
        <v>9114120009</v>
      </c>
      <c r="C139" s="183" t="str">
        <f>IFERROR(IF(VLOOKUP($B139,勘定科目!$A:$H,HLOOKUP($E$5,勘定科目!$F$1:$H$2,2,0),0)="","",VLOOKUP($B139,勘定科目!$A:$E,2,0)),"")</f>
        <v>社内金利（在庫）</v>
      </c>
      <c r="D139" s="239" t="str">
        <f>IF(C139="","",VLOOKUP($B139,勘定科目!$A:$E,4,0))</f>
        <v>在庫金利</v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10"/>
        <v>0</v>
      </c>
      <c r="S139" s="201" t="s">
        <v>765</v>
      </c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/>
      <c r="C140" s="183" t="str">
        <f>IFERROR(IF(VLOOKUP($B140,勘定科目!$A:$H,HLOOKUP($E$5,勘定科目!$F$1:$H$2,2,0),0)="","",VLOOKUP($B140,勘定科目!$A:$E,2,0)),"")</f>
        <v/>
      </c>
      <c r="D140" s="239" t="str">
        <f>IF(C140="","",VLOOKUP($B140,勘定科目!$A:$E,4,0))</f>
        <v/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10"/>
        <v>0</v>
      </c>
      <c r="S140" s="201"/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>
        <v>5005046282</v>
      </c>
      <c r="C141" s="183" t="str">
        <f>IFERROR(IF(VLOOKUP($B141,勘定科目!$A:$H,HLOOKUP($E$5,勘定科目!$F$1:$H$2,2,0),0)="","",VLOOKUP($B141,勘定科目!$A:$E,2,0)),"")</f>
        <v>その他修繕費（製）</v>
      </c>
      <c r="D141" s="239" t="str">
        <f>IF(C141="","",VLOOKUP($B141,勘定科目!$A:$E,4,0))</f>
        <v>修繕費</v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10"/>
        <v>0</v>
      </c>
      <c r="S141" s="201" t="s">
        <v>766</v>
      </c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>
        <v>5005046282</v>
      </c>
      <c r="C142" s="183" t="str">
        <f>IFERROR(IF(VLOOKUP($B142,勘定科目!$A:$H,HLOOKUP($E$5,勘定科目!$F$1:$H$2,2,0),0)="","",VLOOKUP($B142,勘定科目!$A:$E,2,0)),"")</f>
        <v>その他修繕費（製）</v>
      </c>
      <c r="D142" s="239" t="str">
        <f>IF(C142="","",VLOOKUP($B142,勘定科目!$A:$E,4,0))</f>
        <v>修繕費</v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10"/>
        <v>0</v>
      </c>
      <c r="S142" s="201" t="s">
        <v>767</v>
      </c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/>
      <c r="C143" s="183" t="str">
        <f>IFERROR(IF(VLOOKUP($B143,勘定科目!$A:$H,HLOOKUP($E$5,勘定科目!$F$1:$H$2,2,0),0)="","",VLOOKUP($B143,勘定科目!$A:$E,2,0)),"")</f>
        <v/>
      </c>
      <c r="D143" s="239" t="str">
        <f>IF(C143="","",VLOOKUP($B143,勘定科目!$A:$E,4,0))</f>
        <v/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10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>
        <v>5005246283</v>
      </c>
      <c r="C144" s="183" t="str">
        <f>IFERROR(IF(VLOOKUP($B144,勘定科目!$A:$H,HLOOKUP($E$5,勘定科目!$F$1:$H$2,2,0),0)="","",VLOOKUP($B144,勘定科目!$A:$E,2,0)),"")</f>
        <v>ライセンス料（製）</v>
      </c>
      <c r="D144" s="239" t="str">
        <f>IF(C144="","",VLOOKUP($B144,勘定科目!$A:$E,4,0))</f>
        <v>図書及び事務費</v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10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>
        <v>5005246283</v>
      </c>
      <c r="C145" s="183" t="str">
        <f>IFERROR(IF(VLOOKUP($B145,勘定科目!$A:$H,HLOOKUP($E$5,勘定科目!$F$1:$H$2,2,0),0)="","",VLOOKUP($B145,勘定科目!$A:$E,2,0)),"")</f>
        <v>ライセンス料（製）</v>
      </c>
      <c r="D145" s="239" t="str">
        <f>IF(C145="","",VLOOKUP($B145,勘定科目!$A:$E,4,0))</f>
        <v>図書及び事務費</v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10"/>
        <v>0</v>
      </c>
      <c r="S145" s="201" t="s">
        <v>695</v>
      </c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>
        <v>5005136291</v>
      </c>
      <c r="C146" s="183" t="str">
        <f>IFERROR(IF(VLOOKUP($B146,勘定科目!$A:$H,HLOOKUP($E$5,勘定科目!$F$1:$H$2,2,0),0)="","",VLOOKUP($B146,勘定科目!$A:$E,2,0)),"")</f>
        <v>郵送代（製）</v>
      </c>
      <c r="D146" s="239" t="str">
        <f>IF(C146="","",VLOOKUP($B146,勘定科目!$A:$E,4,0))</f>
        <v>通信費</v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10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>
        <v>5005016372</v>
      </c>
      <c r="C147" s="183" t="str">
        <f>IFERROR(IF(VLOOKUP($B147,勘定科目!$A:$H,HLOOKUP($E$5,勘定科目!$F$1:$H$2,2,0),0)="","",VLOOKUP($B147,勘定科目!$A:$E,2,0)),"")</f>
        <v>その他消耗品（製）</v>
      </c>
      <c r="D147" s="239" t="str">
        <f>IF(C147="","",VLOOKUP($B147,勘定科目!$A:$E,4,0))</f>
        <v>消耗品費</v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10"/>
        <v>0</v>
      </c>
      <c r="S147" s="201"/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/>
      <c r="C148" s="183" t="str">
        <f>IFERROR(IF(VLOOKUP($B148,勘定科目!$A:$H,HLOOKUP($E$5,勘定科目!$F$1:$H$2,2,0),0)="","",VLOOKUP($B148,勘定科目!$A:$E,2,0)),"")</f>
        <v/>
      </c>
      <c r="D148" s="239" t="str">
        <f>IF(C148="","",VLOOKUP($B148,勘定科目!$A:$E,4,0))</f>
        <v/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10"/>
        <v>0</v>
      </c>
      <c r="S148" s="201"/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10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/>
      <c r="C150" s="183" t="str">
        <f>IFERROR(IF(VLOOKUP($B150,勘定科目!$A:$H,HLOOKUP($E$5,勘定科目!$F$1:$H$2,2,0),0)="","",VLOOKUP($B150,勘定科目!$A:$E,2,0)),"")</f>
        <v/>
      </c>
      <c r="D150" s="239" t="str">
        <f>IF(C150="","",VLOOKUP($B150,勘定科目!$A:$E,4,0))</f>
        <v/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10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/>
      <c r="C151" s="183" t="str">
        <f>IFERROR(IF(VLOOKUP($B151,勘定科目!$A:$H,HLOOKUP($E$5,勘定科目!$F$1:$H$2,2,0),0)="","",VLOOKUP($B151,勘定科目!$A:$E,2,0)),"")</f>
        <v/>
      </c>
      <c r="D151" s="239" t="str">
        <f>IF(C151="","",VLOOKUP($B151,勘定科目!$A:$E,4,0))</f>
        <v/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10"/>
        <v>0</v>
      </c>
      <c r="S151" s="201"/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/>
      <c r="C152" s="183" t="str">
        <f>IFERROR(IF(VLOOKUP($B152,勘定科目!$A:$H,HLOOKUP($E$5,勘定科目!$F$1:$H$2,2,0),0)="","",VLOOKUP($B152,勘定科目!$A:$E,2,0)),"")</f>
        <v/>
      </c>
      <c r="D152" s="239" t="str">
        <f>IF(C152="","",VLOOKUP($B152,勘定科目!$A:$E,4,0))</f>
        <v/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10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10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10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10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10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10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10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10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10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10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10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10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10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10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10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10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10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10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10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10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10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10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10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10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10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10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10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10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10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10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10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11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11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11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1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1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1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1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1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1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1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1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1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1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1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1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1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1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1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1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1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1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1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1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1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1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1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1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1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1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11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11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11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11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11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11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11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11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11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11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11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11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11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11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11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11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11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11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11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11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11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11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11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11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11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11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11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11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11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11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11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11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11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11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11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12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12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12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12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12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12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12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12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12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12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12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12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12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12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12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12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12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12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12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12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12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12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12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12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12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12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12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12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12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12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12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12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12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12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12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12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12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12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12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12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12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12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12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12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12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12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12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12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12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12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12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12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12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12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12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12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12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12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12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12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12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12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12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12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13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13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13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13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13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13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13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13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3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3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3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3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3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3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3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3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3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3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3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3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3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3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3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3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3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3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3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3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3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13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3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3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3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3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3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13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13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13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13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13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13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13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13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13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13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13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13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13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13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13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13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13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13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13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13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13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13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13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13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13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13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13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13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13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14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14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14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14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14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14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14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14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14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14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14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14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14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14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14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14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14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14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14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14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14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14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14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14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14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14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14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14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14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14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14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14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14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14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14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14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14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14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14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14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14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14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14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14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14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14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14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14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14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14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14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14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14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14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14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14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14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14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14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14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14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14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14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14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5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5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5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5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5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5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5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5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5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5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5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5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5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5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5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5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5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5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5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5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5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5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5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5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5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5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5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5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5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5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5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5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5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5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5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5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5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5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5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5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5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5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5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5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5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5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5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5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5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5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5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5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5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5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5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5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5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5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5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5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5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5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5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5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6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6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6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6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6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6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6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6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6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6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6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6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6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6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6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6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6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6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6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6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6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6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6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6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6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6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6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6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6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6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6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6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6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6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6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6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6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6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6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6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6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6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6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6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6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6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6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6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6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6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6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6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6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6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6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6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6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6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6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6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6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6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6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6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7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7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7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7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7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7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7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7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7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7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7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7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7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7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7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7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7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7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7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7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7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7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7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7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7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7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7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7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7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7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7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7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7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7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7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7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7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7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7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7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7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7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7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7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7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7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7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7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7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7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7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7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7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7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7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7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7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7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7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7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7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7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7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7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8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8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8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8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8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8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8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8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8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8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8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8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8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8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8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8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8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8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8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8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8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8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8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8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8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8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8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8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8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8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8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8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8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8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8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8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8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8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8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8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8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8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8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8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8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8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8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8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8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8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8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8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8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8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8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8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8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8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8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8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8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8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8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8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9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9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9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9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9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9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9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9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9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9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9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9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9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9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9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9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9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9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9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9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9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9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9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9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9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9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9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9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9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9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9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9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9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9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9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9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9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9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9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9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9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9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9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9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9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9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9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9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9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9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9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9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9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9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9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9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9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9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9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9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9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9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9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9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20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20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20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20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20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20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20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20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20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20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20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20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20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20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20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20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20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20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20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20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20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20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20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20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20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20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20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20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20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20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20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20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20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20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20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20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20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20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20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20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20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C4D9E433-32B9-4202-A8B8-84BC35B5585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99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2" sqref="C12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メカ製造技術1課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/>
  </cols>
  <sheetData>
    <row r="2" spans="1:2">
      <c r="A2" s="123" t="s">
        <v>674</v>
      </c>
      <c r="B2" s="248" t="s">
        <v>401</v>
      </c>
    </row>
    <row r="3" spans="1:2" ht="15">
      <c r="A3" s="92">
        <v>4</v>
      </c>
      <c r="B3" s="249">
        <v>20</v>
      </c>
    </row>
    <row r="4" spans="1:2" ht="15">
      <c r="A4" s="92">
        <v>5</v>
      </c>
      <c r="B4" s="249">
        <v>19</v>
      </c>
    </row>
    <row r="5" spans="1:2" ht="15">
      <c r="A5" s="92">
        <v>6</v>
      </c>
      <c r="B5" s="249">
        <v>21</v>
      </c>
    </row>
    <row r="6" spans="1:2" ht="15">
      <c r="A6" s="92">
        <v>7</v>
      </c>
      <c r="B6" s="249">
        <v>23</v>
      </c>
    </row>
    <row r="7" spans="1:2" ht="15">
      <c r="A7" s="92">
        <v>8</v>
      </c>
      <c r="B7" s="249">
        <v>20</v>
      </c>
    </row>
    <row r="8" spans="1:2" ht="15">
      <c r="A8" s="92">
        <v>9</v>
      </c>
      <c r="B8" s="249">
        <v>19</v>
      </c>
    </row>
    <row r="9" spans="1:2" ht="15">
      <c r="A9" s="92">
        <v>10</v>
      </c>
      <c r="B9" s="249">
        <v>23</v>
      </c>
    </row>
    <row r="10" spans="1:2" ht="15">
      <c r="A10" s="92">
        <v>11</v>
      </c>
      <c r="B10" s="249">
        <v>20</v>
      </c>
    </row>
    <row r="11" spans="1:2" ht="15">
      <c r="A11" s="92">
        <v>12</v>
      </c>
      <c r="B11" s="249">
        <v>22</v>
      </c>
    </row>
    <row r="12" spans="1:2" ht="15">
      <c r="A12" s="92">
        <v>1</v>
      </c>
      <c r="B12" s="249">
        <v>20</v>
      </c>
    </row>
    <row r="13" spans="1:2" ht="15">
      <c r="A13" s="92">
        <v>2</v>
      </c>
      <c r="B13" s="249">
        <v>15</v>
      </c>
    </row>
    <row r="14" spans="1:2" ht="1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Lê Thị Mai Hương(Le Thi Mai Huong)</cp:lastModifiedBy>
  <cp:lastPrinted>2017-10-06T02:39:42Z</cp:lastPrinted>
  <dcterms:created xsi:type="dcterms:W3CDTF">2002-04-10T08:05:47Z</dcterms:created>
  <dcterms:modified xsi:type="dcterms:W3CDTF">2026-01-07T07:14:30Z</dcterms:modified>
</cp:coreProperties>
</file>