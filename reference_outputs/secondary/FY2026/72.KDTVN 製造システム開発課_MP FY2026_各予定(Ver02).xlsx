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10_Production Engineering Department(製造技術部)\02.製造技術課\PE Dept\9. KE HOACH CHI TIEU HANG THANG-採算管理\FY2026\製造システム開発課\"/>
    </mc:Choice>
  </mc:AlternateContent>
  <xr:revisionPtr revIDLastSave="0" documentId="13_ncr:1_{B89CEF98-3DD2-49A6-A301-F2B24F322D34}" xr6:coauthVersionLast="47" xr6:coauthVersionMax="47" xr10:uidLastSave="{00000000-0000-0000-0000-000000000000}"/>
  <bookViews>
    <workbookView xWindow="-110" yWindow="-110" windowWidth="19420" windowHeight="10300" tabRatio="702" activeTab="2" xr2:uid="{08B20195-9F34-4FA1-8EFF-8822A9A413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7" i="10" l="1"/>
  <c r="R93" i="10"/>
  <c r="R44" i="10"/>
  <c r="R42" i="10"/>
  <c r="R94" i="10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2" i="36"/>
  <c r="G2" i="36"/>
  <c r="F2" i="36"/>
  <c r="K98" i="5"/>
  <c r="K98" i="32" s="1"/>
  <c r="J98" i="5"/>
  <c r="J98" i="32" s="1"/>
  <c r="I98" i="5"/>
  <c r="I98" i="32" s="1"/>
  <c r="H98" i="5"/>
  <c r="H98" i="32" s="1"/>
  <c r="G98" i="5"/>
  <c r="F98" i="5"/>
  <c r="F98" i="32" s="1"/>
  <c r="E98" i="5"/>
  <c r="D98" i="5"/>
  <c r="D98" i="32" s="1"/>
  <c r="C98" i="5"/>
  <c r="C98" i="32" s="1"/>
  <c r="N97" i="5"/>
  <c r="M97" i="5"/>
  <c r="M97" i="32" s="1"/>
  <c r="L97" i="5"/>
  <c r="L97" i="32" s="1"/>
  <c r="K97" i="5"/>
  <c r="J97" i="5"/>
  <c r="J97" i="32" s="1"/>
  <c r="I97" i="5"/>
  <c r="I97" i="32" s="1"/>
  <c r="H97" i="5"/>
  <c r="H97" i="32" s="1"/>
  <c r="G97" i="5"/>
  <c r="G97" i="32" s="1"/>
  <c r="F97" i="5"/>
  <c r="E97" i="5"/>
  <c r="E97" i="32" s="1"/>
  <c r="D97" i="5"/>
  <c r="D97" i="32" s="1"/>
  <c r="C97" i="5"/>
  <c r="N93" i="5"/>
  <c r="N93" i="32" s="1"/>
  <c r="M93" i="5"/>
  <c r="M93" i="32" s="1"/>
  <c r="L93" i="5"/>
  <c r="L93" i="32" s="1"/>
  <c r="K93" i="5"/>
  <c r="K93" i="32" s="1"/>
  <c r="J93" i="5"/>
  <c r="J93" i="32" s="1"/>
  <c r="I93" i="5"/>
  <c r="H93" i="5"/>
  <c r="H93" i="32" s="1"/>
  <c r="G93" i="5"/>
  <c r="F93" i="5"/>
  <c r="E93" i="5"/>
  <c r="E93" i="32" s="1"/>
  <c r="D93" i="5"/>
  <c r="D93" i="32" s="1"/>
  <c r="C93" i="5"/>
  <c r="C93" i="32" s="1"/>
  <c r="N92" i="5"/>
  <c r="M92" i="5"/>
  <c r="M92" i="32" s="1"/>
  <c r="L92" i="5"/>
  <c r="L92" i="32" s="1"/>
  <c r="K92" i="5"/>
  <c r="K92" i="32" s="1"/>
  <c r="K94" i="32" s="1"/>
  <c r="J92" i="5"/>
  <c r="J92" i="32" s="1"/>
  <c r="I92" i="5"/>
  <c r="I92" i="32" s="1"/>
  <c r="H92" i="5"/>
  <c r="G92" i="5"/>
  <c r="G92" i="32" s="1"/>
  <c r="F92" i="5"/>
  <c r="F92" i="32" s="1"/>
  <c r="E92" i="5"/>
  <c r="E92" i="32" s="1"/>
  <c r="D92" i="5"/>
  <c r="C92" i="5"/>
  <c r="C94" i="5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G88" i="5"/>
  <c r="G88" i="32" s="1"/>
  <c r="F88" i="5"/>
  <c r="F88" i="32" s="1"/>
  <c r="E88" i="5"/>
  <c r="E88" i="32" s="1"/>
  <c r="D88" i="5"/>
  <c r="D88" i="32" s="1"/>
  <c r="C88" i="5"/>
  <c r="C88" i="32" s="1"/>
  <c r="N87" i="5"/>
  <c r="M87" i="5"/>
  <c r="M87" i="32" s="1"/>
  <c r="L87" i="5"/>
  <c r="L87" i="32" s="1"/>
  <c r="K87" i="5"/>
  <c r="K87" i="32" s="1"/>
  <c r="J87" i="5"/>
  <c r="J89" i="5" s="1"/>
  <c r="I87" i="5"/>
  <c r="I87" i="32" s="1"/>
  <c r="H87" i="5"/>
  <c r="H87" i="32" s="1"/>
  <c r="G87" i="5"/>
  <c r="F87" i="5"/>
  <c r="E87" i="5"/>
  <c r="E87" i="32" s="1"/>
  <c r="D87" i="5"/>
  <c r="C87" i="5"/>
  <c r="K74" i="5"/>
  <c r="K74" i="32" s="1"/>
  <c r="J74" i="5"/>
  <c r="I74" i="5"/>
  <c r="I74" i="32" s="1"/>
  <c r="H74" i="5"/>
  <c r="H74" i="32" s="1"/>
  <c r="G74" i="5"/>
  <c r="F74" i="5"/>
  <c r="F74" i="32" s="1"/>
  <c r="E74" i="5"/>
  <c r="D74" i="5"/>
  <c r="D74" i="32" s="1"/>
  <c r="C74" i="5"/>
  <c r="C74" i="32" s="1"/>
  <c r="N68" i="5"/>
  <c r="N68" i="32" s="1"/>
  <c r="M68" i="5"/>
  <c r="M68" i="32" s="1"/>
  <c r="L68" i="5"/>
  <c r="L68" i="32" s="1"/>
  <c r="K68" i="5"/>
  <c r="J68" i="5"/>
  <c r="J68" i="32" s="1"/>
  <c r="I68" i="5"/>
  <c r="H68" i="5"/>
  <c r="H68" i="32" s="1"/>
  <c r="G68" i="5"/>
  <c r="G68" i="32" s="1"/>
  <c r="F68" i="5"/>
  <c r="F68" i="32" s="1"/>
  <c r="E68" i="5"/>
  <c r="E68" i="32" s="1"/>
  <c r="D68" i="5"/>
  <c r="C68" i="5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4" i="10"/>
  <c r="R72" i="10"/>
  <c r="R71" i="10"/>
  <c r="R70" i="10"/>
  <c r="R69" i="10"/>
  <c r="R68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3" i="10"/>
  <c r="R41" i="10"/>
  <c r="R40" i="10"/>
  <c r="R39" i="10"/>
  <c r="N5" i="10"/>
  <c r="M5" i="10"/>
  <c r="L5" i="10"/>
  <c r="K5" i="10"/>
  <c r="J5" i="10"/>
  <c r="I5" i="10"/>
  <c r="G5" i="10"/>
  <c r="R36" i="10"/>
  <c r="R28" i="10"/>
  <c r="R27" i="10"/>
  <c r="C1" i="5"/>
  <c r="C1" i="32" s="1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6" i="10"/>
  <c r="R15" i="10"/>
  <c r="R14" i="10"/>
  <c r="R13" i="10"/>
  <c r="R12" i="10"/>
  <c r="R11" i="10"/>
  <c r="R10" i="10"/>
  <c r="R9" i="10"/>
  <c r="R8" i="10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/>
  <c r="D87" i="32"/>
  <c r="H88" i="32"/>
  <c r="D4" i="32"/>
  <c r="E4" i="32"/>
  <c r="F4" i="32"/>
  <c r="G4" i="32"/>
  <c r="H4" i="32"/>
  <c r="I4" i="32"/>
  <c r="J4" i="32"/>
  <c r="K4" i="32"/>
  <c r="L4" i="32"/>
  <c r="M4" i="32"/>
  <c r="N4" i="32"/>
  <c r="O4" i="32"/>
  <c r="C68" i="32"/>
  <c r="I68" i="32"/>
  <c r="K68" i="32"/>
  <c r="G87" i="32"/>
  <c r="G89" i="5"/>
  <c r="D68" i="32"/>
  <c r="G93" i="32"/>
  <c r="G94" i="5"/>
  <c r="C97" i="32"/>
  <c r="G98" i="32"/>
  <c r="G99" i="5"/>
  <c r="F5" i="10"/>
  <c r="H5" i="10"/>
  <c r="D1" i="21"/>
  <c r="B2" i="5"/>
  <c r="B2" i="32" s="1"/>
  <c r="R29" i="10"/>
  <c r="R26" i="10"/>
  <c r="E94" i="5" l="1"/>
  <c r="O92" i="5"/>
  <c r="G89" i="32"/>
  <c r="D89" i="32"/>
  <c r="O97" i="5"/>
  <c r="M89" i="32"/>
  <c r="E94" i="32"/>
  <c r="O93" i="5"/>
  <c r="R75" i="10"/>
  <c r="R73" i="10"/>
  <c r="P5" i="10"/>
  <c r="Q5" i="10"/>
  <c r="R38" i="10"/>
  <c r="O5" i="10"/>
  <c r="N89" i="5"/>
  <c r="M74" i="5"/>
  <c r="M76" i="5" s="1"/>
  <c r="M76" i="32" s="1"/>
  <c r="M98" i="5"/>
  <c r="M98" i="32" s="1"/>
  <c r="M99" i="32" s="1"/>
  <c r="N87" i="32"/>
  <c r="R17" i="10"/>
  <c r="O98" i="5" s="1"/>
  <c r="N98" i="5"/>
  <c r="N98" i="32" s="1"/>
  <c r="N74" i="5"/>
  <c r="N74" i="32" s="1"/>
  <c r="L98" i="5"/>
  <c r="L98" i="32" s="1"/>
  <c r="L99" i="32" s="1"/>
  <c r="L74" i="5"/>
  <c r="L74" i="32" s="1"/>
  <c r="N94" i="5"/>
  <c r="F99" i="5"/>
  <c r="C89" i="5"/>
  <c r="J76" i="5"/>
  <c r="J76" i="32" s="1"/>
  <c r="E76" i="5"/>
  <c r="E76" i="32" s="1"/>
  <c r="C988" i="10"/>
  <c r="D988" i="10" s="1"/>
  <c r="K70" i="5"/>
  <c r="K70" i="32" s="1"/>
  <c r="G76" i="5"/>
  <c r="G76" i="32" s="1"/>
  <c r="C455" i="10"/>
  <c r="D455" i="10" s="1"/>
  <c r="C190" i="10"/>
  <c r="D190" i="10" s="1"/>
  <c r="C51" i="10"/>
  <c r="D51" i="10" s="1"/>
  <c r="C912" i="10"/>
  <c r="D912" i="10" s="1"/>
  <c r="C320" i="10"/>
  <c r="D320" i="10" s="1"/>
  <c r="C67" i="10"/>
  <c r="D67" i="10" s="1"/>
  <c r="C821" i="10"/>
  <c r="D821" i="10" s="1"/>
  <c r="C152" i="10"/>
  <c r="D152" i="10" s="1"/>
  <c r="C865" i="10"/>
  <c r="D865" i="10" s="1"/>
  <c r="C238" i="10"/>
  <c r="D238" i="10" s="1"/>
  <c r="C672" i="10"/>
  <c r="D672" i="10" s="1"/>
  <c r="C317" i="10"/>
  <c r="D317" i="10" s="1"/>
  <c r="C179" i="10"/>
  <c r="D179" i="10" s="1"/>
  <c r="C116" i="10"/>
  <c r="D116" i="10" s="1"/>
  <c r="C204" i="10"/>
  <c r="D204" i="10" s="1"/>
  <c r="C34" i="10"/>
  <c r="D34" i="10" s="1"/>
  <c r="C700" i="10"/>
  <c r="D700" i="10" s="1"/>
  <c r="C625" i="10"/>
  <c r="D625" i="10" s="1"/>
  <c r="C657" i="10"/>
  <c r="D657" i="10" s="1"/>
  <c r="C674" i="10"/>
  <c r="D674" i="10" s="1"/>
  <c r="C718" i="10"/>
  <c r="D718" i="10" s="1"/>
  <c r="C818" i="10"/>
  <c r="D818" i="10" s="1"/>
  <c r="C773" i="10"/>
  <c r="D773" i="10" s="1"/>
  <c r="C880" i="10"/>
  <c r="D880" i="10" s="1"/>
  <c r="C721" i="10"/>
  <c r="D721" i="10" s="1"/>
  <c r="C407" i="10"/>
  <c r="D407" i="10" s="1"/>
  <c r="C125" i="10"/>
  <c r="D125" i="10" s="1"/>
  <c r="C859" i="10"/>
  <c r="D859" i="10" s="1"/>
  <c r="C213" i="10"/>
  <c r="D213" i="10" s="1"/>
  <c r="C128" i="10"/>
  <c r="D128" i="10" s="1"/>
  <c r="C216" i="10"/>
  <c r="D216" i="10" s="1"/>
  <c r="C596" i="10"/>
  <c r="D596" i="10" s="1"/>
  <c r="C831" i="10"/>
  <c r="D831" i="10" s="1"/>
  <c r="C801" i="10"/>
  <c r="D801" i="10" s="1"/>
  <c r="C188" i="10"/>
  <c r="D188" i="10" s="1"/>
  <c r="C460" i="10"/>
  <c r="D460" i="10" s="1"/>
  <c r="C32" i="10"/>
  <c r="D32" i="10" s="1"/>
  <c r="C409" i="10"/>
  <c r="D409" i="10" s="1"/>
  <c r="C738" i="10"/>
  <c r="D738" i="10" s="1"/>
  <c r="C322" i="10"/>
  <c r="D322" i="10" s="1"/>
  <c r="C592" i="10"/>
  <c r="D592" i="10" s="1"/>
  <c r="C714" i="10"/>
  <c r="D714" i="10" s="1"/>
  <c r="C631" i="10"/>
  <c r="D631" i="10" s="1"/>
  <c r="C686" i="10"/>
  <c r="D686" i="10" s="1"/>
  <c r="C784" i="10"/>
  <c r="D784" i="10" s="1"/>
  <c r="C729" i="10"/>
  <c r="D729" i="10" s="1"/>
  <c r="C872" i="10"/>
  <c r="D872" i="10" s="1"/>
  <c r="C532" i="10"/>
  <c r="D532" i="10" s="1"/>
  <c r="C137" i="10"/>
  <c r="D137" i="10" s="1"/>
  <c r="C998" i="10"/>
  <c r="D998" i="10" s="1"/>
  <c r="C822" i="10"/>
  <c r="D822" i="10" s="1"/>
  <c r="C173" i="10"/>
  <c r="D173" i="10" s="1"/>
  <c r="C122" i="10"/>
  <c r="D122" i="10" s="1"/>
  <c r="C184" i="10"/>
  <c r="D184" i="10" s="1"/>
  <c r="C512" i="10"/>
  <c r="D512" i="10" s="1"/>
  <c r="C866" i="10"/>
  <c r="D866" i="10" s="1"/>
  <c r="C845" i="10"/>
  <c r="D845" i="10" s="1"/>
  <c r="C231" i="10"/>
  <c r="D231" i="10" s="1"/>
  <c r="C480" i="10"/>
  <c r="D480" i="10" s="1"/>
  <c r="C76" i="10"/>
  <c r="D76" i="10" s="1"/>
  <c r="C194" i="10"/>
  <c r="D194" i="10" s="1"/>
  <c r="C668" i="10"/>
  <c r="D668" i="10" s="1"/>
  <c r="C258" i="10"/>
  <c r="D258" i="10" s="1"/>
  <c r="C432" i="10"/>
  <c r="D432" i="10" s="1"/>
  <c r="C786" i="10"/>
  <c r="D786" i="10" s="1"/>
  <c r="C619" i="10"/>
  <c r="D619" i="10" s="1"/>
  <c r="C651" i="10"/>
  <c r="D651" i="10" s="1"/>
  <c r="C768" i="10"/>
  <c r="D768" i="10" s="1"/>
  <c r="C431" i="10"/>
  <c r="D431" i="10" s="1"/>
  <c r="C196" i="10"/>
  <c r="D196" i="10" s="1"/>
  <c r="C838" i="10"/>
  <c r="D838" i="10" s="1"/>
  <c r="C966" i="10"/>
  <c r="D966" i="10" s="1"/>
  <c r="C913" i="10"/>
  <c r="D913" i="10" s="1"/>
  <c r="C996" i="10"/>
  <c r="D996" i="10" s="1"/>
  <c r="C442" i="10"/>
  <c r="D442" i="10" s="1"/>
  <c r="C229" i="10"/>
  <c r="D229" i="10" s="1"/>
  <c r="C129" i="10"/>
  <c r="D129" i="10" s="1"/>
  <c r="C211" i="10"/>
  <c r="D211" i="10" s="1"/>
  <c r="C836" i="10"/>
  <c r="D836" i="10" s="1"/>
  <c r="C851" i="10"/>
  <c r="D851" i="10" s="1"/>
  <c r="C789" i="10"/>
  <c r="D789" i="10" s="1"/>
  <c r="C969" i="10"/>
  <c r="D969" i="10" s="1"/>
  <c r="C150" i="10"/>
  <c r="D150" i="10" s="1"/>
  <c r="C126" i="10"/>
  <c r="D126" i="10" s="1"/>
  <c r="C77" i="10"/>
  <c r="D77" i="10" s="1"/>
  <c r="C225" i="10"/>
  <c r="D225" i="10" s="1"/>
  <c r="C307" i="10"/>
  <c r="D307" i="10" s="1"/>
  <c r="C446" i="10"/>
  <c r="D446" i="10" s="1"/>
  <c r="C603" i="10"/>
  <c r="D603" i="10" s="1"/>
  <c r="C978" i="10"/>
  <c r="D978" i="10" s="1"/>
  <c r="C848" i="10"/>
  <c r="D848" i="10" s="1"/>
  <c r="C976" i="10"/>
  <c r="D976" i="10" s="1"/>
  <c r="C930" i="10"/>
  <c r="D930" i="10" s="1"/>
  <c r="C749" i="10"/>
  <c r="D749" i="10" s="1"/>
  <c r="C877" i="10"/>
  <c r="D877" i="10" s="1"/>
  <c r="C103" i="10"/>
  <c r="D103" i="10" s="1"/>
  <c r="C39" i="10"/>
  <c r="D39" i="10" s="1"/>
  <c r="C172" i="10"/>
  <c r="D172" i="10" s="1"/>
  <c r="C287" i="10"/>
  <c r="D287" i="10" s="1"/>
  <c r="C401" i="10"/>
  <c r="D401" i="10" s="1"/>
  <c r="C466" i="10"/>
  <c r="D466" i="10" s="1"/>
  <c r="C597" i="10"/>
  <c r="D597" i="10" s="1"/>
  <c r="C104" i="10"/>
  <c r="D104" i="10" s="1"/>
  <c r="C72" i="10"/>
  <c r="D72" i="10" s="1"/>
  <c r="C210" i="10"/>
  <c r="D210" i="10" s="1"/>
  <c r="C228" i="10"/>
  <c r="D228" i="10" s="1"/>
  <c r="C359" i="10"/>
  <c r="D359" i="10" s="1"/>
  <c r="C491" i="10"/>
  <c r="D491" i="10" s="1"/>
  <c r="C426" i="10"/>
  <c r="D426" i="10" s="1"/>
  <c r="C650" i="10"/>
  <c r="D650" i="10" s="1"/>
  <c r="C268" i="10"/>
  <c r="D268" i="10" s="1"/>
  <c r="C330" i="10"/>
  <c r="D330" i="10" s="1"/>
  <c r="C394" i="10"/>
  <c r="D394" i="10" s="1"/>
  <c r="C499" i="10"/>
  <c r="D499" i="10" s="1"/>
  <c r="C632" i="10"/>
  <c r="D632" i="10" s="1"/>
  <c r="C551" i="10"/>
  <c r="D551" i="10" s="1"/>
  <c r="C767" i="10"/>
  <c r="D767" i="10" s="1"/>
  <c r="C558" i="10"/>
  <c r="D558" i="10" s="1"/>
  <c r="C682" i="10"/>
  <c r="D682" i="10" s="1"/>
  <c r="C180" i="10"/>
  <c r="D180" i="10" s="1"/>
  <c r="C854" i="10"/>
  <c r="D854" i="10" s="1"/>
  <c r="C797" i="10"/>
  <c r="D797" i="10" s="1"/>
  <c r="C475" i="10"/>
  <c r="D475" i="10" s="1"/>
  <c r="C960" i="10"/>
  <c r="D960" i="10" s="1"/>
  <c r="C644" i="10"/>
  <c r="D644" i="10" s="1"/>
  <c r="C107" i="10"/>
  <c r="D107" i="10" s="1"/>
  <c r="C815" i="10"/>
  <c r="D815" i="10" s="1"/>
  <c r="C730" i="10"/>
  <c r="D730" i="10" s="1"/>
  <c r="C640" i="10"/>
  <c r="D640" i="10" s="1"/>
  <c r="C618" i="10"/>
  <c r="D618" i="10" s="1"/>
  <c r="C583" i="10"/>
  <c r="D583" i="10" s="1"/>
  <c r="C538" i="10"/>
  <c r="D538" i="10" s="1"/>
  <c r="C506" i="10"/>
  <c r="D506" i="10" s="1"/>
  <c r="C754" i="10"/>
  <c r="D754" i="10" s="1"/>
  <c r="C684" i="10"/>
  <c r="D684" i="10" s="1"/>
  <c r="C595" i="10"/>
  <c r="D595" i="10" s="1"/>
  <c r="C577" i="10"/>
  <c r="D577" i="10" s="1"/>
  <c r="C531" i="10"/>
  <c r="D531" i="10" s="1"/>
  <c r="C456" i="10"/>
  <c r="D456" i="10" s="1"/>
  <c r="C412" i="10"/>
  <c r="D412" i="10" s="1"/>
  <c r="C398" i="10"/>
  <c r="D398" i="10" s="1"/>
  <c r="C374" i="10"/>
  <c r="D374" i="10" s="1"/>
  <c r="C350" i="10"/>
  <c r="D350" i="10" s="1"/>
  <c r="C318" i="10"/>
  <c r="D318" i="10" s="1"/>
  <c r="C296" i="10"/>
  <c r="D296" i="10" s="1"/>
  <c r="C272" i="10"/>
  <c r="D272" i="10" s="1"/>
  <c r="C778" i="10"/>
  <c r="D778" i="10" s="1"/>
  <c r="C580" i="10"/>
  <c r="D580" i="10" s="1"/>
  <c r="C537" i="10"/>
  <c r="D537" i="10" s="1"/>
  <c r="C419" i="10"/>
  <c r="D419" i="10" s="1"/>
  <c r="C722" i="10"/>
  <c r="D722" i="10" s="1"/>
  <c r="C733" i="10"/>
  <c r="D733" i="10" s="1"/>
  <c r="C221" i="10"/>
  <c r="D221" i="10" s="1"/>
  <c r="C830" i="10"/>
  <c r="D830" i="10" s="1"/>
  <c r="C689" i="10"/>
  <c r="D689" i="10" s="1"/>
  <c r="C898" i="10"/>
  <c r="D898" i="10" s="1"/>
  <c r="C819" i="10"/>
  <c r="D819" i="10" s="1"/>
  <c r="C212" i="10"/>
  <c r="D212" i="10" s="1"/>
  <c r="C886" i="10"/>
  <c r="D886" i="10" s="1"/>
  <c r="C804" i="10"/>
  <c r="D804" i="10" s="1"/>
  <c r="C607" i="10"/>
  <c r="D607" i="10" s="1"/>
  <c r="C567" i="10"/>
  <c r="D567" i="10" s="1"/>
  <c r="C503" i="10"/>
  <c r="D503" i="10" s="1"/>
  <c r="C626" i="10"/>
  <c r="D626" i="10" s="1"/>
  <c r="C549" i="10"/>
  <c r="D549" i="10" s="1"/>
  <c r="C254" i="10"/>
  <c r="D254" i="10" s="1"/>
  <c r="C566" i="10"/>
  <c r="D566" i="10" s="1"/>
  <c r="C413" i="10"/>
  <c r="D413" i="10" s="1"/>
  <c r="C598" i="10"/>
  <c r="D598" i="10" s="1"/>
  <c r="C391" i="10"/>
  <c r="D391" i="10" s="1"/>
  <c r="C242" i="10"/>
  <c r="D242" i="10" s="1"/>
  <c r="C182" i="10"/>
  <c r="D182" i="10" s="1"/>
  <c r="C214" i="10"/>
  <c r="D214" i="10" s="1"/>
  <c r="C60" i="10"/>
  <c r="D60" i="10" s="1"/>
  <c r="C192" i="10"/>
  <c r="D192" i="10" s="1"/>
  <c r="C155" i="10"/>
  <c r="D155" i="10" s="1"/>
  <c r="C751" i="10"/>
  <c r="D751" i="10" s="1"/>
  <c r="C578" i="10"/>
  <c r="D578" i="10" s="1"/>
  <c r="C519" i="10"/>
  <c r="D519" i="10" s="1"/>
  <c r="C574" i="10"/>
  <c r="D574" i="10" s="1"/>
  <c r="C464" i="10"/>
  <c r="D464" i="10" s="1"/>
  <c r="C410" i="10"/>
  <c r="D410" i="10" s="1"/>
  <c r="C346" i="10"/>
  <c r="D346" i="10" s="1"/>
  <c r="C294" i="10"/>
  <c r="D294" i="10" s="1"/>
  <c r="C274" i="10"/>
  <c r="D274" i="10" s="1"/>
  <c r="C687" i="10"/>
  <c r="D687" i="10" s="1"/>
  <c r="C523" i="10"/>
  <c r="D523" i="10" s="1"/>
  <c r="C579" i="10"/>
  <c r="D579" i="10" s="1"/>
  <c r="C425" i="10"/>
  <c r="D425" i="10" s="1"/>
  <c r="C313" i="10"/>
  <c r="D313" i="10" s="1"/>
  <c r="C224" i="10"/>
  <c r="D224" i="10" s="1"/>
  <c r="C202" i="10"/>
  <c r="D202" i="10" s="1"/>
  <c r="C46" i="10"/>
  <c r="D46" i="10" s="1"/>
  <c r="C70" i="10"/>
  <c r="D70" i="10" s="1"/>
  <c r="C94" i="10"/>
  <c r="D94" i="10" s="1"/>
  <c r="C621" i="10"/>
  <c r="D621" i="10" s="1"/>
  <c r="C637" i="10"/>
  <c r="D637" i="10" s="1"/>
  <c r="C645" i="10"/>
  <c r="D645" i="10" s="1"/>
  <c r="C675" i="10"/>
  <c r="D675" i="10" s="1"/>
  <c r="C683" i="10"/>
  <c r="D683" i="10" s="1"/>
  <c r="C712" i="10"/>
  <c r="D712" i="10" s="1"/>
  <c r="C750" i="10"/>
  <c r="D750" i="10" s="1"/>
  <c r="C791" i="10"/>
  <c r="D791" i="10" s="1"/>
  <c r="C483" i="10"/>
  <c r="D483" i="10" s="1"/>
  <c r="C331" i="10"/>
  <c r="D331" i="10" s="1"/>
  <c r="C916" i="10"/>
  <c r="D916" i="10" s="1"/>
  <c r="C665" i="10"/>
  <c r="D665" i="10" s="1"/>
  <c r="C837" i="10"/>
  <c r="D837" i="10" s="1"/>
  <c r="C910" i="10"/>
  <c r="D910" i="10" s="1"/>
  <c r="C765" i="10"/>
  <c r="D765" i="10" s="1"/>
  <c r="C467" i="10"/>
  <c r="D467" i="10" s="1"/>
  <c r="C117" i="10"/>
  <c r="D117" i="10" s="1"/>
  <c r="C165" i="10"/>
  <c r="D165" i="10" s="1"/>
  <c r="C884" i="10"/>
  <c r="D884" i="10" s="1"/>
  <c r="C792" i="10"/>
  <c r="D792" i="10" s="1"/>
  <c r="C981" i="10"/>
  <c r="D981" i="10" s="1"/>
  <c r="C193" i="10"/>
  <c r="D193" i="10" s="1"/>
  <c r="C148" i="10"/>
  <c r="D148" i="10" s="1"/>
  <c r="C132" i="10"/>
  <c r="D132" i="10" s="1"/>
  <c r="C101" i="10"/>
  <c r="D101" i="10" s="1"/>
  <c r="C233" i="10"/>
  <c r="D233" i="10" s="1"/>
  <c r="C311" i="10"/>
  <c r="D311" i="10" s="1"/>
  <c r="C452" i="10"/>
  <c r="D452" i="10" s="1"/>
  <c r="C719" i="10"/>
  <c r="D719" i="10" s="1"/>
  <c r="C984" i="10"/>
  <c r="D984" i="10" s="1"/>
  <c r="C980" i="10"/>
  <c r="D980" i="10" s="1"/>
  <c r="C897" i="10"/>
  <c r="D897" i="10" s="1"/>
  <c r="C63" i="10"/>
  <c r="D63" i="10" s="1"/>
  <c r="C255" i="10"/>
  <c r="D255" i="10" s="1"/>
  <c r="C434" i="10"/>
  <c r="D434" i="10" s="1"/>
  <c r="C636" i="10"/>
  <c r="D636" i="10" s="1"/>
  <c r="C68" i="10"/>
  <c r="D68" i="10" s="1"/>
  <c r="C174" i="10"/>
  <c r="D174" i="10" s="1"/>
  <c r="C363" i="10"/>
  <c r="D363" i="10" s="1"/>
  <c r="C497" i="10"/>
  <c r="D497" i="10" s="1"/>
  <c r="C799" i="10"/>
  <c r="D799" i="10" s="1"/>
  <c r="C576" i="10"/>
  <c r="D576" i="10" s="1"/>
  <c r="C270" i="10"/>
  <c r="D270" i="10" s="1"/>
  <c r="C314" i="10"/>
  <c r="D314" i="10" s="1"/>
  <c r="C376" i="10"/>
  <c r="D376" i="10" s="1"/>
  <c r="C416" i="10"/>
  <c r="D416" i="10" s="1"/>
  <c r="C563" i="10"/>
  <c r="D563" i="10" s="1"/>
  <c r="C783" i="10"/>
  <c r="D783" i="10" s="1"/>
  <c r="C594" i="10"/>
  <c r="D594" i="10" s="1"/>
  <c r="C237" i="10"/>
  <c r="D237" i="10" s="1"/>
  <c r="C950" i="10"/>
  <c r="D950" i="10" s="1"/>
  <c r="C833" i="10"/>
  <c r="D833" i="10" s="1"/>
  <c r="C301" i="10"/>
  <c r="D301" i="10" s="1"/>
  <c r="C521" i="10"/>
  <c r="D521" i="10" s="1"/>
  <c r="C100" i="10"/>
  <c r="D100" i="10" s="1"/>
  <c r="C56" i="10"/>
  <c r="D56" i="10" s="1"/>
  <c r="C230" i="10"/>
  <c r="D230" i="10" s="1"/>
  <c r="C987" i="10"/>
  <c r="D987" i="10" s="1"/>
  <c r="C526" i="10"/>
  <c r="D526" i="10" s="1"/>
  <c r="C375" i="10"/>
  <c r="D375" i="10" s="1"/>
  <c r="C33" i="10"/>
  <c r="D33" i="10" s="1"/>
  <c r="C939" i="10"/>
  <c r="D939" i="10" s="1"/>
  <c r="C43" i="10"/>
  <c r="D43" i="10" s="1"/>
  <c r="C65" i="10"/>
  <c r="D65" i="10" s="1"/>
  <c r="C735" i="10"/>
  <c r="D735" i="10" s="1"/>
  <c r="C383" i="10"/>
  <c r="D383" i="10" s="1"/>
  <c r="C952" i="10"/>
  <c r="D952" i="10" s="1"/>
  <c r="C191" i="10"/>
  <c r="D191" i="10" s="1"/>
  <c r="C436" i="10"/>
  <c r="D436" i="10" s="1"/>
  <c r="C147" i="10"/>
  <c r="D147" i="10" s="1"/>
  <c r="C761" i="10"/>
  <c r="D761" i="10" s="1"/>
  <c r="C808" i="10"/>
  <c r="D808" i="10" s="1"/>
  <c r="C291" i="10"/>
  <c r="D291" i="10" s="1"/>
  <c r="C883" i="10"/>
  <c r="D883" i="10" s="1"/>
  <c r="C123" i="10"/>
  <c r="D123" i="10" s="1"/>
  <c r="C825" i="10"/>
  <c r="D825" i="10" s="1"/>
  <c r="C840" i="10"/>
  <c r="D840" i="10" s="1"/>
  <c r="C215" i="10"/>
  <c r="D215" i="10" s="1"/>
  <c r="C438" i="10"/>
  <c r="D438" i="10" s="1"/>
  <c r="C956" i="10"/>
  <c r="D956" i="10" s="1"/>
  <c r="C927" i="10"/>
  <c r="D927" i="10" s="1"/>
  <c r="C920" i="10"/>
  <c r="D920" i="10" s="1"/>
  <c r="C493" i="10"/>
  <c r="D493" i="10" s="1"/>
  <c r="C59" i="10"/>
  <c r="D59" i="10" s="1"/>
  <c r="C948" i="10"/>
  <c r="D948" i="10" s="1"/>
  <c r="C393" i="10"/>
  <c r="D393" i="10" s="1"/>
  <c r="C842" i="10"/>
  <c r="D842" i="10" s="1"/>
  <c r="C946" i="10"/>
  <c r="D946" i="10" s="1"/>
  <c r="C933" i="10"/>
  <c r="D933" i="10" s="1"/>
  <c r="C924" i="10"/>
  <c r="D924" i="10" s="1"/>
  <c r="C608" i="10"/>
  <c r="D608" i="10" s="1"/>
  <c r="C875" i="10"/>
  <c r="D875" i="10" s="1"/>
  <c r="C989" i="10"/>
  <c r="D989" i="10" s="1"/>
  <c r="C857" i="10"/>
  <c r="D857" i="10" s="1"/>
  <c r="C337" i="10"/>
  <c r="D337" i="10" s="1"/>
  <c r="C121" i="10"/>
  <c r="D121" i="10" s="1"/>
  <c r="C744" i="10"/>
  <c r="D744" i="10" s="1"/>
  <c r="C601" i="10"/>
  <c r="D601" i="10" s="1"/>
  <c r="C74" i="10"/>
  <c r="D74" i="10" s="1"/>
  <c r="C470" i="10"/>
  <c r="D470" i="10" s="1"/>
  <c r="C66" i="10"/>
  <c r="D66" i="10" s="1"/>
  <c r="C303" i="10"/>
  <c r="D303" i="10" s="1"/>
  <c r="C725" i="10"/>
  <c r="D725" i="10" s="1"/>
  <c r="C239" i="10"/>
  <c r="D239" i="10" s="1"/>
  <c r="C710" i="10"/>
  <c r="D710" i="10" s="1"/>
  <c r="C757" i="10"/>
  <c r="D757" i="10" s="1"/>
  <c r="C220" i="10"/>
  <c r="D220" i="10" s="1"/>
  <c r="C802" i="10"/>
  <c r="D802" i="10" s="1"/>
  <c r="C832" i="10"/>
  <c r="D832" i="10" s="1"/>
  <c r="C520" i="10"/>
  <c r="D520" i="10" s="1"/>
  <c r="C96" i="10"/>
  <c r="D96" i="10" s="1"/>
  <c r="C724" i="10"/>
  <c r="D724" i="10" s="1"/>
  <c r="C617" i="10"/>
  <c r="D617" i="10" s="1"/>
  <c r="C868" i="10"/>
  <c r="D868" i="10" s="1"/>
  <c r="C189" i="10"/>
  <c r="D189" i="10" s="1"/>
  <c r="C325" i="10"/>
  <c r="D325" i="10" s="1"/>
  <c r="C994" i="10"/>
  <c r="D994" i="10" s="1"/>
  <c r="C529" i="10"/>
  <c r="D529" i="10" s="1"/>
  <c r="C278" i="10"/>
  <c r="D278" i="10" s="1"/>
  <c r="C609" i="10"/>
  <c r="D609" i="10" s="1"/>
  <c r="C641" i="10"/>
  <c r="D641" i="10" s="1"/>
  <c r="C699" i="10"/>
  <c r="D699" i="10" s="1"/>
  <c r="C736" i="10"/>
  <c r="D736" i="10" s="1"/>
  <c r="C782" i="10"/>
  <c r="D782" i="10" s="1"/>
  <c r="C399" i="10"/>
  <c r="D399" i="10" s="1"/>
  <c r="C828" i="10"/>
  <c r="D828" i="10" s="1"/>
  <c r="C977" i="10"/>
  <c r="D977" i="10" s="1"/>
  <c r="C73" i="10"/>
  <c r="D73" i="10" s="1"/>
  <c r="C203" i="10"/>
  <c r="D203" i="10" s="1"/>
  <c r="C974" i="10"/>
  <c r="D974" i="10" s="1"/>
  <c r="C885" i="10"/>
  <c r="D885" i="10" s="1"/>
  <c r="C144" i="10"/>
  <c r="D144" i="10" s="1"/>
  <c r="C85" i="10"/>
  <c r="D85" i="10" s="1"/>
  <c r="C339" i="10"/>
  <c r="D339" i="10" s="1"/>
  <c r="C835" i="10"/>
  <c r="D835" i="10" s="1"/>
  <c r="C79" i="10"/>
  <c r="D79" i="10" s="1"/>
  <c r="C555" i="10"/>
  <c r="D555" i="10" s="1"/>
  <c r="C84" i="10"/>
  <c r="D84" i="10" s="1"/>
  <c r="C281" i="10"/>
  <c r="D281" i="10" s="1"/>
  <c r="C536" i="10"/>
  <c r="D536" i="10" s="1"/>
  <c r="C282" i="10"/>
  <c r="D282" i="10" s="1"/>
  <c r="C481" i="10"/>
  <c r="D481" i="10" s="1"/>
  <c r="C495" i="10"/>
  <c r="D495" i="10" s="1"/>
  <c r="C894" i="10"/>
  <c r="D894" i="10" s="1"/>
  <c r="C664" i="10"/>
  <c r="D664" i="10" s="1"/>
  <c r="C707" i="10"/>
  <c r="D707" i="10" s="1"/>
  <c r="C763" i="10"/>
  <c r="D763" i="10" s="1"/>
  <c r="C518" i="10"/>
  <c r="D518" i="10" s="1"/>
  <c r="C985" i="10"/>
  <c r="D985" i="10" s="1"/>
  <c r="C957" i="10"/>
  <c r="D957" i="10" s="1"/>
  <c r="C105" i="10"/>
  <c r="D105" i="10" s="1"/>
  <c r="C855" i="10"/>
  <c r="D855" i="10" s="1"/>
  <c r="C713" i="10"/>
  <c r="D713" i="10" s="1"/>
  <c r="C154" i="10"/>
  <c r="D154" i="10" s="1"/>
  <c r="C108" i="10"/>
  <c r="D108" i="10" s="1"/>
  <c r="C279" i="10"/>
  <c r="D279" i="10" s="1"/>
  <c r="C1000" i="10"/>
  <c r="D1000" i="10" s="1"/>
  <c r="C955" i="10"/>
  <c r="D955" i="10" s="1"/>
  <c r="C973" i="10"/>
  <c r="D973" i="10" s="1"/>
  <c r="C315" i="10"/>
  <c r="D315" i="10" s="1"/>
  <c r="C98" i="10"/>
  <c r="D98" i="10" s="1"/>
  <c r="C50" i="10"/>
  <c r="D50" i="10" s="1"/>
  <c r="C463" i="10"/>
  <c r="D463" i="10" s="1"/>
  <c r="C600" i="10"/>
  <c r="D600" i="10" s="1"/>
  <c r="C340" i="10"/>
  <c r="D340" i="10" s="1"/>
  <c r="C528" i="10"/>
  <c r="D528" i="10" s="1"/>
  <c r="C612" i="10"/>
  <c r="D612" i="10" s="1"/>
  <c r="C900" i="10"/>
  <c r="D900" i="10" s="1"/>
  <c r="C671" i="10"/>
  <c r="D671" i="10" s="1"/>
  <c r="C747" i="10"/>
  <c r="D747" i="10" s="1"/>
  <c r="C762" i="10"/>
  <c r="D762" i="10" s="1"/>
  <c r="C267" i="10"/>
  <c r="D267" i="10" s="1"/>
  <c r="C709" i="10"/>
  <c r="D709" i="10" s="1"/>
  <c r="C858" i="10"/>
  <c r="D858" i="10" s="1"/>
  <c r="C89" i="10"/>
  <c r="D89" i="10" s="1"/>
  <c r="C145" i="10"/>
  <c r="D145" i="10" s="1"/>
  <c r="C892" i="10"/>
  <c r="D892" i="10" s="1"/>
  <c r="C326" i="10"/>
  <c r="D326" i="10" s="1"/>
  <c r="C304" i="10"/>
  <c r="D304" i="10" s="1"/>
  <c r="C280" i="10"/>
  <c r="D280" i="10" s="1"/>
  <c r="C248" i="10"/>
  <c r="D248" i="10" s="1"/>
  <c r="C561" i="10"/>
  <c r="D561" i="10" s="1"/>
  <c r="C500" i="10"/>
  <c r="D500" i="10" s="1"/>
  <c r="C389" i="10"/>
  <c r="D389" i="10" s="1"/>
  <c r="C605" i="10"/>
  <c r="D605" i="10" s="1"/>
  <c r="C834" i="10"/>
  <c r="D834" i="10" s="1"/>
  <c r="C971" i="10"/>
  <c r="D971" i="10" s="1"/>
  <c r="C525" i="10"/>
  <c r="D525" i="10" s="1"/>
  <c r="C227" i="10"/>
  <c r="D227" i="10" s="1"/>
  <c r="C81" i="10"/>
  <c r="D81" i="10" s="1"/>
  <c r="C423" i="10"/>
  <c r="D423" i="10" s="1"/>
  <c r="C817" i="10"/>
  <c r="D817" i="10" s="1"/>
  <c r="C634" i="10"/>
  <c r="D634" i="10" s="1"/>
  <c r="C527" i="10"/>
  <c r="D527" i="10" s="1"/>
  <c r="C679" i="10"/>
  <c r="D679" i="10" s="1"/>
  <c r="C524" i="10"/>
  <c r="D524" i="10" s="1"/>
  <c r="C448" i="10"/>
  <c r="D448" i="10" s="1"/>
  <c r="C392" i="10"/>
  <c r="D392" i="10" s="1"/>
  <c r="C360" i="10"/>
  <c r="D360" i="10" s="1"/>
  <c r="C328" i="10"/>
  <c r="D328" i="10" s="1"/>
  <c r="C316" i="10"/>
  <c r="D316" i="10" s="1"/>
  <c r="C286" i="10"/>
  <c r="D286" i="10" s="1"/>
  <c r="C820" i="10"/>
  <c r="D820" i="10" s="1"/>
  <c r="C590" i="10"/>
  <c r="D590" i="10" s="1"/>
  <c r="C447" i="10"/>
  <c r="D447" i="10" s="1"/>
  <c r="C516" i="10"/>
  <c r="D516" i="10" s="1"/>
  <c r="C435" i="10"/>
  <c r="D435" i="10" s="1"/>
  <c r="C265" i="10"/>
  <c r="D265" i="10" s="1"/>
  <c r="C226" i="10"/>
  <c r="D226" i="10" s="1"/>
  <c r="C198" i="10"/>
  <c r="D198" i="10" s="1"/>
  <c r="C44" i="10"/>
  <c r="D44" i="10" s="1"/>
  <c r="C741" i="10"/>
  <c r="D741" i="10" s="1"/>
  <c r="C385" i="10"/>
  <c r="D385" i="10" s="1"/>
  <c r="C968" i="10"/>
  <c r="D968" i="10" s="1"/>
  <c r="C663" i="10"/>
  <c r="D663" i="10" s="1"/>
  <c r="C562" i="10"/>
  <c r="D562" i="10" s="1"/>
  <c r="C498" i="10"/>
  <c r="D498" i="10" s="1"/>
  <c r="C654" i="10"/>
  <c r="D654" i="10" s="1"/>
  <c r="C517" i="10"/>
  <c r="D517" i="10" s="1"/>
  <c r="C445" i="10"/>
  <c r="D445" i="10" s="1"/>
  <c r="C400" i="10"/>
  <c r="D400" i="10" s="1"/>
  <c r="C368" i="10"/>
  <c r="D368" i="10" s="1"/>
  <c r="C306" i="10"/>
  <c r="D306" i="10" s="1"/>
  <c r="C794" i="10"/>
  <c r="D794" i="10" s="1"/>
  <c r="C585" i="10"/>
  <c r="D585" i="10" s="1"/>
  <c r="C433" i="10"/>
  <c r="D433" i="10" s="1"/>
  <c r="C706" i="10"/>
  <c r="D706" i="10" s="1"/>
  <c r="C473" i="10"/>
  <c r="D473" i="10" s="1"/>
  <c r="C345" i="10"/>
  <c r="D345" i="10" s="1"/>
  <c r="C232" i="10"/>
  <c r="D232" i="10" s="1"/>
  <c r="C170" i="10"/>
  <c r="D170" i="10" s="1"/>
  <c r="C30" i="10"/>
  <c r="D30" i="10" s="1"/>
  <c r="C54" i="10"/>
  <c r="D54" i="10" s="1"/>
  <c r="C62" i="10"/>
  <c r="D62" i="10" s="1"/>
  <c r="C86" i="10"/>
  <c r="D86" i="10" s="1"/>
  <c r="C613" i="10"/>
  <c r="D613" i="10" s="1"/>
  <c r="C629" i="10"/>
  <c r="D629" i="10" s="1"/>
  <c r="C653" i="10"/>
  <c r="D653" i="10" s="1"/>
  <c r="C694" i="10"/>
  <c r="D694" i="10" s="1"/>
  <c r="C739" i="10"/>
  <c r="D739" i="10" s="1"/>
  <c r="C779" i="10"/>
  <c r="D779" i="10" s="1"/>
  <c r="C716" i="10"/>
  <c r="D716" i="10" s="1"/>
  <c r="C99" i="10"/>
  <c r="D99" i="10" s="1"/>
  <c r="C906" i="10"/>
  <c r="D906" i="10" s="1"/>
  <c r="C958" i="10"/>
  <c r="D958" i="10" s="1"/>
  <c r="C795" i="10"/>
  <c r="D795" i="10" s="1"/>
  <c r="C810" i="10"/>
  <c r="D810" i="10" s="1"/>
  <c r="C417" i="10"/>
  <c r="D417" i="10" s="1"/>
  <c r="C57" i="10"/>
  <c r="D57" i="10" s="1"/>
  <c r="C149" i="10"/>
  <c r="D149" i="10" s="1"/>
  <c r="C992" i="10"/>
  <c r="D992" i="10" s="1"/>
  <c r="C888" i="10"/>
  <c r="D888" i="10" s="1"/>
  <c r="C745" i="10"/>
  <c r="D745" i="10" s="1"/>
  <c r="C205" i="10"/>
  <c r="D205" i="10" s="1"/>
  <c r="C177" i="10"/>
  <c r="D177" i="10" s="1"/>
  <c r="C569" i="10"/>
  <c r="D569" i="10" s="1"/>
  <c r="C814" i="10"/>
  <c r="D814" i="10" s="1"/>
  <c r="C942" i="10"/>
  <c r="D942" i="10" s="1"/>
  <c r="C938" i="10"/>
  <c r="D938" i="10" s="1"/>
  <c r="C769" i="10"/>
  <c r="D769" i="10" s="1"/>
  <c r="C95" i="10"/>
  <c r="D95" i="10" s="1"/>
  <c r="C31" i="10"/>
  <c r="D31" i="10" s="1"/>
  <c r="C347" i="10"/>
  <c r="D347" i="10" s="1"/>
  <c r="C471" i="10"/>
  <c r="D471" i="10" s="1"/>
  <c r="C90" i="10"/>
  <c r="D90" i="10" s="1"/>
  <c r="C40" i="10"/>
  <c r="D40" i="10" s="1"/>
  <c r="C249" i="10"/>
  <c r="D249" i="10" s="1"/>
  <c r="C449" i="10"/>
  <c r="D449" i="10" s="1"/>
  <c r="C573" i="10"/>
  <c r="D573" i="10" s="1"/>
  <c r="C509" i="10"/>
  <c r="D509" i="10" s="1"/>
  <c r="C250" i="10"/>
  <c r="D250" i="10" s="1"/>
  <c r="C292" i="10"/>
  <c r="D292" i="10" s="1"/>
  <c r="C354" i="10"/>
  <c r="D354" i="10" s="1"/>
  <c r="C396" i="10"/>
  <c r="D396" i="10" s="1"/>
  <c r="C461" i="10"/>
  <c r="D461" i="10" s="1"/>
  <c r="C648" i="10"/>
  <c r="D648" i="10" s="1"/>
  <c r="C559" i="10"/>
  <c r="D559" i="10" s="1"/>
  <c r="C656" i="10"/>
  <c r="D656" i="10" s="1"/>
  <c r="C335" i="10"/>
  <c r="D335" i="10" s="1"/>
  <c r="C935" i="10"/>
  <c r="D935" i="10" s="1"/>
  <c r="C151" i="10"/>
  <c r="D151" i="10" s="1"/>
  <c r="C997" i="10"/>
  <c r="D997" i="10" s="1"/>
  <c r="C349" i="10"/>
  <c r="D349" i="10" s="1"/>
  <c r="C944" i="10"/>
  <c r="D944" i="10" s="1"/>
  <c r="C207" i="10"/>
  <c r="D207" i="10" s="1"/>
  <c r="C871" i="10"/>
  <c r="D871" i="10" s="1"/>
  <c r="C489" i="10"/>
  <c r="D489" i="10" s="1"/>
  <c r="C27" i="10"/>
  <c r="D27" i="10" s="1"/>
  <c r="C931" i="10"/>
  <c r="D931" i="10" s="1"/>
  <c r="C163" i="10"/>
  <c r="D163" i="10" s="1"/>
  <c r="C816" i="10"/>
  <c r="D816" i="10" s="1"/>
  <c r="C167" i="10"/>
  <c r="D167" i="10" s="1"/>
  <c r="C75" i="10"/>
  <c r="D75" i="10" s="1"/>
  <c r="C508" i="10"/>
  <c r="D508" i="10" s="1"/>
  <c r="C199" i="10"/>
  <c r="D199" i="10" s="1"/>
  <c r="C119" i="10"/>
  <c r="D119" i="10" s="1"/>
  <c r="C341" i="10"/>
  <c r="D341" i="10" s="1"/>
  <c r="C139" i="10"/>
  <c r="D139" i="10" s="1"/>
  <c r="C850" i="10"/>
  <c r="D850" i="10" s="1"/>
  <c r="C91" i="10"/>
  <c r="D91" i="10" s="1"/>
  <c r="C800" i="10"/>
  <c r="D800" i="10" s="1"/>
  <c r="C111" i="10"/>
  <c r="D111" i="10" s="1"/>
  <c r="C243" i="10"/>
  <c r="D243" i="10" s="1"/>
  <c r="C732" i="10"/>
  <c r="D732" i="10" s="1"/>
  <c r="C902" i="10"/>
  <c r="D902" i="10" s="1"/>
  <c r="C355" i="10"/>
  <c r="D355" i="10" s="1"/>
  <c r="C49" i="10"/>
  <c r="D49" i="10" s="1"/>
  <c r="C879" i="10"/>
  <c r="D879" i="10" s="1"/>
  <c r="C908" i="10"/>
  <c r="D908" i="10" s="1"/>
  <c r="C422" i="10"/>
  <c r="D422" i="10" s="1"/>
  <c r="C404" i="10"/>
  <c r="D404" i="10" s="1"/>
  <c r="C982" i="10"/>
  <c r="D982" i="10" s="1"/>
  <c r="C535" i="10"/>
  <c r="D535" i="10" s="1"/>
  <c r="C746" i="10"/>
  <c r="D746" i="10" s="1"/>
  <c r="C570" i="10"/>
  <c r="D570" i="10" s="1"/>
  <c r="C878" i="10"/>
  <c r="D878" i="10" s="1"/>
  <c r="C697" i="10"/>
  <c r="D697" i="10" s="1"/>
  <c r="C93" i="10"/>
  <c r="D93" i="10" s="1"/>
  <c r="C923" i="10"/>
  <c r="D923" i="10" s="1"/>
  <c r="C918" i="10"/>
  <c r="D918" i="10" s="1"/>
  <c r="C963" i="10"/>
  <c r="D963" i="10" s="1"/>
  <c r="C458" i="10"/>
  <c r="D458" i="10" s="1"/>
  <c r="C766" i="10"/>
  <c r="D766" i="10" s="1"/>
  <c r="C661" i="10"/>
  <c r="D661" i="10" s="1"/>
  <c r="C827" i="10"/>
  <c r="D827" i="10" s="1"/>
  <c r="C539" i="10"/>
  <c r="D539" i="10" s="1"/>
  <c r="C478" i="10"/>
  <c r="D478" i="10" s="1"/>
  <c r="C755" i="10"/>
  <c r="D755" i="10" s="1"/>
  <c r="C534" i="10"/>
  <c r="D534" i="10" s="1"/>
  <c r="C943" i="10"/>
  <c r="D943" i="10" s="1"/>
  <c r="C550" i="10"/>
  <c r="D550" i="10" s="1"/>
  <c r="C245" i="10"/>
  <c r="D245" i="10" s="1"/>
  <c r="C903" i="10"/>
  <c r="D903" i="10" s="1"/>
  <c r="C777" i="10"/>
  <c r="D777" i="10" s="1"/>
  <c r="C160" i="10"/>
  <c r="D160" i="10" s="1"/>
  <c r="C114" i="10"/>
  <c r="D114" i="10" s="1"/>
  <c r="C477" i="10"/>
  <c r="D477" i="10" s="1"/>
  <c r="C925" i="10"/>
  <c r="D925" i="10" s="1"/>
  <c r="C677" i="10"/>
  <c r="D677" i="10" s="1"/>
  <c r="C283" i="10"/>
  <c r="D283" i="10" s="1"/>
  <c r="C748" i="10"/>
  <c r="D748" i="10" s="1"/>
  <c r="C222" i="10"/>
  <c r="D222" i="10" s="1"/>
  <c r="C397" i="10"/>
  <c r="D397" i="10" s="1"/>
  <c r="C364" i="10"/>
  <c r="D364" i="10" s="1"/>
  <c r="C904" i="10"/>
  <c r="D904" i="10" s="1"/>
  <c r="C647" i="10"/>
  <c r="D647" i="10" s="1"/>
  <c r="C742" i="10"/>
  <c r="D742" i="10" s="1"/>
  <c r="C823" i="10"/>
  <c r="D823" i="10" s="1"/>
  <c r="C219" i="10"/>
  <c r="D219" i="10" s="1"/>
  <c r="C995" i="10"/>
  <c r="D995" i="10" s="1"/>
  <c r="C323" i="10"/>
  <c r="D323" i="10" s="1"/>
  <c r="C171" i="10"/>
  <c r="D171" i="10" s="1"/>
  <c r="C926" i="10"/>
  <c r="D926" i="10" s="1"/>
  <c r="C809" i="10"/>
  <c r="D809" i="10" s="1"/>
  <c r="C61" i="10"/>
  <c r="D61" i="10" s="1"/>
  <c r="C652" i="10"/>
  <c r="D652" i="10" s="1"/>
  <c r="C951" i="10"/>
  <c r="D951" i="10" s="1"/>
  <c r="C55" i="10"/>
  <c r="D55" i="10" s="1"/>
  <c r="C582" i="10"/>
  <c r="D582" i="10" s="1"/>
  <c r="C236" i="10"/>
  <c r="D236" i="10" s="1"/>
  <c r="C451" i="10"/>
  <c r="D451" i="10" s="1"/>
  <c r="C300" i="10"/>
  <c r="D300" i="10" s="1"/>
  <c r="C703" i="10"/>
  <c r="D703" i="10" s="1"/>
  <c r="C790" i="10"/>
  <c r="D790" i="10" s="1"/>
  <c r="C635" i="10"/>
  <c r="D635" i="10" s="1"/>
  <c r="C691" i="10"/>
  <c r="D691" i="10" s="1"/>
  <c r="C787" i="10"/>
  <c r="D787" i="10" s="1"/>
  <c r="C361" i="10"/>
  <c r="D361" i="10" s="1"/>
  <c r="C965" i="10"/>
  <c r="D965" i="10" s="1"/>
  <c r="C914" i="10"/>
  <c r="D914" i="10" s="1"/>
  <c r="C862" i="10"/>
  <c r="D862" i="10" s="1"/>
  <c r="C624" i="10"/>
  <c r="D624" i="10" s="1"/>
  <c r="C379" i="10"/>
  <c r="D379" i="10" s="1"/>
  <c r="C41" i="10"/>
  <c r="D41" i="10" s="1"/>
  <c r="C940" i="10"/>
  <c r="D940" i="10" s="1"/>
  <c r="C803" i="10"/>
  <c r="D803" i="10" s="1"/>
  <c r="C841" i="10"/>
  <c r="D841" i="10" s="1"/>
  <c r="C209" i="10"/>
  <c r="D209" i="10" s="1"/>
  <c r="C181" i="10"/>
  <c r="D181" i="10" s="1"/>
  <c r="C158" i="10"/>
  <c r="D158" i="10" s="1"/>
  <c r="C142" i="10"/>
  <c r="D142" i="10" s="1"/>
  <c r="C118" i="10"/>
  <c r="D118" i="10" s="1"/>
  <c r="C45" i="10"/>
  <c r="D45" i="10" s="1"/>
  <c r="C261" i="10"/>
  <c r="D261" i="10" s="1"/>
  <c r="C553" i="10"/>
  <c r="D553" i="10" s="1"/>
  <c r="C806" i="10"/>
  <c r="D806" i="10" s="1"/>
  <c r="C934" i="10"/>
  <c r="D934" i="10" s="1"/>
  <c r="C844" i="10"/>
  <c r="D844" i="10" s="1"/>
  <c r="C972" i="10"/>
  <c r="D972" i="10" s="1"/>
  <c r="C813" i="10"/>
  <c r="D813" i="10" s="1"/>
  <c r="C505" i="10"/>
  <c r="D505" i="10" s="1"/>
  <c r="C82" i="10"/>
  <c r="D82" i="10" s="1"/>
  <c r="C42" i="10"/>
  <c r="D42" i="10" s="1"/>
  <c r="C244" i="10"/>
  <c r="D244" i="10" s="1"/>
  <c r="C568" i="10"/>
  <c r="D568" i="10" s="1"/>
  <c r="C486" i="10"/>
  <c r="D486" i="10" s="1"/>
  <c r="C290" i="10"/>
  <c r="D290" i="10" s="1"/>
  <c r="C352" i="10"/>
  <c r="D352" i="10" s="1"/>
  <c r="C453" i="10"/>
  <c r="D453" i="10" s="1"/>
  <c r="C772" i="10"/>
  <c r="D772" i="10" s="1"/>
  <c r="C591" i="10"/>
  <c r="D591" i="10" s="1"/>
  <c r="C271" i="10"/>
  <c r="D271" i="10" s="1"/>
  <c r="C669" i="10"/>
  <c r="D669" i="10" s="1"/>
  <c r="C964" i="10"/>
  <c r="D964" i="10" s="1"/>
  <c r="C115" i="10"/>
  <c r="D115" i="10" s="1"/>
  <c r="C805" i="10"/>
  <c r="D805" i="10" s="1"/>
  <c r="C263" i="10"/>
  <c r="D263" i="10" s="1"/>
  <c r="C990" i="10"/>
  <c r="D990" i="10" s="1"/>
  <c r="C403" i="10"/>
  <c r="D403" i="10" s="1"/>
  <c r="C775" i="10"/>
  <c r="D775" i="10" s="1"/>
  <c r="C676" i="10"/>
  <c r="D676" i="10" s="1"/>
  <c r="C599" i="10"/>
  <c r="D599" i="10" s="1"/>
  <c r="C554" i="10"/>
  <c r="D554" i="10" s="1"/>
  <c r="C522" i="10"/>
  <c r="D522" i="10" s="1"/>
  <c r="C490" i="10"/>
  <c r="D490" i="10" s="1"/>
  <c r="C26" i="10"/>
  <c r="D26" i="10" s="1"/>
  <c r="C642" i="10"/>
  <c r="D642" i="10" s="1"/>
  <c r="C556" i="10"/>
  <c r="D556" i="10" s="1"/>
  <c r="C513" i="10"/>
  <c r="D513" i="10" s="1"/>
  <c r="C472" i="10"/>
  <c r="D472" i="10" s="1"/>
  <c r="C424" i="10"/>
  <c r="D424" i="10" s="1"/>
  <c r="C382" i="10"/>
  <c r="D382" i="10" s="1"/>
  <c r="C358" i="10"/>
  <c r="D358" i="10" s="1"/>
  <c r="C334" i="10"/>
  <c r="D334" i="10" s="1"/>
  <c r="C312" i="10"/>
  <c r="D312" i="10" s="1"/>
  <c r="C264" i="10"/>
  <c r="D264" i="10" s="1"/>
  <c r="C698" i="10"/>
  <c r="D698" i="10" s="1"/>
  <c r="C604" i="10"/>
  <c r="D604" i="10" s="1"/>
  <c r="C462" i="10"/>
  <c r="D462" i="10" s="1"/>
  <c r="C357" i="10"/>
  <c r="D357" i="10" s="1"/>
  <c r="C507" i="10"/>
  <c r="D507" i="10" s="1"/>
  <c r="C135" i="10"/>
  <c r="D135" i="10" s="1"/>
  <c r="C183" i="10"/>
  <c r="D183" i="10" s="1"/>
  <c r="C867" i="10"/>
  <c r="D867" i="10" s="1"/>
  <c r="C450" i="10"/>
  <c r="D450" i="10" s="1"/>
  <c r="C97" i="10"/>
  <c r="D97" i="10" s="1"/>
  <c r="C593" i="10"/>
  <c r="D593" i="10" s="1"/>
  <c r="C759" i="10"/>
  <c r="D759" i="10" s="1"/>
  <c r="C586" i="10"/>
  <c r="D586" i="10" s="1"/>
  <c r="C482" i="10"/>
  <c r="D482" i="10" s="1"/>
  <c r="C581" i="10"/>
  <c r="D581" i="10" s="1"/>
  <c r="C469" i="10"/>
  <c r="D469" i="10" s="1"/>
  <c r="C402" i="10"/>
  <c r="D402" i="10" s="1"/>
  <c r="C370" i="10"/>
  <c r="D370" i="10" s="1"/>
  <c r="C338" i="10"/>
  <c r="D338" i="10" s="1"/>
  <c r="C308" i="10"/>
  <c r="D308" i="10" s="1"/>
  <c r="C276" i="10"/>
  <c r="D276" i="10" s="1"/>
  <c r="C711" i="10"/>
  <c r="D711" i="10" s="1"/>
  <c r="C533" i="10"/>
  <c r="D533" i="10" s="1"/>
  <c r="C373" i="10"/>
  <c r="D373" i="10" s="1"/>
  <c r="C548" i="10"/>
  <c r="D548" i="10" s="1"/>
  <c r="C459" i="10"/>
  <c r="D459" i="10" s="1"/>
  <c r="C321" i="10"/>
  <c r="D321" i="10" s="1"/>
  <c r="C234" i="10"/>
  <c r="D234" i="10" s="1"/>
  <c r="C52" i="10"/>
  <c r="D52" i="10" s="1"/>
  <c r="C474" i="10"/>
  <c r="D474" i="10" s="1"/>
  <c r="C788" i="10"/>
  <c r="D788" i="10" s="1"/>
  <c r="C628" i="10"/>
  <c r="D628" i="10" s="1"/>
  <c r="C543" i="10"/>
  <c r="D543" i="10" s="1"/>
  <c r="C743" i="10"/>
  <c r="D743" i="10" s="1"/>
  <c r="C545" i="10"/>
  <c r="D545" i="10" s="1"/>
  <c r="C388" i="10"/>
  <c r="D388" i="10" s="1"/>
  <c r="C356" i="10"/>
  <c r="D356" i="10" s="1"/>
  <c r="C324" i="10"/>
  <c r="D324" i="10" s="1"/>
  <c r="C284" i="10"/>
  <c r="D284" i="10" s="1"/>
  <c r="C252" i="10"/>
  <c r="D252" i="10" s="1"/>
  <c r="C557" i="10"/>
  <c r="D557" i="10" s="1"/>
  <c r="C405" i="10"/>
  <c r="D405" i="10" s="1"/>
  <c r="C541" i="10"/>
  <c r="D541" i="10" s="1"/>
  <c r="C454" i="10"/>
  <c r="D454" i="10" s="1"/>
  <c r="C257" i="10"/>
  <c r="D257" i="10" s="1"/>
  <c r="C731" i="10"/>
  <c r="D731" i="10" s="1"/>
  <c r="C771" i="10"/>
  <c r="D771" i="10" s="1"/>
  <c r="C584" i="10"/>
  <c r="D584" i="10" s="1"/>
  <c r="C253" i="10"/>
  <c r="D253" i="10" s="1"/>
  <c r="C793" i="10"/>
  <c r="D793" i="10" s="1"/>
  <c r="C843" i="10"/>
  <c r="D843" i="10" s="1"/>
  <c r="C369" i="10"/>
  <c r="D369" i="10" s="1"/>
  <c r="C133" i="10"/>
  <c r="D133" i="10" s="1"/>
  <c r="C932" i="10"/>
  <c r="D932" i="10" s="1"/>
  <c r="C839" i="10"/>
  <c r="D839" i="10" s="1"/>
  <c r="C919" i="10"/>
  <c r="D919" i="10" s="1"/>
  <c r="C164" i="10"/>
  <c r="D164" i="10" s="1"/>
  <c r="C140" i="10"/>
  <c r="D140" i="10" s="1"/>
  <c r="C110" i="10"/>
  <c r="D110" i="10" s="1"/>
  <c r="C200" i="10"/>
  <c r="D200" i="10" s="1"/>
  <c r="C502" i="10"/>
  <c r="D502" i="10" s="1"/>
  <c r="C986" i="10"/>
  <c r="D986" i="10" s="1"/>
  <c r="C899" i="10"/>
  <c r="D899" i="10" s="1"/>
  <c r="C852" i="10"/>
  <c r="D852" i="10" s="1"/>
  <c r="C705" i="10"/>
  <c r="D705" i="10" s="1"/>
  <c r="C961" i="10"/>
  <c r="D961" i="10" s="1"/>
  <c r="C223" i="10"/>
  <c r="D223" i="10" s="1"/>
  <c r="C411" i="10"/>
  <c r="D411" i="10" s="1"/>
  <c r="C572" i="10"/>
  <c r="D572" i="10" s="1"/>
  <c r="C80" i="10"/>
  <c r="D80" i="10" s="1"/>
  <c r="C206" i="10"/>
  <c r="D206" i="10" s="1"/>
  <c r="C305" i="10"/>
  <c r="D305" i="10" s="1"/>
  <c r="C430" i="10"/>
  <c r="D430" i="10" s="1"/>
  <c r="C673" i="10"/>
  <c r="D673" i="10" s="1"/>
  <c r="C332" i="10"/>
  <c r="D332" i="10" s="1"/>
  <c r="C510" i="10"/>
  <c r="D510" i="10" s="1"/>
  <c r="C514" i="10"/>
  <c r="D514" i="10" s="1"/>
  <c r="C780" i="10"/>
  <c r="D780" i="10" s="1"/>
  <c r="C882" i="10"/>
  <c r="D882" i="10" s="1"/>
  <c r="C975" i="10"/>
  <c r="D975" i="10" s="1"/>
  <c r="C864" i="10"/>
  <c r="D864" i="10" s="1"/>
  <c r="C967" i="10"/>
  <c r="D967" i="10" s="1"/>
  <c r="C327" i="10"/>
  <c r="D327" i="10" s="1"/>
  <c r="C991" i="10"/>
  <c r="D991" i="10" s="1"/>
  <c r="C979" i="10"/>
  <c r="D979" i="10" s="1"/>
  <c r="C285" i="10"/>
  <c r="D285" i="10" s="1"/>
  <c r="C28" i="10"/>
  <c r="D28" i="10" s="1"/>
  <c r="C915" i="10"/>
  <c r="D915" i="10" s="1"/>
  <c r="C945" i="10"/>
  <c r="D945" i="10" s="1"/>
  <c r="C881" i="10"/>
  <c r="D881" i="10" s="1"/>
  <c r="C544" i="10"/>
  <c r="D544" i="10" s="1"/>
  <c r="C299" i="10"/>
  <c r="D299" i="10" s="1"/>
  <c r="C826" i="10"/>
  <c r="D826" i="10" s="1"/>
  <c r="C869" i="10"/>
  <c r="D869" i="10" s="1"/>
  <c r="C235" i="10"/>
  <c r="D235" i="10" s="1"/>
  <c r="C157" i="10"/>
  <c r="D157" i="10" s="1"/>
  <c r="C680" i="10"/>
  <c r="D680" i="10" s="1"/>
  <c r="C185" i="10"/>
  <c r="D185" i="10" s="1"/>
  <c r="C247" i="10"/>
  <c r="D247" i="10" s="1"/>
  <c r="C770" i="10"/>
  <c r="D770" i="10" s="1"/>
  <c r="C917" i="10"/>
  <c r="D917" i="10" s="1"/>
  <c r="C929" i="10"/>
  <c r="D929" i="10" s="1"/>
  <c r="C387" i="10"/>
  <c r="D387" i="10" s="1"/>
  <c r="C64" i="10"/>
  <c r="D64" i="10" s="1"/>
  <c r="C552" i="10"/>
  <c r="D552" i="10" s="1"/>
  <c r="C408" i="10"/>
  <c r="D408" i="10" s="1"/>
  <c r="C575" i="10"/>
  <c r="D575" i="10" s="1"/>
  <c r="C615" i="10"/>
  <c r="D615" i="10" s="1"/>
  <c r="C723" i="10"/>
  <c r="D723" i="10" s="1"/>
  <c r="C371" i="10"/>
  <c r="D371" i="10" s="1"/>
  <c r="C922" i="10"/>
  <c r="D922" i="10" s="1"/>
  <c r="C701" i="10"/>
  <c r="D701" i="10" s="1"/>
  <c r="C176" i="10"/>
  <c r="D176" i="10" s="1"/>
  <c r="C937" i="10"/>
  <c r="D937" i="10" s="1"/>
  <c r="C138" i="10"/>
  <c r="D138" i="10" s="1"/>
  <c r="C420" i="10"/>
  <c r="D420" i="10" s="1"/>
  <c r="C870" i="10"/>
  <c r="D870" i="10" s="1"/>
  <c r="C717" i="10"/>
  <c r="D717" i="10" s="1"/>
  <c r="C415" i="10"/>
  <c r="D415" i="10" s="1"/>
  <c r="C329" i="10"/>
  <c r="D329" i="10" s="1"/>
  <c r="C384" i="10"/>
  <c r="D384" i="10" s="1"/>
  <c r="C530" i="10"/>
  <c r="D530" i="10" s="1"/>
  <c r="C720" i="10"/>
  <c r="D720" i="10" s="1"/>
  <c r="C501" i="10"/>
  <c r="D501" i="10" s="1"/>
  <c r="C83" i="10"/>
  <c r="D83" i="10" s="1"/>
  <c r="C962" i="10"/>
  <c r="D962" i="10" s="1"/>
  <c r="C921" i="10"/>
  <c r="D921" i="10" s="1"/>
  <c r="C785" i="10"/>
  <c r="D785" i="10" s="1"/>
  <c r="C515" i="10"/>
  <c r="D515" i="10" s="1"/>
  <c r="C295" i="10"/>
  <c r="D295" i="10" s="1"/>
  <c r="C113" i="10"/>
  <c r="D113" i="10" s="1"/>
  <c r="C161" i="10"/>
  <c r="D161" i="10" s="1"/>
  <c r="C896" i="10"/>
  <c r="D896" i="10" s="1"/>
  <c r="C693" i="10"/>
  <c r="D693" i="10" s="1"/>
  <c r="C905" i="10"/>
  <c r="D905" i="10" s="1"/>
  <c r="C197" i="10"/>
  <c r="D197" i="10" s="1"/>
  <c r="C166" i="10"/>
  <c r="D166" i="10" s="1"/>
  <c r="C134" i="10"/>
  <c r="D134" i="10" s="1"/>
  <c r="C112" i="10"/>
  <c r="D112" i="10" s="1"/>
  <c r="C343" i="10"/>
  <c r="D343" i="10" s="1"/>
  <c r="C494" i="10"/>
  <c r="D494" i="10" s="1"/>
  <c r="C695" i="10"/>
  <c r="D695" i="10" s="1"/>
  <c r="C891" i="10"/>
  <c r="D891" i="10" s="1"/>
  <c r="C887" i="10"/>
  <c r="D887" i="10" s="1"/>
  <c r="C685" i="10"/>
  <c r="D685" i="10" s="1"/>
  <c r="C941" i="10"/>
  <c r="D941" i="10" s="1"/>
  <c r="C71" i="10"/>
  <c r="D71" i="10" s="1"/>
  <c r="C251" i="10"/>
  <c r="D251" i="10" s="1"/>
  <c r="C333" i="10"/>
  <c r="D333" i="10" s="1"/>
  <c r="C428" i="10"/>
  <c r="D428" i="10" s="1"/>
  <c r="C564" i="10"/>
  <c r="D564" i="10" s="1"/>
  <c r="C92" i="10"/>
  <c r="D92" i="10" s="1"/>
  <c r="C58" i="10"/>
  <c r="D58" i="10" s="1"/>
  <c r="C178" i="10"/>
  <c r="D178" i="10" s="1"/>
  <c r="C297" i="10"/>
  <c r="D297" i="10" s="1"/>
  <c r="C439" i="10"/>
  <c r="D439" i="10" s="1"/>
  <c r="C756" i="10"/>
  <c r="D756" i="10" s="1"/>
  <c r="C571" i="10"/>
  <c r="D571" i="10" s="1"/>
  <c r="C246" i="10"/>
  <c r="D246" i="10" s="1"/>
  <c r="C310" i="10"/>
  <c r="D310" i="10" s="1"/>
  <c r="C372" i="10"/>
  <c r="D372" i="10" s="1"/>
  <c r="C414" i="10"/>
  <c r="D414" i="10" s="1"/>
  <c r="C560" i="10"/>
  <c r="D560" i="10" s="1"/>
  <c r="C511" i="10"/>
  <c r="D511" i="10" s="1"/>
  <c r="C646" i="10"/>
  <c r="D646" i="10" s="1"/>
  <c r="C890" i="10"/>
  <c r="D890" i="10" s="1"/>
  <c r="C863" i="10"/>
  <c r="D863" i="10" s="1"/>
  <c r="C861" i="10"/>
  <c r="D861" i="10" s="1"/>
  <c r="C540" i="10"/>
  <c r="D540" i="10" s="1"/>
  <c r="C753" i="10"/>
  <c r="D753" i="10" s="1"/>
  <c r="C127" i="10"/>
  <c r="D127" i="10" s="1"/>
  <c r="C889" i="10"/>
  <c r="D889" i="10" s="1"/>
  <c r="C492" i="10"/>
  <c r="D492" i="10" s="1"/>
  <c r="C440" i="10"/>
  <c r="D440" i="10" s="1"/>
  <c r="C406" i="10"/>
  <c r="D406" i="10" s="1"/>
  <c r="C390" i="10"/>
  <c r="D390" i="10" s="1"/>
  <c r="C366" i="10"/>
  <c r="D366" i="10" s="1"/>
  <c r="C342" i="10"/>
  <c r="D342" i="10" s="1"/>
  <c r="C288" i="10"/>
  <c r="D288" i="10" s="1"/>
  <c r="C256" i="10"/>
  <c r="D256" i="10" s="1"/>
  <c r="C638" i="10"/>
  <c r="D638" i="10" s="1"/>
  <c r="C444" i="10"/>
  <c r="D444" i="10" s="1"/>
  <c r="C614" i="10"/>
  <c r="D614" i="10" s="1"/>
  <c r="C277" i="10"/>
  <c r="D277" i="10" s="1"/>
  <c r="C131" i="10"/>
  <c r="D131" i="10" s="1"/>
  <c r="C953" i="10"/>
  <c r="D953" i="10" s="1"/>
  <c r="C911" i="10"/>
  <c r="D911" i="10" s="1"/>
  <c r="C143" i="10"/>
  <c r="D143" i="10" s="1"/>
  <c r="C175" i="10"/>
  <c r="D175" i="10" s="1"/>
  <c r="C692" i="10"/>
  <c r="D692" i="10" s="1"/>
  <c r="C546" i="10"/>
  <c r="D546" i="10" s="1"/>
  <c r="C764" i="10"/>
  <c r="D764" i="10" s="1"/>
  <c r="C496" i="10"/>
  <c r="D496" i="10" s="1"/>
  <c r="C429" i="10"/>
  <c r="D429" i="10" s="1"/>
  <c r="C380" i="10"/>
  <c r="D380" i="10" s="1"/>
  <c r="C348" i="10"/>
  <c r="D348" i="10" s="1"/>
  <c r="C298" i="10"/>
  <c r="D298" i="10" s="1"/>
  <c r="C266" i="10"/>
  <c r="D266" i="10" s="1"/>
  <c r="C630" i="10"/>
  <c r="D630" i="10" s="1"/>
  <c r="C476" i="10"/>
  <c r="D476" i="10" s="1"/>
  <c r="C740" i="10"/>
  <c r="D740" i="10" s="1"/>
  <c r="C484" i="10"/>
  <c r="D484" i="10" s="1"/>
  <c r="C353" i="10"/>
  <c r="D353" i="10" s="1"/>
  <c r="C289" i="10"/>
  <c r="D289" i="10" s="1"/>
  <c r="C218" i="10"/>
  <c r="D218" i="10" s="1"/>
  <c r="C36" i="10"/>
  <c r="D36" i="10" s="1"/>
  <c r="C798" i="10"/>
  <c r="D798" i="10" s="1"/>
  <c r="C159" i="10"/>
  <c r="D159" i="10" s="1"/>
  <c r="C602" i="10"/>
  <c r="D602" i="10" s="1"/>
  <c r="C479" i="10"/>
  <c r="D479" i="10" s="1"/>
  <c r="C606" i="10"/>
  <c r="D606" i="10" s="1"/>
  <c r="C485" i="10"/>
  <c r="D485" i="10" s="1"/>
  <c r="C421" i="10"/>
  <c r="D421" i="10" s="1"/>
  <c r="C378" i="10"/>
  <c r="D378" i="10" s="1"/>
  <c r="C336" i="10"/>
  <c r="D336" i="10" s="1"/>
  <c r="C262" i="10"/>
  <c r="D262" i="10" s="1"/>
  <c r="C620" i="10"/>
  <c r="D620" i="10" s="1"/>
  <c r="C465" i="10"/>
  <c r="D465" i="10" s="1"/>
  <c r="C365" i="10"/>
  <c r="D365" i="10" s="1"/>
  <c r="C504" i="10"/>
  <c r="D504" i="10" s="1"/>
  <c r="C377" i="10"/>
  <c r="D377" i="10" s="1"/>
  <c r="C240" i="10"/>
  <c r="D240" i="10" s="1"/>
  <c r="C186" i="10"/>
  <c r="D186" i="10" s="1"/>
  <c r="C38" i="10"/>
  <c r="D38" i="10" s="1"/>
  <c r="C78" i="10"/>
  <c r="D78" i="10" s="1"/>
  <c r="C102" i="10"/>
  <c r="D102" i="10" s="1"/>
  <c r="C662" i="10"/>
  <c r="D662" i="10" s="1"/>
  <c r="C704" i="10"/>
  <c r="D704" i="10" s="1"/>
  <c r="C760" i="10"/>
  <c r="D760" i="10" s="1"/>
  <c r="C812" i="10"/>
  <c r="D812" i="10" s="1"/>
  <c r="C418" i="10"/>
  <c r="D418" i="10" s="1"/>
  <c r="C35" i="10"/>
  <c r="D35" i="10" s="1"/>
  <c r="C954" i="10"/>
  <c r="D954" i="10" s="1"/>
  <c r="C893" i="10"/>
  <c r="D893" i="10" s="1"/>
  <c r="C565" i="10"/>
  <c r="D565" i="10" s="1"/>
  <c r="C259" i="10"/>
  <c r="D259" i="10" s="1"/>
  <c r="C187" i="10"/>
  <c r="D187" i="10" s="1"/>
  <c r="C936" i="10"/>
  <c r="D936" i="10" s="1"/>
  <c r="C853" i="10"/>
  <c r="D853" i="10" s="1"/>
  <c r="C156" i="10"/>
  <c r="D156" i="10" s="1"/>
  <c r="C124" i="10"/>
  <c r="D124" i="10" s="1"/>
  <c r="C69" i="10"/>
  <c r="D69" i="10" s="1"/>
  <c r="C275" i="10"/>
  <c r="D275" i="10" s="1"/>
  <c r="C367" i="10"/>
  <c r="D367" i="10" s="1"/>
  <c r="C616" i="10"/>
  <c r="D616" i="10" s="1"/>
  <c r="C856" i="10"/>
  <c r="D856" i="10" s="1"/>
  <c r="C895" i="10"/>
  <c r="D895" i="10" s="1"/>
  <c r="F70" i="5"/>
  <c r="F70" i="32" s="1"/>
  <c r="J71" i="5"/>
  <c r="J71" i="32" s="1"/>
  <c r="E77" i="5"/>
  <c r="E71" i="5"/>
  <c r="E71" i="32" s="1"/>
  <c r="G75" i="5"/>
  <c r="I77" i="5"/>
  <c r="I77" i="32" s="1"/>
  <c r="E69" i="5"/>
  <c r="N70" i="5"/>
  <c r="C72" i="5"/>
  <c r="C72" i="32" s="1"/>
  <c r="I72" i="5"/>
  <c r="I72" i="32" s="1"/>
  <c r="L71" i="5"/>
  <c r="L71" i="32" s="1"/>
  <c r="C78" i="5"/>
  <c r="C78" i="32" s="1"/>
  <c r="L75" i="5"/>
  <c r="L75" i="32" s="1"/>
  <c r="I78" i="5"/>
  <c r="I78" i="32" s="1"/>
  <c r="D75" i="5"/>
  <c r="O78" i="5"/>
  <c r="J78" i="5"/>
  <c r="J78" i="32" s="1"/>
  <c r="O69" i="5"/>
  <c r="K75" i="5"/>
  <c r="C76" i="5"/>
  <c r="C76" i="32" s="1"/>
  <c r="M75" i="5"/>
  <c r="F78" i="5"/>
  <c r="F78" i="32" s="1"/>
  <c r="E78" i="5"/>
  <c r="E78" i="32" s="1"/>
  <c r="L70" i="5"/>
  <c r="L70" i="32" s="1"/>
  <c r="O72" i="5"/>
  <c r="H78" i="5"/>
  <c r="H78" i="32" s="1"/>
  <c r="M72" i="5"/>
  <c r="M72" i="32" s="1"/>
  <c r="F71" i="5"/>
  <c r="F71" i="32" s="1"/>
  <c r="G69" i="5"/>
  <c r="G69" i="32" s="1"/>
  <c r="C69" i="5"/>
  <c r="K78" i="5"/>
  <c r="K78" i="32" s="1"/>
  <c r="H69" i="5"/>
  <c r="N78" i="5"/>
  <c r="N78" i="32" s="1"/>
  <c r="E72" i="5"/>
  <c r="E72" i="32" s="1"/>
  <c r="L72" i="5"/>
  <c r="L72" i="32" s="1"/>
  <c r="N72" i="5"/>
  <c r="N72" i="32" s="1"/>
  <c r="H75" i="5"/>
  <c r="F77" i="5"/>
  <c r="F77" i="32" s="1"/>
  <c r="J75" i="5"/>
  <c r="M77" i="5"/>
  <c r="M77" i="32" s="1"/>
  <c r="H76" i="5"/>
  <c r="H76" i="32" s="1"/>
  <c r="O71" i="5"/>
  <c r="N71" i="5"/>
  <c r="N71" i="32" s="1"/>
  <c r="F72" i="5"/>
  <c r="F72" i="32" s="1"/>
  <c r="I70" i="5"/>
  <c r="I70" i="32" s="1"/>
  <c r="G77" i="5"/>
  <c r="G77" i="32" s="1"/>
  <c r="D71" i="5"/>
  <c r="J77" i="5"/>
  <c r="J77" i="32" s="1"/>
  <c r="C77" i="5"/>
  <c r="C77" i="32" s="1"/>
  <c r="J72" i="5"/>
  <c r="J72" i="32" s="1"/>
  <c r="C70" i="5"/>
  <c r="C70" i="32" s="1"/>
  <c r="K72" i="5"/>
  <c r="K77" i="5"/>
  <c r="K77" i="32" s="1"/>
  <c r="M78" i="5"/>
  <c r="M78" i="32" s="1"/>
  <c r="I71" i="5"/>
  <c r="I71" i="32" s="1"/>
  <c r="L78" i="5"/>
  <c r="L78" i="32" s="1"/>
  <c r="G72" i="5"/>
  <c r="G72" i="32" s="1"/>
  <c r="L77" i="5"/>
  <c r="L77" i="32" s="1"/>
  <c r="C71" i="5"/>
  <c r="C71" i="32" s="1"/>
  <c r="N77" i="5"/>
  <c r="N77" i="32" s="1"/>
  <c r="M69" i="5"/>
  <c r="O77" i="5"/>
  <c r="E70" i="5"/>
  <c r="E70" i="32" s="1"/>
  <c r="N75" i="5"/>
  <c r="N75" i="32" s="1"/>
  <c r="M71" i="5"/>
  <c r="M71" i="32" s="1"/>
  <c r="G78" i="5"/>
  <c r="G78" i="32" s="1"/>
  <c r="H77" i="5"/>
  <c r="H77" i="32" s="1"/>
  <c r="D77" i="5"/>
  <c r="D77" i="32" s="1"/>
  <c r="I69" i="5"/>
  <c r="F75" i="5"/>
  <c r="F75" i="32" s="1"/>
  <c r="D70" i="5"/>
  <c r="D70" i="32" s="1"/>
  <c r="F69" i="5"/>
  <c r="D78" i="5"/>
  <c r="D78" i="32" s="1"/>
  <c r="L69" i="5"/>
  <c r="J69" i="5"/>
  <c r="D72" i="5"/>
  <c r="D72" i="32" s="1"/>
  <c r="O75" i="5"/>
  <c r="I75" i="5"/>
  <c r="I75" i="32" s="1"/>
  <c r="H72" i="5"/>
  <c r="H72" i="32" s="1"/>
  <c r="C75" i="5"/>
  <c r="H71" i="5"/>
  <c r="K71" i="5"/>
  <c r="K71" i="32" s="1"/>
  <c r="D69" i="5"/>
  <c r="D69" i="32" s="1"/>
  <c r="K69" i="5"/>
  <c r="K69" i="32" s="1"/>
  <c r="N69" i="5"/>
  <c r="N69" i="32" s="1"/>
  <c r="G71" i="5"/>
  <c r="G71" i="32" s="1"/>
  <c r="M70" i="5"/>
  <c r="M70" i="32" s="1"/>
  <c r="E75" i="5"/>
  <c r="E75" i="32" s="1"/>
  <c r="J74" i="32"/>
  <c r="M89" i="5"/>
  <c r="L89" i="5"/>
  <c r="J87" i="32"/>
  <c r="J89" i="32" s="1"/>
  <c r="I89" i="32"/>
  <c r="H89" i="32"/>
  <c r="O94" i="5"/>
  <c r="D76" i="5"/>
  <c r="D76" i="32" s="1"/>
  <c r="G74" i="32"/>
  <c r="H70" i="5"/>
  <c r="H70" i="32" s="1"/>
  <c r="J70" i="5"/>
  <c r="J70" i="32" s="1"/>
  <c r="N92" i="32"/>
  <c r="N94" i="32" s="1"/>
  <c r="D94" i="5"/>
  <c r="L94" i="32"/>
  <c r="D89" i="5"/>
  <c r="I89" i="5"/>
  <c r="L89" i="32"/>
  <c r="E89" i="32"/>
  <c r="F89" i="5"/>
  <c r="H94" i="5"/>
  <c r="G70" i="5"/>
  <c r="G70" i="32" s="1"/>
  <c r="O68" i="5"/>
  <c r="O70" i="5" s="1"/>
  <c r="D92" i="32"/>
  <c r="D94" i="32" s="1"/>
  <c r="J94" i="5"/>
  <c r="L94" i="5"/>
  <c r="O68" i="32"/>
  <c r="I99" i="5"/>
  <c r="K76" i="5"/>
  <c r="K76" i="32" s="1"/>
  <c r="C99" i="5"/>
  <c r="C99" i="32"/>
  <c r="E74" i="32"/>
  <c r="I76" i="5"/>
  <c r="I76" i="32" s="1"/>
  <c r="D99" i="5"/>
  <c r="F97" i="32"/>
  <c r="F99" i="32" s="1"/>
  <c r="F76" i="5"/>
  <c r="F76" i="32" s="1"/>
  <c r="N97" i="32"/>
  <c r="G99" i="32"/>
  <c r="J99" i="32"/>
  <c r="D99" i="32"/>
  <c r="J99" i="5"/>
  <c r="K89" i="32"/>
  <c r="N89" i="32"/>
  <c r="F87" i="32"/>
  <c r="F89" i="32" s="1"/>
  <c r="E89" i="5"/>
  <c r="H89" i="5"/>
  <c r="K89" i="5"/>
  <c r="O89" i="5"/>
  <c r="C87" i="32"/>
  <c r="C89" i="32"/>
  <c r="O88" i="32"/>
  <c r="G94" i="32"/>
  <c r="C92" i="32"/>
  <c r="M94" i="5"/>
  <c r="K94" i="5"/>
  <c r="H99" i="5"/>
  <c r="H99" i="32"/>
  <c r="H92" i="32"/>
  <c r="H94" i="32" s="1"/>
  <c r="H71" i="32"/>
  <c r="I93" i="32"/>
  <c r="I94" i="32" s="1"/>
  <c r="I94" i="5"/>
  <c r="E98" i="32"/>
  <c r="E99" i="5"/>
  <c r="E63" i="5"/>
  <c r="E63" i="32" s="1"/>
  <c r="F93" i="32"/>
  <c r="F94" i="5"/>
  <c r="K97" i="32"/>
  <c r="K99" i="5"/>
  <c r="C983" i="10"/>
  <c r="D983" i="10" s="1"/>
  <c r="C874" i="10"/>
  <c r="D874" i="10" s="1"/>
  <c r="C949" i="10"/>
  <c r="D949" i="10" s="1"/>
  <c r="C217" i="10"/>
  <c r="D217" i="10" s="1"/>
  <c r="C734" i="10"/>
  <c r="D734" i="10" s="1"/>
  <c r="C168" i="10"/>
  <c r="D168" i="10" s="1"/>
  <c r="C386" i="10"/>
  <c r="D386" i="10" s="1"/>
  <c r="C141" i="10"/>
  <c r="D141" i="10" s="1"/>
  <c r="C441" i="10"/>
  <c r="D441" i="10" s="1"/>
  <c r="C655" i="10"/>
  <c r="D655" i="10" s="1"/>
  <c r="C849" i="10"/>
  <c r="D849" i="10" s="1"/>
  <c r="C136" i="10"/>
  <c r="D136" i="10" s="1"/>
  <c r="C993" i="10"/>
  <c r="D993" i="10" s="1"/>
  <c r="C610" i="10"/>
  <c r="D610" i="10" s="1"/>
  <c r="C667" i="10"/>
  <c r="D667" i="10" s="1"/>
  <c r="C829" i="10"/>
  <c r="D829" i="10" s="1"/>
  <c r="C130" i="10"/>
  <c r="D130" i="10" s="1"/>
  <c r="C87" i="10"/>
  <c r="D87" i="10" s="1"/>
  <c r="C727" i="10"/>
  <c r="D727" i="10" s="1"/>
  <c r="C623" i="10"/>
  <c r="D623" i="10" s="1"/>
  <c r="C774" i="10"/>
  <c r="D774" i="10" s="1"/>
  <c r="C947" i="10"/>
  <c r="D947" i="10" s="1"/>
  <c r="C195" i="10"/>
  <c r="D195" i="10" s="1"/>
  <c r="C169" i="10"/>
  <c r="D169" i="10" s="1"/>
  <c r="C427" i="10"/>
  <c r="D427" i="10" s="1"/>
  <c r="C737" i="10"/>
  <c r="D737" i="10" s="1"/>
  <c r="C589" i="10"/>
  <c r="D589" i="10" s="1"/>
  <c r="C690" i="10"/>
  <c r="D690" i="10" s="1"/>
  <c r="C542" i="10"/>
  <c r="D542" i="10" s="1"/>
  <c r="C633" i="10"/>
  <c r="D633" i="10" s="1"/>
  <c r="C796" i="10"/>
  <c r="D796" i="10" s="1"/>
  <c r="C928" i="10"/>
  <c r="D928" i="10" s="1"/>
  <c r="C970" i="10"/>
  <c r="D970" i="10" s="1"/>
  <c r="C162" i="10"/>
  <c r="D162" i="10" s="1"/>
  <c r="C457" i="10"/>
  <c r="D457" i="10" s="1"/>
  <c r="C781" i="10"/>
  <c r="D781" i="10" s="1"/>
  <c r="C658" i="10"/>
  <c r="D658" i="10" s="1"/>
  <c r="C381" i="10"/>
  <c r="D381" i="10" s="1"/>
  <c r="C588" i="10"/>
  <c r="D588" i="10" s="1"/>
  <c r="C681" i="10"/>
  <c r="D681" i="10" s="1"/>
  <c r="C752" i="10"/>
  <c r="D752" i="10" s="1"/>
  <c r="C443" i="10"/>
  <c r="D443" i="10" s="1"/>
  <c r="C876" i="10"/>
  <c r="D876" i="10" s="1"/>
  <c r="C708" i="10"/>
  <c r="D708" i="10" s="1"/>
  <c r="C153" i="10"/>
  <c r="D153" i="10" s="1"/>
  <c r="C811" i="10"/>
  <c r="D811" i="10" s="1"/>
  <c r="C201" i="10"/>
  <c r="D201" i="10" s="1"/>
  <c r="C120" i="10"/>
  <c r="D120" i="10" s="1"/>
  <c r="C293" i="10"/>
  <c r="D293" i="10" s="1"/>
  <c r="C29" i="10"/>
  <c r="D29" i="10" s="1"/>
  <c r="C959" i="10"/>
  <c r="D959" i="10" s="1"/>
  <c r="C47" i="10"/>
  <c r="D47" i="10" s="1"/>
  <c r="C488" i="10"/>
  <c r="D488" i="10" s="1"/>
  <c r="C48" i="10"/>
  <c r="D48" i="10" s="1"/>
  <c r="C468" i="10"/>
  <c r="D468" i="10" s="1"/>
  <c r="C260" i="10"/>
  <c r="D260" i="10" s="1"/>
  <c r="C437" i="10"/>
  <c r="D437" i="10" s="1"/>
  <c r="C622" i="10"/>
  <c r="D622" i="10" s="1"/>
  <c r="C639" i="10"/>
  <c r="D639" i="10" s="1"/>
  <c r="C649" i="10"/>
  <c r="D649" i="10" s="1"/>
  <c r="C726" i="10"/>
  <c r="D726" i="10" s="1"/>
  <c r="C666" i="10"/>
  <c r="D666" i="10" s="1"/>
  <c r="C901" i="10"/>
  <c r="D901" i="10" s="1"/>
  <c r="C824" i="10"/>
  <c r="D824" i="10" s="1"/>
  <c r="C109" i="10"/>
  <c r="D109" i="10" s="1"/>
  <c r="C847" i="10"/>
  <c r="D847" i="10" s="1"/>
  <c r="C846" i="10"/>
  <c r="D846" i="10" s="1"/>
  <c r="C395" i="10"/>
  <c r="D395" i="10" s="1"/>
  <c r="C241" i="10"/>
  <c r="D241" i="10" s="1"/>
  <c r="C670" i="10"/>
  <c r="D670" i="10" s="1"/>
  <c r="C907" i="10"/>
  <c r="D907" i="10" s="1"/>
  <c r="C696" i="10"/>
  <c r="D696" i="10" s="1"/>
  <c r="C106" i="10"/>
  <c r="D106" i="10" s="1"/>
  <c r="C302" i="10"/>
  <c r="D302" i="10" s="1"/>
  <c r="C309" i="10"/>
  <c r="D309" i="10" s="1"/>
  <c r="C269" i="10"/>
  <c r="D269" i="10" s="1"/>
  <c r="C715" i="10"/>
  <c r="D715" i="10" s="1"/>
  <c r="C208" i="10"/>
  <c r="D208" i="10" s="1"/>
  <c r="C53" i="10"/>
  <c r="D53" i="10" s="1"/>
  <c r="C319" i="10"/>
  <c r="D319" i="10" s="1"/>
  <c r="C344" i="10"/>
  <c r="D344" i="10" s="1"/>
  <c r="C688" i="10"/>
  <c r="D688" i="10" s="1"/>
  <c r="C660" i="10"/>
  <c r="D660" i="10" s="1"/>
  <c r="C873" i="10"/>
  <c r="D873" i="10" s="1"/>
  <c r="C146" i="10"/>
  <c r="D146" i="10" s="1"/>
  <c r="C37" i="10"/>
  <c r="D37" i="10" s="1"/>
  <c r="C587" i="10"/>
  <c r="D587" i="10" s="1"/>
  <c r="C999" i="10"/>
  <c r="D999" i="10" s="1"/>
  <c r="C909" i="10"/>
  <c r="D909" i="10" s="1"/>
  <c r="C351" i="10"/>
  <c r="D351" i="10" s="1"/>
  <c r="C88" i="10"/>
  <c r="D88" i="10" s="1"/>
  <c r="C273" i="10"/>
  <c r="D273" i="10" s="1"/>
  <c r="C547" i="10"/>
  <c r="D547" i="10" s="1"/>
  <c r="C362" i="10"/>
  <c r="D362" i="10" s="1"/>
  <c r="C487" i="10"/>
  <c r="D487" i="10" s="1"/>
  <c r="C860" i="10"/>
  <c r="D860" i="10" s="1"/>
  <c r="C611" i="10"/>
  <c r="D611" i="10" s="1"/>
  <c r="C627" i="10"/>
  <c r="D627" i="10" s="1"/>
  <c r="C643" i="10"/>
  <c r="D643" i="10" s="1"/>
  <c r="C659" i="10"/>
  <c r="D659" i="10" s="1"/>
  <c r="C678" i="10"/>
  <c r="D678" i="10" s="1"/>
  <c r="C702" i="10"/>
  <c r="D702" i="10" s="1"/>
  <c r="C728" i="10"/>
  <c r="D728" i="10" s="1"/>
  <c r="C758" i="10"/>
  <c r="D758" i="10" s="1"/>
  <c r="C776" i="10"/>
  <c r="D776" i="10" s="1"/>
  <c r="C807" i="10"/>
  <c r="D807" i="10" s="1"/>
  <c r="I99" i="32"/>
  <c r="M94" i="32"/>
  <c r="J94" i="32"/>
  <c r="R5" i="10" l="1"/>
  <c r="O99" i="5"/>
  <c r="M74" i="32"/>
  <c r="O74" i="32" s="1"/>
  <c r="M99" i="5"/>
  <c r="O74" i="5"/>
  <c r="O76" i="5" s="1"/>
  <c r="L76" i="5"/>
  <c r="L76" i="32" s="1"/>
  <c r="L79" i="32" s="1"/>
  <c r="N99" i="32"/>
  <c r="N76" i="5"/>
  <c r="N76" i="32" s="1"/>
  <c r="N79" i="32" s="1"/>
  <c r="O98" i="32"/>
  <c r="L99" i="5"/>
  <c r="N99" i="5"/>
  <c r="O78" i="32"/>
  <c r="E77" i="32"/>
  <c r="O77" i="32" s="1"/>
  <c r="E79" i="5"/>
  <c r="N70" i="32"/>
  <c r="N73" i="32" s="1"/>
  <c r="N73" i="5"/>
  <c r="D71" i="32"/>
  <c r="D73" i="32" s="1"/>
  <c r="D73" i="5"/>
  <c r="K72" i="32"/>
  <c r="K73" i="5"/>
  <c r="O73" i="5"/>
  <c r="I79" i="32"/>
  <c r="G75" i="32"/>
  <c r="G79" i="32" s="1"/>
  <c r="G79" i="5"/>
  <c r="E69" i="32"/>
  <c r="E73" i="32" s="1"/>
  <c r="E73" i="5"/>
  <c r="D75" i="32"/>
  <c r="D79" i="32" s="1"/>
  <c r="D79" i="5"/>
  <c r="D67" i="5" s="1"/>
  <c r="K75" i="32"/>
  <c r="K79" i="32" s="1"/>
  <c r="K79" i="5"/>
  <c r="K67" i="5" s="1"/>
  <c r="M75" i="32"/>
  <c r="M79" i="5"/>
  <c r="C69" i="32"/>
  <c r="C73" i="5"/>
  <c r="H69" i="32"/>
  <c r="H73" i="32" s="1"/>
  <c r="H73" i="5"/>
  <c r="H67" i="5" s="1"/>
  <c r="H75" i="32"/>
  <c r="H79" i="32" s="1"/>
  <c r="H79" i="5"/>
  <c r="J75" i="32"/>
  <c r="J79" i="32" s="1"/>
  <c r="J79" i="5"/>
  <c r="J67" i="5" s="1"/>
  <c r="M69" i="32"/>
  <c r="M73" i="32" s="1"/>
  <c r="M73" i="5"/>
  <c r="I69" i="32"/>
  <c r="I73" i="32" s="1"/>
  <c r="I73" i="5"/>
  <c r="F69" i="32"/>
  <c r="F73" i="32" s="1"/>
  <c r="F73" i="5"/>
  <c r="L69" i="32"/>
  <c r="L73" i="32" s="1"/>
  <c r="L73" i="5"/>
  <c r="J69" i="32"/>
  <c r="J73" i="32" s="1"/>
  <c r="J73" i="5"/>
  <c r="C75" i="32"/>
  <c r="C79" i="5"/>
  <c r="C67" i="5" s="1"/>
  <c r="G73" i="5"/>
  <c r="E67" i="5"/>
  <c r="D67" i="32"/>
  <c r="O70" i="32"/>
  <c r="I79" i="5"/>
  <c r="E99" i="32"/>
  <c r="H67" i="32"/>
  <c r="F79" i="32"/>
  <c r="F67" i="32" s="1"/>
  <c r="F79" i="5"/>
  <c r="O87" i="32"/>
  <c r="O89" i="32" s="1"/>
  <c r="M27" i="5"/>
  <c r="M27" i="32" s="1"/>
  <c r="O92" i="32"/>
  <c r="C94" i="32"/>
  <c r="J64" i="5"/>
  <c r="J64" i="32" s="1"/>
  <c r="J63" i="5"/>
  <c r="J63" i="32" s="1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O18" i="5"/>
  <c r="G51" i="5"/>
  <c r="G51" i="32" s="1"/>
  <c r="M9" i="5"/>
  <c r="M9" i="32" s="1"/>
  <c r="L61" i="5"/>
  <c r="L61" i="32" s="1"/>
  <c r="N64" i="5"/>
  <c r="N64" i="32" s="1"/>
  <c r="D59" i="5"/>
  <c r="D59" i="32" s="1"/>
  <c r="M61" i="5"/>
  <c r="M61" i="32" s="1"/>
  <c r="D63" i="5"/>
  <c r="D63" i="32" s="1"/>
  <c r="L64" i="5"/>
  <c r="L64" i="32" s="1"/>
  <c r="J61" i="5"/>
  <c r="J61" i="32" s="1"/>
  <c r="K34" i="5"/>
  <c r="K34" i="32" s="1"/>
  <c r="O54" i="5"/>
  <c r="J43" i="5"/>
  <c r="J43" i="32" s="1"/>
  <c r="C6" i="5"/>
  <c r="F94" i="32"/>
  <c r="O93" i="32"/>
  <c r="I27" i="5"/>
  <c r="I27" i="32" s="1"/>
  <c r="L63" i="5"/>
  <c r="L63" i="32" s="1"/>
  <c r="E64" i="5"/>
  <c r="E64" i="32" s="1"/>
  <c r="N57" i="5"/>
  <c r="N57" i="32" s="1"/>
  <c r="I20" i="5"/>
  <c r="I20" i="32" s="1"/>
  <c r="E42" i="5"/>
  <c r="E42" i="32" s="1"/>
  <c r="I54" i="5"/>
  <c r="I54" i="32" s="1"/>
  <c r="I56" i="5"/>
  <c r="I56" i="32" s="1"/>
  <c r="M14" i="5"/>
  <c r="J45" i="5"/>
  <c r="J45" i="32" s="1"/>
  <c r="L7" i="5"/>
  <c r="L7" i="32" s="1"/>
  <c r="J59" i="5"/>
  <c r="J59" i="32" s="1"/>
  <c r="J46" i="5"/>
  <c r="J46" i="32" s="1"/>
  <c r="I42" i="5"/>
  <c r="I42" i="32" s="1"/>
  <c r="D61" i="5"/>
  <c r="D61" i="32" s="1"/>
  <c r="F64" i="5"/>
  <c r="F64" i="32" s="1"/>
  <c r="M64" i="5"/>
  <c r="M64" i="32" s="1"/>
  <c r="I61" i="5"/>
  <c r="I61" i="32" s="1"/>
  <c r="M22" i="5"/>
  <c r="M22" i="32" s="1"/>
  <c r="N56" i="5"/>
  <c r="N56" i="32" s="1"/>
  <c r="O43" i="5"/>
  <c r="G22" i="5"/>
  <c r="G22" i="32" s="1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H51" i="5"/>
  <c r="H51" i="32" s="1"/>
  <c r="O25" i="5"/>
  <c r="E39" i="5"/>
  <c r="E39" i="32" s="1"/>
  <c r="G35" i="5"/>
  <c r="G35" i="32" s="1"/>
  <c r="L19" i="5"/>
  <c r="L19" i="32" s="1"/>
  <c r="M42" i="5"/>
  <c r="M42" i="32" s="1"/>
  <c r="N43" i="5"/>
  <c r="N43" i="32" s="1"/>
  <c r="H59" i="5"/>
  <c r="H59" i="32" s="1"/>
  <c r="O40" i="5"/>
  <c r="F41" i="5"/>
  <c r="F41" i="32" s="1"/>
  <c r="D41" i="5"/>
  <c r="D41" i="32" s="1"/>
  <c r="O44" i="5"/>
  <c r="O15" i="5"/>
  <c r="C39" i="5"/>
  <c r="C39" i="32" s="1"/>
  <c r="C56" i="5"/>
  <c r="C56" i="32" s="1"/>
  <c r="C41" i="5"/>
  <c r="C41" i="32" s="1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O50" i="5"/>
  <c r="K42" i="5"/>
  <c r="K42" i="32" s="1"/>
  <c r="C33" i="5"/>
  <c r="C33" i="32" s="1"/>
  <c r="N24" i="5"/>
  <c r="N24" i="32" s="1"/>
  <c r="J14" i="5"/>
  <c r="I33" i="5"/>
  <c r="I33" i="32" s="1"/>
  <c r="F58" i="5"/>
  <c r="F58" i="32" s="1"/>
  <c r="J18" i="5"/>
  <c r="J18" i="32" s="1"/>
  <c r="L41" i="5"/>
  <c r="L41" i="32" s="1"/>
  <c r="E10" i="5"/>
  <c r="E10" i="32" s="1"/>
  <c r="E34" i="5"/>
  <c r="E34" i="32" s="1"/>
  <c r="D27" i="5"/>
  <c r="D27" i="32" s="1"/>
  <c r="I43" i="5"/>
  <c r="I43" i="32" s="1"/>
  <c r="H60" i="5"/>
  <c r="H60" i="32" s="1"/>
  <c r="D18" i="5"/>
  <c r="D18" i="32" s="1"/>
  <c r="O37" i="5"/>
  <c r="E22" i="5"/>
  <c r="E22" i="32" s="1"/>
  <c r="D22" i="5"/>
  <c r="D22" i="32" s="1"/>
  <c r="M24" i="5"/>
  <c r="M24" i="32" s="1"/>
  <c r="C45" i="5"/>
  <c r="C45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G18" i="5"/>
  <c r="G18" i="32" s="1"/>
  <c r="K38" i="5"/>
  <c r="K38" i="32" s="1"/>
  <c r="D6" i="5"/>
  <c r="C65" i="5"/>
  <c r="C65" i="32" s="1"/>
  <c r="C53" i="5"/>
  <c r="C53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J10" i="5"/>
  <c r="J10" i="32" s="1"/>
  <c r="O17" i="5"/>
  <c r="E9" i="5"/>
  <c r="E9" i="32" s="1"/>
  <c r="K52" i="5"/>
  <c r="K52" i="32" s="1"/>
  <c r="M32" i="5"/>
  <c r="M32" i="32" s="1"/>
  <c r="L52" i="5"/>
  <c r="L52" i="32" s="1"/>
  <c r="E44" i="5"/>
  <c r="E44" i="32" s="1"/>
  <c r="K57" i="5"/>
  <c r="K57" i="32" s="1"/>
  <c r="O58" i="5"/>
  <c r="G24" i="5"/>
  <c r="G24" i="32" s="1"/>
  <c r="I22" i="5"/>
  <c r="I22" i="32" s="1"/>
  <c r="F44" i="5"/>
  <c r="F44" i="32" s="1"/>
  <c r="G38" i="5"/>
  <c r="G38" i="32" s="1"/>
  <c r="L53" i="5"/>
  <c r="L53" i="32" s="1"/>
  <c r="C57" i="5"/>
  <c r="C57" i="32" s="1"/>
  <c r="J40" i="5"/>
  <c r="J40" i="32" s="1"/>
  <c r="H24" i="5"/>
  <c r="H24" i="32" s="1"/>
  <c r="L18" i="5"/>
  <c r="L18" i="32" s="1"/>
  <c r="M20" i="5"/>
  <c r="M20" i="32" s="1"/>
  <c r="O33" i="5"/>
  <c r="L17" i="5"/>
  <c r="L17" i="32" s="1"/>
  <c r="F47" i="5"/>
  <c r="F47" i="32" s="1"/>
  <c r="L28" i="5"/>
  <c r="L28" i="32" s="1"/>
  <c r="G17" i="5"/>
  <c r="G17" i="32" s="1"/>
  <c r="M15" i="5"/>
  <c r="M15" i="32" s="1"/>
  <c r="J34" i="5"/>
  <c r="J34" i="32" s="1"/>
  <c r="N59" i="5"/>
  <c r="N59" i="32" s="1"/>
  <c r="I41" i="5"/>
  <c r="I41" i="32" s="1"/>
  <c r="F22" i="5"/>
  <c r="F22" i="32" s="1"/>
  <c r="E51" i="5"/>
  <c r="E51" i="32" s="1"/>
  <c r="C17" i="5"/>
  <c r="C17" i="32" s="1"/>
  <c r="L22" i="5"/>
  <c r="L22" i="32" s="1"/>
  <c r="G56" i="5"/>
  <c r="G56" i="32" s="1"/>
  <c r="J21" i="5"/>
  <c r="J21" i="32" s="1"/>
  <c r="O27" i="5"/>
  <c r="M59" i="5"/>
  <c r="M59" i="32" s="1"/>
  <c r="E47" i="5"/>
  <c r="E47" i="32" s="1"/>
  <c r="L32" i="5"/>
  <c r="L32" i="32" s="1"/>
  <c r="I40" i="5"/>
  <c r="I40" i="32" s="1"/>
  <c r="H43" i="5"/>
  <c r="H43" i="32" s="1"/>
  <c r="C34" i="5"/>
  <c r="C34" i="32" s="1"/>
  <c r="E31" i="5"/>
  <c r="E31" i="32" s="1"/>
  <c r="N40" i="5"/>
  <c r="N40" i="32" s="1"/>
  <c r="F26" i="5"/>
  <c r="F26" i="32" s="1"/>
  <c r="O21" i="5"/>
  <c r="F29" i="5"/>
  <c r="F29" i="32" s="1"/>
  <c r="N18" i="5"/>
  <c r="N18" i="32" s="1"/>
  <c r="G53" i="5"/>
  <c r="G53" i="32" s="1"/>
  <c r="M39" i="5"/>
  <c r="M39" i="32" s="1"/>
  <c r="J6" i="5"/>
  <c r="N15" i="5"/>
  <c r="N15" i="32" s="1"/>
  <c r="N21" i="5"/>
  <c r="N21" i="32" s="1"/>
  <c r="M34" i="5"/>
  <c r="M34" i="32" s="1"/>
  <c r="O51" i="5"/>
  <c r="N7" i="5"/>
  <c r="N7" i="32" s="1"/>
  <c r="M30" i="5"/>
  <c r="M30" i="32" s="1"/>
  <c r="K36" i="5"/>
  <c r="K36" i="32" s="1"/>
  <c r="N54" i="5"/>
  <c r="N54" i="32" s="1"/>
  <c r="O56" i="5"/>
  <c r="N51" i="5"/>
  <c r="N51" i="32" s="1"/>
  <c r="O10" i="5"/>
  <c r="N38" i="5"/>
  <c r="N38" i="32" s="1"/>
  <c r="K43" i="5"/>
  <c r="K43" i="32" s="1"/>
  <c r="I24" i="5"/>
  <c r="I24" i="32" s="1"/>
  <c r="O23" i="5"/>
  <c r="K6" i="5"/>
  <c r="J53" i="5"/>
  <c r="J53" i="32" s="1"/>
  <c r="E23" i="5"/>
  <c r="E23" i="32" s="1"/>
  <c r="I45" i="5"/>
  <c r="I45" i="32" s="1"/>
  <c r="L23" i="5"/>
  <c r="L23" i="32" s="1"/>
  <c r="O29" i="5"/>
  <c r="C44" i="5"/>
  <c r="C44" i="32" s="1"/>
  <c r="N61" i="5"/>
  <c r="N61" i="32" s="1"/>
  <c r="I64" i="5"/>
  <c r="I64" i="32" s="1"/>
  <c r="O30" i="5"/>
  <c r="J42" i="5"/>
  <c r="J42" i="32" s="1"/>
  <c r="C20" i="5"/>
  <c r="C20" i="32" s="1"/>
  <c r="N22" i="5"/>
  <c r="N22" i="32" s="1"/>
  <c r="G21" i="5"/>
  <c r="G21" i="32" s="1"/>
  <c r="I65" i="5"/>
  <c r="I65" i="32" s="1"/>
  <c r="G49" i="5"/>
  <c r="G49" i="32" s="1"/>
  <c r="G28" i="5"/>
  <c r="G28" i="32" s="1"/>
  <c r="H50" i="5"/>
  <c r="H50" i="32" s="1"/>
  <c r="M38" i="5"/>
  <c r="M38" i="32" s="1"/>
  <c r="H45" i="5"/>
  <c r="H45" i="32" s="1"/>
  <c r="F18" i="5"/>
  <c r="F18" i="32" s="1"/>
  <c r="F32" i="5"/>
  <c r="F32" i="32" s="1"/>
  <c r="I16" i="5"/>
  <c r="I16" i="32" s="1"/>
  <c r="G25" i="5"/>
  <c r="G25" i="32" s="1"/>
  <c r="E19" i="5"/>
  <c r="E19" i="32" s="1"/>
  <c r="D7" i="5"/>
  <c r="D7" i="32" s="1"/>
  <c r="N10" i="5"/>
  <c r="N10" i="32" s="1"/>
  <c r="I52" i="5"/>
  <c r="I52" i="32" s="1"/>
  <c r="D28" i="5"/>
  <c r="D28" i="32" s="1"/>
  <c r="G46" i="5"/>
  <c r="G46" i="32" s="1"/>
  <c r="K20" i="5"/>
  <c r="K20" i="32" s="1"/>
  <c r="M36" i="5"/>
  <c r="M36" i="32" s="1"/>
  <c r="I10" i="5"/>
  <c r="I10" i="32" s="1"/>
  <c r="L51" i="5"/>
  <c r="L51" i="32" s="1"/>
  <c r="H20" i="5"/>
  <c r="H20" i="32" s="1"/>
  <c r="F40" i="5"/>
  <c r="F40" i="32" s="1"/>
  <c r="K53" i="5"/>
  <c r="K53" i="32" s="1"/>
  <c r="C23" i="5"/>
  <c r="C23" i="32" s="1"/>
  <c r="L26" i="5"/>
  <c r="L26" i="32" s="1"/>
  <c r="J52" i="5"/>
  <c r="J52" i="32" s="1"/>
  <c r="D34" i="5"/>
  <c r="D34" i="32" s="1"/>
  <c r="F14" i="5"/>
  <c r="C27" i="5"/>
  <c r="C27" i="32" s="1"/>
  <c r="K48" i="5"/>
  <c r="K48" i="32" s="1"/>
  <c r="D29" i="5"/>
  <c r="D29" i="32" s="1"/>
  <c r="G31" i="5"/>
  <c r="G31" i="32" s="1"/>
  <c r="L21" i="5"/>
  <c r="L21" i="32" s="1"/>
  <c r="H41" i="5"/>
  <c r="H41" i="32" s="1"/>
  <c r="E25" i="5"/>
  <c r="E25" i="32" s="1"/>
  <c r="K10" i="5"/>
  <c r="K10" i="32" s="1"/>
  <c r="I32" i="5"/>
  <c r="I32" i="32" s="1"/>
  <c r="I35" i="5"/>
  <c r="I35" i="32" s="1"/>
  <c r="K54" i="5"/>
  <c r="K54" i="32" s="1"/>
  <c r="N9" i="5"/>
  <c r="N9" i="32" s="1"/>
  <c r="J49" i="5"/>
  <c r="J49" i="32" s="1"/>
  <c r="G42" i="5"/>
  <c r="G42" i="32" s="1"/>
  <c r="I49" i="5"/>
  <c r="I49" i="32" s="1"/>
  <c r="J37" i="5"/>
  <c r="J37" i="32" s="1"/>
  <c r="K39" i="5"/>
  <c r="K39" i="32" s="1"/>
  <c r="N23" i="5"/>
  <c r="N23" i="32" s="1"/>
  <c r="C48" i="5"/>
  <c r="C48" i="32" s="1"/>
  <c r="L30" i="5"/>
  <c r="L30" i="32" s="1"/>
  <c r="M53" i="5"/>
  <c r="M53" i="32" s="1"/>
  <c r="C64" i="5"/>
  <c r="C64" i="32" s="1"/>
  <c r="L10" i="5"/>
  <c r="L10" i="32" s="1"/>
  <c r="D51" i="5"/>
  <c r="D51" i="32" s="1"/>
  <c r="F45" i="5"/>
  <c r="F45" i="32" s="1"/>
  <c r="K25" i="5"/>
  <c r="K25" i="32" s="1"/>
  <c r="L27" i="5"/>
  <c r="L27" i="32" s="1"/>
  <c r="M25" i="5"/>
  <c r="M25" i="32" s="1"/>
  <c r="E56" i="5"/>
  <c r="E56" i="32" s="1"/>
  <c r="G37" i="5"/>
  <c r="G37" i="32" s="1"/>
  <c r="H27" i="5"/>
  <c r="H27" i="32" s="1"/>
  <c r="N26" i="5"/>
  <c r="N26" i="32" s="1"/>
  <c r="H36" i="5"/>
  <c r="H36" i="32" s="1"/>
  <c r="I58" i="5"/>
  <c r="I58" i="32" s="1"/>
  <c r="J50" i="5"/>
  <c r="J50" i="32" s="1"/>
  <c r="M33" i="5"/>
  <c r="M33" i="32" s="1"/>
  <c r="J58" i="5"/>
  <c r="J58" i="32" s="1"/>
  <c r="M28" i="5"/>
  <c r="M28" i="32" s="1"/>
  <c r="L54" i="5"/>
  <c r="L54" i="32" s="1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L49" i="5"/>
  <c r="L49" i="32" s="1"/>
  <c r="F53" i="5"/>
  <c r="F53" i="32" s="1"/>
  <c r="I38" i="5"/>
  <c r="I38" i="32" s="1"/>
  <c r="H37" i="5"/>
  <c r="H37" i="32" s="1"/>
  <c r="J28" i="5"/>
  <c r="J28" i="32" s="1"/>
  <c r="C16" i="5"/>
  <c r="C16" i="32" s="1"/>
  <c r="D46" i="5"/>
  <c r="D46" i="32" s="1"/>
  <c r="H65" i="5"/>
  <c r="H65" i="32" s="1"/>
  <c r="N29" i="5"/>
  <c r="N29" i="32" s="1"/>
  <c r="I6" i="5"/>
  <c r="J60" i="5"/>
  <c r="J60" i="32" s="1"/>
  <c r="M60" i="5"/>
  <c r="M60" i="32" s="1"/>
  <c r="F60" i="5"/>
  <c r="F60" i="32" s="1"/>
  <c r="F24" i="5"/>
  <c r="F24" i="32" s="1"/>
  <c r="M50" i="5"/>
  <c r="M50" i="32" s="1"/>
  <c r="J33" i="5"/>
  <c r="J33" i="32" s="1"/>
  <c r="J47" i="5"/>
  <c r="J47" i="32" s="1"/>
  <c r="I19" i="5"/>
  <c r="I19" i="32" s="1"/>
  <c r="E32" i="5"/>
  <c r="E32" i="32" s="1"/>
  <c r="K41" i="5"/>
  <c r="K41" i="32" s="1"/>
  <c r="I14" i="5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L20" i="5"/>
  <c r="L20" i="32" s="1"/>
  <c r="M40" i="5"/>
  <c r="M40" i="32" s="1"/>
  <c r="C36" i="5"/>
  <c r="C36" i="32" s="1"/>
  <c r="F54" i="5"/>
  <c r="F54" i="32" s="1"/>
  <c r="N55" i="5"/>
  <c r="N55" i="32" s="1"/>
  <c r="D21" i="5"/>
  <c r="D21" i="32" s="1"/>
  <c r="E55" i="5"/>
  <c r="E55" i="32" s="1"/>
  <c r="N39" i="5"/>
  <c r="N39" i="32" s="1"/>
  <c r="E53" i="5"/>
  <c r="E53" i="32" s="1"/>
  <c r="M52" i="5"/>
  <c r="M52" i="32" s="1"/>
  <c r="C22" i="5"/>
  <c r="C22" i="32" s="1"/>
  <c r="C58" i="5"/>
  <c r="C58" i="32" s="1"/>
  <c r="F28" i="5"/>
  <c r="F28" i="32" s="1"/>
  <c r="J35" i="5"/>
  <c r="J35" i="32" s="1"/>
  <c r="M46" i="5"/>
  <c r="M46" i="32" s="1"/>
  <c r="K9" i="5"/>
  <c r="K9" i="32" s="1"/>
  <c r="O52" i="5"/>
  <c r="D64" i="5"/>
  <c r="D64" i="32" s="1"/>
  <c r="N16" i="5"/>
  <c r="N16" i="32" s="1"/>
  <c r="G43" i="5"/>
  <c r="G43" i="32" s="1"/>
  <c r="N46" i="5"/>
  <c r="N46" i="32" s="1"/>
  <c r="F59" i="5"/>
  <c r="F59" i="32" s="1"/>
  <c r="E45" i="5"/>
  <c r="E45" i="32" s="1"/>
  <c r="I34" i="5"/>
  <c r="I34" i="32" s="1"/>
  <c r="N30" i="5"/>
  <c r="N30" i="32" s="1"/>
  <c r="K17" i="5"/>
  <c r="K17" i="32" s="1"/>
  <c r="E30" i="5"/>
  <c r="E30" i="32" s="1"/>
  <c r="N65" i="5"/>
  <c r="N65" i="32" s="1"/>
  <c r="H14" i="5"/>
  <c r="C28" i="5"/>
  <c r="C28" i="32" s="1"/>
  <c r="J36" i="5"/>
  <c r="J36" i="32" s="1"/>
  <c r="F48" i="5"/>
  <c r="F48" i="32" s="1"/>
  <c r="L33" i="5"/>
  <c r="L33" i="32" s="1"/>
  <c r="M7" i="5"/>
  <c r="M7" i="32" s="1"/>
  <c r="E26" i="5"/>
  <c r="E26" i="32" s="1"/>
  <c r="I25" i="5"/>
  <c r="I25" i="32" s="1"/>
  <c r="O31" i="5"/>
  <c r="D16" i="5"/>
  <c r="D16" i="32" s="1"/>
  <c r="E7" i="5"/>
  <c r="E7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K32" i="5"/>
  <c r="K32" i="32" s="1"/>
  <c r="M48" i="5"/>
  <c r="M48" i="32" s="1"/>
  <c r="G48" i="5"/>
  <c r="G48" i="32" s="1"/>
  <c r="M44" i="5"/>
  <c r="M44" i="32" s="1"/>
  <c r="E38" i="5"/>
  <c r="E38" i="32" s="1"/>
  <c r="N53" i="5"/>
  <c r="N53" i="32" s="1"/>
  <c r="C46" i="5"/>
  <c r="C46" i="32" s="1"/>
  <c r="O57" i="5"/>
  <c r="M43" i="5"/>
  <c r="M43" i="32" s="1"/>
  <c r="K56" i="5"/>
  <c r="K56" i="32" s="1"/>
  <c r="D39" i="5"/>
  <c r="D39" i="32" s="1"/>
  <c r="K26" i="5"/>
  <c r="K26" i="32" s="1"/>
  <c r="E40" i="5"/>
  <c r="E40" i="32" s="1"/>
  <c r="J26" i="5"/>
  <c r="J26" i="32" s="1"/>
  <c r="N14" i="5"/>
  <c r="M10" i="5"/>
  <c r="M10" i="32" s="1"/>
  <c r="F15" i="5"/>
  <c r="F15" i="32" s="1"/>
  <c r="I46" i="5"/>
  <c r="I46" i="32" s="1"/>
  <c r="H46" i="5"/>
  <c r="H46" i="32" s="1"/>
  <c r="L16" i="5"/>
  <c r="L16" i="32" s="1"/>
  <c r="O60" i="5"/>
  <c r="K29" i="5"/>
  <c r="K29" i="32" s="1"/>
  <c r="C24" i="5"/>
  <c r="C24" i="32" s="1"/>
  <c r="C38" i="5"/>
  <c r="C38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F31" i="5"/>
  <c r="F31" i="32" s="1"/>
  <c r="K14" i="5"/>
  <c r="E58" i="5"/>
  <c r="E58" i="32" s="1"/>
  <c r="C9" i="5"/>
  <c r="C9" i="32" s="1"/>
  <c r="L55" i="5"/>
  <c r="L55" i="32" s="1"/>
  <c r="M45" i="5"/>
  <c r="M45" i="32" s="1"/>
  <c r="L25" i="5"/>
  <c r="L25" i="32" s="1"/>
  <c r="H44" i="5"/>
  <c r="H44" i="32" s="1"/>
  <c r="F50" i="5"/>
  <c r="F50" i="32" s="1"/>
  <c r="H48" i="5"/>
  <c r="H48" i="32" s="1"/>
  <c r="E41" i="5"/>
  <c r="E41" i="32" s="1"/>
  <c r="L34" i="5"/>
  <c r="L34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36" i="5"/>
  <c r="G36" i="32" s="1"/>
  <c r="O39" i="5"/>
  <c r="F33" i="5"/>
  <c r="F33" i="32" s="1"/>
  <c r="J24" i="5"/>
  <c r="J24" i="32" s="1"/>
  <c r="E6" i="5"/>
  <c r="F30" i="5"/>
  <c r="F30" i="32" s="1"/>
  <c r="G16" i="5"/>
  <c r="G16" i="32" s="1"/>
  <c r="C15" i="5"/>
  <c r="C15" i="32" s="1"/>
  <c r="D24" i="5"/>
  <c r="D24" i="32" s="1"/>
  <c r="G9" i="5"/>
  <c r="G9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G54" i="5"/>
  <c r="G54" i="32" s="1"/>
  <c r="K18" i="5"/>
  <c r="K18" i="32" s="1"/>
  <c r="I51" i="5"/>
  <c r="I51" i="32" s="1"/>
  <c r="E57" i="5"/>
  <c r="E57" i="32" s="1"/>
  <c r="C21" i="5"/>
  <c r="C21" i="32" s="1"/>
  <c r="J25" i="5"/>
  <c r="J25" i="32" s="1"/>
  <c r="L15" i="5"/>
  <c r="L15" i="32" s="1"/>
  <c r="I53" i="5"/>
  <c r="I53" i="32" s="1"/>
  <c r="D48" i="5"/>
  <c r="D48" i="32" s="1"/>
  <c r="G50" i="5"/>
  <c r="G50" i="32" s="1"/>
  <c r="J56" i="5"/>
  <c r="J56" i="32" s="1"/>
  <c r="J17" i="5"/>
  <c r="J17" i="32" s="1"/>
  <c r="G14" i="5"/>
  <c r="E60" i="5"/>
  <c r="E60" i="32" s="1"/>
  <c r="L39" i="5"/>
  <c r="L39" i="32" s="1"/>
  <c r="N32" i="5"/>
  <c r="N32" i="32" s="1"/>
  <c r="L6" i="5"/>
  <c r="O19" i="5"/>
  <c r="H15" i="5"/>
  <c r="H15" i="32" s="1"/>
  <c r="D30" i="5"/>
  <c r="D30" i="32" s="1"/>
  <c r="F9" i="5"/>
  <c r="F9" i="32" s="1"/>
  <c r="F34" i="5"/>
  <c r="F34" i="32" s="1"/>
  <c r="C54" i="5"/>
  <c r="C54" i="32" s="1"/>
  <c r="M17" i="5"/>
  <c r="M17" i="32" s="1"/>
  <c r="F20" i="5"/>
  <c r="F20" i="32" s="1"/>
  <c r="O55" i="5"/>
  <c r="G59" i="5"/>
  <c r="G59" i="32" s="1"/>
  <c r="L58" i="5"/>
  <c r="L58" i="32" s="1"/>
  <c r="H58" i="5"/>
  <c r="H58" i="32" s="1"/>
  <c r="O42" i="5"/>
  <c r="L37" i="5"/>
  <c r="L37" i="32" s="1"/>
  <c r="H10" i="5"/>
  <c r="H10" i="32" s="1"/>
  <c r="N49" i="5"/>
  <c r="N49" i="32" s="1"/>
  <c r="D50" i="5"/>
  <c r="D50" i="32" s="1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M23" i="5"/>
  <c r="M23" i="32" s="1"/>
  <c r="F37" i="5"/>
  <c r="F37" i="32" s="1"/>
  <c r="D14" i="5"/>
  <c r="F56" i="5"/>
  <c r="F56" i="32" s="1"/>
  <c r="E18" i="5"/>
  <c r="E18" i="32" s="1"/>
  <c r="N44" i="5"/>
  <c r="N44" i="32" s="1"/>
  <c r="C51" i="5"/>
  <c r="C51" i="32" s="1"/>
  <c r="O35" i="5"/>
  <c r="D57" i="5"/>
  <c r="D57" i="32" s="1"/>
  <c r="D55" i="5"/>
  <c r="D55" i="32" s="1"/>
  <c r="D35" i="5"/>
  <c r="D35" i="32" s="1"/>
  <c r="J32" i="5"/>
  <c r="J32" i="32" s="1"/>
  <c r="D53" i="5"/>
  <c r="D53" i="32" s="1"/>
  <c r="H26" i="5"/>
  <c r="H26" i="32" s="1"/>
  <c r="G45" i="5"/>
  <c r="G45" i="32" s="1"/>
  <c r="N60" i="5"/>
  <c r="N60" i="32" s="1"/>
  <c r="G30" i="5"/>
  <c r="G30" i="32" s="1"/>
  <c r="M57" i="5"/>
  <c r="M57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D47" i="5"/>
  <c r="D47" i="32" s="1"/>
  <c r="N34" i="5"/>
  <c r="N34" i="32" s="1"/>
  <c r="H54" i="5"/>
  <c r="H54" i="32" s="1"/>
  <c r="O47" i="5"/>
  <c r="F61" i="5"/>
  <c r="F61" i="32" s="1"/>
  <c r="E61" i="5"/>
  <c r="E61" i="32" s="1"/>
  <c r="K63" i="5"/>
  <c r="K63" i="32" s="1"/>
  <c r="F63" i="5"/>
  <c r="F63" i="32" s="1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I30" i="5"/>
  <c r="I30" i="32" s="1"/>
  <c r="H18" i="5"/>
  <c r="H18" i="32" s="1"/>
  <c r="H9" i="5"/>
  <c r="H9" i="32" s="1"/>
  <c r="G64" i="5"/>
  <c r="G64" i="32" s="1"/>
  <c r="K64" i="5"/>
  <c r="K64" i="32" s="1"/>
  <c r="N63" i="5"/>
  <c r="N63" i="32" s="1"/>
  <c r="M63" i="5"/>
  <c r="M63" i="32" s="1"/>
  <c r="G61" i="5"/>
  <c r="G61" i="32" s="1"/>
  <c r="H61" i="5"/>
  <c r="H61" i="32" s="1"/>
  <c r="H64" i="5"/>
  <c r="H64" i="32" s="1"/>
  <c r="H42" i="5"/>
  <c r="H42" i="32" s="1"/>
  <c r="E21" i="5"/>
  <c r="E21" i="32" s="1"/>
  <c r="F51" i="5"/>
  <c r="F51" i="32" s="1"/>
  <c r="L9" i="5"/>
  <c r="L9" i="32" s="1"/>
  <c r="K99" i="32"/>
  <c r="O97" i="32"/>
  <c r="C61" i="5"/>
  <c r="C61" i="32" s="1"/>
  <c r="I63" i="5"/>
  <c r="I63" i="32" s="1"/>
  <c r="K61" i="5"/>
  <c r="K61" i="32" s="1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15" i="5"/>
  <c r="K15" i="32" s="1"/>
  <c r="I28" i="5"/>
  <c r="I28" i="32" s="1"/>
  <c r="M19" i="5"/>
  <c r="M19" i="32" s="1"/>
  <c r="O64" i="5"/>
  <c r="O61" i="5"/>
  <c r="H63" i="5"/>
  <c r="H63" i="32" s="1"/>
  <c r="G63" i="5"/>
  <c r="G63" i="32" s="1"/>
  <c r="O63" i="5"/>
  <c r="C63" i="5"/>
  <c r="C63" i="32" s="1"/>
  <c r="N6" i="5"/>
  <c r="D10" i="5"/>
  <c r="D10" i="32" s="1"/>
  <c r="G65" i="5"/>
  <c r="G65" i="32" s="1"/>
  <c r="I31" i="5"/>
  <c r="I31" i="32" s="1"/>
  <c r="G73" i="32"/>
  <c r="O71" i="32"/>
  <c r="G67" i="5" l="1"/>
  <c r="N67" i="32"/>
  <c r="E79" i="32"/>
  <c r="J67" i="32"/>
  <c r="E67" i="32"/>
  <c r="I67" i="32"/>
  <c r="F67" i="5"/>
  <c r="I67" i="5"/>
  <c r="O79" i="5"/>
  <c r="O67" i="5" s="1"/>
  <c r="M79" i="32"/>
  <c r="M67" i="32" s="1"/>
  <c r="L79" i="5"/>
  <c r="L67" i="5" s="1"/>
  <c r="O99" i="32"/>
  <c r="O76" i="32"/>
  <c r="N79" i="5"/>
  <c r="N67" i="5" s="1"/>
  <c r="M67" i="5"/>
  <c r="L67" i="32"/>
  <c r="K73" i="32"/>
  <c r="K67" i="32" s="1"/>
  <c r="O72" i="32"/>
  <c r="C79" i="32"/>
  <c r="O75" i="32"/>
  <c r="O69" i="32"/>
  <c r="C73" i="32"/>
  <c r="G67" i="32"/>
  <c r="O62" i="5"/>
  <c r="O13" i="5" s="1"/>
  <c r="L62" i="5"/>
  <c r="L62" i="32" s="1"/>
  <c r="J62" i="5"/>
  <c r="J62" i="32" s="1"/>
  <c r="O32" i="32"/>
  <c r="O26" i="32"/>
  <c r="O40" i="32"/>
  <c r="O51" i="32"/>
  <c r="D62" i="5"/>
  <c r="D62" i="32" s="1"/>
  <c r="H62" i="5"/>
  <c r="H62" i="32" s="1"/>
  <c r="I62" i="5"/>
  <c r="I62" i="32" s="1"/>
  <c r="O61" i="32"/>
  <c r="G62" i="5"/>
  <c r="G62" i="32" s="1"/>
  <c r="N62" i="5"/>
  <c r="N62" i="32" s="1"/>
  <c r="K62" i="5"/>
  <c r="K62" i="32" s="1"/>
  <c r="O37" i="32"/>
  <c r="M62" i="5"/>
  <c r="M62" i="32" s="1"/>
  <c r="E62" i="5"/>
  <c r="E62" i="32" s="1"/>
  <c r="F62" i="5"/>
  <c r="F62" i="32" s="1"/>
  <c r="C62" i="5"/>
  <c r="C62" i="32" s="1"/>
  <c r="O94" i="32"/>
  <c r="D14" i="32"/>
  <c r="L8" i="5"/>
  <c r="L5" i="5" s="1"/>
  <c r="L12" i="5" s="1"/>
  <c r="L6" i="32"/>
  <c r="L8" i="32" s="1"/>
  <c r="L5" i="32" s="1"/>
  <c r="L12" i="32" s="1"/>
  <c r="O21" i="32"/>
  <c r="E6" i="32"/>
  <c r="E8" i="32" s="1"/>
  <c r="E5" i="32" s="1"/>
  <c r="E12" i="32" s="1"/>
  <c r="E8" i="5"/>
  <c r="E5" i="5" s="1"/>
  <c r="E12" i="5" s="1"/>
  <c r="O24" i="32"/>
  <c r="N14" i="32"/>
  <c r="O46" i="32"/>
  <c r="H14" i="32"/>
  <c r="O55" i="32"/>
  <c r="I6" i="32"/>
  <c r="I8" i="32" s="1"/>
  <c r="I5" i="32" s="1"/>
  <c r="I12" i="32" s="1"/>
  <c r="I8" i="5"/>
  <c r="I5" i="5" s="1"/>
  <c r="I12" i="5" s="1"/>
  <c r="O16" i="32"/>
  <c r="O18" i="32"/>
  <c r="O27" i="32"/>
  <c r="O34" i="32"/>
  <c r="D6" i="32"/>
  <c r="D8" i="32" s="1"/>
  <c r="D5" i="32" s="1"/>
  <c r="D12" i="32" s="1"/>
  <c r="D8" i="5"/>
  <c r="D5" i="5" s="1"/>
  <c r="D12" i="5" s="1"/>
  <c r="O56" i="32"/>
  <c r="M14" i="32"/>
  <c r="F6" i="32"/>
  <c r="F8" i="32" s="1"/>
  <c r="F5" i="32" s="1"/>
  <c r="F12" i="32" s="1"/>
  <c r="F8" i="5"/>
  <c r="F5" i="5" s="1"/>
  <c r="F12" i="5" s="1"/>
  <c r="G14" i="32"/>
  <c r="O60" i="32"/>
  <c r="N6" i="32"/>
  <c r="N8" i="32" s="1"/>
  <c r="N5" i="32" s="1"/>
  <c r="N12" i="32" s="1"/>
  <c r="N8" i="5"/>
  <c r="N5" i="5" s="1"/>
  <c r="N12" i="5" s="1"/>
  <c r="O29" i="32"/>
  <c r="O8" i="5"/>
  <c r="O5" i="5" s="1"/>
  <c r="O12" i="5" s="1"/>
  <c r="O15" i="32"/>
  <c r="H8" i="5"/>
  <c r="H5" i="5" s="1"/>
  <c r="H12" i="5" s="1"/>
  <c r="H6" i="32"/>
  <c r="H8" i="32" s="1"/>
  <c r="H5" i="32" s="1"/>
  <c r="H12" i="32" s="1"/>
  <c r="O30" i="32"/>
  <c r="O47" i="32"/>
  <c r="O52" i="32"/>
  <c r="O43" i="32"/>
  <c r="O35" i="32"/>
  <c r="I14" i="32"/>
  <c r="F14" i="32"/>
  <c r="O23" i="32"/>
  <c r="O44" i="32"/>
  <c r="O33" i="32"/>
  <c r="O39" i="32"/>
  <c r="O19" i="32"/>
  <c r="C14" i="32"/>
  <c r="M6" i="32"/>
  <c r="M8" i="32" s="1"/>
  <c r="M5" i="32" s="1"/>
  <c r="M12" i="32" s="1"/>
  <c r="M8" i="5"/>
  <c r="M5" i="5" s="1"/>
  <c r="M12" i="5" s="1"/>
  <c r="K14" i="32"/>
  <c r="O63" i="32"/>
  <c r="O59" i="32"/>
  <c r="E14" i="32"/>
  <c r="L14" i="32"/>
  <c r="O54" i="32"/>
  <c r="O49" i="32"/>
  <c r="O9" i="32"/>
  <c r="O58" i="32"/>
  <c r="O48" i="32"/>
  <c r="O17" i="32"/>
  <c r="O57" i="32"/>
  <c r="O53" i="32"/>
  <c r="O45" i="32"/>
  <c r="O42" i="32"/>
  <c r="O31" i="32"/>
  <c r="O7" i="32"/>
  <c r="C6" i="32"/>
  <c r="C8" i="5"/>
  <c r="C5" i="5" s="1"/>
  <c r="C12" i="5" s="1"/>
  <c r="O10" i="32"/>
  <c r="O50" i="32"/>
  <c r="O38" i="32"/>
  <c r="O28" i="32"/>
  <c r="O22" i="32"/>
  <c r="O36" i="32"/>
  <c r="O64" i="32"/>
  <c r="O20" i="32"/>
  <c r="K6" i="32"/>
  <c r="K8" i="32" s="1"/>
  <c r="K5" i="32" s="1"/>
  <c r="K12" i="32" s="1"/>
  <c r="K8" i="5"/>
  <c r="K5" i="5" s="1"/>
  <c r="K12" i="5" s="1"/>
  <c r="J6" i="32"/>
  <c r="J8" i="32" s="1"/>
  <c r="J5" i="32" s="1"/>
  <c r="J12" i="32" s="1"/>
  <c r="J8" i="5"/>
  <c r="J5" i="5" s="1"/>
  <c r="J12" i="5" s="1"/>
  <c r="O65" i="32"/>
  <c r="J14" i="32"/>
  <c r="O41" i="32"/>
  <c r="G6" i="32"/>
  <c r="G8" i="32" s="1"/>
  <c r="G5" i="32" s="1"/>
  <c r="G12" i="32" s="1"/>
  <c r="G8" i="5"/>
  <c r="G5" i="5" s="1"/>
  <c r="G12" i="5" s="1"/>
  <c r="O25" i="32"/>
  <c r="C67" i="32" l="1"/>
  <c r="O73" i="32"/>
  <c r="O79" i="32"/>
  <c r="J13" i="5"/>
  <c r="M13" i="5"/>
  <c r="P3" i="10" s="1" a="1"/>
  <c r="P3" i="10" s="1"/>
  <c r="L13" i="5"/>
  <c r="O3" i="10" s="1" a="1"/>
  <c r="O3" i="10" s="1"/>
  <c r="I13" i="5"/>
  <c r="L3" i="10" s="1" a="1"/>
  <c r="L3" i="10" s="1"/>
  <c r="L13" i="32"/>
  <c r="L66" i="32" s="1"/>
  <c r="L80" i="32" s="1"/>
  <c r="E13" i="5"/>
  <c r="I13" i="32"/>
  <c r="I66" i="32" s="1"/>
  <c r="I80" i="32" s="1"/>
  <c r="J13" i="32"/>
  <c r="J66" i="32" s="1"/>
  <c r="J80" i="32" s="1"/>
  <c r="E13" i="32"/>
  <c r="E66" i="32" s="1"/>
  <c r="E80" i="32" s="1"/>
  <c r="F13" i="32"/>
  <c r="F66" i="32" s="1"/>
  <c r="F80" i="32" s="1"/>
  <c r="H13" i="32"/>
  <c r="H66" i="32" s="1"/>
  <c r="H80" i="32" s="1"/>
  <c r="F13" i="5"/>
  <c r="I3" i="10" s="1" a="1"/>
  <c r="I3" i="10" s="1"/>
  <c r="K13" i="5"/>
  <c r="N3" i="10" s="1" a="1"/>
  <c r="N3" i="10" s="1"/>
  <c r="K13" i="32"/>
  <c r="K66" i="32" s="1"/>
  <c r="K80" i="32" s="1"/>
  <c r="G13" i="5"/>
  <c r="J3" i="10" s="1" a="1"/>
  <c r="J3" i="10" s="1"/>
  <c r="O62" i="32"/>
  <c r="N13" i="5"/>
  <c r="Q3" i="10" s="1" a="1"/>
  <c r="Q3" i="10" s="1"/>
  <c r="D13" i="32"/>
  <c r="D66" i="32" s="1"/>
  <c r="D80" i="32" s="1"/>
  <c r="G13" i="32"/>
  <c r="G66" i="32" s="1"/>
  <c r="G80" i="32" s="1"/>
  <c r="H13" i="5"/>
  <c r="K3" i="10" s="1" a="1"/>
  <c r="K3" i="10" s="1"/>
  <c r="N13" i="32"/>
  <c r="N66" i="32" s="1"/>
  <c r="N80" i="32" s="1"/>
  <c r="D13" i="5"/>
  <c r="G3" i="10" s="1" a="1"/>
  <c r="G3" i="10" s="1"/>
  <c r="C13" i="5"/>
  <c r="F3" i="10" s="1" a="1"/>
  <c r="F3" i="10" s="1"/>
  <c r="M13" i="32"/>
  <c r="M66" i="32" s="1"/>
  <c r="M80" i="32" s="1"/>
  <c r="H81" i="5"/>
  <c r="N81" i="5"/>
  <c r="I81" i="5"/>
  <c r="L81" i="32"/>
  <c r="G81" i="32"/>
  <c r="K81" i="32"/>
  <c r="M81" i="32"/>
  <c r="N81" i="32"/>
  <c r="F81" i="5"/>
  <c r="I81" i="32"/>
  <c r="E81" i="5"/>
  <c r="L81" i="5"/>
  <c r="C13" i="32"/>
  <c r="O14" i="32"/>
  <c r="O66" i="5"/>
  <c r="O80" i="5" s="1"/>
  <c r="O81" i="5"/>
  <c r="F81" i="32"/>
  <c r="D81" i="5"/>
  <c r="E81" i="32"/>
  <c r="G81" i="5"/>
  <c r="K81" i="5"/>
  <c r="M81" i="5"/>
  <c r="J81" i="5"/>
  <c r="C81" i="5"/>
  <c r="J81" i="32"/>
  <c r="O6" i="32"/>
  <c r="O8" i="32" s="1"/>
  <c r="O5" i="32" s="1"/>
  <c r="O12" i="32" s="1"/>
  <c r="C8" i="32"/>
  <c r="C5" i="32" s="1"/>
  <c r="C12" i="32" s="1"/>
  <c r="H81" i="32"/>
  <c r="D81" i="32"/>
  <c r="O67" i="32" l="1"/>
  <c r="O81" i="32" s="1"/>
  <c r="M3" i="10" a="1"/>
  <c r="M3" i="10" s="1"/>
  <c r="J66" i="5"/>
  <c r="J80" i="5" s="1"/>
  <c r="H3" i="10" a="1"/>
  <c r="H3" i="10" s="1"/>
  <c r="E66" i="5"/>
  <c r="E80" i="5" s="1"/>
  <c r="L66" i="5"/>
  <c r="L80" i="5" s="1"/>
  <c r="M66" i="5"/>
  <c r="M80" i="5" s="1"/>
  <c r="I66" i="5"/>
  <c r="I80" i="5" s="1"/>
  <c r="N66" i="5"/>
  <c r="N80" i="5" s="1"/>
  <c r="F66" i="5"/>
  <c r="F80" i="5" s="1"/>
  <c r="G66" i="5"/>
  <c r="G80" i="5" s="1"/>
  <c r="D66" i="5"/>
  <c r="D80" i="5" s="1"/>
  <c r="O13" i="32"/>
  <c r="O66" i="32" s="1"/>
  <c r="K66" i="5"/>
  <c r="K80" i="5" s="1"/>
  <c r="C66" i="5"/>
  <c r="C80" i="5" s="1"/>
  <c r="H66" i="5"/>
  <c r="H80" i="5" s="1"/>
  <c r="C81" i="32"/>
  <c r="C66" i="32"/>
  <c r="C80" i="32" s="1"/>
  <c r="O80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2EF27613-CD8C-4F41-8621-404B1A3882D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5988B5B-375C-402E-BE51-0EC3A8E40574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<sst xmlns="http://schemas.openxmlformats.org/spreadsheetml/2006/main" count="1727" uniqueCount="786">
  <si>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</si>
  <si>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</si>
  <si>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</si>
  <si>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</si>
  <si>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</si>
  <si>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</si>
  <si>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</si>
  <si>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</si>
  <si>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</si>
  <si>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</si>
  <si>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</si>
  <si>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</si>
  <si>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</si>
  <si>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</si>
  <si>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</si>
  <si>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</si>
  <si>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</si>
  <si>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</si>
  <si>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</si>
  <si>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</si>
  <si>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</si>
  <si>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</si>
  <si>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</si>
  <si>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</si>
  <si>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</si>
  <si>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</si>
  <si>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</si>
  <si>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</si>
  <si>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</si>
  <si>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</si>
  <si>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</si>
  <si>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</si>
  <si>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</si>
  <si>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</si>
  <si>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</si>
  <si>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</si>
  <si>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</si>
  <si>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</si>
  <si>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</si>
  <si>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</si>
  <si>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</si>
  <si>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</si>
  <si>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</si>
  <si>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</si>
  <si>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</si>
  <si>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</si>
  <si>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</si>
  <si>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</si>
  <si>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</si>
  <si>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</si>
  <si>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</si>
  <si>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</si>
  <si>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</si>
  <si>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</si>
  <si>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</si>
  <si>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</si>
  <si>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</si>
  <si>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</si>
  <si>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</si>
  <si>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</si>
  <si>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</si>
  <si>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</si>
  <si>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</si>
  <si>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</si>
  <si>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</si>
  <si>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</si>
  <si>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</si>
  <si>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</si>
  <si>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</si>
  <si>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</si>
  <si>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</si>
  <si>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</si>
  <si>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</si>
  <si>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</si>
  <si>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</si>
  <si>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</si>
  <si>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</si>
  <si>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</si>
  <si>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</si>
  <si>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</si>
  <si>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</si>
  <si>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</si>
  <si>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</si>
  <si>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</si>
  <si>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</si>
  <si>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</si>
  <si>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</si>
  <si>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</si>
  <si>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</si>
  <si>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</si>
  <si>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</si>
  <si>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</si>
  <si>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</si>
  <si>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</si>
  <si>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</si>
  <si>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</si>
  <si>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</si>
  <si>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</si>
  <si>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</si>
  <si>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</si>
  <si>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</si>
  <si>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</si>
  <si>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</si>
  <si>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</si>
  <si>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</si>
  <si>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</si>
  <si>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</si>
  <si>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</si>
  <si>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</si>
  <si>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</si>
  <si>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</si>
  <si>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</si>
  <si>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</si>
  <si>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</si>
  <si>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</si>
  <si>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</si>
  <si>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</si>
  <si>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</si>
  <si>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</si>
  <si>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</si>
  <si>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</si>
  <si>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</si>
  <si>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</si>
  <si>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</si>
  <si>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</si>
  <si>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</si>
  <si>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</si>
  <si>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</si>
  <si>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</si>
  <si>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</si>
  <si>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</si>
  <si>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</si>
  <si>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</si>
  <si>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</si>
  <si>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</si>
  <si>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</si>
  <si>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</si>
  <si>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</si>
  <si>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</si>
  <si>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</si>
  <si>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</si>
  <si>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</si>
  <si>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</si>
  <si>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</si>
  <si>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</si>
  <si>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</si>
  <si>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</si>
  <si>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</si>
  <si>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</si>
  <si>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</si>
  <si>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</si>
  <si>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</si>
  <si>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</si>
  <si>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</si>
  <si>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</si>
  <si>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</si>
  <si>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</si>
  <si>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</si>
  <si>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</si>
  <si>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</si>
  <si>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</si>
  <si>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</si>
  <si>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</si>
  <si>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</si>
  <si>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</si>
  <si>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</si>
  <si>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</si>
  <si>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</si>
  <si>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</si>
  <si>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</si>
  <si>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</si>
  <si>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</si>
  <si>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</si>
  <si>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</si>
  <si>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</si>
  <si>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</si>
  <si>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</si>
  <si>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</si>
  <si>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</si>
  <si>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</si>
  <si>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</si>
  <si>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</si>
  <si>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</si>
  <si>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</si>
  <si>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</si>
  <si>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</si>
  <si>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</si>
  <si>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</si>
  <si>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</si>
  <si>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</si>
  <si>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</si>
  <si>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</si>
  <si>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</si>
  <si>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</si>
  <si>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</si>
  <si>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</si>
  <si>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</si>
  <si>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</si>
  <si>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</si>
  <si>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</si>
  <si>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</si>
  <si>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</si>
  <si>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</si>
  <si>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</si>
  <si>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</si>
  <si>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</si>
  <si>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</si>
  <si>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</si>
  <si>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</si>
  <si>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</si>
  <si>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</si>
  <si>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</si>
  <si>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</si>
  <si>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</si>
  <si>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</si>
  <si>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</si>
  <si>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</si>
  <si>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</si>
  <si>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</si>
  <si>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</si>
  <si>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</si>
  <si>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</si>
  <si>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</si>
  <si>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</si>
  <si>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</si>
  <si>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</si>
  <si>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</si>
  <si>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</si>
  <si>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</si>
  <si>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</si>
  <si>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</si>
  <si>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</si>
  <si>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</si>
  <si>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</si>
  <si>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</si>
  <si>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</si>
  <si>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</si>
  <si>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</si>
  <si>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</si>
  <si>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</si>
  <si>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</si>
  <si>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</si>
  <si>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</si>
  <si>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</si>
  <si>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</si>
  <si>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</si>
  <si>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</si>
  <si>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</si>
  <si>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</si>
  <si>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</si>
  <si>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</si>
  <si>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</si>
  <si>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</si>
  <si>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</si>
  <si>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</si>
  <si>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</si>
  <si>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</si>
  <si>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</si>
  <si>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</si>
  <si>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</si>
  <si>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</si>
  <si>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</si>
  <si>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</si>
  <si>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</si>
  <si>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</si>
  <si>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</si>
  <si>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</si>
  <si>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</si>
  <si>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</si>
  <si>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</si>
  <si>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</si>
  <si>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</si>
  <si>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</si>
  <si>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</si>
  <si>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</si>
  <si>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</si>
  <si>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</si>
  <si>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</si>
  <si>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</si>
  <si>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</si>
  <si>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</si>
  <si>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</si>
  <si>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</si>
  <si>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</si>
  <si>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</si>
  <si>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</si>
  <si>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</si>
  <si>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</si>
  <si>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</si>
  <si>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</si>
  <si>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</si>
  <si>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</si>
  <si>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</si>
  <si>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</si>
  <si>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</si>
  <si>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</si>
  <si>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</si>
  <si>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</si>
  <si>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</si>
  <si>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</si>
  <si>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</si>
  <si>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</si>
  <si>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</si>
  <si>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</si>
  <si>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</si>
  <si>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</si>
  <si>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</si>
  <si>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</si>
  <si>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</si>
  <si>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</si>
  <si>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</si>
  <si>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</si>
  <si>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</si>
  <si>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</si>
  <si>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</si>
  <si>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</si>
  <si>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</si>
  <si>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</si>
  <si>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</si>
  <si>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</si>
  <si>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</si>
  <si>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</si>
  <si>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</si>
  <si>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</si>
  <si>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</si>
  <si>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</si>
  <si>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</si>
  <si>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</si>
  <si>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</si>
  <si>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</si>
  <si>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</si>
  <si>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</si>
  <si>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</si>
  <si>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</si>
  <si>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</si>
  <si>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</si>
  <si>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</si>
  <si>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</si>
  <si>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</si>
  <si>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</si>
  <si>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</si>
  <si>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</si>
  <si>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</si>
  <si>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</si>
  <si>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</si>
  <si>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</si>
  <si>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</si>
  <si>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</si>
  <si>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</si>
  <si>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</si>
  <si>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</si>
  <si>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</si>
  <si>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</si>
  <si>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</si>
  <si>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</si>
  <si>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</si>
  <si>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</si>
  <si>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</si>
  <si>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</si>
  <si>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</si>
  <si>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</si>
  <si>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</si>
  <si>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</si>
  <si>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</si>
  <si>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</si>
  <si>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</si>
  <si>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</si>
  <si>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</si>
  <si>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</si>
  <si>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</si>
  <si>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</si>
  <si>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</si>
  <si>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</si>
  <si>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</si>
  <si>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</si>
  <si>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</si>
  <si>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</si>
  <si>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</si>
  <si>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</si>
  <si>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</si>
  <si>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</si>
  <si>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</si>
  <si>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</si>
  <si>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</si>
  <si>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</si>
  <si>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</si>
  <si>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</si>
  <si>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</si>
  <si>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</si>
  <si>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</si>
  <si>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</si>
  <si>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</si>
  <si>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</si>
  <si>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</si>
  <si>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</si>
  <si>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</si>
  <si>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</si>
  <si>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</si>
  <si>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</si>
  <si>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</si>
  <si>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</si>
  <si>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</si>
  <si>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</si>
  <si>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</si>
  <si>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</si>
  <si>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</si>
  <si>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</si>
  <si>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</si>
  <si>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</si>
  <si>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</si>
  <si>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</si>
  <si>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</si>
  <si>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</si>
  <si>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</si>
  <si>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</si>
  <si>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</si>
  <si>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</si>
  <si>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</si>
  <si>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</si>
  <si>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</si>
  <si>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</si>
  <si>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</si>
  <si>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</si>
  <si>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</si>
  <si>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</si>
  <si>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</si>
  <si>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</si>
  <si>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</si>
  <si>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</si>
  <si>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</si>
  <si>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</si>
  <si>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</si>
  <si>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</si>
  <si>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</si>
  <si>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</si>
  <si>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</si>
  <si>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</si>
  <si>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</si>
  <si>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</si>
  <si>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</si>
  <si>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</si>
  <si>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</si>
  <si>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</si>
  <si>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</si>
  <si>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</si>
  <si>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</si>
  <si>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</si>
  <si>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</si>
  <si>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</si>
  <si>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</si>
  <si>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</si>
  <si>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</si>
  <si>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</si>
  <si>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</si>
  <si>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</si>
  <si>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</si>
  <si>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</si>
  <si>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</si>
  <si>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</si>
  <si>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</si>
  <si>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</si>
  <si>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</si>
  <si>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</si>
  <si>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</si>
  <si>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</si>
  <si>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</si>
  <si>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</si>
  <si>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</si>
  <si>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</si>
  <si>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</si>
  <si>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</si>
  <si>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</si>
  <si>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</si>
  <si>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</si>
  <si>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</si>
  <si>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</si>
  <si>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</si>
  <si>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</si>
  <si>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</si>
  <si>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</si>
  <si>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</si>
  <si>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</si>
  <si>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</si>
  <si>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</si>
  <si>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</si>
  <si>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</si>
  <si>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</si>
  <si>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</si>
  <si>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</si>
  <si>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</si>
  <si>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</si>
  <si>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</si>
  <si>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</si>
  <si>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</si>
  <si>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</si>
  <si>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</si>
  <si>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</si>
  <si>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</si>
  <si>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</si>
  <si>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</si>
  <si>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</si>
  <si>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</si>
  <si>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</si>
  <si>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</si>
  <si>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</si>
  <si>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</si>
  <si>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</si>
  <si>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</si>
  <si>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</si>
  <si>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</si>
  <si>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</si>
  <si>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</si>
  <si>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</si>
  <si>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</si>
  <si>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</si>
  <si>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</si>
  <si>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</si>
  <si>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</si>
  <si>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</si>
  <si>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</si>
  <si>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</si>
  <si>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</si>
  <si>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</si>
  <si>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</si>
  <si>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</si>
  <si>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</si>
  <si>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</si>
  <si>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</si>
  <si>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</si>
  <si>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</si>
  <si>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</si>
  <si>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</si>
  <si>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</si>
  <si>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</si>
  <si>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</si>
  <si>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</si>
  <si>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</si>
  <si>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</si>
  <si>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</si>
  <si>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</si>
  <si>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</si>
  <si>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</si>
  <si>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</si>
  <si>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</si>
  <si>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</si>
  <si>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</si>
  <si>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</si>
  <si>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</si>
  <si>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</si>
  <si>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</si>
  <si>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</si>
  <si>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</si>
  <si>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</si>
  <si>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</si>
  <si>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</si>
  <si>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</si>
  <si>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</si>
  <si>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</si>
  <si>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</si>
  <si>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</si>
  <si>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</si>
  <si>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</si>
  <si>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</si>
  <si>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</si>
  <si>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</si>
  <si>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</si>
  <si>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</si>
  <si>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</si>
  <si>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</si>
  <si>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</si>
  <si>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</si>
  <si>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</si>
  <si>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</si>
  <si>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</si>
  <si>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</si>
  <si>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</si>
  <si>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</si>
  <si>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</si>
  <si>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</si>
  <si>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</si>
  <si>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</si>
  <si>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</si>
  <si>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</si>
  <si>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</si>
  <si>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</si>
  <si>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</si>
  <si>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</si>
  <si>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</si>
  <si>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</si>
  <si>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</si>
  <si>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</si>
  <si>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</si>
  <si>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</si>
  <si>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</si>
  <si>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</si>
  <si>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</si>
  <si>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</si>
  <si>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</si>
  <si>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</si>
  <si>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</si>
  <si>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</si>
  <si>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</si>
  <si>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</si>
  <si>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</si>
  <si>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</si>
  <si>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</si>
  <si>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</si>
  <si>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</si>
  <si>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</si>
  <si>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</si>
  <si>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</si>
  <si>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</si>
  <si>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</si>
  <si>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</si>
  <si>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</si>
  <si>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</si>
  <si>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</si>
  <si>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</si>
  <si>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</si>
  <si>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</si>
  <si>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</si>
  <si>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</si>
  <si>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</si>
  <si>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</si>
  <si>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</si>
  <si>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</si>
  <si>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</si>
  <si>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</si>
  <si>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</si>
  <si>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</si>
  <si>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</si>
  <si>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</si>
  <si>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</si>
  <si>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</si>
  <si>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</si>
  <si>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</si>
  <si>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</si>
  <si>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</si>
  <si>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</si>
  <si>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</si>
  <si>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</si>
  <si>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</si>
  <si>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</si>
  <si>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</si>
  <si>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</si>
  <si>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</si>
  <si>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</si>
  <si>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</si>
  <si>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</si>
  <si>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</si>
  <si>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</si>
  <si>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</si>
  <si>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</si>
  <si>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</si>
  <si>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54.</t>
  </si>
  <si>
    <t>55.</t>
  </si>
  <si>
    <t>56.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</si>
  <si>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</si>
  <si>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</si>
  <si>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</si>
  <si>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</si>
  <si>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</si>
  <si>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</si>
  <si>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</si>
  <si>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</si>
  <si>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</si>
  <si>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</si>
  <si>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</si>
  <si>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</si>
  <si>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</si>
  <si>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</si>
  <si>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</si>
  <si>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</si>
  <si>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</si>
  <si>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</si>
  <si>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</si>
  <si>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</si>
  <si>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</si>
  <si>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</si>
  <si>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</si>
  <si>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</si>
  <si>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</si>
  <si>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</si>
  <si>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</si>
  <si>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</si>
  <si>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</si>
  <si>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</si>
  <si>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</si>
  <si>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</si>
  <si>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</si>
  <si>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</si>
  <si>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Telephone cost (Thuong,Thuong) 翌月計上</t>
  </si>
  <si>
    <t>4G携帯電話に変更</t>
  </si>
  <si>
    <t>電気代</t>
  </si>
  <si>
    <t>水道代</t>
  </si>
  <si>
    <t>Gas食堂燃料費 当月1日～末分を在籍人数(振替月１日付）で按分し当月に計上</t>
  </si>
  <si>
    <t>cleaning fee 清掃費用　  翌月計上</t>
  </si>
  <si>
    <t>減価償却費（建物）</t>
  </si>
  <si>
    <t>減価償却費（土地）</t>
  </si>
  <si>
    <t>減価償却費（設備）</t>
  </si>
  <si>
    <t>固定資産金利（建物）</t>
  </si>
  <si>
    <t>固定資産金利（土地）</t>
  </si>
  <si>
    <t>固定資産金利（設備＋ＶＰＳ用 PC）</t>
  </si>
  <si>
    <t>Uniform (冬服) 　145,500/人x2　引渡し月に振替</t>
  </si>
  <si>
    <t xml:space="preserve">Uniform (夏服) 　135,800/人x2　引渡し月に振替 </t>
  </si>
  <si>
    <t>Uniform (trousers) 　118,600/人x2　引渡し月に振替</t>
  </si>
  <si>
    <t>Uniform (妊婦ズボン) 　118,000/人x2　引渡し月に振替</t>
  </si>
  <si>
    <t>Uniform(Shoes) 82,000/人(女）,87,000/人（男）　配布数で引渡し月に振替</t>
  </si>
  <si>
    <t>Uniform (Cap)　39,900/人x2　引渡し月に振替</t>
  </si>
  <si>
    <t>慶弔金　結婚 300,000　出産 300,000　出金処理</t>
  </si>
  <si>
    <t>Bithday party cost 152,000/人　当月の予定者分を当月に計上</t>
  </si>
  <si>
    <t>Lunch 昼食費 24,700/人･日　前月21日～当月20日の喫食数を当月に計上</t>
  </si>
  <si>
    <t>出向者送迎 　前月16日～当月15日分を実際使用人数で按分翌月に振替する</t>
  </si>
  <si>
    <t>Taxi   出向者送迎費 - Xe đưa đón NBP 前月16日～当月15日分を実際使用人数で按分翌月に振替する</t>
  </si>
  <si>
    <t>採用時検診&amp;定期　175,000　受診者人数で実施月の翌月に振替  (Chi phí chuyển sang tháng sau)</t>
  </si>
  <si>
    <t>Luna cake 月餅：9月計上　58,000/人</t>
  </si>
  <si>
    <t>ﾌｨﾛｿﾌｨ賞品 (フィロソフィ論文参加賞 giải tham gia luận văn philosophy　7月_25,000/人 vào trước 31/3)</t>
  </si>
  <si>
    <t>Bus  ローカル社員送迎費 - Xe đưa đón NV 前月16日～当月15日分を実際使用人数で按分翌月に振替する</t>
  </si>
  <si>
    <t>Taxi   ローカル社員送迎費 - Xe đưa đón NV 前月16日～当月15日分を実際使用人数で按分翌月に振替する</t>
  </si>
  <si>
    <t>Mail,VPN,R3, Mes,PLM,VPS usage cost</t>
  </si>
  <si>
    <t>堀川さんの名詞</t>
  </si>
  <si>
    <t>Toner Gemini (Máy in loại cũ, hiện nay máy này đang ở trong phòng thực nghiệm, người Nhật công tác sử dụng)</t>
  </si>
  <si>
    <t>新入社員：名札+写真 58,000/pcs　入社月に振替</t>
  </si>
  <si>
    <t xml:space="preserve">社員証用写真のみ（再発行時） 22,000/pcs </t>
  </si>
  <si>
    <t>新入社員：ﾌｨﾛｿﾌｨ1　18.000/pcs　ﾌｨﾛｿﾌｨ2　9.200/pcs入社月に振替</t>
  </si>
  <si>
    <t>Pocket Calendar 1,000/pcs 11月・入社月（配布月）に計上※25日以降に配布したものは翌月振替</t>
  </si>
  <si>
    <t>Office parts (Ball pen, File, Clamp, Notes, tape etc）、12月電話3台追加690,000vnd</t>
  </si>
  <si>
    <t>Mebius Toner</t>
  </si>
  <si>
    <t>電話機 2台</t>
  </si>
  <si>
    <t>新入社員：名札ケース 3,600/pcs 入社月に振替- Vỏ thẻ+kẹp</t>
  </si>
  <si>
    <t>新入社員：ペン 3,000/pcs 入社月に振替- bút bi</t>
  </si>
  <si>
    <t>新入社員：ノート 9,100/pcs 入社月に振替- sổ tay</t>
  </si>
  <si>
    <t>Hand wash手洗い洗剤費 1,500/人　当月1日～末分を在籍人数(振替月１日付）で按分し当月に計上</t>
  </si>
  <si>
    <t>Toiret paper トイレットペーパ 22,000/人･月　当月1日～末分を在籍人数(振替月１日付）で按分し当月に計上</t>
  </si>
  <si>
    <t>Masks and Glovers</t>
  </si>
  <si>
    <t>PCCable　Cáp nguồn máy tính , dây VGA =&gt; HDMI</t>
  </si>
  <si>
    <t>4月棚購入/Tonner 箱購入</t>
  </si>
  <si>
    <t>Virgo 機 3台(2台残り）</t>
  </si>
  <si>
    <t>Mua PC máy tính+ chuột (Mouse)</t>
  </si>
  <si>
    <t>Libra2機</t>
  </si>
  <si>
    <t>Pictor Color機</t>
  </si>
  <si>
    <t>Polaris Next　MFP機</t>
  </si>
  <si>
    <t>DECLARATION FEE (P)/通関費</t>
  </si>
  <si>
    <t>輸送費DPデータ</t>
  </si>
  <si>
    <t xml:space="preserve">DECLARATION FEE (P)/通関費 </t>
  </si>
  <si>
    <t>COURIER CHARGES (P)</t>
  </si>
  <si>
    <t>IMPORT BOAT FEE (P)</t>
  </si>
  <si>
    <t>JLPT試験費用</t>
  </si>
  <si>
    <t>健康診断時の写真代- ảnh +khám SK</t>
  </si>
  <si>
    <t>データの翻訳</t>
  </si>
  <si>
    <t>写真+公証</t>
  </si>
  <si>
    <t>健康診断(労働許可書)-Khám Sk khi xin cấp GPLD</t>
  </si>
  <si>
    <t>確認証明書費用</t>
  </si>
  <si>
    <t>司法履歴費用</t>
  </si>
  <si>
    <t>労働許可証取得時の健康診断費用</t>
  </si>
  <si>
    <t>労働許可証取得費用　（4月）</t>
  </si>
  <si>
    <t>滞在カード取得費用　（5月）</t>
  </si>
  <si>
    <t>PASSPORT</t>
  </si>
  <si>
    <t>PASSPORT（235,000vnd×1人：3月）</t>
  </si>
  <si>
    <t>アルコール消毒</t>
  </si>
  <si>
    <t>4月の2セット机･椅子購入費</t>
  </si>
  <si>
    <t>Deguchiさんの労働許可証申請に行くタクシー代</t>
  </si>
  <si>
    <t>VN内出張時のための交通費　（出張食事代+　Vendor出張日当）</t>
  </si>
  <si>
    <t>12月：ｴｱｰﾁｹｯﾄ（4人）/1月：ｴｱｰﾁｹｯﾄ変更費（1人）</t>
  </si>
  <si>
    <t>日本出張VN交通費</t>
  </si>
  <si>
    <t>大使館での経費</t>
  </si>
  <si>
    <t>日本出張のため（現地交通費、通信費）</t>
  </si>
  <si>
    <t>日本出張時のための航空運賃</t>
  </si>
  <si>
    <t>日本出張時の保険</t>
  </si>
  <si>
    <t>日本出張時の宿泊費と日当</t>
  </si>
  <si>
    <t xml:space="preserve">
写真+公証/Phí ảnh và công chứng 80,000</t>
  </si>
  <si>
    <t>VISA取得費</t>
  </si>
  <si>
    <t>ノートパソコンの電源コード</t>
  </si>
  <si>
    <t>マウス</t>
  </si>
  <si>
    <t>Officeライセンスのアップグレード費用</t>
  </si>
  <si>
    <t>Spica機</t>
  </si>
  <si>
    <t>健康診断（ローカル）受診者人数に応じて発生した月に振替します</t>
  </si>
  <si>
    <t>FY2026決起コンパ</t>
  </si>
  <si>
    <t>社員旅行　1,890,000／人, 京セラフェスティバル: 126,000</t>
  </si>
  <si>
    <t xml:space="preserve"> 10周年記念式典の記念品と10年勤続記念品費用 73,000/人、お年玉: 100,000、忘年会補助金: 300,000</t>
  </si>
  <si>
    <t>1412000089</t>
  </si>
  <si>
    <t>製造システム開発課</t>
  </si>
  <si>
    <t>72.</t>
  </si>
  <si>
    <t>製造技術管理課</t>
  </si>
  <si>
    <t>73.</t>
  </si>
  <si>
    <t>イベント ；　新期決起コンパー：200,000/人、社員旅行 5月計上；1,890,000/人、納涼祭 9月計上；126,000/人、10年勤続記念コンパー10月計上：549,000/人、10年勤続記念品10月計上：382,000/人、運動会 11月計上；107,000/人、忘年会補助会 3月計上；300,000/人、お年玉2月計上：100,000,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</si>
</sst>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9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  <xf numFmtId="38" fontId="73" fillId="34" borderId="39" xfId="68" applyFont="1" applyFill="1" applyBorder="1" applyAlignment="1" applyProtection="1">
      <alignment horizontal="right" vertical="center"/>
      <protection locked="0"/>
    </xf>
    <xf numFmtId="49" fontId="85" fillId="36" borderId="0" xfId="171" applyNumberFormat="1" applyFont="1" applyFill="1" applyAlignment="1">
      <alignment horizontal="left" vertical="center"/>
    </xf>
    <xf numFmtId="172" fontId="85" fillId="36" borderId="0" xfId="171" applyNumberFormat="1" applyFont="1" applyFill="1">
      <alignment vertical="center"/>
    </xf>
    <xf numFmtId="182" fontId="85" fillId="36" borderId="0" xfId="171" applyNumberFormat="1" applyFont="1" applyFill="1">
      <alignment vertical="center"/>
    </xf>
    <xf numFmtId="182" fontId="85" fillId="36" borderId="0" xfId="171" quotePrefix="1" applyNumberFormat="1" applyFont="1" applyFill="1">
      <alignment vertical="center"/>
    </xf>
    <xf numFmtId="38" fontId="73" fillId="32" borderId="39" xfId="68" applyFont="1" applyFill="1" applyBorder="1" applyAlignment="1" applyProtection="1">
      <alignment horizontal="right" vertical="center"/>
      <protection locked="0"/>
    </xf>
    <xf numFmtId="38" fontId="73" fillId="34" borderId="39" xfId="96" applyNumberFormat="1" applyFont="1" applyFill="1" applyBorder="1" applyAlignment="1" applyProtection="1">
      <alignment horizontal="right" vertical="center"/>
      <protection locked="0"/>
    </xf>
    <xf numFmtId="38" fontId="5" fillId="34" borderId="39" xfId="68" applyFont="1" applyFill="1" applyBorder="1" applyAlignment="1" applyProtection="1">
      <alignment horizontal="right" vertical="center"/>
      <protection locked="0"/>
    </xf>
  </cellXfs>
  <cellStyles count="175">
    <cellStyle name="_FY2014 MP作成依頼（KDTCN).1207(3)" xfId="1" xr:uid="{E8EBE8BE-1A9A-4B72-974E-45D3BA68503C}"/>
    <cellStyle name="20% - Accent1" xfId="2" xr:uid="{E309C004-BAB5-4A79-AF4C-0F52070613B7}"/>
    <cellStyle name="20% - Accent2" xfId="3" xr:uid="{E65F961D-4BF9-4636-9D31-967ED426DFE9}"/>
    <cellStyle name="20% - Accent3" xfId="4" xr:uid="{7D7F5CAA-5D76-4BBB-B732-8DE1D5010C28}"/>
    <cellStyle name="20% - Accent4" xfId="5" xr:uid="{ECD62A3D-38FF-4D03-B0AD-8F796011349B}"/>
    <cellStyle name="20% - Accent5" xfId="6" xr:uid="{EEBE7E38-CE67-4EE3-833D-CC1581041088}"/>
    <cellStyle name="20% - Accent6" xfId="7" xr:uid="{0D0AF17F-0126-42DD-BDAC-F218062C0AAA}"/>
    <cellStyle name="20% - アクセント 1" xfId="8" xr:uid="{18C30F6E-F559-4F24-B549-BB38B594B9C4}"/>
    <cellStyle name="20% - アクセント 1 2" xfId="9" xr:uid="{BF577E49-3C58-4E23-BE94-62C691B7B6F8}"/>
    <cellStyle name="20% - アクセント 2" xfId="10" xr:uid="{A8B21B6E-C7B1-4310-83A1-5999AD425FA5}"/>
    <cellStyle name="20% - アクセント 2 2" xfId="11" xr:uid="{346CB223-55C1-4790-9A35-BF2F94E63B80}"/>
    <cellStyle name="20% - アクセント 3" xfId="12" xr:uid="{270BA52C-BAA6-48C0-9A80-C03A042B840F}"/>
    <cellStyle name="20% - アクセント 3 2" xfId="13" xr:uid="{0412D01E-274A-4F00-9577-175ECD534E25}"/>
    <cellStyle name="20% - アクセント 4" xfId="14" xr:uid="{98148693-D06A-421E-9584-448C9AF424A7}"/>
    <cellStyle name="20% - アクセント 4 2" xfId="15" xr:uid="{BFBD0F94-9A33-4BAE-803F-F3B7988DB45A}"/>
    <cellStyle name="20% - アクセント 5" xfId="16" xr:uid="{0ED5D9EC-1C64-4A53-A2FB-BCCAF0C066C0}"/>
    <cellStyle name="20% - アクセント 5 2" xfId="17" xr:uid="{800E8A86-B0FA-4FDA-B1E8-990E349E36FC}"/>
    <cellStyle name="20% - アクセント 6" xfId="18" xr:uid="{FC6537A6-77AB-4E03-91D6-E40BDDA78FD3}"/>
    <cellStyle name="20% - アクセント 6 2" xfId="19" xr:uid="{C452D4AE-7FAF-4E66-A4D3-D8385E0D054B}"/>
    <cellStyle name="3232" xfId="20" xr:uid="{EB56EDC0-7B41-4496-A49B-62B75DF489B9}"/>
    <cellStyle name="40% - Accent1" xfId="21" xr:uid="{6C528901-9B0D-4B4B-B560-1E58F6197A4D}"/>
    <cellStyle name="40% - Accent2" xfId="22" xr:uid="{BA699B64-D73D-4B07-A661-34BD55BE4E93}"/>
    <cellStyle name="40% - Accent3" xfId="23" xr:uid="{A2740170-F50C-42FB-8BDD-CB2AB6FDB0F1}"/>
    <cellStyle name="40% - Accent4" xfId="24" xr:uid="{82F338C9-DD58-46CF-8540-D9483CDB635D}"/>
    <cellStyle name="40% - Accent5" xfId="25" xr:uid="{CC8E3E71-7992-4A12-9BF6-B940D691D736}"/>
    <cellStyle name="40% - Accent6" xfId="26" xr:uid="{E5191558-2F60-4603-8F2A-5F7AAC7A6951}"/>
    <cellStyle name="40% - アクセント 1" xfId="27" xr:uid="{9B7E554A-AF98-4691-A24E-8382B23F0621}"/>
    <cellStyle name="40% - アクセント 1 2" xfId="28" xr:uid="{0C91C9FE-165B-409C-BDE0-0F94BC7EC722}"/>
    <cellStyle name="40% - アクセント 2" xfId="29" xr:uid="{2525F190-69A5-44CD-B6AB-8B3EE7704F2C}"/>
    <cellStyle name="40% - アクセント 2 2" xfId="30" xr:uid="{D6AE3100-738C-4A7A-83BC-459167F49B38}"/>
    <cellStyle name="40% - アクセント 3" xfId="31" xr:uid="{FB98641E-14A8-4712-8B9B-F814EAFEB779}"/>
    <cellStyle name="40% - アクセント 3 2" xfId="32" xr:uid="{CFB16D1E-CF6D-4194-BD97-5AA5A0154B9D}"/>
    <cellStyle name="40% - アクセント 4" xfId="33" xr:uid="{668CAEE0-C6D9-45BE-B8E2-42B9A532EA5B}"/>
    <cellStyle name="40% - アクセント 4 2" xfId="34" xr:uid="{CFDAA124-5030-49F4-BC55-C4CCA4B774B2}"/>
    <cellStyle name="40% - アクセント 5" xfId="35" xr:uid="{6119520A-7273-4E57-9332-0ACBD20BFB5B}"/>
    <cellStyle name="40% - アクセント 5 2" xfId="36" xr:uid="{6D0A2C48-A011-43FC-A4D9-51E9E2A1C2FB}"/>
    <cellStyle name="40% - アクセント 6" xfId="37" xr:uid="{5F639A17-5EC1-4E1B-8C6C-83FDAFE75154}"/>
    <cellStyle name="40% - アクセント 6 2" xfId="38" xr:uid="{DDDD0539-F30F-403B-9116-7A6A9C3DEB14}"/>
    <cellStyle name="60% - Accent1" xfId="39" xr:uid="{E5AD745C-A387-4810-881F-245C311CB0B3}"/>
    <cellStyle name="60% - Accent2" xfId="40" xr:uid="{CE757207-78BF-4A9D-BF9F-D8EDA0E0E7EC}"/>
    <cellStyle name="60% - Accent3" xfId="41" xr:uid="{FFC0D195-BC7C-4DE4-85AD-8391594262DA}"/>
    <cellStyle name="60% - Accent4" xfId="42" xr:uid="{90E23CBC-B2C4-4FB4-87D6-DBCC16EBDB47}"/>
    <cellStyle name="60% - Accent5" xfId="43" xr:uid="{CADAF7E8-EE7D-44C7-9A10-9369073742A0}"/>
    <cellStyle name="60% - Accent6" xfId="44" xr:uid="{BB28B951-4D73-4538-8955-43BB9EE645A3}"/>
    <cellStyle name="60% - アクセント 1" xfId="45" xr:uid="{22B5FABE-D7CB-48CE-94E8-3BCE887AE416}"/>
    <cellStyle name="60% - アクセント 1 2" xfId="46" xr:uid="{9EF3A6FC-D242-48AD-B086-D3049B7E881E}"/>
    <cellStyle name="60% - アクセント 2" xfId="47" xr:uid="{E859AF7B-DC63-4D28-A9B1-3D7E3AA8FF93}"/>
    <cellStyle name="60% - アクセント 2 2" xfId="48" xr:uid="{5BF86FEC-EDA0-4287-93EB-CEBEE0367D91}"/>
    <cellStyle name="60% - アクセント 3" xfId="49" xr:uid="{66F3369C-9151-4932-A544-5ACA8087EAFC}"/>
    <cellStyle name="60% - アクセント 3 2" xfId="50" xr:uid="{2879B61C-81D7-4850-A69C-69A75C937FE1}"/>
    <cellStyle name="60% - アクセント 4" xfId="51" xr:uid="{E60499AD-A6D7-4062-AB2C-BD218D5BC7CF}"/>
    <cellStyle name="60% - アクセント 4 2" xfId="52" xr:uid="{9F0890DE-F38A-44C5-8E7B-CFD51EAD5C80}"/>
    <cellStyle name="60% - アクセント 5" xfId="53" xr:uid="{ECA1E35E-DA28-4F1B-99C4-7CEB5472226C}"/>
    <cellStyle name="60% - アクセント 5 2" xfId="54" xr:uid="{301C138B-CEE3-4603-96EE-A45707F46C3A}"/>
    <cellStyle name="60% - アクセント 6" xfId="55" xr:uid="{7579BBDD-A34E-4F2B-A28F-1F4892CEB1EE}"/>
    <cellStyle name="60% - アクセント 6 2" xfId="56" xr:uid="{776B3840-B1F2-49CF-B19F-850DA9620CAD}"/>
    <cellStyle name="Accent1" xfId="57" xr:uid="{10508789-FC1F-400D-8789-F25ABECD5FEA}"/>
    <cellStyle name="Accent2" xfId="58" xr:uid="{79A713A6-AAF7-466F-B737-E66ECC3023AE}"/>
    <cellStyle name="Accent3" xfId="59" xr:uid="{9E96BAAC-B8F9-4A9A-97D7-A913809F568C}"/>
    <cellStyle name="Accent4" xfId="60" xr:uid="{8F162309-1B34-499F-AA29-6BEE8AE7621A}"/>
    <cellStyle name="Accent5" xfId="61" xr:uid="{6AAA690F-6F48-40E7-9083-081D53F21D9A}"/>
    <cellStyle name="Accent6" xfId="62" xr:uid="{61976A79-EFBC-41A4-89F1-A607E9B66665}"/>
    <cellStyle name="Bad" xfId="63" xr:uid="{B9251C16-774B-44E3-B402-719B7439258A}"/>
    <cellStyle name="Calculation" xfId="64" xr:uid="{1111568D-9832-4662-97E3-31177D4523C3}"/>
    <cellStyle name="Check Cell" xfId="65" xr:uid="{FE9DE800-B973-47A9-A3DB-0FF8952D9632}"/>
    <cellStyle name="Comma" xfId="66" builtinId="3"/>
    <cellStyle name="Comma [0]" xfId="67" builtinId="6"/>
    <cellStyle name="Comma [0] 2" xfId="68" xr:uid="{F0F7407D-A775-4E78-9201-A5E37BBD5BE9}"/>
    <cellStyle name="Comma [0] 2 2" xfId="69" xr:uid="{0A605DB3-2801-4FE3-8BDE-DEA6CA7932DE}"/>
    <cellStyle name="Comma [0] 3" xfId="70" xr:uid="{FBECD721-3A1D-4D23-B7C0-4B7E8B979380}"/>
    <cellStyle name="Comma [0] 4" xfId="71" xr:uid="{E9FEA4BF-3003-47BA-AEF2-E35E0E519130}"/>
    <cellStyle name="Comma 2" xfId="72" xr:uid="{2DFEE4D4-B542-47F0-AC8E-D983BC508103}"/>
    <cellStyle name="Comma 2 3" xfId="73" xr:uid="{8C663EDD-D420-442A-A9DF-6A0855EBFDBB}"/>
    <cellStyle name="Comma 3" xfId="74" xr:uid="{AD9A43A0-53A1-4FCD-A0C5-583687643E86}"/>
    <cellStyle name="Comma 3 2 2" xfId="75" xr:uid="{576FC7CD-C8EF-4893-BEA8-18F11622562A}"/>
    <cellStyle name="Comma 4" xfId="76" xr:uid="{A01732EA-415F-48F4-9B64-87D1D9326C55}"/>
    <cellStyle name="Comma 5" xfId="77" xr:uid="{84230C4A-A055-41AF-81BA-5B9CFBB66E18}"/>
    <cellStyle name="Comma 6" xfId="78" xr:uid="{06A66CAA-2DE1-4C74-8930-C30B300292C6}"/>
    <cellStyle name="Currency [0] 2" xfId="79" xr:uid="{62A4608A-ACCA-4E01-9436-F3EC1C088B5A}"/>
    <cellStyle name="Explanatory Text" xfId="80" xr:uid="{44EC9AAB-6702-4C95-85F0-348F8B4A2C85}"/>
    <cellStyle name="Good" xfId="81" xr:uid="{BDFA6081-79DC-4997-9EEB-B9BF4EAB29F9}"/>
    <cellStyle name="Heading 1" xfId="82" xr:uid="{5FDED7B4-1660-4B42-932F-1BAEE3F06E7E}"/>
    <cellStyle name="Heading 2" xfId="83" xr:uid="{65DA70FB-3CB4-4D77-B216-F6CB746E9BA4}"/>
    <cellStyle name="Heading 3" xfId="84" xr:uid="{263ABAAB-D3A5-4A33-BF74-DFC6FDD6F4D5}"/>
    <cellStyle name="Heading 4" xfId="85" xr:uid="{257E2BB1-7F07-49F4-AE1E-AA5EB8414911}"/>
    <cellStyle name="Input" xfId="86" xr:uid="{C70D3A30-4C27-4F38-BD56-9CF29CFED615}"/>
    <cellStyle name="Linked Cell" xfId="87" xr:uid="{3120E2F3-227C-454E-9432-EB6360A006B0}"/>
    <cellStyle name="Neutral" xfId="88" xr:uid="{98783755-A2E3-4D49-92E0-0C54D0678FEC}"/>
    <cellStyle name="Normal" xfId="0" builtinId="0"/>
    <cellStyle name="Normal 2" xfId="89" xr:uid="{B5116A89-6540-4330-BE56-69C5ED51EB17}"/>
    <cellStyle name="Normal 2 2" xfId="90" xr:uid="{89B5F6C8-9B68-4199-B45B-EFF687906019}"/>
    <cellStyle name="Normal 3" xfId="91" xr:uid="{02745E6E-0DC1-44F2-B944-A8061907D18A}"/>
    <cellStyle name="Normal 4" xfId="92" xr:uid="{B6684065-3BE2-40C2-95A7-39B4EF475BB9}"/>
    <cellStyle name="Normal 5" xfId="93" xr:uid="{5B969C67-58D6-4A19-A2DD-E85D3B782F93}"/>
    <cellStyle name="Note" xfId="94" xr:uid="{5C423CF6-48BA-409D-ACB9-2A0FE3573FF8}"/>
    <cellStyle name="Output" xfId="95" xr:uid="{11EB46CE-63A1-40EF-A0EB-7F03E5FC38E1}"/>
    <cellStyle name="Percent 2" xfId="96" xr:uid="{CF0C86C8-77A2-4096-9798-02C9FACA655A}"/>
    <cellStyle name="Percent 3" xfId="97" xr:uid="{0907A3DA-BE94-42EE-A933-6B202591E426}"/>
    <cellStyle name="Title" xfId="98" xr:uid="{392845F9-872D-4632-A5F1-EC4D17BB9C39}"/>
    <cellStyle name="Total" xfId="99" xr:uid="{F4A7496A-9796-4BB7-A4E4-356C06AE8B91}"/>
    <cellStyle name="Warning Text" xfId="100" xr:uid="{7CC2BEC5-16B7-4CAC-9218-3B4BFFBA0D37}"/>
    <cellStyle name="アクセント 1" xfId="101" xr:uid="{7BE20ABA-6E42-44D2-A649-BAE9D331753F}"/>
    <cellStyle name="アクセント 1 2" xfId="102" xr:uid="{177B0117-2DF3-4CCE-AEBF-84982CA3EB20}"/>
    <cellStyle name="アクセント 2" xfId="103" xr:uid="{DBB050E6-5EEF-4FB1-A73E-780B78ECC09A}"/>
    <cellStyle name="アクセント 2 2" xfId="104" xr:uid="{25D66254-33E5-4073-8F9F-4978C28B1AC6}"/>
    <cellStyle name="アクセント 3" xfId="105" xr:uid="{B2DCB82C-0CD5-486E-B111-CC10216CB408}"/>
    <cellStyle name="アクセント 3 2" xfId="106" xr:uid="{E9119D8A-4B13-4AB0-A3BE-9F614289B4D7}"/>
    <cellStyle name="アクセント 4" xfId="107" xr:uid="{061B3848-1213-47AA-9117-FEBF65816C53}"/>
    <cellStyle name="アクセント 4 2" xfId="108" xr:uid="{64455F84-58A4-4685-8513-43624CDFC3CC}"/>
    <cellStyle name="アクセント 5" xfId="109" xr:uid="{314F26B0-F880-4605-9B65-5EE845C071DB}"/>
    <cellStyle name="アクセント 5 2" xfId="110" xr:uid="{324F2629-7A1F-4E5F-A8FB-938E9BD49322}"/>
    <cellStyle name="アクセント 6" xfId="111" xr:uid="{732B7201-C20B-44FB-A94A-A49F253D2918}"/>
    <cellStyle name="アクセント 6 2" xfId="112" xr:uid="{9F025002-E6D2-42C7-AEAD-06A70ACF3A4D}"/>
    <cellStyle name="タイトル" xfId="113" xr:uid="{56D1AB5A-46D4-4AEE-BB47-B7F31D96F1E0}"/>
    <cellStyle name="タイトル 2" xfId="114" xr:uid="{105497AF-E11C-47E7-A4E0-214EF1C0CEC1}"/>
    <cellStyle name="チェック セル" xfId="115" xr:uid="{BB68CA08-B399-4055-8F3D-DAB770E4C0ED}"/>
    <cellStyle name="チェック セル 2" xfId="116" xr:uid="{B75D5B54-3522-44CC-80ED-6CCB353D2349}"/>
    <cellStyle name="どちらでもない" xfId="117" xr:uid="{0E4EDA3F-1CF6-417F-A1C1-76C7282E6F25}"/>
    <cellStyle name="どちらでもない 2" xfId="118" xr:uid="{4F25B649-57B4-421A-B00A-7FF1FE19A7EE}"/>
    <cellStyle name="パーセント 2" xfId="119" xr:uid="{5DA4B30C-DFAD-4239-8D38-B920F003A012}"/>
    <cellStyle name="パーセント 3" xfId="120" xr:uid="{0823D5C6-E8A6-409D-BE19-73561629DBFF}"/>
    <cellStyle name="パーセント 3 2" xfId="121" xr:uid="{A23A970A-707F-42AD-819D-351FD5B4A882}"/>
    <cellStyle name="メモ" xfId="122" xr:uid="{733293A5-729C-4E2C-A20D-FF983569D747}"/>
    <cellStyle name="メモ 2" xfId="123" xr:uid="{D8F9012B-7E88-4757-9E8C-F813EA026DC3}"/>
    <cellStyle name="リンク セル" xfId="124" xr:uid="{F006BEA8-1B70-4F8C-8C48-EF482D7531D6}"/>
    <cellStyle name="リンク セル 2" xfId="125" xr:uid="{BC0377FD-A45D-4850-AC28-CCEFF546620E}"/>
    <cellStyle name="一般_KMHK FY2008 時間当り採算 2007年4月 ( Month Plan )" xfId="128" xr:uid="{BEF4DF67-3544-4FF0-9C79-918485419F28}"/>
    <cellStyle name="一般_設備投資金額一覽表" xfId="129" xr:uid="{17ED9C78-4722-4C64-A26C-961700A94ADD}"/>
    <cellStyle name="入力" xfId="161" xr:uid="{54BD8E0E-A305-4583-94C9-2A5E478AB915}"/>
    <cellStyle name="入力 2" xfId="162" xr:uid="{4BC2C04B-EF16-4C4A-92BD-69D48C885B0A}"/>
    <cellStyle name="出力" xfId="154" xr:uid="{63095C6B-3EF3-4306-BC82-F1841657ABCA}"/>
    <cellStyle name="出力 2" xfId="155" xr:uid="{F9D45AC5-218C-44A8-BA1F-AAB047C11F14}"/>
    <cellStyle name="常规_総生産分析(0605-0606)" xfId="156" xr:uid="{F5D9F32F-BFF0-46B9-AF9A-926277295431}"/>
    <cellStyle name="悪い" xfId="126" xr:uid="{7F0DD31F-081F-45F7-80E4-325977A162DD}"/>
    <cellStyle name="悪い 2" xfId="127" xr:uid="{84ACAFC9-A2BD-4C73-A026-9D73B06B69DC}"/>
    <cellStyle name="未定義" xfId="172" xr:uid="{E56D1474-D329-4D7D-B3F6-4CF33F7526A6}"/>
    <cellStyle name="桁区切り [0.00] 2" xfId="134" xr:uid="{65A9B379-FC38-4BE7-9025-F815109860E8}"/>
    <cellStyle name="桁区切り [0.00] 2 2" xfId="135" xr:uid="{0AEF0947-646D-4935-98EB-224D2142ED39}"/>
    <cellStyle name="桁区切り [0.00] 2 3" xfId="136" xr:uid="{575C94C3-AD8E-44AA-A2A2-DC1D481ED208}"/>
    <cellStyle name="桁区切り 2" xfId="137" xr:uid="{D48409B6-CB52-41DC-A7AB-C3039847A15C}"/>
    <cellStyle name="桁区切り 2 2" xfId="138" xr:uid="{2EDB2204-B795-4C4E-8AC8-7B6211F79AE6}"/>
    <cellStyle name="桁区切り 2 3" xfId="139" xr:uid="{5CF8E455-BDE4-488E-BAEC-43EEB9718A31}"/>
    <cellStyle name="桁区切り 3" xfId="140" xr:uid="{43386AD8-5E00-4408-AC54-516757D4EC26}"/>
    <cellStyle name="桁区切り 4" xfId="141" xr:uid="{5E3CDEC6-F499-4F2B-B081-856AD2136E41}"/>
    <cellStyle name="桁区切り 5" xfId="142" xr:uid="{D4B4317A-2C7F-4C28-8802-7B40EFE1D6BC}"/>
    <cellStyle name="桁区切り 6" xfId="143" xr:uid="{687A3DAC-69AF-4DFD-B659-D1A97FAA1DFE}"/>
    <cellStyle name="標準 2" xfId="163" xr:uid="{8A80CED6-3374-4240-B09A-6295F92DBD34}"/>
    <cellStyle name="標準 2 2" xfId="164" xr:uid="{DEE29F51-DDF2-4FD4-AC92-3AE5C1D2A22C}"/>
    <cellStyle name="標準 3" xfId="165" xr:uid="{B3997B57-5829-4CEB-BEC4-DCE8F70DA864}"/>
    <cellStyle name="標準 3 2" xfId="166" xr:uid="{04CAADBE-2237-4A9E-AF5B-CD75091ECCCA}"/>
    <cellStyle name="標準 4" xfId="167" xr:uid="{59A1D3D7-01E1-44B6-891D-33E55EF0253D}"/>
    <cellStyle name="標準 4 2" xfId="168" xr:uid="{08E859E6-D52B-4608-9672-0EF6A7B1C582}"/>
    <cellStyle name="標準_★予定用採算表フォーム（製造課用）" xfId="169" xr:uid="{BD337BD1-8B81-470E-B8D0-A6214188E6C6}"/>
    <cellStyle name="標準_03.2012 08 31 KDTVN採算表及集計表 FY2013_09（製技用）" xfId="170" xr:uid="{B872B85B-0FE8-4A2F-80A6-B4BE7C022418}"/>
    <cellStyle name="標準_KDTVN 2012年9月1日付原価センタ" xfId="171" xr:uid="{7FDC20DB-E7B7-459F-9395-197FF96F16BC}"/>
    <cellStyle name="良い" xfId="173" xr:uid="{5D4A99A9-34AA-4AAD-92F6-9CED1E9D50A6}"/>
    <cellStyle name="良い 2" xfId="174" xr:uid="{6C3AFC09-C406-454F-B3A0-7B564CFED170}"/>
    <cellStyle name="見出し 1" xfId="144" xr:uid="{4D5D9850-CFD6-4D71-96EE-44AF89397EE1}"/>
    <cellStyle name="見出し 1 2" xfId="145" xr:uid="{1225DD1B-F012-40D4-A5E2-54AF96361FAD}"/>
    <cellStyle name="見出し 2" xfId="146" xr:uid="{1CF9729A-2531-486B-AE84-3B8C16552D72}"/>
    <cellStyle name="見出し 2 2" xfId="147" xr:uid="{2C425DD9-CD21-4F52-B89B-B3E771C1661D}"/>
    <cellStyle name="見出し 3" xfId="148" xr:uid="{125E7EF7-1387-4EFD-9D4C-641DF26A1575}"/>
    <cellStyle name="見出し 3 2" xfId="149" xr:uid="{16580745-F1AE-4CE7-887F-EB339A8668A7}"/>
    <cellStyle name="見出し 4" xfId="150" xr:uid="{0A39E28F-8BC1-4A3D-BCCD-042F33D9E911}"/>
    <cellStyle name="見出し 4 2" xfId="151" xr:uid="{B5ECCF56-3DBE-46F2-8320-8603B22C6F83}"/>
    <cellStyle name="計算" xfId="130" xr:uid="{93B970C6-E80C-46BE-B35E-FBBD5F8DA30E}"/>
    <cellStyle name="計算 2" xfId="131" xr:uid="{EA501B05-AFF2-4240-89AD-AFDDF9AB3280}"/>
    <cellStyle name="説明文" xfId="157" xr:uid="{A60B89CA-0D5B-404B-9C21-38A395A5C5FA}"/>
    <cellStyle name="説明文 2" xfId="158" xr:uid="{36510BC6-54C2-4A7F-A17F-54641E946666}"/>
    <cellStyle name="警告文" xfId="132" xr:uid="{0A4A8F0A-68CB-4E27-AB9A-1D30379B12B6}"/>
    <cellStyle name="警告文 2" xfId="133" xr:uid="{A6F01428-8F2A-4274-8949-2BCBE79CCEF8}"/>
    <cellStyle name="通貨 2" xfId="159" xr:uid="{75781059-F56D-4F95-A39B-E33DF7438B9F}"/>
    <cellStyle name="通貨 3" xfId="160" xr:uid="{0E2CEFBA-A57A-48C5-9F4B-A7400477F6E2}"/>
    <cellStyle name="集計" xfId="152" xr:uid="{F4A1ADB5-BAB1-404F-A23B-ABF411AC4C62}"/>
    <cellStyle name="集計 2" xfId="153" xr:uid="{81390C70-78F7-4E5A-A3EE-76770211ABDA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E095-7C40-4202-A2BE-CF76188E11B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製造システム開発課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0</v>
      </c>
      <c r="D13" s="133">
        <f t="shared" ref="D13:O13" si="3">SUM(D14:D65)</f>
        <v>0</v>
      </c>
      <c r="E13" s="133">
        <f t="shared" si="3"/>
        <v>0</v>
      </c>
      <c r="F13" s="133">
        <f t="shared" si="3"/>
        <v>0</v>
      </c>
      <c r="G13" s="133">
        <f t="shared" si="3"/>
        <v>0</v>
      </c>
      <c r="H13" s="133">
        <f t="shared" si="3"/>
        <v>0</v>
      </c>
      <c r="I13" s="133">
        <f t="shared" si="3"/>
        <v>0</v>
      </c>
      <c r="J13" s="133">
        <f t="shared" si="3"/>
        <v>0</v>
      </c>
      <c r="K13" s="133">
        <f t="shared" si="3"/>
        <v>0</v>
      </c>
      <c r="L13" s="133">
        <f t="shared" si="3"/>
        <v>0</v>
      </c>
      <c r="M13" s="133">
        <f t="shared" si="3"/>
        <v>0</v>
      </c>
      <c r="N13" s="133">
        <f t="shared" si="3"/>
        <v>0</v>
      </c>
      <c r="O13" s="133">
        <f t="shared" si="3"/>
        <v>0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0</v>
      </c>
      <c r="D20" s="136">
        <f>ROUNDUP('採算表(VND)'!D20/$N$1,2)</f>
        <v>0</v>
      </c>
      <c r="E20" s="136">
        <f>ROUNDUP('採算表(VND)'!E20/$N$1,2)</f>
        <v>0</v>
      </c>
      <c r="F20" s="136">
        <f>ROUNDUP('採算表(VND)'!F20/$N$1,2)</f>
        <v>0</v>
      </c>
      <c r="G20" s="136">
        <f>ROUNDUP('採算表(VND)'!G20/$N$1,2)</f>
        <v>0</v>
      </c>
      <c r="H20" s="136">
        <f>ROUNDUP('採算表(VND)'!H20/$N$1,2)</f>
        <v>0</v>
      </c>
      <c r="I20" s="136">
        <f>ROUNDUP('採算表(VND)'!I20/$N$1,2)</f>
        <v>0</v>
      </c>
      <c r="J20" s="136">
        <f>ROUNDUP('採算表(VND)'!J20/$N$1,2)</f>
        <v>0</v>
      </c>
      <c r="K20" s="136">
        <f>ROUNDUP('採算表(VND)'!K20/$N$1,2)</f>
        <v>0</v>
      </c>
      <c r="L20" s="136">
        <f>ROUNDUP('採算表(VND)'!L20/$N$1,2)</f>
        <v>0</v>
      </c>
      <c r="M20" s="136">
        <f>ROUNDUP('採算表(VND)'!M20/$N$1,2)</f>
        <v>0</v>
      </c>
      <c r="N20" s="136">
        <f>ROUNDUP('採算表(VND)'!N20/$N$1,2)</f>
        <v>0</v>
      </c>
      <c r="O20" s="136">
        <f t="shared" si="4"/>
        <v>0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0</v>
      </c>
      <c r="D25" s="136">
        <f>ROUNDUP('採算表(VND)'!D25/$N$1,2)</f>
        <v>0</v>
      </c>
      <c r="E25" s="136">
        <f>ROUNDUP('採算表(VND)'!E25/$N$1,2)</f>
        <v>0</v>
      </c>
      <c r="F25" s="136">
        <f>ROUNDUP('採算表(VND)'!F25/$N$1,2)</f>
        <v>0</v>
      </c>
      <c r="G25" s="136">
        <f>ROUNDUP('採算表(VND)'!G25/$N$1,2)</f>
        <v>0</v>
      </c>
      <c r="H25" s="136">
        <f>ROUNDUP('採算表(VND)'!H25/$N$1,2)</f>
        <v>0</v>
      </c>
      <c r="I25" s="136">
        <f>ROUNDUP('採算表(VND)'!I25/$N$1,2)</f>
        <v>0</v>
      </c>
      <c r="J25" s="136">
        <f>ROUNDUP('採算表(VND)'!J25/$N$1,2)</f>
        <v>0</v>
      </c>
      <c r="K25" s="136">
        <f>ROUNDUP('採算表(VND)'!K25/$N$1,2)</f>
        <v>0</v>
      </c>
      <c r="L25" s="136">
        <f>ROUNDUP('採算表(VND)'!L25/$N$1,2)</f>
        <v>0</v>
      </c>
      <c r="M25" s="136">
        <f>ROUNDUP('採算表(VND)'!M25/$N$1,2)</f>
        <v>0</v>
      </c>
      <c r="N25" s="136">
        <f>ROUNDUP('採算表(VND)'!N25/$N$1,2)</f>
        <v>0</v>
      </c>
      <c r="O25" s="136">
        <f t="shared" si="4"/>
        <v>0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0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0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0</v>
      </c>
      <c r="D30" s="136">
        <f>ROUNDUP('採算表(VND)'!D30/$N$1,2)</f>
        <v>0</v>
      </c>
      <c r="E30" s="136">
        <f>ROUNDUP('採算表(VND)'!E30/$N$1,2)</f>
        <v>0</v>
      </c>
      <c r="F30" s="136">
        <f>ROUNDUP('採算表(VND)'!F30/$N$1,2)</f>
        <v>0</v>
      </c>
      <c r="G30" s="136">
        <f>ROUNDUP('採算表(VND)'!G30/$N$1,2)</f>
        <v>0</v>
      </c>
      <c r="H30" s="136">
        <f>ROUNDUP('採算表(VND)'!H30/$N$1,2)</f>
        <v>0</v>
      </c>
      <c r="I30" s="136">
        <f>ROUNDUP('採算表(VND)'!I30/$N$1,2)</f>
        <v>0</v>
      </c>
      <c r="J30" s="136">
        <f>ROUNDUP('採算表(VND)'!J30/$N$1,2)</f>
        <v>0</v>
      </c>
      <c r="K30" s="136">
        <f>ROUNDUP('採算表(VND)'!K30/$N$1,2)</f>
        <v>0</v>
      </c>
      <c r="L30" s="136">
        <f>ROUNDUP('採算表(VND)'!L30/$N$1,2)</f>
        <v>0</v>
      </c>
      <c r="M30" s="136">
        <f>ROUNDUP('採算表(VND)'!M30/$N$1,2)</f>
        <v>0</v>
      </c>
      <c r="N30" s="136">
        <f>ROUNDUP('採算表(VND)'!N30/$N$1,2)</f>
        <v>0</v>
      </c>
      <c r="O30" s="136">
        <f t="shared" si="4"/>
        <v>0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0</v>
      </c>
      <c r="D39" s="136">
        <f>ROUNDUP('採算表(VND)'!D39/$N$1,2)</f>
        <v>0</v>
      </c>
      <c r="E39" s="136">
        <f>ROUNDUP('採算表(VND)'!E39/$N$1,2)</f>
        <v>0</v>
      </c>
      <c r="F39" s="136">
        <f>ROUNDUP('採算表(VND)'!F39/$N$1,2)</f>
        <v>0</v>
      </c>
      <c r="G39" s="136">
        <f>ROUNDUP('採算表(VND)'!G39/$N$1,2)</f>
        <v>0</v>
      </c>
      <c r="H39" s="136">
        <f>ROUNDUP('採算表(VND)'!H39/$N$1,2)</f>
        <v>0</v>
      </c>
      <c r="I39" s="136">
        <f>ROUNDUP('採算表(VND)'!I39/$N$1,2)</f>
        <v>0</v>
      </c>
      <c r="J39" s="136">
        <f>ROUNDUP('採算表(VND)'!J39/$N$1,2)</f>
        <v>0</v>
      </c>
      <c r="K39" s="136">
        <f>ROUNDUP('採算表(VND)'!K39/$N$1,2)</f>
        <v>0</v>
      </c>
      <c r="L39" s="136">
        <f>ROUNDUP('採算表(VND)'!L39/$N$1,2)</f>
        <v>0</v>
      </c>
      <c r="M39" s="136">
        <f>ROUNDUP('採算表(VND)'!M39/$N$1,2)</f>
        <v>0</v>
      </c>
      <c r="N39" s="136">
        <f>ROUNDUP('採算表(VND)'!N39/$N$1,2)</f>
        <v>0</v>
      </c>
      <c r="O39" s="136">
        <f t="shared" si="4"/>
        <v>0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0</v>
      </c>
      <c r="D41" s="136">
        <f>ROUNDUP('採算表(VND)'!D41/$N$1,2)</f>
        <v>0</v>
      </c>
      <c r="E41" s="136">
        <f>ROUNDUP('採算表(VND)'!E41/$N$1,2)</f>
        <v>0</v>
      </c>
      <c r="F41" s="136">
        <f>ROUNDUP('採算表(VND)'!F41/$N$1,2)</f>
        <v>0</v>
      </c>
      <c r="G41" s="136">
        <f>ROUNDUP('採算表(VND)'!G41/$N$1,2)</f>
        <v>0</v>
      </c>
      <c r="H41" s="136">
        <f>ROUNDUP('採算表(VND)'!H41/$N$1,2)</f>
        <v>0</v>
      </c>
      <c r="I41" s="136">
        <f>ROUNDUP('採算表(VND)'!I41/$N$1,2)</f>
        <v>0</v>
      </c>
      <c r="J41" s="136">
        <f>ROUNDUP('採算表(VND)'!J41/$N$1,2)</f>
        <v>0</v>
      </c>
      <c r="K41" s="136">
        <f>ROUNDUP('採算表(VND)'!K41/$N$1,2)</f>
        <v>0</v>
      </c>
      <c r="L41" s="136">
        <f>ROUNDUP('採算表(VND)'!L41/$N$1,2)</f>
        <v>0</v>
      </c>
      <c r="M41" s="136">
        <f>ROUNDUP('採算表(VND)'!M41/$N$1,2)</f>
        <v>0</v>
      </c>
      <c r="N41" s="136">
        <f>ROUNDUP('採算表(VND)'!N41/$N$1,2)</f>
        <v>0</v>
      </c>
      <c r="O41" s="136">
        <f t="shared" si="4"/>
        <v>0</v>
      </c>
    </row>
    <row r="42" spans="1:15" ht="11.25" customHeight="1">
      <c r="A42" s="38"/>
      <c r="B42" s="37" t="s">
        <v>98</v>
      </c>
      <c r="C42" s="136">
        <f>ROUNDUP('採算表(VND)'!C42/$N$1,2)</f>
        <v>0</v>
      </c>
      <c r="D42" s="136">
        <f>ROUNDUP('採算表(VND)'!D42/$N$1,2)</f>
        <v>0</v>
      </c>
      <c r="E42" s="136">
        <f>ROUNDUP('採算表(VND)'!E42/$N$1,2)</f>
        <v>0</v>
      </c>
      <c r="F42" s="136">
        <f>ROUNDUP('採算表(VND)'!F42/$N$1,2)</f>
        <v>0</v>
      </c>
      <c r="G42" s="136">
        <f>ROUNDUP('採算表(VND)'!G42/$N$1,2)</f>
        <v>0</v>
      </c>
      <c r="H42" s="136">
        <f>ROUNDUP('採算表(VND)'!H42/$N$1,2)</f>
        <v>0</v>
      </c>
      <c r="I42" s="136">
        <f>ROUNDUP('採算表(VND)'!I42/$N$1,2)</f>
        <v>0</v>
      </c>
      <c r="J42" s="136">
        <f>ROUNDUP('採算表(VND)'!J42/$N$1,2)</f>
        <v>0</v>
      </c>
      <c r="K42" s="136">
        <f>ROUNDUP('採算表(VND)'!K42/$N$1,2)</f>
        <v>0</v>
      </c>
      <c r="L42" s="136">
        <f>ROUNDUP('採算表(VND)'!L42/$N$1,2)</f>
        <v>0</v>
      </c>
      <c r="M42" s="136">
        <f>ROUNDUP('採算表(VND)'!M42/$N$1,2)</f>
        <v>0</v>
      </c>
      <c r="N42" s="136">
        <f>ROUNDUP('採算表(VND)'!N42/$N$1,2)</f>
        <v>0</v>
      </c>
      <c r="O42" s="136">
        <f t="shared" si="4"/>
        <v>0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0</v>
      </c>
      <c r="D44" s="136">
        <f>ROUNDUP('採算表(VND)'!D44/$N$1,2)</f>
        <v>0</v>
      </c>
      <c r="E44" s="136">
        <f>ROUNDUP('採算表(VND)'!E44/$N$1,2)</f>
        <v>0</v>
      </c>
      <c r="F44" s="136">
        <f>ROUNDUP('採算表(VND)'!F44/$N$1,2)</f>
        <v>0</v>
      </c>
      <c r="G44" s="136">
        <f>ROUNDUP('採算表(VND)'!G44/$N$1,2)</f>
        <v>0</v>
      </c>
      <c r="H44" s="136">
        <f>ROUNDUP('採算表(VND)'!H44/$N$1,2)</f>
        <v>0</v>
      </c>
      <c r="I44" s="136">
        <f>ROUNDUP('採算表(VND)'!I44/$N$1,2)</f>
        <v>0</v>
      </c>
      <c r="J44" s="136">
        <f>ROUNDUP('採算表(VND)'!J44/$N$1,2)</f>
        <v>0</v>
      </c>
      <c r="K44" s="136">
        <f>ROUNDUP('採算表(VND)'!K44/$N$1,2)</f>
        <v>0</v>
      </c>
      <c r="L44" s="136">
        <f>ROUNDUP('採算表(VND)'!L44/$N$1,2)</f>
        <v>0</v>
      </c>
      <c r="M44" s="136">
        <f>ROUNDUP('採算表(VND)'!M44/$N$1,2)</f>
        <v>0</v>
      </c>
      <c r="N44" s="136">
        <f>ROUNDUP('採算表(VND)'!N44/$N$1,2)</f>
        <v>0</v>
      </c>
      <c r="O44" s="136">
        <f t="shared" si="4"/>
        <v>0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0</v>
      </c>
      <c r="D57" s="139">
        <f>ROUNDUP('採算表(VND)'!D57/$N$1,2)</f>
        <v>0</v>
      </c>
      <c r="E57" s="139">
        <f>ROUNDUP('採算表(VND)'!E57/$N$1,2)</f>
        <v>0</v>
      </c>
      <c r="F57" s="139">
        <f>ROUNDUP('採算表(VND)'!F57/$N$1,2)</f>
        <v>0</v>
      </c>
      <c r="G57" s="139">
        <f>ROUNDUP('採算表(VND)'!G57/$N$1,2)</f>
        <v>0</v>
      </c>
      <c r="H57" s="139">
        <f>ROUNDUP('採算表(VND)'!H57/$N$1,2)</f>
        <v>0</v>
      </c>
      <c r="I57" s="139">
        <f>ROUNDUP('採算表(VND)'!I57/$N$1,2)</f>
        <v>0</v>
      </c>
      <c r="J57" s="139">
        <f>ROUNDUP('採算表(VND)'!J57/$N$1,2)</f>
        <v>0</v>
      </c>
      <c r="K57" s="139">
        <f>ROUNDUP('採算表(VND)'!K57/$N$1,2)</f>
        <v>0</v>
      </c>
      <c r="L57" s="139">
        <f>ROUNDUP('採算表(VND)'!L57/$N$1,2)</f>
        <v>0</v>
      </c>
      <c r="M57" s="139">
        <f>ROUNDUP('採算表(VND)'!M57/$N$1,2)</f>
        <v>0</v>
      </c>
      <c r="N57" s="139">
        <f>ROUNDUP('採算表(VND)'!N57/$N$1,2)</f>
        <v>0</v>
      </c>
      <c r="O57" s="139">
        <f t="shared" si="4"/>
        <v>0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0</v>
      </c>
      <c r="D66" s="134">
        <f t="shared" ref="D66:O66" si="5">IF(ISBLANK(D4),"",D12-D13)</f>
        <v>0</v>
      </c>
      <c r="E66" s="134">
        <f t="shared" si="5"/>
        <v>0</v>
      </c>
      <c r="F66" s="134">
        <f t="shared" si="5"/>
        <v>0</v>
      </c>
      <c r="G66" s="134">
        <f t="shared" si="5"/>
        <v>0</v>
      </c>
      <c r="H66" s="134">
        <f t="shared" si="5"/>
        <v>0</v>
      </c>
      <c r="I66" s="134">
        <f t="shared" si="5"/>
        <v>0</v>
      </c>
      <c r="J66" s="134">
        <f t="shared" si="5"/>
        <v>0</v>
      </c>
      <c r="K66" s="134">
        <f t="shared" si="5"/>
        <v>0</v>
      </c>
      <c r="L66" s="134">
        <f t="shared" si="5"/>
        <v>0</v>
      </c>
      <c r="M66" s="134">
        <f t="shared" si="5"/>
        <v>0</v>
      </c>
      <c r="N66" s="134">
        <f t="shared" si="5"/>
        <v>0</v>
      </c>
      <c r="O66" s="134">
        <f t="shared" si="5"/>
        <v>0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0</v>
      </c>
      <c r="D68" s="135">
        <f>'採算表(VND)'!D68</f>
        <v>0</v>
      </c>
      <c r="E68" s="135">
        <f>'採算表(VND)'!E68</f>
        <v>0</v>
      </c>
      <c r="F68" s="135">
        <f>'採算表(VND)'!F68</f>
        <v>0</v>
      </c>
      <c r="G68" s="135">
        <f>'採算表(VND)'!G68</f>
        <v>0</v>
      </c>
      <c r="H68" s="135">
        <f>'採算表(VND)'!H68</f>
        <v>0</v>
      </c>
      <c r="I68" s="135">
        <f>'採算表(VND)'!I68</f>
        <v>0</v>
      </c>
      <c r="J68" s="135">
        <f>'採算表(VND)'!J68</f>
        <v>0</v>
      </c>
      <c r="K68" s="135">
        <f>'採算表(VND)'!K68</f>
        <v>0</v>
      </c>
      <c r="L68" s="135">
        <f>'採算表(VND)'!L68</f>
        <v>0</v>
      </c>
      <c r="M68" s="135">
        <f>'採算表(VND)'!M68</f>
        <v>0</v>
      </c>
      <c r="N68" s="135">
        <f>'採算表(VND)'!N68</f>
        <v>0</v>
      </c>
      <c r="O68" s="135">
        <f>SUM(C68:N68)</f>
        <v>0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0</v>
      </c>
      <c r="D74" s="135">
        <f>'採算表(VND)'!D74</f>
        <v>0</v>
      </c>
      <c r="E74" s="135">
        <f>'採算表(VND)'!E74</f>
        <v>0</v>
      </c>
      <c r="F74" s="135">
        <f>'採算表(VND)'!F74</f>
        <v>0</v>
      </c>
      <c r="G74" s="135">
        <f>'採算表(VND)'!G74</f>
        <v>0</v>
      </c>
      <c r="H74" s="135">
        <f>'採算表(VND)'!H74</f>
        <v>0</v>
      </c>
      <c r="I74" s="135">
        <f>'採算表(VND)'!I74</f>
        <v>0</v>
      </c>
      <c r="J74" s="135">
        <f>'採算表(VND)'!J74</f>
        <v>0</v>
      </c>
      <c r="K74" s="135">
        <f>'採算表(VND)'!K74</f>
        <v>0</v>
      </c>
      <c r="L74" s="135">
        <f>'採算表(VND)'!L74</f>
        <v>0</v>
      </c>
      <c r="M74" s="135">
        <f>'採算表(VND)'!M74</f>
        <v>0</v>
      </c>
      <c r="N74" s="135">
        <f>'採算表(VND)'!N74</f>
        <v>0</v>
      </c>
      <c r="O74" s="135">
        <f>SUM(C74:N74)</f>
        <v>0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0</v>
      </c>
      <c r="D88" s="150">
        <f>'採算表(VND)'!D88</f>
        <v>0</v>
      </c>
      <c r="E88" s="150">
        <f>'採算表(VND)'!E88</f>
        <v>0</v>
      </c>
      <c r="F88" s="150">
        <f>'採算表(VND)'!F88</f>
        <v>0</v>
      </c>
      <c r="G88" s="150">
        <f>'採算表(VND)'!G88</f>
        <v>0</v>
      </c>
      <c r="H88" s="150">
        <f>'採算表(VND)'!H88</f>
        <v>0</v>
      </c>
      <c r="I88" s="150">
        <f>'採算表(VND)'!I88</f>
        <v>0</v>
      </c>
      <c r="J88" s="150">
        <f>'採算表(VND)'!J88</f>
        <v>0</v>
      </c>
      <c r="K88" s="150">
        <f>'採算表(VND)'!K88</f>
        <v>0</v>
      </c>
      <c r="L88" s="150">
        <f>'採算表(VND)'!L88</f>
        <v>0</v>
      </c>
      <c r="M88" s="150">
        <f>'採算表(VND)'!M88</f>
        <v>0</v>
      </c>
      <c r="N88" s="150">
        <f>'採算表(VND)'!N88</f>
        <v>0</v>
      </c>
      <c r="O88" s="150">
        <f>SUM(C88:N88)</f>
        <v>0</v>
      </c>
    </row>
    <row r="89" spans="1:15">
      <c r="A89" s="44"/>
      <c r="B89" s="60" t="s">
        <v>18</v>
      </c>
      <c r="C89" s="151">
        <f t="shared" ref="C89:O89" si="11">C87+C88</f>
        <v>0</v>
      </c>
      <c r="D89" s="151">
        <f t="shared" si="11"/>
        <v>0</v>
      </c>
      <c r="E89" s="151">
        <f t="shared" si="11"/>
        <v>0</v>
      </c>
      <c r="F89" s="151">
        <f t="shared" si="11"/>
        <v>0</v>
      </c>
      <c r="G89" s="151">
        <f t="shared" si="11"/>
        <v>0</v>
      </c>
      <c r="H89" s="151">
        <f t="shared" si="11"/>
        <v>0</v>
      </c>
      <c r="I89" s="151">
        <f t="shared" si="11"/>
        <v>0</v>
      </c>
      <c r="J89" s="151">
        <f t="shared" si="11"/>
        <v>0</v>
      </c>
      <c r="K89" s="151">
        <f t="shared" si="11"/>
        <v>0</v>
      </c>
      <c r="L89" s="151">
        <f t="shared" si="11"/>
        <v>0</v>
      </c>
      <c r="M89" s="151">
        <f t="shared" si="11"/>
        <v>0</v>
      </c>
      <c r="N89" s="151">
        <f t="shared" si="11"/>
        <v>0</v>
      </c>
      <c r="O89" s="151">
        <f t="shared" si="11"/>
        <v>0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0</v>
      </c>
      <c r="D93" s="133">
        <f>'採算表(VND)'!D93</f>
        <v>0</v>
      </c>
      <c r="E93" s="133">
        <f>'採算表(VND)'!E93</f>
        <v>0</v>
      </c>
      <c r="F93" s="133">
        <f>'採算表(VND)'!F93</f>
        <v>0</v>
      </c>
      <c r="G93" s="133">
        <f>'採算表(VND)'!G93</f>
        <v>0</v>
      </c>
      <c r="H93" s="133">
        <f>'採算表(VND)'!H93</f>
        <v>0</v>
      </c>
      <c r="I93" s="133">
        <f>'採算表(VND)'!I93</f>
        <v>0</v>
      </c>
      <c r="J93" s="133">
        <f>'採算表(VND)'!J93</f>
        <v>0</v>
      </c>
      <c r="K93" s="133">
        <f>'採算表(VND)'!K93</f>
        <v>0</v>
      </c>
      <c r="L93" s="133">
        <f>'採算表(VND)'!L93</f>
        <v>0</v>
      </c>
      <c r="M93" s="133">
        <f>'採算表(VND)'!M93</f>
        <v>0</v>
      </c>
      <c r="N93" s="133">
        <f>'採算表(VND)'!N93</f>
        <v>0</v>
      </c>
      <c r="O93" s="133">
        <f>SUM(C93:N93)</f>
        <v>0</v>
      </c>
    </row>
    <row r="94" spans="1:15">
      <c r="B94" s="61" t="s">
        <v>18</v>
      </c>
      <c r="C94" s="147">
        <f t="shared" ref="C94:O94" si="12">C92+C93</f>
        <v>0</v>
      </c>
      <c r="D94" s="147">
        <f t="shared" si="12"/>
        <v>0</v>
      </c>
      <c r="E94" s="147">
        <f t="shared" si="12"/>
        <v>0</v>
      </c>
      <c r="F94" s="147">
        <f t="shared" si="12"/>
        <v>0</v>
      </c>
      <c r="G94" s="147">
        <f t="shared" si="12"/>
        <v>0</v>
      </c>
      <c r="H94" s="147">
        <f t="shared" si="12"/>
        <v>0</v>
      </c>
      <c r="I94" s="147">
        <f t="shared" si="12"/>
        <v>0</v>
      </c>
      <c r="J94" s="147">
        <f t="shared" si="12"/>
        <v>0</v>
      </c>
      <c r="K94" s="147">
        <f t="shared" si="12"/>
        <v>0</v>
      </c>
      <c r="L94" s="147">
        <f t="shared" si="12"/>
        <v>0</v>
      </c>
      <c r="M94" s="147">
        <f t="shared" si="12"/>
        <v>0</v>
      </c>
      <c r="N94" s="147">
        <f t="shared" si="12"/>
        <v>0</v>
      </c>
      <c r="O94" s="147">
        <f t="shared" si="12"/>
        <v>0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0</v>
      </c>
      <c r="D98" s="133">
        <f>'採算表(VND)'!D98</f>
        <v>0</v>
      </c>
      <c r="E98" s="133">
        <f>'採算表(VND)'!E98</f>
        <v>0</v>
      </c>
      <c r="F98" s="133">
        <f>'採算表(VND)'!F98</f>
        <v>0</v>
      </c>
      <c r="G98" s="133">
        <f>'採算表(VND)'!G98</f>
        <v>0</v>
      </c>
      <c r="H98" s="133">
        <f>'採算表(VND)'!H98</f>
        <v>0</v>
      </c>
      <c r="I98" s="133">
        <f>'採算表(VND)'!I98</f>
        <v>0</v>
      </c>
      <c r="J98" s="133">
        <f>'採算表(VND)'!J98</f>
        <v>0</v>
      </c>
      <c r="K98" s="133">
        <f>'採算表(VND)'!K98</f>
        <v>0</v>
      </c>
      <c r="L98" s="133">
        <f>'採算表(VND)'!L98</f>
        <v>0</v>
      </c>
      <c r="M98" s="133">
        <f>'採算表(VND)'!M98</f>
        <v>0</v>
      </c>
      <c r="N98" s="133">
        <f>'採算表(VND)'!N98</f>
        <v>0</v>
      </c>
      <c r="O98" s="133">
        <f>SUM(C98:N98)</f>
        <v>0</v>
      </c>
    </row>
    <row r="99" spans="2:15">
      <c r="B99" s="61" t="s">
        <v>18</v>
      </c>
      <c r="C99" s="147">
        <f t="shared" ref="C99:O99" si="13">C97+C98</f>
        <v>0</v>
      </c>
      <c r="D99" s="147">
        <f t="shared" si="13"/>
        <v>0</v>
      </c>
      <c r="E99" s="147">
        <f t="shared" si="13"/>
        <v>0</v>
      </c>
      <c r="F99" s="147">
        <f t="shared" si="13"/>
        <v>0</v>
      </c>
      <c r="G99" s="147">
        <f t="shared" si="13"/>
        <v>0</v>
      </c>
      <c r="H99" s="147">
        <f t="shared" si="13"/>
        <v>0</v>
      </c>
      <c r="I99" s="147">
        <f t="shared" si="13"/>
        <v>0</v>
      </c>
      <c r="J99" s="147">
        <f t="shared" si="13"/>
        <v>0</v>
      </c>
      <c r="K99" s="147">
        <f t="shared" si="13"/>
        <v>0</v>
      </c>
      <c r="L99" s="147">
        <f t="shared" si="13"/>
        <v>0</v>
      </c>
      <c r="M99" s="147">
        <f t="shared" si="13"/>
        <v>0</v>
      </c>
      <c r="N99" s="147">
        <f t="shared" si="13"/>
        <v>0</v>
      </c>
      <c r="O99" s="147">
        <f t="shared" si="13"/>
        <v>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5014-BB8F-463E-AC7B-DA119898654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1796875" style="19" bestFit="1" customWidth="1"/>
    <col min="44" max="46" width="11.81640625" style="19" bestFit="1" customWidth="1"/>
    <col min="47" max="47" width="9" style="19"/>
    <col min="48" max="51" width="14.36328125" style="19" bestFit="1" customWidth="1"/>
    <col min="52" max="52" width="9" style="19"/>
    <col min="53" max="56" width="14.81640625" style="19" bestFit="1" customWidth="1"/>
    <col min="57" max="57" width="9" style="19"/>
    <col min="58" max="58" width="15.1796875" style="19" bestFit="1" customWidth="1"/>
    <col min="59" max="60" width="11.81640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製造システム開発課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0</v>
      </c>
      <c r="D20" s="158">
        <f>SUMIF('内訳ﾘｽﾄ(4～3月)'!$D$26:$D$1000,$B20,'内訳ﾘｽﾄ(4～3月)'!G$26:G$1000)</f>
        <v>0</v>
      </c>
      <c r="E20" s="158">
        <f>SUMIF('内訳ﾘｽﾄ(4～3月)'!$D$26:$D$1000,$B20,'内訳ﾘｽﾄ(4～3月)'!H$26:H$1000)</f>
        <v>0</v>
      </c>
      <c r="F20" s="158">
        <f>SUMIF('内訳ﾘｽﾄ(4～3月)'!$D$26:$D$1000,$B20,'内訳ﾘｽﾄ(4～3月)'!I$26:I$1000)</f>
        <v>0</v>
      </c>
      <c r="G20" s="158">
        <f>SUMIF('内訳ﾘｽﾄ(4～3月)'!$D$26:$D$1000,$B20,'内訳ﾘｽﾄ(4～3月)'!J$26:J$1000)</f>
        <v>0</v>
      </c>
      <c r="H20" s="158">
        <f>SUMIF('内訳ﾘｽﾄ(4～3月)'!$D$26:$D$1000,$B20,'内訳ﾘｽﾄ(4～3月)'!K$26:K$1000)</f>
        <v>0</v>
      </c>
      <c r="I20" s="158">
        <f>SUMIF('内訳ﾘｽﾄ(4～3月)'!$D$26:$D$1000,$B20,'内訳ﾘｽﾄ(4～3月)'!L$26:L$1000)</f>
        <v>0</v>
      </c>
      <c r="J20" s="158">
        <f>SUMIF('内訳ﾘｽﾄ(4～3月)'!$D$26:$D$1000,$B20,'内訳ﾘｽﾄ(4～3月)'!M$26:M$1000)</f>
        <v>0</v>
      </c>
      <c r="K20" s="158">
        <f>SUMIF('内訳ﾘｽﾄ(4～3月)'!$D$26:$D$1000,$B20,'内訳ﾘｽﾄ(4～3月)'!N$26:N$1000)</f>
        <v>0</v>
      </c>
      <c r="L20" s="158">
        <f>SUMIF('内訳ﾘｽﾄ(4～3月)'!$D$26:$D$1000,$B20,'内訳ﾘｽﾄ(4～3月)'!O$26:O$1000)</f>
        <v>0</v>
      </c>
      <c r="M20" s="158">
        <f>SUMIF('内訳ﾘｽﾄ(4～3月)'!$D$26:$D$1000,$B20,'内訳ﾘｽﾄ(4～3月)'!P$26:P$1000)</f>
        <v>0</v>
      </c>
      <c r="N20" s="158">
        <f>SUMIF('内訳ﾘｽﾄ(4～3月)'!$D$26:$D$1000,$B20,'内訳ﾘｽﾄ(4～3月)'!Q$26:Q$1000)</f>
        <v>0</v>
      </c>
      <c r="O20" s="158">
        <f>SUMIF('内訳ﾘｽﾄ(4～3月)'!$D$26:$D$799,'採算表(VND)'!$B20,'内訳ﾘｽﾄ(4～3月)'!R$26:R$799)</f>
        <v>0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0</v>
      </c>
      <c r="D25" s="158">
        <f>SUMIF('内訳ﾘｽﾄ(4～3月)'!$D$26:$D$1000,$B25,'内訳ﾘｽﾄ(4～3月)'!G$26:G$1000)</f>
        <v>0</v>
      </c>
      <c r="E25" s="158">
        <f>SUMIF('内訳ﾘｽﾄ(4～3月)'!$D$26:$D$1000,$B25,'内訳ﾘｽﾄ(4～3月)'!H$26:H$1000)</f>
        <v>0</v>
      </c>
      <c r="F25" s="158">
        <f>SUMIF('内訳ﾘｽﾄ(4～3月)'!$D$26:$D$1000,$B25,'内訳ﾘｽﾄ(4～3月)'!I$26:I$1000)</f>
        <v>0</v>
      </c>
      <c r="G25" s="158">
        <f>SUMIF('内訳ﾘｽﾄ(4～3月)'!$D$26:$D$1000,$B25,'内訳ﾘｽﾄ(4～3月)'!J$26:J$1000)</f>
        <v>0</v>
      </c>
      <c r="H25" s="158">
        <f>SUMIF('内訳ﾘｽﾄ(4～3月)'!$D$26:$D$1000,$B25,'内訳ﾘｽﾄ(4～3月)'!K$26:K$1000)</f>
        <v>0</v>
      </c>
      <c r="I25" s="158">
        <f>SUMIF('内訳ﾘｽﾄ(4～3月)'!$D$26:$D$1000,$B25,'内訳ﾘｽﾄ(4～3月)'!L$26:L$1000)</f>
        <v>0</v>
      </c>
      <c r="J25" s="158">
        <f>SUMIF('内訳ﾘｽﾄ(4～3月)'!$D$26:$D$1000,$B25,'内訳ﾘｽﾄ(4～3月)'!M$26:M$1000)</f>
        <v>0</v>
      </c>
      <c r="K25" s="158">
        <f>SUMIF('内訳ﾘｽﾄ(4～3月)'!$D$26:$D$1000,$B25,'内訳ﾘｽﾄ(4～3月)'!N$26:N$1000)</f>
        <v>0</v>
      </c>
      <c r="L25" s="158">
        <f>SUMIF('内訳ﾘｽﾄ(4～3月)'!$D$26:$D$1000,$B25,'内訳ﾘｽﾄ(4～3月)'!O$26:O$1000)</f>
        <v>0</v>
      </c>
      <c r="M25" s="158">
        <f>SUMIF('内訳ﾘｽﾄ(4～3月)'!$D$26:$D$1000,$B25,'内訳ﾘｽﾄ(4～3月)'!P$26:P$1000)</f>
        <v>0</v>
      </c>
      <c r="N25" s="158">
        <f>SUMIF('内訳ﾘｽﾄ(4～3月)'!$D$26:$D$1000,$B25,'内訳ﾘｽﾄ(4～3月)'!Q$26:Q$1000)</f>
        <v>0</v>
      </c>
      <c r="O25" s="158">
        <f>SUMIF('内訳ﾘｽﾄ(4～3月)'!$D$26:$D$799,'採算表(VND)'!$B25,'内訳ﾘｽﾄ(4～3月)'!R$26:R$799)</f>
        <v>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0</v>
      </c>
      <c r="D26" s="158">
        <f>SUMIF('内訳ﾘｽﾄ(4～3月)'!$D$26:$D$1000,$B26,'内訳ﾘｽﾄ(4～3月)'!G$26:G$1000)</f>
        <v>0</v>
      </c>
      <c r="E26" s="158">
        <f>SUMIF('内訳ﾘｽﾄ(4～3月)'!$D$26:$D$1000,$B26,'内訳ﾘｽﾄ(4～3月)'!H$26:H$1000)</f>
        <v>0</v>
      </c>
      <c r="F26" s="158">
        <f>SUMIF('内訳ﾘｽﾄ(4～3月)'!$D$26:$D$1000,$B26,'内訳ﾘｽﾄ(4～3月)'!I$26:I$1000)</f>
        <v>0</v>
      </c>
      <c r="G26" s="158">
        <f>SUMIF('内訳ﾘｽﾄ(4～3月)'!$D$26:$D$1000,$B26,'内訳ﾘｽﾄ(4～3月)'!J$26:J$1000)</f>
        <v>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0</v>
      </c>
      <c r="D28" s="158">
        <f>SUMIF('内訳ﾘｽﾄ(4～3月)'!$D$26:$D$1000,$B28,'内訳ﾘｽﾄ(4～3月)'!G$26:G$1000)</f>
        <v>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0</v>
      </c>
      <c r="G28" s="158">
        <f>SUMIF('内訳ﾘｽﾄ(4～3月)'!$D$26:$D$1000,$B28,'内訳ﾘｽﾄ(4～3月)'!J$26:J$1000)</f>
        <v>0</v>
      </c>
      <c r="H28" s="158">
        <f>SUMIF('内訳ﾘｽﾄ(4～3月)'!$D$26:$D$1000,$B28,'内訳ﾘｽﾄ(4～3月)'!K$26:K$1000)</f>
        <v>0</v>
      </c>
      <c r="I28" s="158">
        <f>SUMIF('内訳ﾘｽﾄ(4～3月)'!$D$26:$D$1000,$B28,'内訳ﾘｽﾄ(4～3月)'!L$26:L$1000)</f>
        <v>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0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0</v>
      </c>
      <c r="G29" s="158">
        <f>SUMIF('内訳ﾘｽﾄ(4～3月)'!$D$26:$D$1000,$B29,'内訳ﾘｽﾄ(4～3月)'!J$26:J$1000)</f>
        <v>0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0</v>
      </c>
      <c r="D30" s="158">
        <f>SUMIF('内訳ﾘｽﾄ(4～3月)'!$D$26:$D$1000,$B30,'内訳ﾘｽﾄ(4～3月)'!G$26:G$1000)</f>
        <v>0</v>
      </c>
      <c r="E30" s="158">
        <f>SUMIF('内訳ﾘｽﾄ(4～3月)'!$D$26:$D$1000,$B30,'内訳ﾘｽﾄ(4～3月)'!H$26:H$1000)</f>
        <v>0</v>
      </c>
      <c r="F30" s="158">
        <f>SUMIF('内訳ﾘｽﾄ(4～3月)'!$D$26:$D$1000,$B30,'内訳ﾘｽﾄ(4～3月)'!I$26:I$1000)</f>
        <v>0</v>
      </c>
      <c r="G30" s="158">
        <f>SUMIF('内訳ﾘｽﾄ(4～3月)'!$D$26:$D$1000,$B30,'内訳ﾘｽﾄ(4～3月)'!J$26:J$1000)</f>
        <v>0</v>
      </c>
      <c r="H30" s="158">
        <f>SUMIF('内訳ﾘｽﾄ(4～3月)'!$D$26:$D$1000,$B30,'内訳ﾘｽﾄ(4～3月)'!K$26:K$1000)</f>
        <v>0</v>
      </c>
      <c r="I30" s="158">
        <f>SUMIF('内訳ﾘｽﾄ(4～3月)'!$D$26:$D$1000,$B30,'内訳ﾘｽﾄ(4～3月)'!L$26:L$1000)</f>
        <v>0</v>
      </c>
      <c r="J30" s="158">
        <f>SUMIF('内訳ﾘｽﾄ(4～3月)'!$D$26:$D$1000,$B30,'内訳ﾘｽﾄ(4～3月)'!M$26:M$1000)</f>
        <v>0</v>
      </c>
      <c r="K30" s="158">
        <f>SUMIF('内訳ﾘｽﾄ(4～3月)'!$D$26:$D$1000,$B30,'内訳ﾘｽﾄ(4～3月)'!N$26:N$1000)</f>
        <v>0</v>
      </c>
      <c r="L30" s="158">
        <f>SUMIF('内訳ﾘｽﾄ(4～3月)'!$D$26:$D$1000,$B30,'内訳ﾘｽﾄ(4～3月)'!O$26:O$1000)</f>
        <v>0</v>
      </c>
      <c r="M30" s="158">
        <f>SUMIF('内訳ﾘｽﾄ(4～3月)'!$D$26:$D$1000,$B30,'内訳ﾘｽﾄ(4～3月)'!P$26:P$1000)</f>
        <v>0</v>
      </c>
      <c r="N30" s="158">
        <f>SUMIF('内訳ﾘｽﾄ(4～3月)'!$D$26:$D$1000,$B30,'内訳ﾘｽﾄ(4～3月)'!Q$26:Q$1000)</f>
        <v>0</v>
      </c>
      <c r="O30" s="158">
        <f>SUMIF('内訳ﾘｽﾄ(4～3月)'!$D$26:$D$799,'採算表(VND)'!$B30,'内訳ﾘｽﾄ(4～3月)'!R$26:R$799)</f>
        <v>0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0</v>
      </c>
      <c r="D39" s="158">
        <f>SUMIF('内訳ﾘｽﾄ(4～3月)'!$D$26:$D$1000,$B39,'内訳ﾘｽﾄ(4～3月)'!G$26:G$1000)</f>
        <v>0</v>
      </c>
      <c r="E39" s="158">
        <f>SUMIF('内訳ﾘｽﾄ(4～3月)'!$D$26:$D$1000,$B39,'内訳ﾘｽﾄ(4～3月)'!H$26:H$1000)</f>
        <v>0</v>
      </c>
      <c r="F39" s="158">
        <f>SUMIF('内訳ﾘｽﾄ(4～3月)'!$D$26:$D$1000,$B39,'内訳ﾘｽﾄ(4～3月)'!I$26:I$1000)</f>
        <v>0</v>
      </c>
      <c r="G39" s="158">
        <f>SUMIF('内訳ﾘｽﾄ(4～3月)'!$D$26:$D$1000,$B39,'内訳ﾘｽﾄ(4～3月)'!J$26:J$1000)</f>
        <v>0</v>
      </c>
      <c r="H39" s="158">
        <f>SUMIF('内訳ﾘｽﾄ(4～3月)'!$D$26:$D$1000,$B39,'内訳ﾘｽﾄ(4～3月)'!K$26:K$1000)</f>
        <v>0</v>
      </c>
      <c r="I39" s="158">
        <f>SUMIF('内訳ﾘｽﾄ(4～3月)'!$D$26:$D$1000,$B39,'内訳ﾘｽﾄ(4～3月)'!L$26:L$1000)</f>
        <v>0</v>
      </c>
      <c r="J39" s="158">
        <f>SUMIF('内訳ﾘｽﾄ(4～3月)'!$D$26:$D$1000,$B39,'内訳ﾘｽﾄ(4～3月)'!M$26:M$1000)</f>
        <v>0</v>
      </c>
      <c r="K39" s="158">
        <f>SUMIF('内訳ﾘｽﾄ(4～3月)'!$D$26:$D$1000,$B39,'内訳ﾘｽﾄ(4～3月)'!N$26:N$1000)</f>
        <v>0</v>
      </c>
      <c r="L39" s="158">
        <f>SUMIF('内訳ﾘｽﾄ(4～3月)'!$D$26:$D$1000,$B39,'内訳ﾘｽﾄ(4～3月)'!O$26:O$1000)</f>
        <v>0</v>
      </c>
      <c r="M39" s="158">
        <f>SUMIF('内訳ﾘｽﾄ(4～3月)'!$D$26:$D$1000,$B39,'内訳ﾘｽﾄ(4～3月)'!P$26:P$1000)</f>
        <v>0</v>
      </c>
      <c r="N39" s="158">
        <f>SUMIF('内訳ﾘｽﾄ(4～3月)'!$D$26:$D$1000,$B39,'内訳ﾘｽﾄ(4～3月)'!Q$26:Q$1000)</f>
        <v>0</v>
      </c>
      <c r="O39" s="158">
        <f>SUMIF('内訳ﾘｽﾄ(4～3月)'!$D$26:$D$799,'採算表(VND)'!$B39,'内訳ﾘｽﾄ(4～3月)'!R$26:R$799)</f>
        <v>0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0</v>
      </c>
      <c r="D41" s="158">
        <f>SUMIF('内訳ﾘｽﾄ(4～3月)'!$D$26:$D$1000,$B41,'内訳ﾘｽﾄ(4～3月)'!G$26:G$1000)</f>
        <v>0</v>
      </c>
      <c r="E41" s="158">
        <f>SUMIF('内訳ﾘｽﾄ(4～3月)'!$D$26:$D$1000,$B41,'内訳ﾘｽﾄ(4～3月)'!H$26:H$1000)</f>
        <v>0</v>
      </c>
      <c r="F41" s="158">
        <f>SUMIF('内訳ﾘｽﾄ(4～3月)'!$D$26:$D$1000,$B41,'内訳ﾘｽﾄ(4～3月)'!I$26:I$1000)</f>
        <v>0</v>
      </c>
      <c r="G41" s="158">
        <f>SUMIF('内訳ﾘｽﾄ(4～3月)'!$D$26:$D$1000,$B41,'内訳ﾘｽﾄ(4～3月)'!J$26:J$1000)</f>
        <v>0</v>
      </c>
      <c r="H41" s="158">
        <f>SUMIF('内訳ﾘｽﾄ(4～3月)'!$D$26:$D$1000,$B41,'内訳ﾘｽﾄ(4～3月)'!K$26:K$1000)</f>
        <v>0</v>
      </c>
      <c r="I41" s="158">
        <f>SUMIF('内訳ﾘｽﾄ(4～3月)'!$D$26:$D$1000,$B41,'内訳ﾘｽﾄ(4～3月)'!L$26:L$1000)</f>
        <v>0</v>
      </c>
      <c r="J41" s="158">
        <f>SUMIF('内訳ﾘｽﾄ(4～3月)'!$D$26:$D$1000,$B41,'内訳ﾘｽﾄ(4～3月)'!M$26:M$1000)</f>
        <v>0</v>
      </c>
      <c r="K41" s="158">
        <f>SUMIF('内訳ﾘｽﾄ(4～3月)'!$D$26:$D$1000,$B41,'内訳ﾘｽﾄ(4～3月)'!N$26:N$1000)</f>
        <v>0</v>
      </c>
      <c r="L41" s="158">
        <f>SUMIF('内訳ﾘｽﾄ(4～3月)'!$D$26:$D$1000,$B41,'内訳ﾘｽﾄ(4～3月)'!O$26:O$1000)</f>
        <v>0</v>
      </c>
      <c r="M41" s="158">
        <f>SUMIF('内訳ﾘｽﾄ(4～3月)'!$D$26:$D$1000,$B41,'内訳ﾘｽﾄ(4～3月)'!P$26:P$1000)</f>
        <v>0</v>
      </c>
      <c r="N41" s="158">
        <f>SUMIF('内訳ﾘｽﾄ(4～3月)'!$D$26:$D$1000,$B41,'内訳ﾘｽﾄ(4～3月)'!Q$26:Q$1000)</f>
        <v>0</v>
      </c>
      <c r="O41" s="158">
        <f>SUMIF('内訳ﾘｽﾄ(4～3月)'!$D$26:$D$799,'採算表(VND)'!$B41,'内訳ﾘｽﾄ(4～3月)'!R$26:R$799)</f>
        <v>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0</v>
      </c>
      <c r="D42" s="158">
        <f>SUMIF('内訳ﾘｽﾄ(4～3月)'!$D$26:$D$1000,$B42,'内訳ﾘｽﾄ(4～3月)'!G$26:G$1000)</f>
        <v>0</v>
      </c>
      <c r="E42" s="158">
        <f>SUMIF('内訳ﾘｽﾄ(4～3月)'!$D$26:$D$1000,$B42,'内訳ﾘｽﾄ(4～3月)'!H$26:H$1000)</f>
        <v>0</v>
      </c>
      <c r="F42" s="158">
        <f>SUMIF('内訳ﾘｽﾄ(4～3月)'!$D$26:$D$1000,$B42,'内訳ﾘｽﾄ(4～3月)'!I$26:I$1000)</f>
        <v>0</v>
      </c>
      <c r="G42" s="158">
        <f>SUMIF('内訳ﾘｽﾄ(4～3月)'!$D$26:$D$1000,$B42,'内訳ﾘｽﾄ(4～3月)'!J$26:J$1000)</f>
        <v>0</v>
      </c>
      <c r="H42" s="158">
        <f>SUMIF('内訳ﾘｽﾄ(4～3月)'!$D$26:$D$1000,$B42,'内訳ﾘｽﾄ(4～3月)'!K$26:K$1000)</f>
        <v>0</v>
      </c>
      <c r="I42" s="158">
        <f>SUMIF('内訳ﾘｽﾄ(4～3月)'!$D$26:$D$1000,$B42,'内訳ﾘｽﾄ(4～3月)'!L$26:L$1000)</f>
        <v>0</v>
      </c>
      <c r="J42" s="158">
        <f>SUMIF('内訳ﾘｽﾄ(4～3月)'!$D$26:$D$1000,$B42,'内訳ﾘｽﾄ(4～3月)'!M$26:M$1000)</f>
        <v>0</v>
      </c>
      <c r="K42" s="158">
        <f>SUMIF('内訳ﾘｽﾄ(4～3月)'!$D$26:$D$1000,$B42,'内訳ﾘｽﾄ(4～3月)'!N$26:N$1000)</f>
        <v>0</v>
      </c>
      <c r="L42" s="158">
        <f>SUMIF('内訳ﾘｽﾄ(4～3月)'!$D$26:$D$1000,$B42,'内訳ﾘｽﾄ(4～3月)'!O$26:O$1000)</f>
        <v>0</v>
      </c>
      <c r="M42" s="158">
        <f>SUMIF('内訳ﾘｽﾄ(4～3月)'!$D$26:$D$1000,$B42,'内訳ﾘｽﾄ(4～3月)'!P$26:P$1000)</f>
        <v>0</v>
      </c>
      <c r="N42" s="158">
        <f>SUMIF('内訳ﾘｽﾄ(4～3月)'!$D$26:$D$1000,$B42,'内訳ﾘｽﾄ(4～3月)'!Q$26:Q$1000)</f>
        <v>0</v>
      </c>
      <c r="O42" s="158">
        <f>SUMIF('内訳ﾘｽﾄ(4～3月)'!$D$26:$D$799,'採算表(VND)'!$B42,'内訳ﾘｽﾄ(4～3月)'!R$26:R$799)</f>
        <v>0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0</v>
      </c>
      <c r="D44" s="158">
        <f>SUMIF('内訳ﾘｽﾄ(4～3月)'!$D$26:$D$1000,$B44,'内訳ﾘｽﾄ(4～3月)'!G$26:G$1000)</f>
        <v>0</v>
      </c>
      <c r="E44" s="158">
        <f>SUMIF('内訳ﾘｽﾄ(4～3月)'!$D$26:$D$1000,$B44,'内訳ﾘｽﾄ(4～3月)'!H$26:H$1000)</f>
        <v>0</v>
      </c>
      <c r="F44" s="158">
        <f>SUMIF('内訳ﾘｽﾄ(4～3月)'!$D$26:$D$1000,$B44,'内訳ﾘｽﾄ(4～3月)'!I$26:I$1000)</f>
        <v>0</v>
      </c>
      <c r="G44" s="158">
        <f>SUMIF('内訳ﾘｽﾄ(4～3月)'!$D$26:$D$1000,$B44,'内訳ﾘｽﾄ(4～3月)'!J$26:J$1000)</f>
        <v>0</v>
      </c>
      <c r="H44" s="158">
        <f>SUMIF('内訳ﾘｽﾄ(4～3月)'!$D$26:$D$1000,$B44,'内訳ﾘｽﾄ(4～3月)'!K$26:K$1000)</f>
        <v>0</v>
      </c>
      <c r="I44" s="158">
        <f>SUMIF('内訳ﾘｽﾄ(4～3月)'!$D$26:$D$1000,$B44,'内訳ﾘｽﾄ(4～3月)'!L$26:L$1000)</f>
        <v>0</v>
      </c>
      <c r="J44" s="158">
        <f>SUMIF('内訳ﾘｽﾄ(4～3月)'!$D$26:$D$1000,$B44,'内訳ﾘｽﾄ(4～3月)'!M$26:M$1000)</f>
        <v>0</v>
      </c>
      <c r="K44" s="158">
        <f>SUMIF('内訳ﾘｽﾄ(4～3月)'!$D$26:$D$1000,$B44,'内訳ﾘｽﾄ(4～3月)'!N$26:N$1000)</f>
        <v>0</v>
      </c>
      <c r="L44" s="158">
        <f>SUMIF('内訳ﾘｽﾄ(4～3月)'!$D$26:$D$1000,$B44,'内訳ﾘｽﾄ(4～3月)'!O$26:O$1000)</f>
        <v>0</v>
      </c>
      <c r="M44" s="158">
        <f>SUMIF('内訳ﾘｽﾄ(4～3月)'!$D$26:$D$1000,$B44,'内訳ﾘｽﾄ(4～3月)'!P$26:P$1000)</f>
        <v>0</v>
      </c>
      <c r="N44" s="158">
        <f>SUMIF('内訳ﾘｽﾄ(4～3月)'!$D$26:$D$1000,$B44,'内訳ﾘｽﾄ(4～3月)'!Q$26:Q$1000)</f>
        <v>0</v>
      </c>
      <c r="O44" s="158">
        <f>SUMIF('内訳ﾘｽﾄ(4～3月)'!$D$26:$D$799,'採算表(VND)'!$B44,'内訳ﾘｽﾄ(4～3月)'!R$26:R$799)</f>
        <v>0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0</v>
      </c>
      <c r="D57" s="160">
        <f>SUMIF('内訳ﾘｽﾄ(4～3月)'!$D$26:$D$1000,$B57,'内訳ﾘｽﾄ(4～3月)'!G$26:G$1000)</f>
        <v>0</v>
      </c>
      <c r="E57" s="160">
        <f>SUMIF('内訳ﾘｽﾄ(4～3月)'!$D$26:$D$1000,$B57,'内訳ﾘｽﾄ(4～3月)'!H$26:H$1000)</f>
        <v>0</v>
      </c>
      <c r="F57" s="160">
        <f>SUMIF('内訳ﾘｽﾄ(4～3月)'!$D$26:$D$1000,$B57,'内訳ﾘｽﾄ(4～3月)'!I$26:I$1000)</f>
        <v>0</v>
      </c>
      <c r="G57" s="160">
        <f>SUMIF('内訳ﾘｽﾄ(4～3月)'!$D$26:$D$1000,$B57,'内訳ﾘｽﾄ(4～3月)'!J$26:J$1000)</f>
        <v>0</v>
      </c>
      <c r="H57" s="160">
        <f>SUMIF('内訳ﾘｽﾄ(4～3月)'!$D$26:$D$1000,$B57,'内訳ﾘｽﾄ(4～3月)'!K$26:K$1000)</f>
        <v>0</v>
      </c>
      <c r="I57" s="160">
        <f>SUMIF('内訳ﾘｽﾄ(4～3月)'!$D$26:$D$1000,$B57,'内訳ﾘｽﾄ(4～3月)'!L$26:L$1000)</f>
        <v>0</v>
      </c>
      <c r="J57" s="160">
        <f>SUMIF('内訳ﾘｽﾄ(4～3月)'!$D$26:$D$1000,$B57,'内訳ﾘｽﾄ(4～3月)'!M$26:M$1000)</f>
        <v>0</v>
      </c>
      <c r="K57" s="160">
        <f>SUMIF('内訳ﾘｽﾄ(4～3月)'!$D$26:$D$1000,$B57,'内訳ﾘｽﾄ(4～3月)'!N$26:N$1000)</f>
        <v>0</v>
      </c>
      <c r="L57" s="160">
        <f>SUMIF('内訳ﾘｽﾄ(4～3月)'!$D$26:$D$1000,$B57,'内訳ﾘｽﾄ(4～3月)'!O$26:O$1000)</f>
        <v>0</v>
      </c>
      <c r="M57" s="160">
        <f>SUMIF('内訳ﾘｽﾄ(4～3月)'!$D$26:$D$1000,$B57,'内訳ﾘｽﾄ(4～3月)'!P$26:P$1000)</f>
        <v>0</v>
      </c>
      <c r="N57" s="160">
        <f>SUMIF('内訳ﾘｽﾄ(4～3月)'!$D$26:$D$1000,$B57,'内訳ﾘｽﾄ(4～3月)'!Q$26:Q$1000)</f>
        <v>0</v>
      </c>
      <c r="O57" s="160">
        <f>SUMIF('内訳ﾘｽﾄ(4～3月)'!$D$26:$D$799,'採算表(VND)'!$B57,'内訳ﾘｽﾄ(4～3月)'!R$26:R$799)</f>
        <v>0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0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0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0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0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0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0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0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0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0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0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0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0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0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0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0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0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0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0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0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0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0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0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0</v>
      </c>
      <c r="D68" s="162">
        <f>SUMIF('内訳ﾘｽﾄ(4～3月)'!$D$8:$D$15,'採算表(VND)'!$B68,'内訳ﾘｽﾄ(4～3月)'!G$8:G$15)</f>
        <v>0</v>
      </c>
      <c r="E68" s="162">
        <f>SUMIF('内訳ﾘｽﾄ(4～3月)'!$D$8:$D$15,'採算表(VND)'!$B68,'内訳ﾘｽﾄ(4～3月)'!H$8:H$15)</f>
        <v>0</v>
      </c>
      <c r="F68" s="162">
        <f>SUMIF('内訳ﾘｽﾄ(4～3月)'!$D$8:$D$15,'採算表(VND)'!$B68,'内訳ﾘｽﾄ(4～3月)'!I$8:I$15)</f>
        <v>0</v>
      </c>
      <c r="G68" s="162">
        <f>SUMIF('内訳ﾘｽﾄ(4～3月)'!$D$8:$D$15,'採算表(VND)'!$B68,'内訳ﾘｽﾄ(4～3月)'!J$8:J$15)</f>
        <v>0</v>
      </c>
      <c r="H68" s="162">
        <f>SUMIF('内訳ﾘｽﾄ(4～3月)'!$D$8:$D$15,'採算表(VND)'!$B68,'内訳ﾘｽﾄ(4～3月)'!K$8:K$15)</f>
        <v>0</v>
      </c>
      <c r="I68" s="162">
        <f>SUMIF('内訳ﾘｽﾄ(4～3月)'!$D$8:$D$15,'採算表(VND)'!$B68,'内訳ﾘｽﾄ(4～3月)'!L$8:L$15)</f>
        <v>0</v>
      </c>
      <c r="J68" s="162">
        <f>SUMIF('内訳ﾘｽﾄ(4～3月)'!$D$8:$D$15,'採算表(VND)'!$B68,'内訳ﾘｽﾄ(4～3月)'!M$8:M$15)</f>
        <v>0</v>
      </c>
      <c r="K68" s="162">
        <f>SUMIF('内訳ﾘｽﾄ(4～3月)'!$D$8:$D$15,'採算表(VND)'!$B68,'内訳ﾘｽﾄ(4～3月)'!N$8:N$15)</f>
        <v>0</v>
      </c>
      <c r="L68" s="162">
        <f>SUMIF('内訳ﾘｽﾄ(4～3月)'!$D$8:$D$15,'採算表(VND)'!$B68,'内訳ﾘｽﾄ(4～3月)'!O$8:O$15)</f>
        <v>0</v>
      </c>
      <c r="M68" s="162">
        <f>SUMIF('内訳ﾘｽﾄ(4～3月)'!$D$8:$D$15,'採算表(VND)'!$B68,'内訳ﾘｽﾄ(4～3月)'!P$8:P$15)</f>
        <v>0</v>
      </c>
      <c r="N68" s="162">
        <f>SUMIF('内訳ﾘｽﾄ(4～3月)'!$D$8:$D$15,'採算表(VND)'!$B68,'内訳ﾘｽﾄ(4～3月)'!Q$8:Q$15)</f>
        <v>0</v>
      </c>
      <c r="O68" s="162">
        <f>SUMIF('内訳ﾘｽﾄ(4～3月)'!$D$8:$D$15,'採算表(VND)'!$B68,'内訳ﾘｽﾄ(4～3月)'!$R$8:$R$15)</f>
        <v>0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0</v>
      </c>
      <c r="D74" s="162">
        <f>SUMIF('内訳ﾘｽﾄ(4～3月)'!$D$16:$D$23,'採算表(VND)'!$B74,'内訳ﾘｽﾄ(4～3月)'!G$16:G$23)</f>
        <v>0</v>
      </c>
      <c r="E74" s="162">
        <f>SUMIF('内訳ﾘｽﾄ(4～3月)'!$D$16:$D$23,'採算表(VND)'!$B74,'内訳ﾘｽﾄ(4～3月)'!H$16:H$23)</f>
        <v>0</v>
      </c>
      <c r="F74" s="162">
        <f>SUMIF('内訳ﾘｽﾄ(4～3月)'!$D$16:$D$23,'採算表(VND)'!$B74,'内訳ﾘｽﾄ(4～3月)'!I$16:I$23)</f>
        <v>0</v>
      </c>
      <c r="G74" s="162">
        <f>SUMIF('内訳ﾘｽﾄ(4～3月)'!$D$16:$D$23,'採算表(VND)'!$B74,'内訳ﾘｽﾄ(4～3月)'!J$16:J$23)</f>
        <v>0</v>
      </c>
      <c r="H74" s="162">
        <f>SUMIF('内訳ﾘｽﾄ(4～3月)'!$D$16:$D$23,'採算表(VND)'!$B74,'内訳ﾘｽﾄ(4～3月)'!K$16:K$23)</f>
        <v>0</v>
      </c>
      <c r="I74" s="162">
        <f>SUMIF('内訳ﾘｽﾄ(4～3月)'!$D$16:$D$23,'採算表(VND)'!$B74,'内訳ﾘｽﾄ(4～3月)'!L$16:L$23)</f>
        <v>0</v>
      </c>
      <c r="J74" s="162">
        <f>SUMIF('内訳ﾘｽﾄ(4～3月)'!$D$16:$D$23,'採算表(VND)'!$B74,'内訳ﾘｽﾄ(4～3月)'!M$16:M$23)</f>
        <v>0</v>
      </c>
      <c r="K74" s="162">
        <f>SUMIF('内訳ﾘｽﾄ(4～3月)'!$D$16:$D$23,'採算表(VND)'!$B74,'内訳ﾘｽﾄ(4～3月)'!N$16:N$23)</f>
        <v>0</v>
      </c>
      <c r="L74" s="162">
        <f>SUMIF('内訳ﾘｽﾄ(4～3月)'!$D$16:$D$23,'採算表(VND)'!$B74,'内訳ﾘｽﾄ(4～3月)'!O$16:O$23)</f>
        <v>0</v>
      </c>
      <c r="M74" s="162">
        <f>SUMIF('内訳ﾘｽﾄ(4～3月)'!$D$16:$D$23,'採算表(VND)'!$B74,'内訳ﾘｽﾄ(4～3月)'!P$16:P$23)</f>
        <v>0</v>
      </c>
      <c r="N74" s="162">
        <f>SUMIF('内訳ﾘｽﾄ(4～3月)'!$D$16:$D$23,'採算表(VND)'!$B74,'内訳ﾘｽﾄ(4～3月)'!Q$16:Q$23)</f>
        <v>0</v>
      </c>
      <c r="O74" s="162">
        <f>SUMIF('内訳ﾘｽﾄ(4～3月)'!$D$16:$D$23,'採算表(VND)'!$B74,'内訳ﾘｽﾄ(4～3月)'!$R$16:$R$23)</f>
        <v>0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0</v>
      </c>
      <c r="D88" s="150">
        <f>SUMIF('内訳ﾘｽﾄ(4～3月)'!$D$24:$D$25,'採算表(VND)'!$B88,'内訳ﾘｽﾄ(4～3月)'!G$24:G$25)</f>
        <v>0</v>
      </c>
      <c r="E88" s="150">
        <f>SUMIF('内訳ﾘｽﾄ(4～3月)'!$D$24:$D$25,'採算表(VND)'!$B88,'内訳ﾘｽﾄ(4～3月)'!H$24:H$25)</f>
        <v>0</v>
      </c>
      <c r="F88" s="150">
        <f>SUMIF('内訳ﾘｽﾄ(4～3月)'!$D$24:$D$25,'採算表(VND)'!$B88,'内訳ﾘｽﾄ(4～3月)'!I$24:I$25)</f>
        <v>0</v>
      </c>
      <c r="G88" s="150">
        <f>SUMIF('内訳ﾘｽﾄ(4～3月)'!$D$24:$D$25,'採算表(VND)'!$B88,'内訳ﾘｽﾄ(4～3月)'!J$24:J$25)</f>
        <v>0</v>
      </c>
      <c r="H88" s="150">
        <f>SUMIF('内訳ﾘｽﾄ(4～3月)'!$D$24:$D$25,'採算表(VND)'!$B88,'内訳ﾘｽﾄ(4～3月)'!K$24:K$25)</f>
        <v>0</v>
      </c>
      <c r="I88" s="150">
        <f>SUMIF('内訳ﾘｽﾄ(4～3月)'!$D$24:$D$25,'採算表(VND)'!$B88,'内訳ﾘｽﾄ(4～3月)'!L$24:L$25)</f>
        <v>0</v>
      </c>
      <c r="J88" s="150">
        <f>SUMIF('内訳ﾘｽﾄ(4～3月)'!$D$24:$D$25,'採算表(VND)'!$B88,'内訳ﾘｽﾄ(4～3月)'!M$24:M$25)</f>
        <v>0</v>
      </c>
      <c r="K88" s="150">
        <f>SUMIF('内訳ﾘｽﾄ(4～3月)'!$D$24:$D$25,'採算表(VND)'!$B88,'内訳ﾘｽﾄ(4～3月)'!N$24:N$25)</f>
        <v>0</v>
      </c>
      <c r="L88" s="150">
        <f>SUMIF('内訳ﾘｽﾄ(4～3月)'!$D$24:$D$25,'採算表(VND)'!$B88,'内訳ﾘｽﾄ(4～3月)'!O$24:O$25)</f>
        <v>0</v>
      </c>
      <c r="M88" s="150">
        <f>SUMIF('内訳ﾘｽﾄ(4～3月)'!$D$24:$D$25,'採算表(VND)'!$B88,'内訳ﾘｽﾄ(4～3月)'!P$24:P$25)</f>
        <v>0</v>
      </c>
      <c r="N88" s="150">
        <f>SUMIF('内訳ﾘｽﾄ(4～3月)'!$D$24:$D$25,'採算表(VND)'!$B88,'内訳ﾘｽﾄ(4～3月)'!Q$24:Q$25)</f>
        <v>0</v>
      </c>
      <c r="O88" s="150">
        <f>SUMIF('内訳ﾘｽﾄ(4～3月)'!$D$24:$D$25,'採算表(VND)'!$B88,'内訳ﾘｽﾄ(4～3月)'!R$24:R$25)</f>
        <v>0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0</v>
      </c>
      <c r="D89" s="151">
        <f t="shared" si="10"/>
        <v>0</v>
      </c>
      <c r="E89" s="151">
        <f t="shared" si="10"/>
        <v>0</v>
      </c>
      <c r="F89" s="151">
        <f t="shared" si="10"/>
        <v>0</v>
      </c>
      <c r="G89" s="151">
        <f t="shared" si="10"/>
        <v>0</v>
      </c>
      <c r="H89" s="151">
        <f t="shared" si="10"/>
        <v>0</v>
      </c>
      <c r="I89" s="151">
        <f t="shared" si="10"/>
        <v>0</v>
      </c>
      <c r="J89" s="151">
        <f t="shared" si="10"/>
        <v>0</v>
      </c>
      <c r="K89" s="151">
        <f t="shared" si="10"/>
        <v>0</v>
      </c>
      <c r="L89" s="151">
        <f t="shared" si="10"/>
        <v>0</v>
      </c>
      <c r="M89" s="151">
        <f t="shared" si="10"/>
        <v>0</v>
      </c>
      <c r="N89" s="151">
        <f t="shared" si="10"/>
        <v>0</v>
      </c>
      <c r="O89" s="151">
        <f>O87+O88</f>
        <v>0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0</v>
      </c>
      <c r="D93" s="161">
        <f>SUMIF('内訳ﾘｽﾄ(4～3月)'!$B$8:$B$15,$B93,'内訳ﾘｽﾄ(4～3月)'!G$8:G$15)</f>
        <v>0</v>
      </c>
      <c r="E93" s="161">
        <f>SUMIF('内訳ﾘｽﾄ(4～3月)'!$B$8:$B$15,$B93,'内訳ﾘｽﾄ(4～3月)'!H$8:H$15)</f>
        <v>0</v>
      </c>
      <c r="F93" s="161">
        <f>SUMIF('内訳ﾘｽﾄ(4～3月)'!$B$8:$B$15,$B93,'内訳ﾘｽﾄ(4～3月)'!I$8:I$15)</f>
        <v>0</v>
      </c>
      <c r="G93" s="161">
        <f>SUMIF('内訳ﾘｽﾄ(4～3月)'!$B$8:$B$15,$B93,'内訳ﾘｽﾄ(4～3月)'!J$8:J$15)</f>
        <v>0</v>
      </c>
      <c r="H93" s="161">
        <f>SUMIF('内訳ﾘｽﾄ(4～3月)'!$B$8:$B$15,$B93,'内訳ﾘｽﾄ(4～3月)'!K$8:K$15)</f>
        <v>0</v>
      </c>
      <c r="I93" s="161">
        <f>SUMIF('内訳ﾘｽﾄ(4～3月)'!$B$8:$B$15,$B93,'内訳ﾘｽﾄ(4～3月)'!L$8:L$15)</f>
        <v>0</v>
      </c>
      <c r="J93" s="161">
        <f>SUMIF('内訳ﾘｽﾄ(4～3月)'!$B$8:$B$15,$B93,'内訳ﾘｽﾄ(4～3月)'!M$8:M$15)</f>
        <v>0</v>
      </c>
      <c r="K93" s="161">
        <f>SUMIF('内訳ﾘｽﾄ(4～3月)'!$B$8:$B$15,$B93,'内訳ﾘｽﾄ(4～3月)'!N$8:N$15)</f>
        <v>0</v>
      </c>
      <c r="L93" s="161">
        <f>SUMIF('内訳ﾘｽﾄ(4～3月)'!$B$8:$B$15,$B93,'内訳ﾘｽﾄ(4～3月)'!O$8:O$15)</f>
        <v>0</v>
      </c>
      <c r="M93" s="161">
        <f>SUMIF('内訳ﾘｽﾄ(4～3月)'!$B$8:$B$15,$B93,'内訳ﾘｽﾄ(4～3月)'!P$8:P$15)</f>
        <v>0</v>
      </c>
      <c r="N93" s="161">
        <f>SUMIF('内訳ﾘｽﾄ(4～3月)'!$B$8:$B$15,$B93,'内訳ﾘｽﾄ(4～3月)'!Q$8:Q$15)</f>
        <v>0</v>
      </c>
      <c r="O93" s="161">
        <f>SUMIF('内訳ﾘｽﾄ(4～3月)'!$B$8:$B$15,$B93,'内訳ﾘｽﾄ(4～3月)'!R$8:R$15)</f>
        <v>0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0</v>
      </c>
      <c r="D94" s="169">
        <f t="shared" si="11"/>
        <v>0</v>
      </c>
      <c r="E94" s="169">
        <f t="shared" si="11"/>
        <v>0</v>
      </c>
      <c r="F94" s="169">
        <f t="shared" si="11"/>
        <v>0</v>
      </c>
      <c r="G94" s="169">
        <f t="shared" si="11"/>
        <v>0</v>
      </c>
      <c r="H94" s="169">
        <f t="shared" si="11"/>
        <v>0</v>
      </c>
      <c r="I94" s="169">
        <f t="shared" si="11"/>
        <v>0</v>
      </c>
      <c r="J94" s="169">
        <f t="shared" si="11"/>
        <v>0</v>
      </c>
      <c r="K94" s="169">
        <f t="shared" si="11"/>
        <v>0</v>
      </c>
      <c r="L94" s="169">
        <f t="shared" si="11"/>
        <v>0</v>
      </c>
      <c r="M94" s="169">
        <f t="shared" si="11"/>
        <v>0</v>
      </c>
      <c r="N94" s="169">
        <f t="shared" si="11"/>
        <v>0</v>
      </c>
      <c r="O94" s="169">
        <f>O92+O93</f>
        <v>0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0</v>
      </c>
      <c r="D98" s="161">
        <f>SUMIF('内訳ﾘｽﾄ(4～3月)'!$B$16:$B$23,$B98,'内訳ﾘｽﾄ(4～3月)'!G$16:G$23)</f>
        <v>0</v>
      </c>
      <c r="E98" s="161">
        <f>SUMIF('内訳ﾘｽﾄ(4～3月)'!$B$16:$B$23,$B98,'内訳ﾘｽﾄ(4～3月)'!H$16:H$23)</f>
        <v>0</v>
      </c>
      <c r="F98" s="161">
        <f>SUMIF('内訳ﾘｽﾄ(4～3月)'!$B$16:$B$23,$B98,'内訳ﾘｽﾄ(4～3月)'!I$16:I$23)</f>
        <v>0</v>
      </c>
      <c r="G98" s="161">
        <f>SUMIF('内訳ﾘｽﾄ(4～3月)'!$B$16:$B$23,$B98,'内訳ﾘｽﾄ(4～3月)'!J$16:J$23)</f>
        <v>0</v>
      </c>
      <c r="H98" s="161">
        <f>SUMIF('内訳ﾘｽﾄ(4～3月)'!$B$16:$B$23,$B98,'内訳ﾘｽﾄ(4～3月)'!K$16:K$23)</f>
        <v>0</v>
      </c>
      <c r="I98" s="161">
        <f>SUMIF('内訳ﾘｽﾄ(4～3月)'!$B$16:$B$23,$B98,'内訳ﾘｽﾄ(4～3月)'!L$16:L$23)</f>
        <v>0</v>
      </c>
      <c r="J98" s="161">
        <f>SUMIF('内訳ﾘｽﾄ(4～3月)'!$B$16:$B$23,$B98,'内訳ﾘｽﾄ(4～3月)'!M$16:M$23)</f>
        <v>0</v>
      </c>
      <c r="K98" s="161">
        <f>SUMIF('内訳ﾘｽﾄ(4～3月)'!$B$16:$B$23,$B98,'内訳ﾘｽﾄ(4～3月)'!N$16:N$23)</f>
        <v>0</v>
      </c>
      <c r="L98" s="161">
        <f>SUMIF('内訳ﾘｽﾄ(4～3月)'!$B$16:$B$23,$B98,'内訳ﾘｽﾄ(4～3月)'!O$16:O$23)</f>
        <v>0</v>
      </c>
      <c r="M98" s="161">
        <f>SUMIF('内訳ﾘｽﾄ(4～3月)'!$B$16:$B$23,$B98,'内訳ﾘｽﾄ(4～3月)'!P$16:P$23)</f>
        <v>0</v>
      </c>
      <c r="N98" s="161">
        <f>SUMIF('内訳ﾘｽﾄ(4～3月)'!$B$16:$B$23,$B98,'内訳ﾘｽﾄ(4～3月)'!Q$16:Q$23)</f>
        <v>0</v>
      </c>
      <c r="O98" s="161">
        <f>SUMIF('内訳ﾘｽﾄ(4～3月)'!$B$16:$B$23,$B98,'内訳ﾘｽﾄ(4～3月)'!R$16:R$23)</f>
        <v>0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0</v>
      </c>
      <c r="D99" s="169">
        <f t="shared" si="12"/>
        <v>0</v>
      </c>
      <c r="E99" s="169">
        <f t="shared" si="12"/>
        <v>0</v>
      </c>
      <c r="F99" s="169">
        <f t="shared" si="12"/>
        <v>0</v>
      </c>
      <c r="G99" s="169">
        <f t="shared" si="12"/>
        <v>0</v>
      </c>
      <c r="H99" s="169">
        <f t="shared" si="12"/>
        <v>0</v>
      </c>
      <c r="I99" s="169">
        <f t="shared" si="12"/>
        <v>0</v>
      </c>
      <c r="J99" s="169">
        <f t="shared" si="12"/>
        <v>0</v>
      </c>
      <c r="K99" s="169">
        <f t="shared" si="12"/>
        <v>0</v>
      </c>
      <c r="L99" s="169">
        <f t="shared" si="12"/>
        <v>0</v>
      </c>
      <c r="M99" s="169">
        <f t="shared" si="12"/>
        <v>0</v>
      </c>
      <c r="N99" s="169">
        <f t="shared" si="12"/>
        <v>0</v>
      </c>
      <c r="O99" s="169">
        <f>O97+O98</f>
        <v>0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124B1E0-4A1B-4AEB-82E7-B3C26068987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808-C641-4A57-ABBC-5354E4E6AC78}">
  <sheetPr codeName="Sheet3">
    <tabColor indexed="13"/>
  </sheetPr>
  <dimension ref="A1:BC1000"/>
  <sheetViews>
    <sheetView tabSelected="1"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P13" sqref="P13"/>
    </sheetView>
  </sheetViews>
  <sheetFormatPr defaultColWidth="9" defaultRowHeight="11"/>
  <cols>
    <col min="1" max="1" width="2" style="1" customWidth="1"/>
    <col min="2" max="2" width="12.36328125" style="181" customWidth="1"/>
    <col min="3" max="3" width="31" style="4" bestFit="1" customWidth="1"/>
    <col min="4" max="4" width="19.08984375" style="4" bestFit="1" customWidth="1"/>
    <col min="5" max="5" width="7.453125" style="3" customWidth="1"/>
    <col min="6" max="6" width="13" style="124" hidden="1" customWidth="1"/>
    <col min="7" max="10" width="11.6328125" style="125" hidden="1" customWidth="1"/>
    <col min="11" max="11" width="11.90625" style="125" hidden="1" customWidth="1"/>
    <col min="12" max="14" width="11.6328125" style="125" hidden="1" customWidth="1"/>
    <col min="15" max="17" width="11.6328125" style="125" customWidth="1"/>
    <col min="18" max="18" width="14.6328125" style="126" customWidth="1"/>
    <col min="19" max="19" width="53.81640625" style="4" customWidth="1"/>
    <col min="20" max="20" width="18.90625" style="72" customWidth="1"/>
    <col min="21" max="23" width="9" style="4" customWidth="1"/>
    <col min="24" max="16384" width="9" style="4"/>
  </cols>
  <sheetData>
    <row r="1" spans="1:55" ht="25">
      <c r="A1" s="254" t="s">
        <v>671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3.5" thickBot="1">
      <c r="B5" s="174">
        <v>1412000106</v>
      </c>
      <c r="C5" s="7" t="str">
        <f>VLOOKUP($B$5,原価センタ!$A:$E,2,0)</f>
        <v>製造システム開発課</v>
      </c>
      <c r="D5" s="62" t="str">
        <f>VLOOKUP($B$5,原価センタ!$A:$E,4,0)</f>
        <v>部外間接1</v>
      </c>
      <c r="E5" s="62" t="str">
        <f>VLOOKUP($B$5,原価センタ!$A:$E,5,0)</f>
        <v>製造</v>
      </c>
      <c r="F5" s="252">
        <f t="shared" ref="F5:R5" si="0">SUM(F29:F1000)</f>
        <v>0</v>
      </c>
      <c r="G5" s="252">
        <f t="shared" si="0"/>
        <v>0</v>
      </c>
      <c r="H5" s="252">
        <f t="shared" si="0"/>
        <v>0</v>
      </c>
      <c r="I5" s="252">
        <f t="shared" si="0"/>
        <v>0</v>
      </c>
      <c r="J5" s="252">
        <f t="shared" si="0"/>
        <v>0</v>
      </c>
      <c r="K5" s="252">
        <f t="shared" si="0"/>
        <v>0</v>
      </c>
      <c r="L5" s="252">
        <f t="shared" si="0"/>
        <v>0</v>
      </c>
      <c r="M5" s="252">
        <f t="shared" si="0"/>
        <v>0</v>
      </c>
      <c r="N5" s="252">
        <f t="shared" si="0"/>
        <v>0</v>
      </c>
      <c r="O5" s="252">
        <f t="shared" si="0"/>
        <v>0</v>
      </c>
      <c r="P5" s="252">
        <f t="shared" si="0"/>
        <v>0</v>
      </c>
      <c r="Q5" s="252">
        <f t="shared" si="0"/>
        <v>0</v>
      </c>
      <c r="R5" s="253">
        <f t="shared" si="0"/>
        <v>0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">
      <c r="A8" s="182"/>
      <c r="B8" s="259" t="s">
        <v>324</v>
      </c>
      <c r="C8" s="183" t="s">
        <v>334</v>
      </c>
      <c r="D8" s="184" t="s">
        <v>81</v>
      </c>
      <c r="E8" s="185"/>
      <c r="F8" s="186"/>
      <c r="G8" s="186"/>
      <c r="H8" s="186"/>
      <c r="I8" s="186"/>
      <c r="J8" s="186"/>
      <c r="K8" s="186"/>
      <c r="L8" s="186"/>
      <c r="M8" s="186"/>
      <c r="N8" s="186"/>
      <c r="O8" s="301"/>
      <c r="P8" s="301"/>
      <c r="Q8" s="301"/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">
      <c r="A9" s="182"/>
      <c r="B9" s="260" t="s">
        <v>325</v>
      </c>
      <c r="C9" s="183" t="s">
        <v>335</v>
      </c>
      <c r="D9" s="192" t="s">
        <v>81</v>
      </c>
      <c r="E9" s="193"/>
      <c r="F9" s="194"/>
      <c r="G9" s="194"/>
      <c r="H9" s="194"/>
      <c r="I9" s="194"/>
      <c r="J9" s="194"/>
      <c r="K9" s="194"/>
      <c r="L9" s="194"/>
      <c r="M9" s="194"/>
      <c r="N9" s="194"/>
      <c r="O9" s="301">
        <v>0</v>
      </c>
      <c r="P9" s="301">
        <v>0</v>
      </c>
      <c r="Q9" s="301">
        <v>0</v>
      </c>
      <c r="R9" s="195">
        <f t="shared" ref="R9:R23" si="1">SUM(F9:Q9)</f>
        <v>0</v>
      </c>
      <c r="S9" s="196"/>
      <c r="T9" s="197"/>
      <c r="U9" s="190"/>
      <c r="V9" s="190"/>
      <c r="W9" s="190"/>
      <c r="BA9"/>
      <c r="BB9"/>
    </row>
    <row r="10" spans="1:55" s="191" customFormat="1" ht="13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301"/>
      <c r="P10" s="301"/>
      <c r="Q10" s="301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301"/>
      <c r="P11" s="301"/>
      <c r="Q11" s="301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306"/>
      <c r="P12" s="306"/>
      <c r="Q12" s="306"/>
      <c r="R12" s="213">
        <f t="shared" si="1"/>
        <v>0</v>
      </c>
      <c r="S12" s="214" t="s">
        <v>690</v>
      </c>
      <c r="T12" s="207"/>
      <c r="U12" s="190"/>
      <c r="V12" s="190"/>
      <c r="W12" s="190"/>
      <c r="BA12"/>
      <c r="BB12"/>
    </row>
    <row r="13" spans="1:55" s="208" customFormat="1" ht="13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306"/>
      <c r="P13" s="306"/>
      <c r="Q13" s="306"/>
      <c r="R13" s="213">
        <f t="shared" si="1"/>
        <v>0</v>
      </c>
      <c r="S13" s="214" t="s">
        <v>690</v>
      </c>
      <c r="T13" s="207"/>
      <c r="U13" s="190"/>
      <c r="V13" s="190"/>
      <c r="W13" s="190"/>
      <c r="BA13"/>
      <c r="BB13"/>
    </row>
    <row r="14" spans="1:55" s="208" customFormat="1" ht="13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306"/>
      <c r="P14" s="306"/>
      <c r="Q14" s="306"/>
      <c r="R14" s="213">
        <f t="shared" si="1"/>
        <v>0</v>
      </c>
      <c r="S14" s="214" t="s">
        <v>690</v>
      </c>
      <c r="T14" s="207"/>
      <c r="U14" s="190"/>
      <c r="V14" s="190"/>
      <c r="W14" s="190"/>
      <c r="BA14"/>
      <c r="BB14"/>
    </row>
    <row r="15" spans="1:55" s="208" customFormat="1" ht="13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306"/>
      <c r="P15" s="306"/>
      <c r="Q15" s="306"/>
      <c r="R15" s="213">
        <f t="shared" si="1"/>
        <v>0</v>
      </c>
      <c r="S15" s="214" t="s">
        <v>690</v>
      </c>
      <c r="T15" s="207"/>
      <c r="U15" s="190"/>
      <c r="V15" s="190"/>
      <c r="W15" s="190"/>
      <c r="BA15"/>
      <c r="BB15"/>
    </row>
    <row r="16" spans="1:55" s="208" customFormat="1" ht="13">
      <c r="A16" s="203"/>
      <c r="B16" s="263" t="s">
        <v>326</v>
      </c>
      <c r="C16" s="183" t="s">
        <v>338</v>
      </c>
      <c r="D16" s="215" t="s">
        <v>86</v>
      </c>
      <c r="E16" s="204"/>
      <c r="F16" s="216"/>
      <c r="G16" s="216"/>
      <c r="H16" s="216"/>
      <c r="I16" s="216"/>
      <c r="J16" s="216"/>
      <c r="K16" s="216"/>
      <c r="L16" s="216"/>
      <c r="M16" s="216"/>
      <c r="N16" s="216"/>
      <c r="O16" s="301"/>
      <c r="P16" s="301"/>
      <c r="Q16" s="301"/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54" s="191" customFormat="1" ht="13">
      <c r="A17" s="182"/>
      <c r="B17" s="263" t="s">
        <v>327</v>
      </c>
      <c r="C17" s="183" t="s">
        <v>339</v>
      </c>
      <c r="D17" s="215" t="s">
        <v>86</v>
      </c>
      <c r="E17" s="204"/>
      <c r="F17" s="216"/>
      <c r="G17" s="216"/>
      <c r="H17" s="216"/>
      <c r="I17" s="216"/>
      <c r="J17" s="216"/>
      <c r="K17" s="216"/>
      <c r="L17" s="216"/>
      <c r="M17" s="216"/>
      <c r="N17" s="216"/>
      <c r="O17" s="301">
        <v>0</v>
      </c>
      <c r="P17" s="301">
        <v>0</v>
      </c>
      <c r="Q17" s="301">
        <v>0</v>
      </c>
      <c r="R17" s="205">
        <f t="shared" si="1"/>
        <v>0</v>
      </c>
      <c r="S17" s="206"/>
      <c r="T17" s="207"/>
      <c r="U17" s="190"/>
      <c r="V17" s="190"/>
      <c r="W17" s="190"/>
      <c r="BA17"/>
      <c r="BB17"/>
    </row>
    <row r="18" spans="1:54" s="191" customFormat="1" ht="13">
      <c r="A18" s="182"/>
      <c r="B18" s="261" t="s">
        <v>326</v>
      </c>
      <c r="C18" s="183" t="s">
        <v>340</v>
      </c>
      <c r="D18" s="198" t="s">
        <v>86</v>
      </c>
      <c r="E18" s="199"/>
      <c r="F18" s="216"/>
      <c r="G18" s="216"/>
      <c r="H18" s="216"/>
      <c r="I18" s="216"/>
      <c r="J18" s="216"/>
      <c r="K18" s="216"/>
      <c r="L18" s="216"/>
      <c r="M18" s="216"/>
      <c r="N18" s="216"/>
      <c r="O18" s="301"/>
      <c r="P18" s="301"/>
      <c r="Q18" s="301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307"/>
      <c r="P19" s="307"/>
      <c r="Q19" s="307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306"/>
      <c r="P20" s="306"/>
      <c r="Q20" s="306"/>
      <c r="R20" s="213">
        <f t="shared" si="1"/>
        <v>0</v>
      </c>
      <c r="S20" s="214" t="s">
        <v>690</v>
      </c>
      <c r="T20" s="207"/>
      <c r="U20" s="190"/>
      <c r="V20" s="190"/>
      <c r="W20" s="190"/>
      <c r="BA20"/>
      <c r="BB20"/>
    </row>
    <row r="21" spans="1:54" s="208" customFormat="1" ht="13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306"/>
      <c r="P21" s="306"/>
      <c r="Q21" s="306"/>
      <c r="R21" s="213">
        <f t="shared" si="1"/>
        <v>0</v>
      </c>
      <c r="S21" s="214" t="s">
        <v>690</v>
      </c>
      <c r="T21" s="207"/>
      <c r="U21" s="190"/>
      <c r="V21" s="190"/>
      <c r="W21" s="190"/>
      <c r="BA21"/>
      <c r="BB21"/>
    </row>
    <row r="22" spans="1:54" s="208" customFormat="1" ht="13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306"/>
      <c r="P22" s="306"/>
      <c r="Q22" s="306"/>
      <c r="R22" s="213">
        <f t="shared" si="1"/>
        <v>0</v>
      </c>
      <c r="S22" s="214" t="s">
        <v>690</v>
      </c>
      <c r="T22" s="207"/>
      <c r="U22" s="190"/>
      <c r="V22" s="190"/>
      <c r="W22" s="190"/>
      <c r="BA22"/>
      <c r="BB22"/>
    </row>
    <row r="23" spans="1:54" s="208" customFormat="1" ht="13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306"/>
      <c r="P23" s="306"/>
      <c r="Q23" s="306"/>
      <c r="R23" s="213">
        <f t="shared" si="1"/>
        <v>0</v>
      </c>
      <c r="S23" s="214" t="s">
        <v>690</v>
      </c>
      <c r="T23" s="207"/>
      <c r="U23" s="190"/>
      <c r="V23" s="190"/>
      <c r="W23" s="190"/>
      <c r="BA23"/>
      <c r="BB23"/>
    </row>
    <row r="24" spans="1:54" s="208" customFormat="1" ht="13">
      <c r="A24" s="203"/>
      <c r="B24" s="264" t="s">
        <v>343</v>
      </c>
      <c r="C24" s="265" t="s">
        <v>343</v>
      </c>
      <c r="D24" s="266" t="s">
        <v>343</v>
      </c>
      <c r="E24" s="245"/>
      <c r="F24" s="267"/>
      <c r="G24" s="267"/>
      <c r="H24" s="267"/>
      <c r="I24" s="267"/>
      <c r="J24" s="267"/>
      <c r="K24" s="267"/>
      <c r="L24" s="267"/>
      <c r="M24" s="267"/>
      <c r="N24" s="267"/>
      <c r="O24" s="308"/>
      <c r="P24" s="308"/>
      <c r="Q24" s="308"/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54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/>
      <c r="G25" s="271"/>
      <c r="H25" s="271"/>
      <c r="I25" s="271"/>
      <c r="J25" s="271"/>
      <c r="K25" s="271"/>
      <c r="L25" s="271"/>
      <c r="M25" s="271"/>
      <c r="N25" s="271"/>
      <c r="O25" s="301">
        <v>0</v>
      </c>
      <c r="P25" s="301">
        <v>0</v>
      </c>
      <c r="Q25" s="301">
        <v>0</v>
      </c>
      <c r="R25" s="272">
        <f>Q25</f>
        <v>0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1">
        <f t="shared" ref="R26:R118" si="2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21">
        <f t="shared" si="2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21">
        <f t="shared" si="2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3.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6">
        <f t="shared" si="2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2"/>
        <v>0</v>
      </c>
      <c r="S30" s="201"/>
      <c r="T30" s="202"/>
      <c r="U30" s="190"/>
      <c r="V30" s="190"/>
      <c r="W30" s="190"/>
      <c r="BA30"/>
      <c r="BB30"/>
    </row>
    <row r="31" spans="1:54" s="208" customFormat="1" ht="13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2"/>
        <v>0</v>
      </c>
      <c r="S31" s="201" t="s">
        <v>690</v>
      </c>
      <c r="T31" s="202"/>
      <c r="U31" s="190"/>
      <c r="V31" s="190"/>
      <c r="W31" s="190"/>
      <c r="BA31"/>
      <c r="BB31"/>
    </row>
    <row r="32" spans="1:54" s="208" customFormat="1" ht="13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2"/>
        <v>0</v>
      </c>
      <c r="S32" s="201" t="s">
        <v>690</v>
      </c>
      <c r="T32" s="202"/>
      <c r="U32" s="190"/>
      <c r="V32" s="190"/>
      <c r="W32" s="190"/>
      <c r="BA32"/>
      <c r="BB32"/>
    </row>
    <row r="33" spans="1:54" s="208" customFormat="1" ht="13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2"/>
        <v>0</v>
      </c>
      <c r="S33" s="201" t="s">
        <v>690</v>
      </c>
      <c r="T33" s="202"/>
      <c r="U33" s="190"/>
      <c r="V33" s="190"/>
      <c r="W33" s="190"/>
      <c r="BA33"/>
      <c r="BB33"/>
    </row>
    <row r="34" spans="1:54" s="208" customFormat="1" ht="13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2"/>
        <v>0</v>
      </c>
      <c r="S34" s="201" t="s">
        <v>690</v>
      </c>
      <c r="T34" s="202"/>
      <c r="U34" s="190"/>
      <c r="V34" s="190"/>
      <c r="W34" s="190"/>
      <c r="BA34"/>
      <c r="BB34"/>
    </row>
    <row r="35" spans="1:54" s="208" customFormat="1" ht="13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2"/>
        <v>0</v>
      </c>
      <c r="S35" s="201"/>
      <c r="T35" s="202"/>
      <c r="U35" s="190"/>
      <c r="V35" s="190"/>
      <c r="W35" s="190"/>
      <c r="BA35"/>
      <c r="BB35"/>
    </row>
    <row r="36" spans="1:54" s="191" customFormat="1" ht="13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199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2"/>
        <v>0</v>
      </c>
      <c r="S36" s="201"/>
      <c r="T36" s="202"/>
      <c r="U36" s="246"/>
      <c r="V36" s="246"/>
      <c r="W36" s="246"/>
      <c r="BA36"/>
      <c r="BB36"/>
    </row>
    <row r="37" spans="1:54" s="191" customFormat="1" ht="13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199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2"/>
        <v>0</v>
      </c>
      <c r="S37" s="201"/>
      <c r="T37" s="202"/>
      <c r="U37" s="246"/>
      <c r="V37" s="246"/>
      <c r="W37" s="246"/>
      <c r="BA37"/>
      <c r="BB37"/>
    </row>
    <row r="38" spans="1:54" s="191" customFormat="1" ht="13">
      <c r="A38" s="226"/>
      <c r="B38" s="180">
        <v>5005136281</v>
      </c>
      <c r="C38" s="183" t="str">
        <f>IFERROR(IF(VLOOKUP($B38,勘定科目!$A:$H,HLOOKUP($E$5,勘定科目!$F$1:$H$2,2,0),0)="","",VLOOKUP($B38,勘定科目!$A:$E,2,0)),"")</f>
        <v>通信費（製）</v>
      </c>
      <c r="D38" s="239" t="str">
        <f>IF(C38="","",VLOOKUP($B38,勘定科目!$A:$E,4,0))</f>
        <v>通信費</v>
      </c>
      <c r="E38" s="199"/>
      <c r="F38" s="301"/>
      <c r="G38" s="301"/>
      <c r="H38" s="301"/>
      <c r="I38" s="301"/>
      <c r="J38" s="301"/>
      <c r="K38" s="301"/>
      <c r="L38" s="301"/>
      <c r="M38" s="301"/>
      <c r="N38" s="301"/>
      <c r="O38" s="301">
        <v>0</v>
      </c>
      <c r="P38" s="301">
        <v>0</v>
      </c>
      <c r="Q38" s="301">
        <v>0</v>
      </c>
      <c r="R38" s="200">
        <f t="shared" si="2"/>
        <v>0</v>
      </c>
      <c r="S38" s="201" t="s">
        <v>691</v>
      </c>
      <c r="T38" s="202"/>
      <c r="U38" s="246"/>
      <c r="V38" s="246"/>
      <c r="W38" s="246"/>
      <c r="BA38"/>
      <c r="BB38"/>
    </row>
    <row r="39" spans="1:54" s="191" customFormat="1" ht="13">
      <c r="A39" s="226"/>
      <c r="B39" s="180">
        <v>5005136281</v>
      </c>
      <c r="C39" s="183" t="str">
        <f>IFERROR(IF(VLOOKUP($B39,勘定科目!$A:$H,HLOOKUP($E$5,勘定科目!$F$1:$H$2,2,0),0)="","",VLOOKUP($B39,勘定科目!$A:$E,2,0)),"")</f>
        <v>通信費（製）</v>
      </c>
      <c r="D39" s="239" t="str">
        <f>IF(C39="","",VLOOKUP($B39,勘定科目!$A:$E,4,0))</f>
        <v>通信費</v>
      </c>
      <c r="E39" s="199"/>
      <c r="F39" s="301"/>
      <c r="G39" s="300"/>
      <c r="H39" s="300"/>
      <c r="I39" s="300"/>
      <c r="J39" s="300"/>
      <c r="K39" s="300"/>
      <c r="L39" s="300"/>
      <c r="M39" s="300"/>
      <c r="N39" s="300"/>
      <c r="O39" s="300"/>
      <c r="P39" s="300"/>
      <c r="Q39" s="300"/>
      <c r="R39" s="200">
        <f t="shared" si="2"/>
        <v>0</v>
      </c>
      <c r="S39" s="201" t="s">
        <v>692</v>
      </c>
      <c r="T39" s="202"/>
      <c r="U39" s="246"/>
      <c r="V39" s="246"/>
      <c r="W39" s="246"/>
      <c r="BA39"/>
      <c r="BB39"/>
    </row>
    <row r="40" spans="1:54" s="191" customFormat="1" ht="13">
      <c r="A40" s="226"/>
      <c r="B40" s="180">
        <v>5005066281</v>
      </c>
      <c r="C40" s="183" t="str">
        <f>IFERROR(IF(VLOOKUP($B40,勘定科目!$A:$H,HLOOKUP($E$5,勘定科目!$F$1:$H$2,2,0),0)="","",VLOOKUP($B40,勘定科目!$A:$E,2,0)),"")</f>
        <v>電気代（製）</v>
      </c>
      <c r="D40" s="239" t="str">
        <f>IF(C40="","",VLOOKUP($B40,勘定科目!$A:$E,4,0))</f>
        <v>水道光熱費</v>
      </c>
      <c r="E40" s="199"/>
      <c r="F40" s="301"/>
      <c r="G40" s="300"/>
      <c r="H40" s="300"/>
      <c r="I40" s="300"/>
      <c r="J40" s="300"/>
      <c r="K40" s="300"/>
      <c r="L40" s="300"/>
      <c r="M40" s="300"/>
      <c r="N40" s="300"/>
      <c r="O40" s="301">
        <v>0</v>
      </c>
      <c r="P40" s="301">
        <v>0</v>
      </c>
      <c r="Q40" s="301">
        <v>0</v>
      </c>
      <c r="R40" s="200">
        <f t="shared" si="2"/>
        <v>0</v>
      </c>
      <c r="S40" s="201" t="s">
        <v>693</v>
      </c>
      <c r="T40" s="202"/>
      <c r="U40" s="246"/>
      <c r="V40" s="246"/>
      <c r="W40" s="246"/>
      <c r="BA40"/>
      <c r="BB40"/>
    </row>
    <row r="41" spans="1:54" s="191" customFormat="1" ht="13">
      <c r="A41" s="226"/>
      <c r="B41" s="180">
        <v>5005066282</v>
      </c>
      <c r="C41" s="183" t="str">
        <f>IFERROR(IF(VLOOKUP($B41,勘定科目!$A:$H,HLOOKUP($E$5,勘定科目!$F$1:$H$2,2,0),0)="","",VLOOKUP($B41,勘定科目!$A:$E,2,0)),"")</f>
        <v>水道代（製）</v>
      </c>
      <c r="D41" s="239" t="str">
        <f>IF(C41="","",VLOOKUP($B41,勘定科目!$A:$E,4,0))</f>
        <v>水道光熱費</v>
      </c>
      <c r="E41" s="199"/>
      <c r="F41" s="301"/>
      <c r="G41" s="300"/>
      <c r="H41" s="300"/>
      <c r="I41" s="300"/>
      <c r="J41" s="300"/>
      <c r="K41" s="300"/>
      <c r="L41" s="300"/>
      <c r="M41" s="300"/>
      <c r="N41" s="300"/>
      <c r="O41" s="301">
        <v>0</v>
      </c>
      <c r="P41" s="301">
        <v>0</v>
      </c>
      <c r="Q41" s="301">
        <v>0</v>
      </c>
      <c r="R41" s="200">
        <f t="shared" si="2"/>
        <v>0</v>
      </c>
      <c r="S41" s="201" t="s">
        <v>694</v>
      </c>
      <c r="T41" s="202"/>
      <c r="U41" s="246"/>
      <c r="V41" s="246"/>
      <c r="W41" s="246"/>
      <c r="BA41"/>
      <c r="BB41"/>
    </row>
    <row r="42" spans="1:54" s="191" customFormat="1" ht="13">
      <c r="A42" s="226"/>
      <c r="B42" s="180">
        <v>5005056281</v>
      </c>
      <c r="C42" s="183" t="str">
        <f>IFERROR(IF(VLOOKUP($B42,勘定科目!$A:$H,HLOOKUP($E$5,勘定科目!$F$1:$H$2,2,0),0)="","",VLOOKUP($B42,勘定科目!$A:$E,2,0)),"")</f>
        <v>ガス代（製）</v>
      </c>
      <c r="D42" s="239" t="str">
        <f>IF(C42="","",VLOOKUP($B42,勘定科目!$A:$E,4,0))</f>
        <v>水道光熱費</v>
      </c>
      <c r="E42" s="199"/>
      <c r="F42" s="301"/>
      <c r="G42" s="300"/>
      <c r="H42" s="300"/>
      <c r="I42" s="300"/>
      <c r="J42" s="300"/>
      <c r="K42" s="300"/>
      <c r="L42" s="300"/>
      <c r="M42" s="300"/>
      <c r="N42" s="300"/>
      <c r="O42" s="301">
        <v>0</v>
      </c>
      <c r="P42" s="301">
        <v>0</v>
      </c>
      <c r="Q42" s="301">
        <v>0</v>
      </c>
      <c r="R42" s="200">
        <f t="shared" si="2"/>
        <v>0</v>
      </c>
      <c r="S42" s="201" t="s">
        <v>695</v>
      </c>
      <c r="T42" s="202"/>
      <c r="U42" s="246"/>
      <c r="V42" s="246"/>
      <c r="W42" s="246"/>
      <c r="BA42"/>
      <c r="BB42"/>
    </row>
    <row r="43" spans="1:54" s="191" customFormat="1" ht="13">
      <c r="A43" s="226"/>
      <c r="B43" s="180"/>
      <c r="C43" s="183" t="str">
        <f>IFERROR(IF(VLOOKUP($B43,勘定科目!$A:$H,HLOOKUP($E$5,勘定科目!$F$1:$H$2,2,0),0)="","",VLOOKUP($B43,勘定科目!$A:$E,2,0)),"")</f>
        <v/>
      </c>
      <c r="D43" s="239" t="str">
        <f>IF(C43="","",VLOOKUP($B43,勘定科目!$A:$E,4,0))</f>
        <v/>
      </c>
      <c r="E43" s="199"/>
      <c r="F43" s="301"/>
      <c r="G43" s="300"/>
      <c r="H43" s="300"/>
      <c r="I43" s="300"/>
      <c r="J43" s="300"/>
      <c r="K43" s="300"/>
      <c r="L43" s="300"/>
      <c r="M43" s="300"/>
      <c r="N43" s="300"/>
      <c r="O43" s="300"/>
      <c r="P43" s="300"/>
      <c r="Q43" s="300"/>
      <c r="R43" s="200">
        <f t="shared" si="2"/>
        <v>0</v>
      </c>
      <c r="S43" s="201"/>
      <c r="T43" s="202"/>
      <c r="U43" s="246"/>
      <c r="V43" s="246"/>
      <c r="W43" s="246"/>
      <c r="BA43"/>
      <c r="BB43"/>
    </row>
    <row r="44" spans="1:54" s="191" customFormat="1" ht="13">
      <c r="A44" s="226"/>
      <c r="B44" s="180">
        <v>5005246286</v>
      </c>
      <c r="C44" s="183" t="str">
        <f>IFERROR(IF(VLOOKUP($B44,勘定科目!$A:$H,HLOOKUP($E$5,勘定科目!$F$1:$H$2,2,0),0)="","",VLOOKUP($B44,勘定科目!$A:$E,2,0)),"")</f>
        <v>その他手数料（製）</v>
      </c>
      <c r="D44" s="239" t="str">
        <f>IF(C44="","",VLOOKUP($B44,勘定科目!$A:$E,4,0))</f>
        <v>手数料</v>
      </c>
      <c r="E44" s="199"/>
      <c r="F44" s="301"/>
      <c r="G44" s="300"/>
      <c r="H44" s="300"/>
      <c r="I44" s="300"/>
      <c r="J44" s="300"/>
      <c r="K44" s="300"/>
      <c r="L44" s="300"/>
      <c r="M44" s="300"/>
      <c r="N44" s="300"/>
      <c r="O44" s="301">
        <v>0</v>
      </c>
      <c r="P44" s="301">
        <v>0</v>
      </c>
      <c r="Q44" s="301">
        <v>0</v>
      </c>
      <c r="R44" s="200">
        <f t="shared" si="2"/>
        <v>0</v>
      </c>
      <c r="S44" s="201" t="s">
        <v>696</v>
      </c>
      <c r="T44" s="202"/>
      <c r="U44" s="246"/>
      <c r="V44" s="246"/>
      <c r="W44" s="246"/>
      <c r="BA44"/>
      <c r="BB44"/>
    </row>
    <row r="45" spans="1:54" s="191" customFormat="1" ht="13">
      <c r="A45" s="226"/>
      <c r="B45" s="180"/>
      <c r="C45" s="183" t="str">
        <f>IFERROR(IF(VLOOKUP($B45,勘定科目!$A:$H,HLOOKUP($E$5,勘定科目!$F$1:$H$2,2,0),0)="","",VLOOKUP($B45,勘定科目!$A:$E,2,0)),"")</f>
        <v/>
      </c>
      <c r="D45" s="239" t="str">
        <f>IF(C45="","",VLOOKUP($B45,勘定科目!$A:$E,4,0))</f>
        <v/>
      </c>
      <c r="E45" s="199"/>
      <c r="F45" s="301"/>
      <c r="G45" s="300"/>
      <c r="H45" s="300"/>
      <c r="I45" s="300"/>
      <c r="J45" s="300"/>
      <c r="K45" s="300"/>
      <c r="L45" s="300"/>
      <c r="M45" s="300"/>
      <c r="N45" s="300"/>
      <c r="O45" s="300"/>
      <c r="P45" s="300"/>
      <c r="Q45" s="300"/>
      <c r="R45" s="200">
        <f t="shared" si="2"/>
        <v>0</v>
      </c>
      <c r="S45" s="201"/>
      <c r="T45" s="202"/>
      <c r="U45" s="246"/>
      <c r="V45" s="246"/>
      <c r="W45" s="246"/>
      <c r="BA45"/>
      <c r="BB45"/>
    </row>
    <row r="46" spans="1:54" s="191" customFormat="1" ht="13">
      <c r="A46" s="226"/>
      <c r="B46" s="180">
        <v>5006016260</v>
      </c>
      <c r="C46" s="183" t="str">
        <f>IFERROR(IF(VLOOKUP($B46,勘定科目!$A:$H,HLOOKUP($E$5,勘定科目!$F$1:$H$2,2,0),0)="","",VLOOKUP($B46,勘定科目!$A:$E,2,0)),"")</f>
        <v>減価償却費配賦（製）　建物</v>
      </c>
      <c r="D46" s="239" t="str">
        <f>IF(C46="","",VLOOKUP($B46,勘定科目!$A:$E,4,0))</f>
        <v>減価償却費</v>
      </c>
      <c r="E46" s="199"/>
      <c r="F46" s="300"/>
      <c r="G46" s="300"/>
      <c r="H46" s="300"/>
      <c r="I46" s="300"/>
      <c r="J46" s="300"/>
      <c r="K46" s="300"/>
      <c r="L46" s="300"/>
      <c r="M46" s="300"/>
      <c r="N46" s="300"/>
      <c r="O46" s="301">
        <v>0</v>
      </c>
      <c r="P46" s="301">
        <v>0</v>
      </c>
      <c r="Q46" s="301">
        <v>0</v>
      </c>
      <c r="R46" s="200">
        <f t="shared" si="2"/>
        <v>0</v>
      </c>
      <c r="S46" s="201" t="s">
        <v>697</v>
      </c>
      <c r="T46" s="202"/>
      <c r="U46" s="246"/>
      <c r="V46" s="246"/>
      <c r="W46" s="246"/>
      <c r="BA46"/>
      <c r="BB46"/>
    </row>
    <row r="47" spans="1:54" s="191" customFormat="1" ht="13">
      <c r="A47" s="226"/>
      <c r="B47" s="180">
        <v>5006016261</v>
      </c>
      <c r="C47" s="183" t="str">
        <f>IFERROR(IF(VLOOKUP($B47,勘定科目!$A:$H,HLOOKUP($E$5,勘定科目!$F$1:$H$2,2,0),0)="","",VLOOKUP($B47,勘定科目!$A:$E,2,0)),"")</f>
        <v>減価償却費配賦（製）　土地使用権</v>
      </c>
      <c r="D47" s="239" t="str">
        <f>IF(C47="","",VLOOKUP($B47,勘定科目!$A:$E,4,0))</f>
        <v>減価償却費</v>
      </c>
      <c r="E47" s="199"/>
      <c r="F47" s="300"/>
      <c r="G47" s="300"/>
      <c r="H47" s="300"/>
      <c r="I47" s="300"/>
      <c r="J47" s="300"/>
      <c r="K47" s="300"/>
      <c r="L47" s="300"/>
      <c r="M47" s="300"/>
      <c r="N47" s="300"/>
      <c r="O47" s="301">
        <v>0</v>
      </c>
      <c r="P47" s="301">
        <v>0</v>
      </c>
      <c r="Q47" s="301">
        <v>0</v>
      </c>
      <c r="R47" s="200">
        <f t="shared" si="2"/>
        <v>0</v>
      </c>
      <c r="S47" s="201" t="s">
        <v>698</v>
      </c>
      <c r="T47" s="202"/>
      <c r="U47" s="246"/>
      <c r="V47" s="246"/>
      <c r="W47" s="246"/>
      <c r="BA47"/>
      <c r="BB47"/>
    </row>
    <row r="48" spans="1:54" s="191" customFormat="1" ht="13">
      <c r="A48" s="226"/>
      <c r="B48" s="180">
        <v>5006016244</v>
      </c>
      <c r="C48" s="183" t="str">
        <f>IFERROR(IF(VLOOKUP($B48,勘定科目!$A:$H,HLOOKUP($E$5,勘定科目!$F$1:$H$2,2,0),0)="","",VLOOKUP($B48,勘定科目!$A:$E,2,0)),"")</f>
        <v>減価償却費（製）　工具器具備品</v>
      </c>
      <c r="D48" s="239" t="str">
        <f>IF(C48="","",VLOOKUP($B48,勘定科目!$A:$E,4,0))</f>
        <v>減価償却費</v>
      </c>
      <c r="E48" s="199"/>
      <c r="F48" s="301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200">
        <f t="shared" si="2"/>
        <v>0</v>
      </c>
      <c r="S48" s="201" t="s">
        <v>699</v>
      </c>
      <c r="T48" s="202"/>
      <c r="U48" s="246"/>
      <c r="V48" s="246"/>
      <c r="W48" s="246"/>
      <c r="BA48"/>
      <c r="BB48"/>
    </row>
    <row r="49" spans="1:54" s="191" customFormat="1" ht="13">
      <c r="A49" s="226"/>
      <c r="B49" s="180"/>
      <c r="C49" s="183" t="str">
        <f>IFERROR(IF(VLOOKUP($B49,勘定科目!$A:$H,HLOOKUP($E$5,勘定科目!$F$1:$H$2,2,0),0)="","",VLOOKUP($B49,勘定科目!$A:$E,2,0)),"")</f>
        <v/>
      </c>
      <c r="D49" s="239" t="str">
        <f>IF(C49="","",VLOOKUP($B49,勘定科目!$A:$E,4,0))</f>
        <v/>
      </c>
      <c r="E49" s="199"/>
      <c r="F49" s="301"/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200">
        <f t="shared" si="2"/>
        <v>0</v>
      </c>
      <c r="S49" s="201"/>
      <c r="T49" s="202"/>
      <c r="U49" s="246"/>
      <c r="V49" s="246"/>
      <c r="W49" s="246"/>
      <c r="BA49"/>
      <c r="BB49"/>
    </row>
    <row r="50" spans="1:54" s="191" customFormat="1" ht="13">
      <c r="A50" s="226"/>
      <c r="B50" s="180">
        <v>9114120007</v>
      </c>
      <c r="C50" s="183" t="str">
        <f>IFERROR(IF(VLOOKUP($B50,勘定科目!$A:$H,HLOOKUP($E$5,勘定科目!$F$1:$H$2,2,0),0)="","",VLOOKUP($B50,勘定科目!$A:$E,2,0)),"")</f>
        <v>社内金利（固定資産）</v>
      </c>
      <c r="D50" s="239" t="str">
        <f>IF(C50="","",VLOOKUP($B50,勘定科目!$A:$E,4,0))</f>
        <v>固定資産金利</v>
      </c>
      <c r="E50" s="199"/>
      <c r="F50" s="300"/>
      <c r="G50" s="300"/>
      <c r="H50" s="300"/>
      <c r="I50" s="300"/>
      <c r="J50" s="300"/>
      <c r="K50" s="300"/>
      <c r="L50" s="300"/>
      <c r="M50" s="300"/>
      <c r="N50" s="300"/>
      <c r="O50" s="301">
        <v>0</v>
      </c>
      <c r="P50" s="301">
        <v>0</v>
      </c>
      <c r="Q50" s="301">
        <v>0</v>
      </c>
      <c r="R50" s="200">
        <f t="shared" si="2"/>
        <v>0</v>
      </c>
      <c r="S50" s="201" t="s">
        <v>700</v>
      </c>
      <c r="T50" s="202"/>
      <c r="U50" s="246"/>
      <c r="V50" s="246"/>
      <c r="W50" s="246"/>
      <c r="BA50"/>
      <c r="BB50"/>
    </row>
    <row r="51" spans="1:54" s="191" customFormat="1" ht="13">
      <c r="A51" s="226"/>
      <c r="B51" s="180">
        <v>9114120007</v>
      </c>
      <c r="C51" s="183" t="str">
        <f>IFERROR(IF(VLOOKUP($B51,勘定科目!$A:$H,HLOOKUP($E$5,勘定科目!$F$1:$H$2,2,0),0)="","",VLOOKUP($B51,勘定科目!$A:$E,2,0)),"")</f>
        <v>社内金利（固定資産）</v>
      </c>
      <c r="D51" s="239" t="str">
        <f>IF(C51="","",VLOOKUP($B51,勘定科目!$A:$E,4,0))</f>
        <v>固定資産金利</v>
      </c>
      <c r="E51" s="199"/>
      <c r="F51" s="300"/>
      <c r="G51" s="300"/>
      <c r="H51" s="300"/>
      <c r="I51" s="300"/>
      <c r="J51" s="300"/>
      <c r="K51" s="300"/>
      <c r="L51" s="300"/>
      <c r="M51" s="300"/>
      <c r="N51" s="300"/>
      <c r="O51" s="301">
        <v>0</v>
      </c>
      <c r="P51" s="301">
        <v>0</v>
      </c>
      <c r="Q51" s="301">
        <v>0</v>
      </c>
      <c r="R51" s="200">
        <f t="shared" si="2"/>
        <v>0</v>
      </c>
      <c r="S51" s="201" t="s">
        <v>701</v>
      </c>
      <c r="T51" s="202"/>
      <c r="U51" s="246"/>
      <c r="V51" s="246"/>
      <c r="W51" s="246"/>
      <c r="BA51"/>
      <c r="BB51"/>
    </row>
    <row r="52" spans="1:54" s="191" customFormat="1" ht="13">
      <c r="A52" s="226"/>
      <c r="B52" s="180">
        <v>9114120007</v>
      </c>
      <c r="C52" s="183" t="str">
        <f>IFERROR(IF(VLOOKUP($B52,勘定科目!$A:$H,HLOOKUP($E$5,勘定科目!$F$1:$H$2,2,0),0)="","",VLOOKUP($B52,勘定科目!$A:$E,2,0)),"")</f>
        <v>社内金利（固定資産）</v>
      </c>
      <c r="D52" s="239" t="str">
        <f>IF(C52="","",VLOOKUP($B52,勘定科目!$A:$E,4,0))</f>
        <v>固定資産金利</v>
      </c>
      <c r="E52" s="199"/>
      <c r="F52" s="194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00">
        <f t="shared" si="2"/>
        <v>0</v>
      </c>
      <c r="S52" s="201" t="s">
        <v>702</v>
      </c>
      <c r="T52" s="202"/>
      <c r="U52" s="246"/>
      <c r="V52" s="246"/>
      <c r="W52" s="246"/>
      <c r="BA52"/>
      <c r="BB52"/>
    </row>
    <row r="53" spans="1:54" s="191" customFormat="1" ht="13">
      <c r="A53" s="226"/>
      <c r="B53" s="180"/>
      <c r="C53" s="183" t="str">
        <f>IFERROR(IF(VLOOKUP($B53,勘定科目!$A:$H,HLOOKUP($E$5,勘定科目!$F$1:$H$2,2,0),0)="","",VLOOKUP($B53,勘定科目!$A:$E,2,0)),"")</f>
        <v/>
      </c>
      <c r="D53" s="239" t="str">
        <f>IF(C53="","",VLOOKUP($B53,勘定科目!$A:$E,4,0))</f>
        <v/>
      </c>
      <c r="E53" s="199"/>
      <c r="F53" s="194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00">
        <f t="shared" si="2"/>
        <v>0</v>
      </c>
      <c r="S53" s="201"/>
      <c r="T53" s="202"/>
      <c r="U53" s="246"/>
      <c r="V53" s="246"/>
      <c r="W53" s="246"/>
      <c r="BA53"/>
      <c r="BB53"/>
    </row>
    <row r="54" spans="1:54" s="191" customFormat="1" ht="13">
      <c r="A54" s="226"/>
      <c r="B54" s="180">
        <v>5004086291</v>
      </c>
      <c r="C54" s="183" t="str">
        <f>IFERROR(IF(VLOOKUP($B54,勘定科目!$A:$H,HLOOKUP($E$5,勘定科目!$F$1:$H$2,2,0),0)="","",VLOOKUP($B54,勘定科目!$A:$E,2,0)),"")</f>
        <v>福利厚生費（製）</v>
      </c>
      <c r="D54" s="239" t="str">
        <f>IF(C54="","",VLOOKUP($B54,勘定科目!$A:$E,4,0))</f>
        <v>福利厚生費</v>
      </c>
      <c r="E54" s="199"/>
      <c r="F54" s="194"/>
      <c r="G54" s="247"/>
      <c r="H54" s="247"/>
      <c r="I54" s="247"/>
      <c r="J54" s="247"/>
      <c r="K54" s="247"/>
      <c r="L54" s="247"/>
      <c r="M54" s="247"/>
      <c r="N54" s="247"/>
      <c r="O54" s="247"/>
      <c r="P54" s="300"/>
      <c r="Q54" s="300"/>
      <c r="R54" s="200">
        <f t="shared" si="2"/>
        <v>0</v>
      </c>
      <c r="S54" s="201" t="s">
        <v>779</v>
      </c>
      <c r="T54" s="202"/>
      <c r="U54" s="246"/>
      <c r="V54" s="246"/>
      <c r="W54" s="246"/>
      <c r="BA54"/>
      <c r="BB54"/>
    </row>
    <row r="55" spans="1:54" s="191" customFormat="1" ht="13">
      <c r="A55" s="226"/>
      <c r="B55" s="180">
        <v>5004086291</v>
      </c>
      <c r="C55" s="183" t="str">
        <f>IFERROR(IF(VLOOKUP($B55,勘定科目!$A:$H,HLOOKUP($E$5,勘定科目!$F$1:$H$2,2,0),0)="","",VLOOKUP($B55,勘定科目!$A:$E,2,0)),"")</f>
        <v>福利厚生費（製）</v>
      </c>
      <c r="D55" s="239" t="str">
        <f>IF(C55="","",VLOOKUP($B55,勘定科目!$A:$E,4,0))</f>
        <v>福利厚生費</v>
      </c>
      <c r="E55" s="199"/>
      <c r="F55" s="301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00">
        <f t="shared" si="2"/>
        <v>0</v>
      </c>
      <c r="S55" s="201" t="s">
        <v>703</v>
      </c>
      <c r="T55" s="202"/>
      <c r="U55" s="246"/>
      <c r="V55" s="246"/>
      <c r="W55" s="246"/>
      <c r="BA55"/>
      <c r="BB55"/>
    </row>
    <row r="56" spans="1:54" s="191" customFormat="1" ht="13">
      <c r="A56" s="226"/>
      <c r="B56" s="180">
        <v>5004086291</v>
      </c>
      <c r="C56" s="183" t="str">
        <f>IFERROR(IF(VLOOKUP($B56,勘定科目!$A:$H,HLOOKUP($E$5,勘定科目!$F$1:$H$2,2,0),0)="","",VLOOKUP($B56,勘定科目!$A:$E,2,0)),"")</f>
        <v>福利厚生費（製）</v>
      </c>
      <c r="D56" s="239" t="str">
        <f>IF(C56="","",VLOOKUP($B56,勘定科目!$A:$E,4,0))</f>
        <v>福利厚生費</v>
      </c>
      <c r="E56" s="199"/>
      <c r="F56" s="301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2"/>
        <v>0</v>
      </c>
      <c r="S56" s="201" t="s">
        <v>704</v>
      </c>
      <c r="T56" s="202"/>
      <c r="U56" s="246"/>
      <c r="V56" s="246"/>
      <c r="W56" s="246"/>
      <c r="BA56"/>
      <c r="BB56"/>
    </row>
    <row r="57" spans="1:54" s="191" customFormat="1" ht="13">
      <c r="A57" s="226"/>
      <c r="B57" s="180">
        <v>5004086291</v>
      </c>
      <c r="C57" s="183" t="str">
        <f>IFERROR(IF(VLOOKUP($B57,勘定科目!$A:$H,HLOOKUP($E$5,勘定科目!$F$1:$H$2,2,0),0)="","",VLOOKUP($B57,勘定科目!$A:$E,2,0)),"")</f>
        <v>福利厚生費（製）</v>
      </c>
      <c r="D57" s="239" t="str">
        <f>IF(C57="","",VLOOKUP($B57,勘定科目!$A:$E,4,0))</f>
        <v>福利厚生費</v>
      </c>
      <c r="E57" s="199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2"/>
        <v>0</v>
      </c>
      <c r="S57" s="201" t="s">
        <v>705</v>
      </c>
      <c r="T57" s="202"/>
      <c r="U57" s="246"/>
      <c r="V57" s="246"/>
      <c r="W57" s="246"/>
      <c r="BA57"/>
      <c r="BB57"/>
    </row>
    <row r="58" spans="1:54" s="191" customFormat="1" ht="13">
      <c r="A58" s="226"/>
      <c r="B58" s="180">
        <v>5004086291</v>
      </c>
      <c r="C58" s="183" t="str">
        <f>IFERROR(IF(VLOOKUP($B58,勘定科目!$A:$H,HLOOKUP($E$5,勘定科目!$F$1:$H$2,2,0),0)="","",VLOOKUP($B58,勘定科目!$A:$E,2,0)),"")</f>
        <v>福利厚生費（製）</v>
      </c>
      <c r="D58" s="239" t="str">
        <f>IF(C58="","",VLOOKUP($B58,勘定科目!$A:$E,4,0))</f>
        <v>福利厚生費</v>
      </c>
      <c r="E58" s="199"/>
      <c r="F58" s="194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00">
        <f t="shared" si="2"/>
        <v>0</v>
      </c>
      <c r="S58" s="201" t="s">
        <v>706</v>
      </c>
      <c r="T58" s="202"/>
      <c r="U58" s="246"/>
      <c r="V58" s="246"/>
      <c r="W58" s="246"/>
      <c r="BA58"/>
      <c r="BB58"/>
    </row>
    <row r="59" spans="1:54" s="191" customFormat="1" ht="13">
      <c r="A59" s="226"/>
      <c r="B59" s="18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39" t="str">
        <f>IF(C59="","",VLOOKUP($B59,勘定科目!$A:$E,4,0))</f>
        <v>福利厚生費</v>
      </c>
      <c r="E59" s="199"/>
      <c r="F59" s="194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00">
        <f t="shared" si="2"/>
        <v>0</v>
      </c>
      <c r="S59" s="201" t="s">
        <v>707</v>
      </c>
      <c r="T59" s="202"/>
      <c r="U59" s="246"/>
      <c r="V59" s="246"/>
      <c r="W59" s="246"/>
      <c r="BA59"/>
      <c r="BB59"/>
    </row>
    <row r="60" spans="1:54" s="191" customFormat="1" ht="13">
      <c r="A60" s="226"/>
      <c r="B60" s="18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39" t="str">
        <f>IF(C60="","",VLOOKUP($B60,勘定科目!$A:$E,4,0))</f>
        <v>福利厚生費</v>
      </c>
      <c r="E60" s="199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00">
        <f t="shared" si="2"/>
        <v>0</v>
      </c>
      <c r="S60" s="201" t="s">
        <v>708</v>
      </c>
      <c r="T60" s="202"/>
      <c r="U60" s="246"/>
      <c r="V60" s="246"/>
      <c r="W60" s="246"/>
      <c r="BA60"/>
      <c r="BB60"/>
    </row>
    <row r="61" spans="1:54" s="191" customFormat="1" ht="13">
      <c r="A61" s="226"/>
      <c r="B61" s="180">
        <v>5004086291</v>
      </c>
      <c r="C61" s="183" t="str">
        <f>IFERROR(IF(VLOOKUP($B61,勘定科目!$A:$H,HLOOKUP($E$5,勘定科目!$F$1:$H$2,2,0),0)="","",VLOOKUP($B61,勘定科目!$A:$E,2,0)),"")</f>
        <v>福利厚生費（製）</v>
      </c>
      <c r="D61" s="239" t="str">
        <f>IF(C61="","",VLOOKUP($B61,勘定科目!$A:$E,4,0))</f>
        <v>福利厚生費</v>
      </c>
      <c r="E61" s="199"/>
      <c r="F61" s="194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00">
        <f t="shared" si="2"/>
        <v>0</v>
      </c>
      <c r="S61" s="201" t="s">
        <v>709</v>
      </c>
      <c r="T61" s="202"/>
      <c r="U61" s="246"/>
      <c r="V61" s="246"/>
      <c r="W61" s="246"/>
      <c r="BA61"/>
      <c r="BB61"/>
    </row>
    <row r="62" spans="1:54" s="191" customFormat="1" ht="13">
      <c r="A62" s="226"/>
      <c r="B62" s="180">
        <v>5004086291</v>
      </c>
      <c r="C62" s="183" t="str">
        <f>IFERROR(IF(VLOOKUP($B62,勘定科目!$A:$H,HLOOKUP($E$5,勘定科目!$F$1:$H$2,2,0),0)="","",VLOOKUP($B62,勘定科目!$A:$E,2,0)),"")</f>
        <v>福利厚生費（製）</v>
      </c>
      <c r="D62" s="239" t="str">
        <f>IF(C62="","",VLOOKUP($B62,勘定科目!$A:$E,4,0))</f>
        <v>福利厚生費</v>
      </c>
      <c r="E62" s="199"/>
      <c r="F62" s="194"/>
      <c r="G62" s="247"/>
      <c r="H62" s="247"/>
      <c r="I62" s="247"/>
      <c r="J62" s="247"/>
      <c r="K62" s="247"/>
      <c r="L62" s="247"/>
      <c r="M62" s="247"/>
      <c r="N62" s="247"/>
      <c r="O62" s="247"/>
      <c r="P62" s="301">
        <v>0</v>
      </c>
      <c r="Q62" s="247"/>
      <c r="R62" s="200">
        <f t="shared" si="2"/>
        <v>0</v>
      </c>
      <c r="S62" s="201" t="s">
        <v>710</v>
      </c>
      <c r="T62" s="202"/>
      <c r="U62" s="246"/>
      <c r="V62" s="246"/>
      <c r="W62" s="246"/>
      <c r="BA62"/>
      <c r="BB62"/>
    </row>
    <row r="63" spans="1:54" s="191" customFormat="1" ht="13">
      <c r="A63" s="226"/>
      <c r="B63" s="180">
        <v>5004086291</v>
      </c>
      <c r="C63" s="183" t="str">
        <f>IFERROR(IF(VLOOKUP($B63,勘定科目!$A:$H,HLOOKUP($E$5,勘定科目!$F$1:$H$2,2,0),0)="","",VLOOKUP($B63,勘定科目!$A:$E,2,0)),"")</f>
        <v>福利厚生費（製）</v>
      </c>
      <c r="D63" s="239" t="str">
        <f>IF(C63="","",VLOOKUP($B63,勘定科目!$A:$E,4,0))</f>
        <v>福利厚生費</v>
      </c>
      <c r="E63" s="199"/>
      <c r="F63" s="194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00">
        <f t="shared" si="2"/>
        <v>0</v>
      </c>
      <c r="S63" s="201" t="s">
        <v>711</v>
      </c>
      <c r="T63" s="202"/>
      <c r="U63" s="246"/>
      <c r="V63" s="246"/>
      <c r="W63" s="246"/>
      <c r="BA63"/>
      <c r="BB63"/>
    </row>
    <row r="64" spans="1:54" s="191" customFormat="1" ht="13">
      <c r="A64" s="226"/>
      <c r="B64" s="180">
        <v>5004086291</v>
      </c>
      <c r="C64" s="183" t="str">
        <f>IFERROR(IF(VLOOKUP($B64,勘定科目!$A:$H,HLOOKUP($E$5,勘定科目!$F$1:$H$2,2,0),0)="","",VLOOKUP($B64,勘定科目!$A:$E,2,0)),"")</f>
        <v>福利厚生費（製）</v>
      </c>
      <c r="D64" s="239" t="str">
        <f>IF(C64="","",VLOOKUP($B64,勘定科目!$A:$E,4,0))</f>
        <v>福利厚生費</v>
      </c>
      <c r="E64" s="199"/>
      <c r="F64" s="194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00">
        <f t="shared" si="2"/>
        <v>0</v>
      </c>
      <c r="S64" s="201" t="s">
        <v>712</v>
      </c>
      <c r="T64" s="202"/>
      <c r="U64" s="246"/>
      <c r="V64" s="246"/>
      <c r="W64" s="246"/>
      <c r="BA64"/>
      <c r="BB64"/>
    </row>
    <row r="65" spans="1:54" s="191" customFormat="1" ht="13">
      <c r="A65" s="226"/>
      <c r="B65" s="18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39" t="str">
        <f>IF(C65="","",VLOOKUP($B65,勘定科目!$A:$E,4,0))</f>
        <v>福利厚生費</v>
      </c>
      <c r="E65" s="199"/>
      <c r="F65" s="194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00">
        <f t="shared" si="2"/>
        <v>0</v>
      </c>
      <c r="S65" s="201" t="s">
        <v>713</v>
      </c>
      <c r="T65" s="202"/>
      <c r="U65" s="246"/>
      <c r="V65" s="246"/>
      <c r="W65" s="246"/>
      <c r="BA65"/>
      <c r="BB65"/>
    </row>
    <row r="66" spans="1:54" s="191" customFormat="1" ht="13">
      <c r="A66" s="226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9" t="str">
        <f>IF(C66="","",VLOOKUP($B66,勘定科目!$A:$E,4,0))</f>
        <v>福利厚生費</v>
      </c>
      <c r="E66" s="199"/>
      <c r="F66" s="194"/>
      <c r="G66" s="300"/>
      <c r="H66" s="247"/>
      <c r="I66" s="247"/>
      <c r="J66" s="247"/>
      <c r="K66" s="300"/>
      <c r="L66" s="247"/>
      <c r="M66" s="247"/>
      <c r="N66" s="247"/>
      <c r="O66" s="247"/>
      <c r="P66" s="247"/>
      <c r="Q66" s="247"/>
      <c r="R66" s="200">
        <f t="shared" si="2"/>
        <v>0</v>
      </c>
      <c r="S66" s="201" t="s">
        <v>778</v>
      </c>
      <c r="T66" s="202"/>
      <c r="U66" s="246"/>
      <c r="V66" s="246"/>
      <c r="W66" s="246"/>
      <c r="BA66"/>
      <c r="BB66"/>
    </row>
    <row r="67" spans="1:54" s="191" customFormat="1" ht="13">
      <c r="A67" s="226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9" t="str">
        <f>IF(C67="","",VLOOKUP($B67,勘定科目!$A:$E,4,0))</f>
        <v>福利厚生費</v>
      </c>
      <c r="E67" s="199"/>
      <c r="F67" s="194"/>
      <c r="G67" s="247"/>
      <c r="H67" s="247"/>
      <c r="I67" s="247"/>
      <c r="J67" s="247"/>
      <c r="K67" s="247"/>
      <c r="L67" s="247"/>
      <c r="M67" s="300"/>
      <c r="N67" s="247"/>
      <c r="O67" s="247"/>
      <c r="P67" s="301">
        <v>0</v>
      </c>
      <c r="Q67" s="301">
        <v>0</v>
      </c>
      <c r="R67" s="200">
        <f t="shared" si="2"/>
        <v>0</v>
      </c>
      <c r="S67" s="201" t="s">
        <v>785</v>
      </c>
      <c r="T67" s="202"/>
      <c r="U67" s="246"/>
      <c r="V67" s="246"/>
      <c r="W67" s="246"/>
      <c r="BA67"/>
      <c r="BB67"/>
    </row>
    <row r="68" spans="1:54" s="191" customFormat="1" ht="13">
      <c r="A68" s="226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9" t="str">
        <f>IF(C68="","",VLOOKUP($B68,勘定科目!$A:$E,4,0))</f>
        <v>福利厚生費</v>
      </c>
      <c r="E68" s="199"/>
      <c r="F68" s="194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00">
        <f t="shared" si="2"/>
        <v>0</v>
      </c>
      <c r="S68" s="201" t="s">
        <v>714</v>
      </c>
      <c r="T68" s="202"/>
      <c r="U68" s="246"/>
      <c r="V68" s="246"/>
      <c r="W68" s="246"/>
      <c r="BA68"/>
      <c r="BB68"/>
    </row>
    <row r="69" spans="1:54" s="191" customFormat="1" ht="13">
      <c r="A69" s="226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9" t="str">
        <f>IF(C69="","",VLOOKUP($B69,勘定科目!$A:$E,4,0))</f>
        <v>福利厚生費</v>
      </c>
      <c r="E69" s="199"/>
      <c r="F69" s="194"/>
      <c r="G69" s="247"/>
      <c r="H69" s="247"/>
      <c r="I69" s="247"/>
      <c r="J69" s="247"/>
      <c r="K69" s="247"/>
      <c r="L69" s="247"/>
      <c r="M69" s="247"/>
      <c r="N69" s="300"/>
      <c r="O69" s="247"/>
      <c r="P69" s="247"/>
      <c r="Q69" s="247"/>
      <c r="R69" s="200">
        <f t="shared" si="2"/>
        <v>0</v>
      </c>
      <c r="S69" s="201" t="s">
        <v>776</v>
      </c>
      <c r="T69" s="202"/>
      <c r="U69" s="246"/>
      <c r="V69" s="246"/>
      <c r="W69" s="246"/>
      <c r="BA69"/>
      <c r="BB69"/>
    </row>
    <row r="70" spans="1:54" s="191" customFormat="1" ht="13">
      <c r="A70" s="226"/>
      <c r="B70" s="180">
        <v>5004086291</v>
      </c>
      <c r="C70" s="183" t="str">
        <f>IFERROR(IF(VLOOKUP($B70,勘定科目!$A:$H,HLOOKUP($E$5,勘定科目!$F$1:$H$2,2,0),0)="","",VLOOKUP($B70,勘定科目!$A:$E,2,0)),"")</f>
        <v>福利厚生費（製）</v>
      </c>
      <c r="D70" s="239" t="str">
        <f>IF(C70="","",VLOOKUP($B70,勘定科目!$A:$E,4,0))</f>
        <v>福利厚生費</v>
      </c>
      <c r="E70" s="199"/>
      <c r="F70" s="194"/>
      <c r="G70" s="247"/>
      <c r="H70" s="300"/>
      <c r="I70" s="247"/>
      <c r="J70" s="247"/>
      <c r="K70" s="247"/>
      <c r="L70" s="247"/>
      <c r="M70" s="247"/>
      <c r="N70" s="247"/>
      <c r="O70" s="247"/>
      <c r="P70" s="247"/>
      <c r="Q70" s="247"/>
      <c r="R70" s="200">
        <f t="shared" si="2"/>
        <v>0</v>
      </c>
      <c r="S70" s="201" t="s">
        <v>777</v>
      </c>
      <c r="T70" s="202"/>
      <c r="U70" s="246"/>
      <c r="V70" s="246"/>
      <c r="W70" s="246"/>
      <c r="BA70"/>
      <c r="BB70"/>
    </row>
    <row r="71" spans="1:54" s="191" customFormat="1" ht="13">
      <c r="A71" s="226"/>
      <c r="B71" s="180">
        <v>5004086291</v>
      </c>
      <c r="C71" s="183" t="str">
        <f>IFERROR(IF(VLOOKUP($B71,勘定科目!$A:$H,HLOOKUP($E$5,勘定科目!$F$1:$H$2,2,0),0)="","",VLOOKUP($B71,勘定科目!$A:$E,2,0)),"")</f>
        <v>福利厚生費（製）</v>
      </c>
      <c r="D71" s="239" t="str">
        <f>IF(C71="","",VLOOKUP($B71,勘定科目!$A:$E,4,0))</f>
        <v>福利厚生費</v>
      </c>
      <c r="E71" s="199"/>
      <c r="F71" s="194"/>
      <c r="G71" s="247"/>
      <c r="H71" s="247"/>
      <c r="I71" s="247"/>
      <c r="J71" s="247"/>
      <c r="K71" s="247"/>
      <c r="L71" s="300"/>
      <c r="M71" s="247"/>
      <c r="N71" s="247"/>
      <c r="O71" s="247"/>
      <c r="P71" s="247"/>
      <c r="Q71" s="247"/>
      <c r="R71" s="200">
        <f t="shared" si="2"/>
        <v>0</v>
      </c>
      <c r="S71" s="201" t="s">
        <v>715</v>
      </c>
      <c r="T71" s="202"/>
      <c r="U71" s="246"/>
      <c r="V71" s="246"/>
      <c r="W71" s="246"/>
      <c r="BA71"/>
      <c r="BB71"/>
    </row>
    <row r="72" spans="1:54" s="191" customFormat="1" ht="13">
      <c r="A72" s="226"/>
      <c r="B72" s="180">
        <v>5004086291</v>
      </c>
      <c r="C72" s="183" t="str">
        <f>IFERROR(IF(VLOOKUP($B72,勘定科目!$A:$H,HLOOKUP($E$5,勘定科目!$F$1:$H$2,2,0),0)="","",VLOOKUP($B72,勘定科目!$A:$E,2,0)),"")</f>
        <v>福利厚生費（製）</v>
      </c>
      <c r="D72" s="239" t="str">
        <f>IF(C72="","",VLOOKUP($B72,勘定科目!$A:$E,4,0))</f>
        <v>福利厚生費</v>
      </c>
      <c r="E72" s="199"/>
      <c r="F72" s="194"/>
      <c r="G72" s="247"/>
      <c r="H72" s="247"/>
      <c r="I72" s="300"/>
      <c r="J72" s="247"/>
      <c r="K72" s="247"/>
      <c r="L72" s="247"/>
      <c r="M72" s="247"/>
      <c r="N72" s="247"/>
      <c r="O72" s="247"/>
      <c r="P72" s="247"/>
      <c r="Q72" s="247"/>
      <c r="R72" s="200">
        <f t="shared" si="2"/>
        <v>0</v>
      </c>
      <c r="S72" s="201" t="s">
        <v>716</v>
      </c>
      <c r="T72" s="202"/>
      <c r="U72" s="246"/>
      <c r="V72" s="246"/>
      <c r="W72" s="246"/>
      <c r="BA72"/>
      <c r="BB72"/>
    </row>
    <row r="73" spans="1:54" s="191" customFormat="1" ht="13">
      <c r="A73" s="226"/>
      <c r="B73" s="180">
        <v>5004086291</v>
      </c>
      <c r="C73" s="183" t="str">
        <f>IFERROR(IF(VLOOKUP($B73,勘定科目!$A:$H,HLOOKUP($E$5,勘定科目!$F$1:$H$2,2,0),0)="","",VLOOKUP($B73,勘定科目!$A:$E,2,0)),"")</f>
        <v>福利厚生費（製）</v>
      </c>
      <c r="D73" s="239" t="str">
        <f>IF(C73="","",VLOOKUP($B73,勘定科目!$A:$E,4,0))</f>
        <v>福利厚生費</v>
      </c>
      <c r="E73" s="199"/>
      <c r="F73" s="301"/>
      <c r="G73" s="300"/>
      <c r="H73" s="300"/>
      <c r="I73" s="300"/>
      <c r="J73" s="300"/>
      <c r="K73" s="300"/>
      <c r="L73" s="300"/>
      <c r="M73" s="300"/>
      <c r="N73" s="300"/>
      <c r="O73" s="300"/>
      <c r="P73" s="300"/>
      <c r="Q73" s="301">
        <v>0</v>
      </c>
      <c r="R73" s="200">
        <f t="shared" si="2"/>
        <v>0</v>
      </c>
      <c r="S73" s="201" t="s">
        <v>717</v>
      </c>
      <c r="T73" s="202"/>
      <c r="U73" s="246"/>
      <c r="V73" s="246"/>
      <c r="W73" s="246"/>
      <c r="BA73"/>
      <c r="BB73"/>
    </row>
    <row r="74" spans="1:54" s="191" customFormat="1" ht="13">
      <c r="A74" s="226"/>
      <c r="B74" s="180">
        <v>5004086291</v>
      </c>
      <c r="C74" s="183" t="str">
        <f>IFERROR(IF(VLOOKUP($B74,勘定科目!$A:$H,HLOOKUP($E$5,勘定科目!$F$1:$H$2,2,0),0)="","",VLOOKUP($B74,勘定科目!$A:$E,2,0)),"")</f>
        <v>福利厚生費（製）</v>
      </c>
      <c r="D74" s="239" t="str">
        <f>IF(C74="","",VLOOKUP($B74,勘定科目!$A:$E,4,0))</f>
        <v>福利厚生費</v>
      </c>
      <c r="E74" s="199"/>
      <c r="F74" s="194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00">
        <f t="shared" si="2"/>
        <v>0</v>
      </c>
      <c r="S74" s="201" t="s">
        <v>718</v>
      </c>
      <c r="T74" s="202"/>
      <c r="U74" s="246"/>
      <c r="V74" s="246"/>
      <c r="W74" s="246"/>
      <c r="BA74"/>
      <c r="BB74"/>
    </row>
    <row r="75" spans="1:54" s="191" customFormat="1" ht="13">
      <c r="A75" s="226"/>
      <c r="B75" s="180">
        <v>5005246282</v>
      </c>
      <c r="C75" s="183" t="str">
        <f>IFERROR(IF(VLOOKUP($B75,勘定科目!$A:$H,HLOOKUP($E$5,勘定科目!$F$1:$H$2,2,0),0)="","",VLOOKUP($B75,勘定科目!$A:$E,2,0)),"")</f>
        <v>ＫＤＣシステム使用料（製）</v>
      </c>
      <c r="D75" s="239" t="str">
        <f>IF(C75="","",VLOOKUP($B75,勘定科目!$A:$E,4,0))</f>
        <v>図書及び事務費</v>
      </c>
      <c r="E75" s="199"/>
      <c r="F75" s="301"/>
      <c r="G75" s="301"/>
      <c r="H75" s="301"/>
      <c r="I75" s="301"/>
      <c r="J75" s="301"/>
      <c r="K75" s="301"/>
      <c r="L75" s="301"/>
      <c r="M75" s="301"/>
      <c r="N75" s="301"/>
      <c r="O75" s="301">
        <v>0</v>
      </c>
      <c r="P75" s="301">
        <v>0</v>
      </c>
      <c r="Q75" s="301">
        <v>0</v>
      </c>
      <c r="R75" s="200">
        <f t="shared" si="2"/>
        <v>0</v>
      </c>
      <c r="S75" s="201" t="s">
        <v>719</v>
      </c>
      <c r="T75" s="202"/>
      <c r="U75" s="246"/>
      <c r="V75" s="246"/>
      <c r="W75" s="246"/>
      <c r="BA75"/>
      <c r="BB75"/>
    </row>
    <row r="76" spans="1:54" s="191" customFormat="1" ht="13">
      <c r="A76" s="226"/>
      <c r="B76" s="180"/>
      <c r="C76" s="183" t="str">
        <f>IFERROR(IF(VLOOKUP($B76,勘定科目!$A:$H,HLOOKUP($E$5,勘定科目!$F$1:$H$2,2,0),0)="","",VLOOKUP($B76,勘定科目!$A:$E,2,0)),"")</f>
        <v/>
      </c>
      <c r="D76" s="239" t="str">
        <f>IF(C76="","",VLOOKUP($B76,勘定科目!$A:$E,4,0))</f>
        <v/>
      </c>
      <c r="E76" s="199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2"/>
        <v>0</v>
      </c>
      <c r="S76" s="201"/>
      <c r="T76" s="202"/>
      <c r="U76" s="246"/>
      <c r="V76" s="246"/>
      <c r="W76" s="246"/>
      <c r="BA76"/>
      <c r="BB76"/>
    </row>
    <row r="77" spans="1:54" s="191" customFormat="1" ht="13">
      <c r="A77" s="226"/>
      <c r="B77" s="180">
        <v>5005246281</v>
      </c>
      <c r="C77" s="183" t="str">
        <f>IFERROR(IF(VLOOKUP($B77,勘定科目!$A:$H,HLOOKUP($E$5,勘定科目!$F$1:$H$2,2,0),0)="","",VLOOKUP($B77,勘定科目!$A:$E,2,0)),"")</f>
        <v>図書印刷費（製）</v>
      </c>
      <c r="D77" s="239" t="str">
        <f>IF(C77="","",VLOOKUP($B77,勘定科目!$A:$E,4,0))</f>
        <v>図書及び事務費</v>
      </c>
      <c r="E77" s="199"/>
      <c r="F77" s="194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00">
        <f t="shared" si="2"/>
        <v>0</v>
      </c>
      <c r="S77" s="201" t="s">
        <v>720</v>
      </c>
      <c r="T77" s="202"/>
      <c r="U77" s="246"/>
      <c r="V77" s="246"/>
      <c r="W77" s="246"/>
      <c r="BA77"/>
      <c r="BB77"/>
    </row>
    <row r="78" spans="1:54" s="191" customFormat="1" ht="13">
      <c r="A78" s="226"/>
      <c r="B78" s="180">
        <v>5005246281</v>
      </c>
      <c r="C78" s="183" t="str">
        <f>IFERROR(IF(VLOOKUP($B78,勘定科目!$A:$H,HLOOKUP($E$5,勘定科目!$F$1:$H$2,2,0),0)="","",VLOOKUP($B78,勘定科目!$A:$E,2,0)),"")</f>
        <v>図書印刷費（製）</v>
      </c>
      <c r="D78" s="239" t="str">
        <f>IF(C78="","",VLOOKUP($B78,勘定科目!$A:$E,4,0))</f>
        <v>図書及び事務費</v>
      </c>
      <c r="E78" s="199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2"/>
        <v>0</v>
      </c>
      <c r="S78" s="201" t="s">
        <v>721</v>
      </c>
      <c r="T78" s="202"/>
      <c r="U78" s="246"/>
      <c r="V78" s="246"/>
      <c r="W78" s="246"/>
      <c r="BA78"/>
      <c r="BB78"/>
    </row>
    <row r="79" spans="1:54" s="191" customFormat="1" ht="13">
      <c r="A79" s="226"/>
      <c r="B79" s="180">
        <v>5005246281</v>
      </c>
      <c r="C79" s="183" t="str">
        <f>IFERROR(IF(VLOOKUP($B79,勘定科目!$A:$H,HLOOKUP($E$5,勘定科目!$F$1:$H$2,2,0),0)="","",VLOOKUP($B79,勘定科目!$A:$E,2,0)),"")</f>
        <v>図書印刷費（製）</v>
      </c>
      <c r="D79" s="239" t="str">
        <f>IF(C79="","",VLOOKUP($B79,勘定科目!$A:$E,4,0))</f>
        <v>図書及び事務費</v>
      </c>
      <c r="E79" s="199"/>
      <c r="F79" s="194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00">
        <f t="shared" si="2"/>
        <v>0</v>
      </c>
      <c r="S79" s="201" t="s">
        <v>722</v>
      </c>
      <c r="T79" s="202"/>
      <c r="U79" s="246"/>
      <c r="V79" s="246"/>
      <c r="W79" s="246"/>
      <c r="BA79"/>
      <c r="BB79"/>
    </row>
    <row r="80" spans="1:54" s="191" customFormat="1" ht="13">
      <c r="A80" s="226"/>
      <c r="B80" s="180">
        <v>5005246281</v>
      </c>
      <c r="C80" s="183" t="str">
        <f>IFERROR(IF(VLOOKUP($B80,勘定科目!$A:$H,HLOOKUP($E$5,勘定科目!$F$1:$H$2,2,0),0)="","",VLOOKUP($B80,勘定科目!$A:$E,2,0)),"")</f>
        <v>図書印刷費（製）</v>
      </c>
      <c r="D80" s="239" t="str">
        <f>IF(C80="","",VLOOKUP($B80,勘定科目!$A:$E,4,0))</f>
        <v>図書及び事務費</v>
      </c>
      <c r="E80" s="199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2"/>
        <v>0</v>
      </c>
      <c r="S80" s="201" t="s">
        <v>723</v>
      </c>
      <c r="T80" s="202"/>
      <c r="U80" s="246"/>
      <c r="V80" s="246"/>
      <c r="W80" s="246"/>
      <c r="BA80"/>
      <c r="BB80"/>
    </row>
    <row r="81" spans="1:54" s="191" customFormat="1" ht="13">
      <c r="A81" s="226"/>
      <c r="B81" s="180">
        <v>5005246281</v>
      </c>
      <c r="C81" s="183" t="str">
        <f>IFERROR(IF(VLOOKUP($B81,勘定科目!$A:$H,HLOOKUP($E$5,勘定科目!$F$1:$H$2,2,0),0)="","",VLOOKUP($B81,勘定科目!$A:$E,2,0)),"")</f>
        <v>図書印刷費（製）</v>
      </c>
      <c r="D81" s="239" t="str">
        <f>IF(C81="","",VLOOKUP($B81,勘定科目!$A:$E,4,0))</f>
        <v>図書及び事務費</v>
      </c>
      <c r="E81" s="199"/>
      <c r="F81" s="194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si="2"/>
        <v>0</v>
      </c>
      <c r="S81" s="201" t="s">
        <v>724</v>
      </c>
      <c r="T81" s="202"/>
      <c r="U81" s="246"/>
      <c r="V81" s="246"/>
      <c r="W81" s="246"/>
      <c r="BA81"/>
      <c r="BB81"/>
    </row>
    <row r="82" spans="1:54" s="191" customFormat="1" ht="13">
      <c r="A82" s="226"/>
      <c r="B82" s="180">
        <v>5005246281</v>
      </c>
      <c r="C82" s="183" t="str">
        <f>IFERROR(IF(VLOOKUP($B82,勘定科目!$A:$H,HLOOKUP($E$5,勘定科目!$F$1:$H$2,2,0),0)="","",VLOOKUP($B82,勘定科目!$A:$E,2,0)),"")</f>
        <v>図書印刷費（製）</v>
      </c>
      <c r="D82" s="239" t="str">
        <f>IF(C82="","",VLOOKUP($B82,勘定科目!$A:$E,4,0))</f>
        <v>図書及び事務費</v>
      </c>
      <c r="E82" s="199"/>
      <c r="F82" s="194"/>
      <c r="G82" s="247"/>
      <c r="H82" s="247"/>
      <c r="I82" s="247"/>
      <c r="J82" s="247"/>
      <c r="K82" s="247"/>
      <c r="L82" s="247"/>
      <c r="M82" s="300"/>
      <c r="N82" s="247"/>
      <c r="O82" s="247"/>
      <c r="P82" s="247"/>
      <c r="Q82" s="247"/>
      <c r="R82" s="200">
        <f t="shared" si="2"/>
        <v>0</v>
      </c>
      <c r="S82" s="201" t="s">
        <v>725</v>
      </c>
      <c r="T82" s="202"/>
      <c r="U82" s="246"/>
      <c r="V82" s="246"/>
      <c r="W82" s="246"/>
      <c r="BA82"/>
      <c r="BB82"/>
    </row>
    <row r="83" spans="1:54" s="191" customFormat="1" ht="13">
      <c r="A83" s="226"/>
      <c r="B83" s="180"/>
      <c r="C83" s="183" t="str">
        <f>IFERROR(IF(VLOOKUP($B83,勘定科目!$A:$H,HLOOKUP($E$5,勘定科目!$F$1:$H$2,2,0),0)="","",VLOOKUP($B83,勘定科目!$A:$E,2,0)),"")</f>
        <v/>
      </c>
      <c r="D83" s="239" t="str">
        <f>IF(C83="","",VLOOKUP($B83,勘定科目!$A:$E,4,0))</f>
        <v/>
      </c>
      <c r="E83" s="199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2"/>
        <v>0</v>
      </c>
      <c r="S83" s="201"/>
      <c r="T83" s="202"/>
      <c r="U83" s="246"/>
      <c r="V83" s="246"/>
      <c r="W83" s="246"/>
      <c r="BA83"/>
      <c r="BB83"/>
    </row>
    <row r="84" spans="1:54" s="191" customFormat="1" ht="13">
      <c r="A84" s="226"/>
      <c r="B84" s="180">
        <v>5005246288</v>
      </c>
      <c r="C84" s="183" t="str">
        <f>IFERROR(IF(VLOOKUP($B84,勘定科目!$A:$H,HLOOKUP($E$5,勘定科目!$F$1:$H$2,2,0),0)="","",VLOOKUP($B84,勘定科目!$A:$E,2,0)),"")</f>
        <v>事務用品費（製）</v>
      </c>
      <c r="D84" s="239" t="str">
        <f>IF(C84="","",VLOOKUP($B84,勘定科目!$A:$E,4,0))</f>
        <v>図書及び事務費</v>
      </c>
      <c r="E84" s="199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2"/>
        <v>0</v>
      </c>
      <c r="S84" s="201" t="s">
        <v>726</v>
      </c>
      <c r="T84" s="202"/>
      <c r="U84" s="246"/>
      <c r="V84" s="246"/>
      <c r="W84" s="246"/>
      <c r="BA84"/>
      <c r="BB84"/>
    </row>
    <row r="85" spans="1:54" s="191" customFormat="1" ht="13">
      <c r="A85" s="226"/>
      <c r="B85" s="180">
        <v>5005246288</v>
      </c>
      <c r="C85" s="183" t="str">
        <f>IFERROR(IF(VLOOKUP($B85,勘定科目!$A:$H,HLOOKUP($E$5,勘定科目!$F$1:$H$2,2,0),0)="","",VLOOKUP($B85,勘定科目!$A:$E,2,0)),"")</f>
        <v>事務用品費（製）</v>
      </c>
      <c r="D85" s="239" t="str">
        <f>IF(C85="","",VLOOKUP($B85,勘定科目!$A:$E,4,0))</f>
        <v>図書及び事務費</v>
      </c>
      <c r="E85" s="199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2"/>
        <v>0</v>
      </c>
      <c r="S85" s="201" t="s">
        <v>727</v>
      </c>
      <c r="T85" s="202"/>
      <c r="U85" s="246"/>
      <c r="V85" s="246"/>
      <c r="W85" s="246"/>
      <c r="BA85"/>
      <c r="BB85"/>
    </row>
    <row r="86" spans="1:54" s="191" customFormat="1" ht="13">
      <c r="A86" s="226"/>
      <c r="B86" s="180">
        <v>5005246288</v>
      </c>
      <c r="C86" s="183" t="str">
        <f>IFERROR(IF(VLOOKUP($B86,勘定科目!$A:$H,HLOOKUP($E$5,勘定科目!$F$1:$H$2,2,0),0)="","",VLOOKUP($B86,勘定科目!$A:$E,2,0)),"")</f>
        <v>事務用品費（製）</v>
      </c>
      <c r="D86" s="239" t="str">
        <f>IF(C86="","",VLOOKUP($B86,勘定科目!$A:$E,4,0))</f>
        <v>図書及び事務費</v>
      </c>
      <c r="E86" s="199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2"/>
        <v>0</v>
      </c>
      <c r="S86" s="201" t="s">
        <v>728</v>
      </c>
      <c r="T86" s="202"/>
      <c r="U86" s="246"/>
      <c r="V86" s="246"/>
      <c r="W86" s="246"/>
      <c r="BA86"/>
      <c r="BB86"/>
    </row>
    <row r="87" spans="1:54" s="191" customFormat="1" ht="13">
      <c r="A87" s="226"/>
      <c r="B87" s="180">
        <v>5005246288</v>
      </c>
      <c r="C87" s="183" t="str">
        <f>IFERROR(IF(VLOOKUP($B87,勘定科目!$A:$H,HLOOKUP($E$5,勘定科目!$F$1:$H$2,2,0),0)="","",VLOOKUP($B87,勘定科目!$A:$E,2,0)),"")</f>
        <v>事務用品費（製）</v>
      </c>
      <c r="D87" s="239" t="str">
        <f>IF(C87="","",VLOOKUP($B87,勘定科目!$A:$E,4,0))</f>
        <v>図書及び事務費</v>
      </c>
      <c r="E87" s="199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2"/>
        <v>0</v>
      </c>
      <c r="S87" s="201"/>
      <c r="T87" s="202"/>
      <c r="U87" s="246"/>
      <c r="V87" s="246"/>
      <c r="W87" s="246"/>
      <c r="BA87"/>
      <c r="BB87"/>
    </row>
    <row r="88" spans="1:54" s="191" customFormat="1" ht="13">
      <c r="A88" s="226"/>
      <c r="B88" s="180">
        <v>5005246288</v>
      </c>
      <c r="C88" s="183" t="str">
        <f>IFERROR(IF(VLOOKUP($B88,勘定科目!$A:$H,HLOOKUP($E$5,勘定科目!$F$1:$H$2,2,0),0)="","",VLOOKUP($B88,勘定科目!$A:$E,2,0)),"")</f>
        <v>事務用品費（製）</v>
      </c>
      <c r="D88" s="239" t="str">
        <f>IF(C88="","",VLOOKUP($B88,勘定科目!$A:$E,4,0))</f>
        <v>図書及び事務費</v>
      </c>
      <c r="E88" s="199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2"/>
        <v>0</v>
      </c>
      <c r="S88" s="201" t="s">
        <v>729</v>
      </c>
      <c r="T88" s="202"/>
      <c r="U88" s="246"/>
      <c r="V88" s="246"/>
      <c r="W88" s="246"/>
      <c r="BA88"/>
      <c r="BB88"/>
    </row>
    <row r="89" spans="1:54" s="191" customFormat="1" ht="13">
      <c r="A89" s="226"/>
      <c r="B89" s="180">
        <v>5005246288</v>
      </c>
      <c r="C89" s="183" t="str">
        <f>IFERROR(IF(VLOOKUP($B89,勘定科目!$A:$H,HLOOKUP($E$5,勘定科目!$F$1:$H$2,2,0),0)="","",VLOOKUP($B89,勘定科目!$A:$E,2,0)),"")</f>
        <v>事務用品費（製）</v>
      </c>
      <c r="D89" s="239" t="str">
        <f>IF(C89="","",VLOOKUP($B89,勘定科目!$A:$E,4,0))</f>
        <v>図書及び事務費</v>
      </c>
      <c r="E89" s="199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2"/>
        <v>0</v>
      </c>
      <c r="S89" s="201" t="s">
        <v>730</v>
      </c>
      <c r="T89" s="202"/>
      <c r="U89" s="246"/>
      <c r="V89" s="246"/>
      <c r="W89" s="246"/>
      <c r="BA89"/>
      <c r="BB89"/>
    </row>
    <row r="90" spans="1:54" s="191" customFormat="1" ht="13">
      <c r="A90" s="226"/>
      <c r="B90" s="180">
        <v>5005246288</v>
      </c>
      <c r="C90" s="183" t="str">
        <f>IFERROR(IF(VLOOKUP($B90,勘定科目!$A:$H,HLOOKUP($E$5,勘定科目!$F$1:$H$2,2,0),0)="","",VLOOKUP($B90,勘定科目!$A:$E,2,0)),"")</f>
        <v>事務用品費（製）</v>
      </c>
      <c r="D90" s="239" t="str">
        <f>IF(C90="","",VLOOKUP($B90,勘定科目!$A:$E,4,0))</f>
        <v>図書及び事務費</v>
      </c>
      <c r="E90" s="199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2"/>
        <v>0</v>
      </c>
      <c r="S90" s="201" t="s">
        <v>731</v>
      </c>
      <c r="T90" s="202"/>
      <c r="U90" s="246"/>
      <c r="V90" s="246"/>
      <c r="W90" s="246"/>
      <c r="BA90"/>
      <c r="BB90"/>
    </row>
    <row r="91" spans="1:54" s="191" customFormat="1" ht="13">
      <c r="A91" s="226"/>
      <c r="B91" s="180">
        <v>5005246288</v>
      </c>
      <c r="C91" s="183" t="str">
        <f>IFERROR(IF(VLOOKUP($B91,勘定科目!$A:$H,HLOOKUP($E$5,勘定科目!$F$1:$H$2,2,0),0)="","",VLOOKUP($B91,勘定科目!$A:$E,2,0)),"")</f>
        <v>事務用品費（製）</v>
      </c>
      <c r="D91" s="239" t="str">
        <f>IF(C91="","",VLOOKUP($B91,勘定科目!$A:$E,4,0))</f>
        <v>図書及び事務費</v>
      </c>
      <c r="E91" s="199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2"/>
        <v>0</v>
      </c>
      <c r="S91" s="201"/>
      <c r="T91" s="202"/>
      <c r="U91" s="246"/>
      <c r="V91" s="246"/>
      <c r="W91" s="246"/>
      <c r="BA91"/>
      <c r="BB91"/>
    </row>
    <row r="92" spans="1:54" s="191" customFormat="1" ht="13">
      <c r="A92" s="226"/>
      <c r="B92" s="180"/>
      <c r="C92" s="183" t="str">
        <f>IFERROR(IF(VLOOKUP($B92,勘定科目!$A:$H,HLOOKUP($E$5,勘定科目!$F$1:$H$2,2,0),0)="","",VLOOKUP($B92,勘定科目!$A:$E,2,0)),"")</f>
        <v/>
      </c>
      <c r="D92" s="239" t="str">
        <f>IF(C92="","",VLOOKUP($B92,勘定科目!$A:$E,4,0))</f>
        <v/>
      </c>
      <c r="E92" s="199"/>
      <c r="F92" s="301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200">
        <f t="shared" si="2"/>
        <v>0</v>
      </c>
      <c r="S92" s="201"/>
      <c r="T92" s="202"/>
      <c r="U92" s="246"/>
      <c r="V92" s="246"/>
      <c r="W92" s="246"/>
      <c r="BA92"/>
      <c r="BB92"/>
    </row>
    <row r="93" spans="1:54" s="191" customFormat="1" ht="13">
      <c r="A93" s="226"/>
      <c r="B93" s="180">
        <v>5005016372</v>
      </c>
      <c r="C93" s="183" t="str">
        <f>IFERROR(IF(VLOOKUP($B93,勘定科目!$A:$H,HLOOKUP($E$5,勘定科目!$F$1:$H$2,2,0),0)="","",VLOOKUP($B93,勘定科目!$A:$E,2,0)),"")</f>
        <v>その他消耗品（製）</v>
      </c>
      <c r="D93" s="239" t="str">
        <f>IF(C93="","",VLOOKUP($B93,勘定科目!$A:$E,4,0))</f>
        <v>消耗品費</v>
      </c>
      <c r="E93" s="199"/>
      <c r="F93" s="301"/>
      <c r="G93" s="300"/>
      <c r="H93" s="300"/>
      <c r="I93" s="300"/>
      <c r="J93" s="300"/>
      <c r="K93" s="300"/>
      <c r="L93" s="300"/>
      <c r="M93" s="300"/>
      <c r="N93" s="300"/>
      <c r="O93" s="301">
        <v>0</v>
      </c>
      <c r="P93" s="301">
        <v>0</v>
      </c>
      <c r="Q93" s="301">
        <v>0</v>
      </c>
      <c r="R93" s="200">
        <f t="shared" si="2"/>
        <v>0</v>
      </c>
      <c r="S93" s="201" t="s">
        <v>732</v>
      </c>
      <c r="T93" s="202"/>
      <c r="U93" s="246"/>
      <c r="V93" s="246"/>
      <c r="W93" s="246"/>
      <c r="BA93"/>
      <c r="BB93"/>
    </row>
    <row r="94" spans="1:54" s="191" customFormat="1" ht="13">
      <c r="A94" s="226"/>
      <c r="B94" s="180">
        <v>5005016372</v>
      </c>
      <c r="C94" s="183" t="str">
        <f>IFERROR(IF(VLOOKUP($B94,勘定科目!$A:$H,HLOOKUP($E$5,勘定科目!$F$1:$H$2,2,0),0)="","",VLOOKUP($B94,勘定科目!$A:$E,2,0)),"")</f>
        <v>その他消耗品（製）</v>
      </c>
      <c r="D94" s="239" t="str">
        <f>IF(C94="","",VLOOKUP($B94,勘定科目!$A:$E,4,0))</f>
        <v>消耗品費</v>
      </c>
      <c r="E94" s="199"/>
      <c r="F94" s="301"/>
      <c r="G94" s="300"/>
      <c r="H94" s="300"/>
      <c r="I94" s="300"/>
      <c r="J94" s="300"/>
      <c r="K94" s="300"/>
      <c r="L94" s="300"/>
      <c r="M94" s="300"/>
      <c r="N94" s="300"/>
      <c r="O94" s="301">
        <v>0</v>
      </c>
      <c r="P94" s="301">
        <v>0</v>
      </c>
      <c r="Q94" s="301">
        <v>0</v>
      </c>
      <c r="R94" s="200">
        <f t="shared" si="2"/>
        <v>0</v>
      </c>
      <c r="S94" s="201" t="s">
        <v>733</v>
      </c>
      <c r="T94" s="202"/>
      <c r="U94" s="246"/>
      <c r="V94" s="246"/>
      <c r="W94" s="246"/>
      <c r="BA94"/>
      <c r="BB94"/>
    </row>
    <row r="95" spans="1:54" s="191" customFormat="1" ht="13">
      <c r="A95" s="226"/>
      <c r="B95" s="180">
        <v>5005016372</v>
      </c>
      <c r="C95" s="183" t="str">
        <f>IFERROR(IF(VLOOKUP($B95,勘定科目!$A:$H,HLOOKUP($E$5,勘定科目!$F$1:$H$2,2,0),0)="","",VLOOKUP($B95,勘定科目!$A:$E,2,0)),"")</f>
        <v>その他消耗品（製）</v>
      </c>
      <c r="D95" s="239" t="str">
        <f>IF(C95="","",VLOOKUP($B95,勘定科目!$A:$E,4,0))</f>
        <v>消耗品費</v>
      </c>
      <c r="E95" s="199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0"/>
      <c r="R95" s="200">
        <f t="shared" si="2"/>
        <v>0</v>
      </c>
      <c r="S95" s="201" t="s">
        <v>734</v>
      </c>
      <c r="T95" s="202"/>
      <c r="U95" s="246"/>
      <c r="V95" s="246"/>
      <c r="W95" s="246"/>
      <c r="BA95"/>
      <c r="BB95"/>
    </row>
    <row r="96" spans="1:54" s="191" customFormat="1" ht="13">
      <c r="A96" s="226"/>
      <c r="B96" s="180">
        <v>5005026371</v>
      </c>
      <c r="C96" s="183" t="str">
        <f>IFERROR(IF(VLOOKUP($B96,勘定科目!$A:$H,HLOOKUP($E$5,勘定科目!$F$1:$H$2,2,0),0)="","",VLOOKUP($B96,勘定科目!$A:$E,2,0)),"")</f>
        <v>消耗工具器具備品費（製）</v>
      </c>
      <c r="D96" s="239" t="str">
        <f>IF(C96="","",VLOOKUP($B96,勘定科目!$A:$E,4,0))</f>
        <v>消耗工具器具備品費</v>
      </c>
      <c r="E96" s="199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0"/>
      <c r="R96" s="200">
        <f t="shared" si="2"/>
        <v>0</v>
      </c>
      <c r="S96" s="201" t="s">
        <v>735</v>
      </c>
      <c r="T96" s="202"/>
      <c r="U96" s="246"/>
      <c r="V96" s="246"/>
      <c r="W96" s="246"/>
      <c r="BA96"/>
      <c r="BB96"/>
    </row>
    <row r="97" spans="1:54" s="191" customFormat="1" ht="13">
      <c r="A97" s="226"/>
      <c r="B97" s="180">
        <v>5005026371</v>
      </c>
      <c r="C97" s="183" t="str">
        <f>IFERROR(IF(VLOOKUP($B97,勘定科目!$A:$H,HLOOKUP($E$5,勘定科目!$F$1:$H$2,2,0),0)="","",VLOOKUP($B97,勘定科目!$A:$E,2,0)),"")</f>
        <v>消耗工具器具備品費（製）</v>
      </c>
      <c r="D97" s="239" t="str">
        <f>IF(C97="","",VLOOKUP($B97,勘定科目!$A:$E,4,0))</f>
        <v>消耗工具器具備品費</v>
      </c>
      <c r="E97" s="245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247"/>
      <c r="R97" s="200">
        <f t="shared" si="2"/>
        <v>0</v>
      </c>
      <c r="S97" s="201" t="s">
        <v>736</v>
      </c>
      <c r="T97" s="202"/>
      <c r="U97" s="246"/>
      <c r="V97" s="246"/>
      <c r="W97" s="246"/>
      <c r="BA97"/>
      <c r="BB97"/>
    </row>
    <row r="98" spans="1:54" s="191" customFormat="1" ht="13">
      <c r="A98" s="226"/>
      <c r="B98" s="180">
        <v>5005026371</v>
      </c>
      <c r="C98" s="183" t="str">
        <f>IFERROR(IF(VLOOKUP($B98,勘定科目!$A:$H,HLOOKUP($E$5,勘定科目!$F$1:$H$2,2,0),0)="","",VLOOKUP($B98,勘定科目!$A:$E,2,0)),"")</f>
        <v>消耗工具器具備品費（製）</v>
      </c>
      <c r="D98" s="239" t="str">
        <f>IF(C98="","",VLOOKUP($B98,勘定科目!$A:$E,4,0))</f>
        <v>消耗工具器具備品費</v>
      </c>
      <c r="E98" s="245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247"/>
      <c r="R98" s="200">
        <f t="shared" si="2"/>
        <v>0</v>
      </c>
      <c r="S98" s="201" t="s">
        <v>737</v>
      </c>
      <c r="T98" s="202"/>
      <c r="U98" s="246"/>
      <c r="V98" s="246"/>
      <c r="W98" s="246"/>
      <c r="BA98"/>
      <c r="BB98"/>
    </row>
    <row r="99" spans="1:54" s="191" customFormat="1" ht="13">
      <c r="A99" s="226"/>
      <c r="B99" s="180">
        <v>5005026371</v>
      </c>
      <c r="C99" s="183" t="str">
        <f>IFERROR(IF(VLOOKUP($B99,勘定科目!$A:$H,HLOOKUP($E$5,勘定科目!$F$1:$H$2,2,0),0)="","",VLOOKUP($B99,勘定科目!$A:$E,2,0)),"")</f>
        <v>消耗工具器具備品費（製）</v>
      </c>
      <c r="D99" s="239" t="str">
        <f>IF(C99="","",VLOOKUP($B99,勘定科目!$A:$E,4,0))</f>
        <v>消耗工具器具備品費</v>
      </c>
      <c r="E99" s="245"/>
      <c r="F99" s="301"/>
      <c r="G99" s="194"/>
      <c r="H99" s="301"/>
      <c r="I99" s="194"/>
      <c r="J99" s="194"/>
      <c r="K99" s="194"/>
      <c r="L99" s="194"/>
      <c r="M99" s="194"/>
      <c r="N99" s="194"/>
      <c r="O99" s="194"/>
      <c r="P99" s="194"/>
      <c r="Q99" s="247"/>
      <c r="R99" s="200">
        <f t="shared" si="2"/>
        <v>0</v>
      </c>
      <c r="S99" s="201" t="s">
        <v>738</v>
      </c>
      <c r="T99" s="202"/>
      <c r="U99" s="246"/>
      <c r="V99" s="246"/>
      <c r="W99" s="246"/>
      <c r="BA99"/>
      <c r="BB99"/>
    </row>
    <row r="100" spans="1:54" s="191" customFormat="1" ht="13">
      <c r="A100" s="226"/>
      <c r="B100" s="180">
        <v>5005026371</v>
      </c>
      <c r="C100" s="183" t="str">
        <f>IFERROR(IF(VLOOKUP($B100,勘定科目!$A:$H,HLOOKUP($E$5,勘定科目!$F$1:$H$2,2,0),0)="","",VLOOKUP($B100,勘定科目!$A:$E,2,0)),"")</f>
        <v>消耗工具器具備品費（製）</v>
      </c>
      <c r="D100" s="239" t="str">
        <f>IF(C100="","",VLOOKUP($B100,勘定科目!$A:$E,4,0))</f>
        <v>消耗工具器具備品費</v>
      </c>
      <c r="E100" s="245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247"/>
      <c r="R100" s="200">
        <f t="shared" si="2"/>
        <v>0</v>
      </c>
      <c r="S100" s="201" t="s">
        <v>739</v>
      </c>
      <c r="T100" s="202"/>
      <c r="U100" s="246"/>
      <c r="V100" s="246"/>
      <c r="W100" s="246"/>
      <c r="BA100"/>
      <c r="BB100"/>
    </row>
    <row r="101" spans="1:54" s="191" customFormat="1" ht="13">
      <c r="A101" s="226"/>
      <c r="B101" s="180">
        <v>5005026371</v>
      </c>
      <c r="C101" s="183" t="str">
        <f>IFERROR(IF(VLOOKUP($B101,勘定科目!$A:$H,HLOOKUP($E$5,勘定科目!$F$1:$H$2,2,0),0)="","",VLOOKUP($B101,勘定科目!$A:$E,2,0)),"")</f>
        <v>消耗工具器具備品費（製）</v>
      </c>
      <c r="D101" s="239" t="str">
        <f>IF(C101="","",VLOOKUP($B101,勘定科目!$A:$E,4,0))</f>
        <v>消耗工具器具備品費</v>
      </c>
      <c r="E101" s="245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247"/>
      <c r="R101" s="200">
        <f t="shared" si="2"/>
        <v>0</v>
      </c>
      <c r="S101" s="201" t="s">
        <v>740</v>
      </c>
      <c r="T101" s="202"/>
      <c r="U101" s="246"/>
      <c r="V101" s="246"/>
      <c r="W101" s="246"/>
      <c r="BA101"/>
      <c r="BB101"/>
    </row>
    <row r="102" spans="1:54" s="191" customFormat="1" ht="13">
      <c r="A102" s="226"/>
      <c r="B102" s="180">
        <v>5005026371</v>
      </c>
      <c r="C102" s="183" t="str">
        <f>IFERROR(IF(VLOOKUP($B102,勘定科目!$A:$H,HLOOKUP($E$5,勘定科目!$F$1:$H$2,2,0),0)="","",VLOOKUP($B102,勘定科目!$A:$E,2,0)),"")</f>
        <v>消耗工具器具備品費（製）</v>
      </c>
      <c r="D102" s="239" t="str">
        <f>IF(C102="","",VLOOKUP($B102,勘定科目!$A:$E,4,0))</f>
        <v>消耗工具器具備品費</v>
      </c>
      <c r="E102" s="245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247"/>
      <c r="R102" s="200">
        <f t="shared" si="2"/>
        <v>0</v>
      </c>
      <c r="S102" s="201" t="s">
        <v>741</v>
      </c>
      <c r="T102" s="202"/>
      <c r="U102" s="246"/>
      <c r="V102" s="246"/>
      <c r="W102" s="246"/>
      <c r="BA102"/>
      <c r="BB102"/>
    </row>
    <row r="103" spans="1:54" s="191" customFormat="1" ht="13">
      <c r="A103" s="226"/>
      <c r="B103" s="180">
        <v>5005026371</v>
      </c>
      <c r="C103" s="183" t="str">
        <f>IFERROR(IF(VLOOKUP($B103,勘定科目!$A:$H,HLOOKUP($E$5,勘定科目!$F$1:$H$2,2,0),0)="","",VLOOKUP($B103,勘定科目!$A:$E,2,0)),"")</f>
        <v>消耗工具器具備品費（製）</v>
      </c>
      <c r="D103" s="239" t="str">
        <f>IF(C103="","",VLOOKUP($B103,勘定科目!$A:$E,4,0))</f>
        <v>消耗工具器具備品費</v>
      </c>
      <c r="E103" s="245"/>
      <c r="F103" s="194"/>
      <c r="G103" s="194"/>
      <c r="H103" s="194"/>
      <c r="I103" s="194"/>
      <c r="J103" s="301"/>
      <c r="K103" s="194"/>
      <c r="L103" s="194"/>
      <c r="M103" s="194"/>
      <c r="N103" s="301"/>
      <c r="O103" s="194"/>
      <c r="P103" s="194"/>
      <c r="Q103" s="247"/>
      <c r="R103" s="200">
        <f t="shared" si="2"/>
        <v>0</v>
      </c>
      <c r="S103" s="231" t="s">
        <v>775</v>
      </c>
      <c r="T103" s="202"/>
      <c r="U103" s="246"/>
      <c r="V103" s="246"/>
      <c r="W103" s="246"/>
      <c r="BA103"/>
      <c r="BB103"/>
    </row>
    <row r="104" spans="1:54" s="191" customFormat="1" ht="13">
      <c r="A104" s="226"/>
      <c r="B104" s="180">
        <v>5005046281</v>
      </c>
      <c r="C104" s="183" t="str">
        <f>IFERROR(IF(VLOOKUP($B104,勘定科目!$A:$H,HLOOKUP($E$5,勘定科目!$F$1:$H$2,2,0),0)="","",VLOOKUP($B104,勘定科目!$A:$E,2,0)),"")</f>
        <v>機械設備修繕費（製）</v>
      </c>
      <c r="D104" s="239" t="str">
        <f>IF(C104="","",VLOOKUP($B104,勘定科目!$A:$E,4,0))</f>
        <v>修繕費</v>
      </c>
      <c r="E104" s="245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247"/>
      <c r="R104" s="200">
        <f t="shared" si="2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">
      <c r="A105" s="226"/>
      <c r="B105" s="180">
        <v>5005076281</v>
      </c>
      <c r="C105" s="183" t="str">
        <f>IFERROR(IF(VLOOKUP($B105,勘定科目!$A:$H,HLOOKUP($E$5,勘定科目!$F$1:$H$2,2,0),0)="","",VLOOKUP($B105,勘定科目!$A:$E,2,0)),"")</f>
        <v>通関申告費用（製）</v>
      </c>
      <c r="D105" s="239" t="str">
        <f>IF(C105="","",VLOOKUP($B105,勘定科目!$A:$E,4,0))</f>
        <v>荷造運賃</v>
      </c>
      <c r="E105" s="245"/>
      <c r="F105" s="194"/>
      <c r="G105" s="194"/>
      <c r="H105" s="194"/>
      <c r="I105" s="194"/>
      <c r="J105" s="194"/>
      <c r="K105" s="301"/>
      <c r="L105" s="194"/>
      <c r="M105" s="194"/>
      <c r="N105" s="194"/>
      <c r="O105" s="301"/>
      <c r="P105" s="194"/>
      <c r="Q105" s="247"/>
      <c r="R105" s="200">
        <f t="shared" si="2"/>
        <v>0</v>
      </c>
      <c r="S105" s="201" t="s">
        <v>742</v>
      </c>
      <c r="T105" s="202"/>
      <c r="U105" s="246"/>
      <c r="V105" s="246"/>
      <c r="W105" s="246"/>
      <c r="BA105"/>
      <c r="BB105"/>
    </row>
    <row r="106" spans="1:54" s="191" customFormat="1" ht="13">
      <c r="A106" s="226"/>
      <c r="B106" s="180">
        <v>5005076283</v>
      </c>
      <c r="C106" s="183" t="str">
        <f>IFERROR(IF(VLOOKUP($B106,勘定科目!$A:$H,HLOOKUP($E$5,勘定科目!$F$1:$H$2,2,0),0)="","",VLOOKUP($B106,勘定科目!$A:$E,2,0)),"")</f>
        <v>輸入航空運賃（製）</v>
      </c>
      <c r="D106" s="239" t="str">
        <f>IF(C106="","",VLOOKUP($B106,勘定科目!$A:$E,4,0))</f>
        <v>荷造運賃</v>
      </c>
      <c r="E106" s="245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247"/>
      <c r="R106" s="200">
        <f t="shared" si="2"/>
        <v>0</v>
      </c>
      <c r="S106" s="201" t="s">
        <v>743</v>
      </c>
      <c r="T106" s="202"/>
      <c r="U106" s="246"/>
      <c r="V106" s="246"/>
      <c r="W106" s="246"/>
      <c r="BA106"/>
      <c r="BB106"/>
    </row>
    <row r="107" spans="1:54" s="191" customFormat="1" ht="13">
      <c r="A107" s="226"/>
      <c r="B107" s="180">
        <v>5005076281</v>
      </c>
      <c r="C107" s="183" t="str">
        <f>IFERROR(IF(VLOOKUP($B107,勘定科目!$A:$H,HLOOKUP($E$5,勘定科目!$F$1:$H$2,2,0),0)="","",VLOOKUP($B107,勘定科目!$A:$E,2,0)),"")</f>
        <v>通関申告費用（製）</v>
      </c>
      <c r="D107" s="239" t="str">
        <f>IF(C107="","",VLOOKUP($B107,勘定科目!$A:$E,4,0))</f>
        <v>荷造運賃</v>
      </c>
      <c r="E107" s="245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247"/>
      <c r="R107" s="200">
        <f t="shared" si="2"/>
        <v>0</v>
      </c>
      <c r="S107" s="201" t="s">
        <v>744</v>
      </c>
      <c r="T107" s="202"/>
      <c r="U107" s="246"/>
      <c r="V107" s="246"/>
      <c r="W107" s="246"/>
      <c r="BA107"/>
      <c r="BB107"/>
    </row>
    <row r="108" spans="1:54" s="191" customFormat="1" ht="13">
      <c r="A108" s="226"/>
      <c r="B108" s="180">
        <v>5005076289</v>
      </c>
      <c r="C108" s="183" t="str">
        <f>IFERROR(IF(VLOOKUP($B108,勘定科目!$A:$H,HLOOKUP($E$5,勘定科目!$F$1:$H$2,2,0),0)="","",VLOOKUP($B108,勘定科目!$A:$E,2,0)),"")</f>
        <v>クーリエ費用（製）</v>
      </c>
      <c r="D108" s="239" t="str">
        <f>IF(C108="","",VLOOKUP($B108,勘定科目!$A:$E,4,0))</f>
        <v>荷造運賃</v>
      </c>
      <c r="E108" s="245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247"/>
      <c r="R108" s="200">
        <f t="shared" si="2"/>
        <v>0</v>
      </c>
      <c r="S108" s="201" t="s">
        <v>745</v>
      </c>
      <c r="T108" s="202"/>
      <c r="U108" s="246"/>
      <c r="V108" s="246"/>
      <c r="W108" s="246"/>
      <c r="BA108"/>
      <c r="BB108"/>
    </row>
    <row r="109" spans="1:54" s="191" customFormat="1" ht="13">
      <c r="A109" s="226"/>
      <c r="B109" s="180">
        <v>5005076284</v>
      </c>
      <c r="C109" s="183" t="str">
        <f>IFERROR(IF(VLOOKUP($B109,勘定科目!$A:$H,HLOOKUP($E$5,勘定科目!$F$1:$H$2,2,0),0)="","",VLOOKUP($B109,勘定科目!$A:$E,2,0)),"")</f>
        <v>輸入海上運賃（製）</v>
      </c>
      <c r="D109" s="239" t="str">
        <f>IF(C109="","",VLOOKUP($B109,勘定科目!$A:$E,4,0))</f>
        <v>荷造運賃</v>
      </c>
      <c r="E109" s="245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247"/>
      <c r="R109" s="200">
        <f t="shared" si="2"/>
        <v>0</v>
      </c>
      <c r="S109" s="201" t="s">
        <v>746</v>
      </c>
      <c r="T109" s="202"/>
      <c r="U109" s="246"/>
      <c r="V109" s="246"/>
      <c r="W109" s="246"/>
      <c r="BA109"/>
      <c r="BB109"/>
    </row>
    <row r="110" spans="1:54" s="191" customFormat="1" ht="13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247"/>
      <c r="R110" s="200">
        <f t="shared" si="2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">
      <c r="A111" s="226"/>
      <c r="B111" s="180">
        <v>5004086293</v>
      </c>
      <c r="C111" s="183" t="str">
        <f>IFERROR(IF(VLOOKUP($B111,勘定科目!$A:$H,HLOOKUP($E$5,勘定科目!$F$1:$H$2,2,0),0)="","",VLOOKUP($B111,勘定科目!$A:$E,2,0)),"")</f>
        <v>教育訓練費（製）</v>
      </c>
      <c r="D111" s="239" t="str">
        <f>IF(C111="","",VLOOKUP($B111,勘定科目!$A:$E,4,0))</f>
        <v>募集教育費</v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2"/>
        <v>0</v>
      </c>
      <c r="S111" s="201" t="s">
        <v>747</v>
      </c>
      <c r="T111" s="202"/>
      <c r="U111" s="246"/>
      <c r="V111" s="246"/>
      <c r="W111" s="246"/>
      <c r="BA111"/>
      <c r="BB111"/>
    </row>
    <row r="112" spans="1:54" s="191" customFormat="1" ht="13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2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">
      <c r="A113" s="226"/>
      <c r="B113" s="180">
        <v>5005246286</v>
      </c>
      <c r="C113" s="183" t="str">
        <f>IFERROR(IF(VLOOKUP($B113,勘定科目!$A:$H,HLOOKUP($E$5,勘定科目!$F$1:$H$2,2,0),0)="","",VLOOKUP($B113,勘定科目!$A:$E,2,0)),"")</f>
        <v>その他手数料（製）</v>
      </c>
      <c r="D113" s="239" t="str">
        <f>IF(C113="","",VLOOKUP($B113,勘定科目!$A:$E,4,0))</f>
        <v>手数料</v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2"/>
        <v>0</v>
      </c>
      <c r="S113" s="201" t="s">
        <v>748</v>
      </c>
      <c r="T113" s="202"/>
      <c r="U113" s="246"/>
      <c r="V113" s="246"/>
      <c r="W113" s="246"/>
      <c r="BA113"/>
      <c r="BB113"/>
    </row>
    <row r="114" spans="1:54" s="191" customFormat="1" ht="13">
      <c r="A114" s="226"/>
      <c r="B114" s="180">
        <v>5005246286</v>
      </c>
      <c r="C114" s="183" t="str">
        <f>IFERROR(IF(VLOOKUP($B114,勘定科目!$A:$H,HLOOKUP($E$5,勘定科目!$F$1:$H$2,2,0),0)="","",VLOOKUP($B114,勘定科目!$A:$E,2,0)),"")</f>
        <v>その他手数料（製）</v>
      </c>
      <c r="D114" s="239" t="str">
        <f>IF(C114="","",VLOOKUP($B114,勘定科目!$A:$E,4,0))</f>
        <v>手数料</v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2"/>
        <v>0</v>
      </c>
      <c r="S114" s="201" t="s">
        <v>749</v>
      </c>
      <c r="T114" s="202"/>
      <c r="U114" s="246"/>
      <c r="V114" s="246"/>
      <c r="W114" s="246"/>
      <c r="BA114"/>
      <c r="BB114"/>
    </row>
    <row r="115" spans="1:54" s="191" customFormat="1" ht="13">
      <c r="A115" s="226"/>
      <c r="B115" s="180">
        <v>5005246286</v>
      </c>
      <c r="C115" s="183" t="str">
        <f>IFERROR(IF(VLOOKUP($B115,勘定科目!$A:$H,HLOOKUP($E$5,勘定科目!$F$1:$H$2,2,0),0)="","",VLOOKUP($B115,勘定科目!$A:$E,2,0)),"")</f>
        <v>その他手数料（製）</v>
      </c>
      <c r="D115" s="239" t="str">
        <f>IF(C115="","",VLOOKUP($B115,勘定科目!$A:$E,4,0))</f>
        <v>手数料</v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2"/>
        <v>0</v>
      </c>
      <c r="S115" s="201" t="s">
        <v>750</v>
      </c>
      <c r="T115" s="202"/>
      <c r="U115" s="246"/>
      <c r="V115" s="246"/>
      <c r="W115" s="246"/>
      <c r="BA115"/>
      <c r="BB115"/>
    </row>
    <row r="116" spans="1:54" s="191" customFormat="1" ht="13">
      <c r="A116" s="226"/>
      <c r="B116" s="180">
        <v>5005246286</v>
      </c>
      <c r="C116" s="183" t="str">
        <f>IFERROR(IF(VLOOKUP($B116,勘定科目!$A:$H,HLOOKUP($E$5,勘定科目!$F$1:$H$2,2,0),0)="","",VLOOKUP($B116,勘定科目!$A:$E,2,0)),"")</f>
        <v>その他手数料（製）</v>
      </c>
      <c r="D116" s="239" t="str">
        <f>IF(C116="","",VLOOKUP($B116,勘定科目!$A:$E,4,0))</f>
        <v>手数料</v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2"/>
        <v>0</v>
      </c>
      <c r="S116" s="201" t="s">
        <v>751</v>
      </c>
      <c r="T116" s="202"/>
      <c r="U116" s="246"/>
      <c r="V116" s="246"/>
      <c r="W116" s="246"/>
      <c r="BA116"/>
      <c r="BB116"/>
    </row>
    <row r="117" spans="1:54" s="191" customFormat="1" ht="13">
      <c r="A117" s="226"/>
      <c r="B117" s="180">
        <v>5005246286</v>
      </c>
      <c r="C117" s="183" t="str">
        <f>IFERROR(IF(VLOOKUP($B117,勘定科目!$A:$H,HLOOKUP($E$5,勘定科目!$F$1:$H$2,2,0),0)="","",VLOOKUP($B117,勘定科目!$A:$E,2,0)),"")</f>
        <v>その他手数料（製）</v>
      </c>
      <c r="D117" s="239" t="str">
        <f>IF(C117="","",VLOOKUP($B117,勘定科目!$A:$E,4,0))</f>
        <v>手数料</v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2"/>
        <v>0</v>
      </c>
      <c r="S117" s="201" t="s">
        <v>752</v>
      </c>
      <c r="T117" s="202"/>
      <c r="U117" s="246"/>
      <c r="V117" s="246"/>
      <c r="W117" s="246"/>
      <c r="BA117"/>
      <c r="BB117"/>
    </row>
    <row r="118" spans="1:54" s="191" customFormat="1" ht="13">
      <c r="A118" s="226"/>
      <c r="B118" s="180">
        <v>5005246286</v>
      </c>
      <c r="C118" s="183" t="str">
        <f>IFERROR(IF(VLOOKUP($B118,勘定科目!$A:$H,HLOOKUP($E$5,勘定科目!$F$1:$H$2,2,0),0)="","",VLOOKUP($B118,勘定科目!$A:$E,2,0)),"")</f>
        <v>その他手数料（製）</v>
      </c>
      <c r="D118" s="239" t="str">
        <f>IF(C118="","",VLOOKUP($B118,勘定科目!$A:$E,4,0))</f>
        <v>手数料</v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2"/>
        <v>0</v>
      </c>
      <c r="S118" s="201" t="s">
        <v>753</v>
      </c>
      <c r="T118" s="202"/>
      <c r="U118" s="246"/>
      <c r="V118" s="246"/>
      <c r="W118" s="246"/>
      <c r="BA118"/>
      <c r="BB118"/>
    </row>
    <row r="119" spans="1:54" s="191" customFormat="1" ht="13">
      <c r="A119" s="226"/>
      <c r="B119" s="180">
        <v>5005246286</v>
      </c>
      <c r="C119" s="183" t="str">
        <f>IFERROR(IF(VLOOKUP($B119,勘定科目!$A:$H,HLOOKUP($E$5,勘定科目!$F$1:$H$2,2,0),0)="","",VLOOKUP($B119,勘定科目!$A:$E,2,0)),"")</f>
        <v>その他手数料（製）</v>
      </c>
      <c r="D119" s="239" t="str">
        <f>IF(C119="","",VLOOKUP($B119,勘定科目!$A:$E,4,0))</f>
        <v>手数料</v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ref="R119:R182" si="3">SUM(F119:Q119)</f>
        <v>0</v>
      </c>
      <c r="S119" s="201" t="s">
        <v>754</v>
      </c>
      <c r="T119" s="202"/>
      <c r="U119" s="246"/>
      <c r="V119" s="246"/>
      <c r="W119" s="246"/>
      <c r="BA119"/>
      <c r="BB119"/>
    </row>
    <row r="120" spans="1:54" s="191" customFormat="1" ht="13">
      <c r="A120" s="226"/>
      <c r="B120" s="180">
        <v>5005246286</v>
      </c>
      <c r="C120" s="183" t="str">
        <f>IFERROR(IF(VLOOKUP($B120,勘定科目!$A:$H,HLOOKUP($E$5,勘定科目!$F$1:$H$2,2,0),0)="","",VLOOKUP($B120,勘定科目!$A:$E,2,0)),"")</f>
        <v>その他手数料（製）</v>
      </c>
      <c r="D120" s="239" t="str">
        <f>IF(C120="","",VLOOKUP($B120,勘定科目!$A:$E,4,0))</f>
        <v>手数料</v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3"/>
        <v>0</v>
      </c>
      <c r="S120" s="201" t="s">
        <v>755</v>
      </c>
      <c r="T120" s="202"/>
      <c r="U120" s="246"/>
      <c r="V120" s="246"/>
      <c r="W120" s="246"/>
      <c r="BA120"/>
      <c r="BB120"/>
    </row>
    <row r="121" spans="1:54" s="191" customFormat="1" ht="13">
      <c r="A121" s="226"/>
      <c r="B121" s="180">
        <v>5005246286</v>
      </c>
      <c r="C121" s="183" t="str">
        <f>IFERROR(IF(VLOOKUP($B121,勘定科目!$A:$H,HLOOKUP($E$5,勘定科目!$F$1:$H$2,2,0),0)="","",VLOOKUP($B121,勘定科目!$A:$E,2,0)),"")</f>
        <v>その他手数料（製）</v>
      </c>
      <c r="D121" s="239" t="str">
        <f>IF(C121="","",VLOOKUP($B121,勘定科目!$A:$E,4,0))</f>
        <v>手数料</v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3"/>
        <v>0</v>
      </c>
      <c r="S121" s="201" t="s">
        <v>756</v>
      </c>
      <c r="T121" s="202"/>
      <c r="U121" s="246"/>
      <c r="V121" s="246"/>
      <c r="W121" s="246"/>
      <c r="BA121"/>
      <c r="BB121"/>
    </row>
    <row r="122" spans="1:54" s="191" customFormat="1" ht="13">
      <c r="A122" s="226"/>
      <c r="B122" s="180">
        <v>5005246286</v>
      </c>
      <c r="C122" s="183" t="str">
        <f>IFERROR(IF(VLOOKUP($B122,勘定科目!$A:$H,HLOOKUP($E$5,勘定科目!$F$1:$H$2,2,0),0)="","",VLOOKUP($B122,勘定科目!$A:$E,2,0)),"")</f>
        <v>その他手数料（製）</v>
      </c>
      <c r="D122" s="239" t="str">
        <f>IF(C122="","",VLOOKUP($B122,勘定科目!$A:$E,4,0))</f>
        <v>手数料</v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3"/>
        <v>0</v>
      </c>
      <c r="S122" s="201" t="s">
        <v>757</v>
      </c>
      <c r="T122" s="202"/>
      <c r="U122" s="246"/>
      <c r="V122" s="246"/>
      <c r="W122" s="246"/>
      <c r="BA122"/>
      <c r="BB122"/>
    </row>
    <row r="123" spans="1:54" s="191" customFormat="1" ht="13">
      <c r="A123" s="226"/>
      <c r="B123" s="180">
        <v>5005246286</v>
      </c>
      <c r="C123" s="183" t="str">
        <f>IFERROR(IF(VLOOKUP($B123,勘定科目!$A:$H,HLOOKUP($E$5,勘定科目!$F$1:$H$2,2,0),0)="","",VLOOKUP($B123,勘定科目!$A:$E,2,0)),"")</f>
        <v>その他手数料（製）</v>
      </c>
      <c r="D123" s="239" t="str">
        <f>IF(C123="","",VLOOKUP($B123,勘定科目!$A:$E,4,0))</f>
        <v>手数料</v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3"/>
        <v>0</v>
      </c>
      <c r="S123" s="201" t="s">
        <v>758</v>
      </c>
      <c r="T123" s="202"/>
      <c r="U123" s="246"/>
      <c r="V123" s="246"/>
      <c r="W123" s="246"/>
      <c r="BA123"/>
      <c r="BB123"/>
    </row>
    <row r="124" spans="1:54" s="191" customFormat="1" ht="13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3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">
      <c r="A125" s="226"/>
      <c r="B125" s="180">
        <v>5004086291</v>
      </c>
      <c r="C125" s="183" t="str">
        <f>IFERROR(IF(VLOOKUP($B125,勘定科目!$A:$H,HLOOKUP($E$5,勘定科目!$F$1:$H$2,2,0),0)="","",VLOOKUP($B125,勘定科目!$A:$E,2,0)),"")</f>
        <v>福利厚生費（製）</v>
      </c>
      <c r="D125" s="239" t="str">
        <f>IF(C125="","",VLOOKUP($B125,勘定科目!$A:$E,4,0))</f>
        <v>福利厚生費</v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3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">
      <c r="A126" s="226"/>
      <c r="B126" s="180">
        <v>5005016372</v>
      </c>
      <c r="C126" s="183" t="str">
        <f>IFERROR(IF(VLOOKUP($B126,勘定科目!$A:$H,HLOOKUP($E$5,勘定科目!$F$1:$H$2,2,0),0)="","",VLOOKUP($B126,勘定科目!$A:$E,2,0)),"")</f>
        <v>その他消耗品（製）</v>
      </c>
      <c r="D126" s="239" t="str">
        <f>IF(C126="","",VLOOKUP($B126,勘定科目!$A:$E,4,0))</f>
        <v>消耗品費</v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3"/>
        <v>0</v>
      </c>
      <c r="S126" s="201" t="s">
        <v>759</v>
      </c>
      <c r="T126" s="202"/>
      <c r="U126" s="246"/>
      <c r="V126" s="246"/>
      <c r="W126" s="246"/>
      <c r="BA126"/>
      <c r="BB126"/>
    </row>
    <row r="127" spans="1:54" s="191" customFormat="1" ht="13">
      <c r="A127" s="226"/>
      <c r="B127" s="180">
        <v>5005026371</v>
      </c>
      <c r="C127" s="183" t="str">
        <f>IFERROR(IF(VLOOKUP($B127,勘定科目!$A:$H,HLOOKUP($E$5,勘定科目!$F$1:$H$2,2,0),0)="","",VLOOKUP($B127,勘定科目!$A:$E,2,0)),"")</f>
        <v>消耗工具器具備品費（製）</v>
      </c>
      <c r="D127" s="239" t="str">
        <f>IF(C127="","",VLOOKUP($B127,勘定科目!$A:$E,4,0))</f>
        <v>消耗工具器具備品費</v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3"/>
        <v>0</v>
      </c>
      <c r="S127" s="201" t="s">
        <v>760</v>
      </c>
      <c r="T127" s="202"/>
      <c r="U127" s="246"/>
      <c r="V127" s="246"/>
      <c r="W127" s="246"/>
      <c r="BA127"/>
      <c r="BB127"/>
    </row>
    <row r="128" spans="1:54" s="191" customFormat="1" ht="13">
      <c r="A128" s="226"/>
      <c r="B128" s="180">
        <v>5005116291</v>
      </c>
      <c r="C128" s="183" t="str">
        <f>IFERROR(IF(VLOOKUP($B128,勘定科目!$A:$H,HLOOKUP($E$5,勘定科目!$F$1:$H$2,2,0),0)="","",VLOOKUP($B128,勘定科目!$A:$E,2,0)),"")</f>
        <v>ベトナム国内交通費（製）</v>
      </c>
      <c r="D128" s="239" t="str">
        <f>IF(C128="","",VLOOKUP($B128,勘定科目!$A:$E,4,0))</f>
        <v>旅費交通費</v>
      </c>
      <c r="E128" s="245"/>
      <c r="F128" s="194"/>
      <c r="G128" s="300"/>
      <c r="H128" s="300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3"/>
        <v>0</v>
      </c>
      <c r="S128" s="201" t="s">
        <v>761</v>
      </c>
      <c r="T128" s="202"/>
      <c r="U128" s="246"/>
      <c r="V128" s="246"/>
      <c r="W128" s="246"/>
      <c r="BA128"/>
      <c r="BB128"/>
    </row>
    <row r="129" spans="1:54" s="191" customFormat="1" ht="13">
      <c r="A129" s="226"/>
      <c r="B129" s="180">
        <v>5005116291</v>
      </c>
      <c r="C129" s="183" t="str">
        <f>IFERROR(IF(VLOOKUP($B129,勘定科目!$A:$H,HLOOKUP($E$5,勘定科目!$F$1:$H$2,2,0),0)="","",VLOOKUP($B129,勘定科目!$A:$E,2,0)),"")</f>
        <v>ベトナム国内交通費（製）</v>
      </c>
      <c r="D129" s="239" t="str">
        <f>IF(C129="","",VLOOKUP($B129,勘定科目!$A:$E,4,0))</f>
        <v>旅費交通費</v>
      </c>
      <c r="E129" s="245"/>
      <c r="F129" s="300"/>
      <c r="G129" s="247"/>
      <c r="H129" s="300"/>
      <c r="I129" s="300"/>
      <c r="J129" s="300"/>
      <c r="K129" s="247"/>
      <c r="L129" s="247"/>
      <c r="M129" s="300"/>
      <c r="N129" s="247"/>
      <c r="O129" s="247"/>
      <c r="P129" s="247"/>
      <c r="Q129" s="247"/>
      <c r="R129" s="200">
        <f t="shared" si="3"/>
        <v>0</v>
      </c>
      <c r="S129" s="201" t="s">
        <v>762</v>
      </c>
      <c r="T129" s="202"/>
      <c r="U129" s="246"/>
      <c r="V129" s="246"/>
      <c r="W129" s="246"/>
      <c r="BA129"/>
      <c r="BB129"/>
    </row>
    <row r="130" spans="1:54" s="191" customFormat="1" ht="13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194"/>
      <c r="K130" s="247"/>
      <c r="L130" s="247"/>
      <c r="M130" s="247"/>
      <c r="N130" s="247"/>
      <c r="O130" s="247"/>
      <c r="P130" s="247"/>
      <c r="Q130" s="247"/>
      <c r="R130" s="200">
        <f t="shared" si="3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194"/>
      <c r="K131" s="247"/>
      <c r="L131" s="247"/>
      <c r="M131" s="247"/>
      <c r="N131" s="247"/>
      <c r="O131" s="247"/>
      <c r="P131" s="247"/>
      <c r="Q131" s="247"/>
      <c r="R131" s="200">
        <f t="shared" si="3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">
      <c r="A132" s="226"/>
      <c r="B132" s="180">
        <v>5005116292</v>
      </c>
      <c r="C132" s="183" t="str">
        <f>IFERROR(IF(VLOOKUP($B132,勘定科目!$A:$H,HLOOKUP($E$5,勘定科目!$F$1:$H$2,2,0),0)="","",VLOOKUP($B132,勘定科目!$A:$E,2,0)),"")</f>
        <v>海外渡航費（製）</v>
      </c>
      <c r="D132" s="239" t="str">
        <f>IF(C132="","",VLOOKUP($B132,勘定科目!$A:$E,4,0))</f>
        <v>渡航費</v>
      </c>
      <c r="E132" s="245"/>
      <c r="F132" s="194"/>
      <c r="G132" s="247"/>
      <c r="H132" s="247"/>
      <c r="I132" s="247"/>
      <c r="J132" s="194"/>
      <c r="K132" s="247"/>
      <c r="L132" s="247"/>
      <c r="M132" s="247"/>
      <c r="N132" s="247"/>
      <c r="O132" s="247"/>
      <c r="P132" s="247"/>
      <c r="Q132" s="247"/>
      <c r="R132" s="200">
        <f t="shared" si="3"/>
        <v>0</v>
      </c>
      <c r="S132" s="201" t="s">
        <v>763</v>
      </c>
      <c r="T132" s="202"/>
      <c r="U132" s="246"/>
      <c r="V132" s="246"/>
      <c r="W132" s="246"/>
      <c r="BA132"/>
      <c r="BB132"/>
    </row>
    <row r="133" spans="1:54" s="191" customFormat="1" ht="13">
      <c r="A133" s="226"/>
      <c r="B133" s="180">
        <v>5005116291</v>
      </c>
      <c r="C133" s="183" t="str">
        <f>IFERROR(IF(VLOOKUP($B133,勘定科目!$A:$H,HLOOKUP($E$5,勘定科目!$F$1:$H$2,2,0),0)="","",VLOOKUP($B133,勘定科目!$A:$E,2,0)),"")</f>
        <v>ベトナム国内交通費（製）</v>
      </c>
      <c r="D133" s="239" t="str">
        <f>IF(C133="","",VLOOKUP($B133,勘定科目!$A:$E,4,0))</f>
        <v>旅費交通費</v>
      </c>
      <c r="E133" s="245"/>
      <c r="F133" s="194"/>
      <c r="G133" s="300"/>
      <c r="H133" s="247"/>
      <c r="I133" s="247"/>
      <c r="J133" s="194"/>
      <c r="K133" s="300"/>
      <c r="L133" s="247"/>
      <c r="M133" s="247"/>
      <c r="N133" s="247"/>
      <c r="O133" s="247"/>
      <c r="P133" s="247"/>
      <c r="Q133" s="247"/>
      <c r="R133" s="200">
        <f t="shared" si="3"/>
        <v>0</v>
      </c>
      <c r="S133" s="201" t="s">
        <v>764</v>
      </c>
      <c r="T133" s="202"/>
      <c r="U133" s="246"/>
      <c r="V133" s="246"/>
      <c r="W133" s="246"/>
      <c r="BA133"/>
      <c r="BB133"/>
    </row>
    <row r="134" spans="1:54" s="191" customFormat="1" ht="13">
      <c r="A134" s="226"/>
      <c r="B134" s="180">
        <v>5005116292</v>
      </c>
      <c r="C134" s="183" t="str">
        <f>IFERROR(IF(VLOOKUP($B134,勘定科目!$A:$H,HLOOKUP($E$5,勘定科目!$F$1:$H$2,2,0),0)="","",VLOOKUP($B134,勘定科目!$A:$E,2,0)),"")</f>
        <v>海外渡航費（製）</v>
      </c>
      <c r="D134" s="239" t="str">
        <f>IF(C134="","",VLOOKUP($B134,勘定科目!$A:$E,4,0))</f>
        <v>渡航費</v>
      </c>
      <c r="E134" s="245"/>
      <c r="F134" s="194"/>
      <c r="G134" s="300"/>
      <c r="H134" s="247"/>
      <c r="I134" s="247"/>
      <c r="J134" s="194"/>
      <c r="K134" s="300"/>
      <c r="L134" s="247"/>
      <c r="M134" s="247"/>
      <c r="N134" s="247"/>
      <c r="O134" s="247"/>
      <c r="P134" s="247"/>
      <c r="Q134" s="247"/>
      <c r="R134" s="200">
        <f t="shared" si="3"/>
        <v>0</v>
      </c>
      <c r="S134" s="201" t="s">
        <v>765</v>
      </c>
      <c r="T134" s="202"/>
      <c r="U134" s="246"/>
      <c r="V134" s="246"/>
      <c r="W134" s="246"/>
      <c r="BA134"/>
      <c r="BB134"/>
    </row>
    <row r="135" spans="1:54" s="191" customFormat="1" ht="13">
      <c r="A135" s="226"/>
      <c r="B135" s="180">
        <v>5005116292</v>
      </c>
      <c r="C135" s="183" t="str">
        <f>IFERROR(IF(VLOOKUP($B135,勘定科目!$A:$H,HLOOKUP($E$5,勘定科目!$F$1:$H$2,2,0),0)="","",VLOOKUP($B135,勘定科目!$A:$E,2,0)),"")</f>
        <v>海外渡航費（製）</v>
      </c>
      <c r="D135" s="239" t="str">
        <f>IF(C135="","",VLOOKUP($B135,勘定科目!$A:$E,4,0))</f>
        <v>渡航費</v>
      </c>
      <c r="E135" s="245"/>
      <c r="F135" s="300"/>
      <c r="G135" s="247"/>
      <c r="H135" s="247"/>
      <c r="I135" s="247"/>
      <c r="J135" s="300"/>
      <c r="K135" s="247"/>
      <c r="L135" s="247"/>
      <c r="M135" s="247"/>
      <c r="N135" s="247"/>
      <c r="O135" s="247"/>
      <c r="P135" s="247"/>
      <c r="Q135" s="247"/>
      <c r="R135" s="200">
        <f t="shared" si="3"/>
        <v>0</v>
      </c>
      <c r="S135" s="201" t="s">
        <v>766</v>
      </c>
      <c r="T135" s="202"/>
      <c r="U135" s="246"/>
      <c r="V135" s="246"/>
      <c r="W135" s="246"/>
      <c r="BA135"/>
      <c r="BB135"/>
    </row>
    <row r="136" spans="1:54" s="191" customFormat="1" ht="13">
      <c r="A136" s="226"/>
      <c r="B136" s="180">
        <v>5005116292</v>
      </c>
      <c r="C136" s="183" t="str">
        <f>IFERROR(IF(VLOOKUP($B136,勘定科目!$A:$H,HLOOKUP($E$5,勘定科目!$F$1:$H$2,2,0),0)="","",VLOOKUP($B136,勘定科目!$A:$E,2,0)),"")</f>
        <v>海外渡航費（製）</v>
      </c>
      <c r="D136" s="239" t="str">
        <f>IF(C136="","",VLOOKUP($B136,勘定科目!$A:$E,4,0))</f>
        <v>渡航費</v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3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">
      <c r="A137" s="226"/>
      <c r="B137" s="180">
        <v>5005116292</v>
      </c>
      <c r="C137" s="183" t="str">
        <f>IFERROR(IF(VLOOKUP($B137,勘定科目!$A:$H,HLOOKUP($E$5,勘定科目!$F$1:$H$2,2,0),0)="","",VLOOKUP($B137,勘定科目!$A:$E,2,0)),"")</f>
        <v>海外渡航費（製）</v>
      </c>
      <c r="D137" s="239" t="str">
        <f>IF(C137="","",VLOOKUP($B137,勘定科目!$A:$E,4,0))</f>
        <v>渡航費</v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3"/>
        <v>0</v>
      </c>
      <c r="S137" s="201" t="s">
        <v>767</v>
      </c>
      <c r="T137" s="202"/>
      <c r="U137" s="246"/>
      <c r="V137" s="246"/>
      <c r="W137" s="246"/>
      <c r="BA137"/>
      <c r="BB137"/>
    </row>
    <row r="138" spans="1:54" s="191" customFormat="1" ht="13">
      <c r="A138" s="226"/>
      <c r="B138" s="180">
        <v>5005116292</v>
      </c>
      <c r="C138" s="183" t="str">
        <f>IFERROR(IF(VLOOKUP($B138,勘定科目!$A:$H,HLOOKUP($E$5,勘定科目!$F$1:$H$2,2,0),0)="","",VLOOKUP($B138,勘定科目!$A:$E,2,0)),"")</f>
        <v>海外渡航費（製）</v>
      </c>
      <c r="D138" s="239" t="str">
        <f>IF(C138="","",VLOOKUP($B138,勘定科目!$A:$E,4,0))</f>
        <v>渡航費</v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3"/>
        <v>0</v>
      </c>
      <c r="S138" s="201" t="s">
        <v>768</v>
      </c>
      <c r="T138" s="202"/>
      <c r="U138" s="246"/>
      <c r="V138" s="246"/>
      <c r="W138" s="246"/>
      <c r="BA138"/>
      <c r="BB138"/>
    </row>
    <row r="139" spans="1:54" s="191" customFormat="1" ht="13">
      <c r="A139" s="226"/>
      <c r="B139" s="180">
        <v>5005116292</v>
      </c>
      <c r="C139" s="183" t="str">
        <f>IFERROR(IF(VLOOKUP($B139,勘定科目!$A:$H,HLOOKUP($E$5,勘定科目!$F$1:$H$2,2,0),0)="","",VLOOKUP($B139,勘定科目!$A:$E,2,0)),"")</f>
        <v>海外渡航費（製）</v>
      </c>
      <c r="D139" s="239" t="str">
        <f>IF(C139="","",VLOOKUP($B139,勘定科目!$A:$E,4,0))</f>
        <v>渡航費</v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3"/>
        <v>0</v>
      </c>
      <c r="S139" s="201" t="s">
        <v>769</v>
      </c>
      <c r="T139" s="202"/>
      <c r="U139" s="246"/>
      <c r="V139" s="246"/>
      <c r="W139" s="246"/>
      <c r="BA139"/>
      <c r="BB139"/>
    </row>
    <row r="140" spans="1:54" s="191" customFormat="1" ht="13">
      <c r="A140" s="226"/>
      <c r="B140" s="180">
        <v>5005116292</v>
      </c>
      <c r="C140" s="183" t="str">
        <f>IFERROR(IF(VLOOKUP($B140,勘定科目!$A:$H,HLOOKUP($E$5,勘定科目!$F$1:$H$2,2,0),0)="","",VLOOKUP($B140,勘定科目!$A:$E,2,0)),"")</f>
        <v>海外渡航費（製）</v>
      </c>
      <c r="D140" s="239" t="str">
        <f>IF(C140="","",VLOOKUP($B140,勘定科目!$A:$E,4,0))</f>
        <v>渡航費</v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3"/>
        <v>0</v>
      </c>
      <c r="S140" s="201" t="s">
        <v>770</v>
      </c>
      <c r="T140" s="202"/>
      <c r="U140" s="246"/>
      <c r="V140" s="246"/>
      <c r="W140" s="246"/>
      <c r="BA140"/>
      <c r="BB140"/>
    </row>
    <row r="141" spans="1:54" s="191" customFormat="1" ht="13">
      <c r="A141" s="226"/>
      <c r="B141" s="180">
        <v>5005116292</v>
      </c>
      <c r="C141" s="183" t="str">
        <f>IFERROR(IF(VLOOKUP($B141,勘定科目!$A:$H,HLOOKUP($E$5,勘定科目!$F$1:$H$2,2,0),0)="","",VLOOKUP($B141,勘定科目!$A:$E,2,0)),"")</f>
        <v>海外渡航費（製）</v>
      </c>
      <c r="D141" s="239" t="str">
        <f>IF(C141="","",VLOOKUP($B141,勘定科目!$A:$E,4,0))</f>
        <v>渡航費</v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3"/>
        <v>0</v>
      </c>
      <c r="S141" s="201" t="s">
        <v>769</v>
      </c>
      <c r="T141" s="202"/>
      <c r="U141" s="246"/>
      <c r="V141" s="246"/>
      <c r="W141" s="246"/>
      <c r="BA141"/>
      <c r="BB141"/>
    </row>
    <row r="142" spans="1:54" s="191" customFormat="1" ht="13">
      <c r="A142" s="226"/>
      <c r="B142" s="180">
        <v>5005116292</v>
      </c>
      <c r="C142" s="183" t="str">
        <f>IFERROR(IF(VLOOKUP($B142,勘定科目!$A:$H,HLOOKUP($E$5,勘定科目!$F$1:$H$2,2,0),0)="","",VLOOKUP($B142,勘定科目!$A:$E,2,0)),"")</f>
        <v>海外渡航費（製）</v>
      </c>
      <c r="D142" s="239" t="str">
        <f>IF(C142="","",VLOOKUP($B142,勘定科目!$A:$E,4,0))</f>
        <v>渡航費</v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3"/>
        <v>0</v>
      </c>
      <c r="S142" s="201" t="s">
        <v>771</v>
      </c>
      <c r="T142" s="202"/>
      <c r="U142" s="246"/>
      <c r="V142" s="246"/>
      <c r="W142" s="246"/>
      <c r="BA142"/>
      <c r="BB142"/>
    </row>
    <row r="143" spans="1:54" s="191" customFormat="1" ht="13">
      <c r="A143" s="226"/>
      <c r="B143" s="180">
        <v>5005116292</v>
      </c>
      <c r="C143" s="183" t="str">
        <f>IFERROR(IF(VLOOKUP($B143,勘定科目!$A:$H,HLOOKUP($E$5,勘定科目!$F$1:$H$2,2,0),0)="","",VLOOKUP($B143,勘定科目!$A:$E,2,0)),"")</f>
        <v>海外渡航費（製）</v>
      </c>
      <c r="D143" s="239" t="str">
        <f>IF(C143="","",VLOOKUP($B143,勘定科目!$A:$E,4,0))</f>
        <v>渡航費</v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3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3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">
      <c r="A145" s="226"/>
      <c r="B145" s="180">
        <v>9114120009</v>
      </c>
      <c r="C145" s="183" t="str">
        <f>IFERROR(IF(VLOOKUP($B145,勘定科目!$A:$H,HLOOKUP($E$5,勘定科目!$F$1:$H$2,2,0),0)="","",VLOOKUP($B145,勘定科目!$A:$E,2,0)),"")</f>
        <v>社内金利（在庫）</v>
      </c>
      <c r="D145" s="239" t="str">
        <f>IF(C145="","",VLOOKUP($B145,勘定科目!$A:$E,4,0))</f>
        <v>在庫金利</v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3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3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">
      <c r="A147" s="226"/>
      <c r="B147" s="180">
        <v>5005046282</v>
      </c>
      <c r="C147" s="183" t="str">
        <f>IFERROR(IF(VLOOKUP($B147,勘定科目!$A:$H,HLOOKUP($E$5,勘定科目!$F$1:$H$2,2,0),0)="","",VLOOKUP($B147,勘定科目!$A:$E,2,0)),"")</f>
        <v>その他修繕費（製）</v>
      </c>
      <c r="D147" s="239" t="str">
        <f>IF(C147="","",VLOOKUP($B147,勘定科目!$A:$E,4,0))</f>
        <v>修繕費</v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3"/>
        <v>0</v>
      </c>
      <c r="S147" s="201" t="s">
        <v>772</v>
      </c>
      <c r="T147" s="202"/>
      <c r="U147" s="246"/>
      <c r="V147" s="246"/>
      <c r="W147" s="246"/>
      <c r="BA147"/>
      <c r="BB147"/>
    </row>
    <row r="148" spans="1:54" s="191" customFormat="1" ht="13">
      <c r="A148" s="226"/>
      <c r="B148" s="180">
        <v>5005046282</v>
      </c>
      <c r="C148" s="183" t="str">
        <f>IFERROR(IF(VLOOKUP($B148,勘定科目!$A:$H,HLOOKUP($E$5,勘定科目!$F$1:$H$2,2,0),0)="","",VLOOKUP($B148,勘定科目!$A:$E,2,0)),"")</f>
        <v>その他修繕費（製）</v>
      </c>
      <c r="D148" s="239" t="str">
        <f>IF(C148="","",VLOOKUP($B148,勘定科目!$A:$E,4,0))</f>
        <v>修繕費</v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3"/>
        <v>0</v>
      </c>
      <c r="S148" s="201" t="s">
        <v>773</v>
      </c>
      <c r="T148" s="202"/>
      <c r="U148" s="246"/>
      <c r="V148" s="246"/>
      <c r="W148" s="246"/>
      <c r="BA148"/>
      <c r="BB148"/>
    </row>
    <row r="149" spans="1:54" s="191" customFormat="1" ht="13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3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">
      <c r="A150" s="226"/>
      <c r="B150" s="180">
        <v>5005246283</v>
      </c>
      <c r="C150" s="183" t="str">
        <f>IFERROR(IF(VLOOKUP($B150,勘定科目!$A:$H,HLOOKUP($E$5,勘定科目!$F$1:$H$2,2,0),0)="","",VLOOKUP($B150,勘定科目!$A:$E,2,0)),"")</f>
        <v>ライセンス料（製）</v>
      </c>
      <c r="D150" s="239" t="str">
        <f>IF(C150="","",VLOOKUP($B150,勘定科目!$A:$E,4,0))</f>
        <v>図書及び事務費</v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3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">
      <c r="A151" s="226"/>
      <c r="B151" s="180">
        <v>5005246283</v>
      </c>
      <c r="C151" s="183" t="str">
        <f>IFERROR(IF(VLOOKUP($B151,勘定科目!$A:$H,HLOOKUP($E$5,勘定科目!$F$1:$H$2,2,0),0)="","",VLOOKUP($B151,勘定科目!$A:$E,2,0)),"")</f>
        <v>ライセンス料（製）</v>
      </c>
      <c r="D151" s="239" t="str">
        <f>IF(C151="","",VLOOKUP($B151,勘定科目!$A:$E,4,0))</f>
        <v>図書及び事務費</v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3"/>
        <v>0</v>
      </c>
      <c r="S151" s="201" t="s">
        <v>774</v>
      </c>
      <c r="T151" s="202"/>
      <c r="U151" s="246"/>
      <c r="V151" s="246"/>
      <c r="W151" s="246"/>
      <c r="BA151"/>
      <c r="BB151"/>
    </row>
    <row r="152" spans="1:54" s="191" customFormat="1" ht="13">
      <c r="A152" s="226"/>
      <c r="B152" s="180">
        <v>5005136291</v>
      </c>
      <c r="C152" s="183" t="str">
        <f>IFERROR(IF(VLOOKUP($B152,勘定科目!$A:$H,HLOOKUP($E$5,勘定科目!$F$1:$H$2,2,0),0)="","",VLOOKUP($B152,勘定科目!$A:$E,2,0)),"")</f>
        <v>郵送代（製）</v>
      </c>
      <c r="D152" s="239" t="str">
        <f>IF(C152="","",VLOOKUP($B152,勘定科目!$A:$E,4,0))</f>
        <v>通信費</v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3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3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3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3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3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3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3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3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3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3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3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3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3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3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3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3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3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3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3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3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3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3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3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3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3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3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3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3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3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3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3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ref="R183:R246" si="4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4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4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4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4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4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4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4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4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4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4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4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4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4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4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4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4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4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4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4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4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4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4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4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4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4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4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4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4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4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4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4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4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4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4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4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4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4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4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4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4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4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4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4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4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4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4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4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4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4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4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4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4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4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4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4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4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4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4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4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4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4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4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4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ref="R247:R310" si="5">SUM(F247:Q247)</f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5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5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5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5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5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5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5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5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5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5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5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5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5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5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5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5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5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5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5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5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5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5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5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5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5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5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5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5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5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5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5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5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5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5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5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5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5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5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5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5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5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5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5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5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5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5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5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5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5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5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5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5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5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5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5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5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5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5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5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5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5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5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5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6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6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6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6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6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6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6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6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6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6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6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6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6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6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6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6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6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6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6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6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6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6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6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6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6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6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6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6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6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6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6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6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6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6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6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6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6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6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6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6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6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6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6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6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6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6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6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6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6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6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6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6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6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6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6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6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6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6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6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6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6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6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6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6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7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7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7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7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7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7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7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7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7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7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7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7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7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7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7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7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7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7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7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7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7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7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7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7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7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7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7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7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7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7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7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7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7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7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7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7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7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7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7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7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7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7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7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7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7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7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7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7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7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7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7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7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7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7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7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7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7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7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7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7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7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7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7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7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8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8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8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8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8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8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8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8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8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8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8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8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8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8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8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8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8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8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8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8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8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8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8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8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8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8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8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8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8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8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8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8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8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8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8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8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8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8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8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8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8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8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8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8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8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8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8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8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8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8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8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8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8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8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8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8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8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8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8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8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8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8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8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8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9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9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9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9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9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9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9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9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9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9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9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9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9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9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9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9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9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9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9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9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9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9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9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9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9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9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9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9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9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9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9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9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9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9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9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9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9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9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9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9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9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9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9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9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9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9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9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9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9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9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9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9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9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9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9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9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9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9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9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9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9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9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9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9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10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10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0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0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0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0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0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0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0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0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0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0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0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0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0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0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0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0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0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0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0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0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0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0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0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0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0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0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0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10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0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0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0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0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0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0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0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0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0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0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0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0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0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0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0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0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0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0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0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0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0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0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0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0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0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0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0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0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0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0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0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0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0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10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11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11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1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1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1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1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1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1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1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1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1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1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1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1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1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1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1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1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1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1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1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1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1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1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1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1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1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1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1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11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1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1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1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1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1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1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1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1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1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1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1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1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1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1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1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1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1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1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1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1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1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1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1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1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1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1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1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1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1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1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1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1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1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11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12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12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2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2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2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2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2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2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2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2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2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2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2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2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2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2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2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2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2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2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2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2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2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2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2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2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2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2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2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12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2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2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2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2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2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2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2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2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2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2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2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2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2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2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2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2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2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2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2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2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2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2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2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2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2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2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2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2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2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2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2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2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2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12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13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13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13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13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13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13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13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13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13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13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13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13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13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13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13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13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13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13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13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13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13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13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13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13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13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13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13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13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13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13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13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13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13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13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13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13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13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13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13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13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13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</sheetData>
  <autoFilter ref="A7:T799" xr:uid="{DF469C0A-517C-4883-A945-F04B9383B197}"/>
  <phoneticPr fontId="3"/>
  <conditionalFormatting sqref="F3:Q3">
    <cfRule type="expression" dxfId="0" priority="1">
      <formula>F3&lt;&gt;"OK"</formula>
    </cfRule>
  </conditionalFormatting>
  <dataValidations disablePrompts="1" count="1">
    <dataValidation type="list" allowBlank="1" showInputMessage="1" showErrorMessage="1" sqref="T8:T799" xr:uid="{77325825-0E2C-4679-A194-CDBB453AD17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297-6CE1-4D15-B640-20426A6746B3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1796875" style="48" customWidth="1"/>
    <col min="5" max="18" width="14.08984375" style="48" customWidth="1"/>
    <col min="19" max="19" width="12.81640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製造システム開発課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6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2E564B4B-45C7-4C14-8EB9-22B9088CDFF6}"/>
  <phoneticPr fontId="3"/>
  <dataValidations count="1">
    <dataValidation type="list" allowBlank="1" showInputMessage="1" showErrorMessage="1" sqref="S4:S49" xr:uid="{52F671B1-AD66-4D37-9719-93ECB5C459B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E9C7-03EA-42D8-B59D-98539F30958F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6" bestFit="1" customWidth="1"/>
    <col min="2" max="2" width="34.81640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179687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684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675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685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686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687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688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689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676</v>
      </c>
      <c r="C239"/>
      <c r="D239" t="s">
        <v>676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677</v>
      </c>
      <c r="C240"/>
      <c r="D240" t="s">
        <v>677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673</v>
      </c>
      <c r="C245" s="107" t="s">
        <v>674</v>
      </c>
      <c r="D245" s="107" t="s">
        <v>45</v>
      </c>
      <c r="E245" s="107" t="s">
        <v>356</v>
      </c>
      <c r="G245" s="107">
        <v>6006016630</v>
      </c>
    </row>
  </sheetData>
  <autoFilter ref="A1:I244" xr:uid="{8BBDA61B-FABF-45E1-9CCE-EF0419B8281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5750-41CB-4A63-B1CD-9363AD3DFCBA}">
  <sheetPr codeName="Sheet8"/>
  <dimension ref="A1:G60"/>
  <sheetViews>
    <sheetView workbookViewId="0">
      <pane ySplit="1" topLeftCell="A2" activePane="bottomLeft" state="frozen"/>
      <selection pane="bottomLeft" activeCell="G22" sqref="G22"/>
    </sheetView>
  </sheetViews>
  <sheetFormatPr defaultColWidth="9" defaultRowHeight="13"/>
  <cols>
    <col min="1" max="1" width="11.6328125" style="294" bestFit="1" customWidth="1"/>
    <col min="2" max="2" width="19" style="291" bestFit="1" customWidth="1"/>
    <col min="3" max="3" width="3.90625" style="292" bestFit="1" customWidth="1"/>
    <col min="4" max="4" width="10.1796875" style="291" bestFit="1" customWidth="1"/>
    <col min="5" max="5" width="9" style="291"/>
    <col min="6" max="6" width="10.90625" style="291" bestFit="1" customWidth="1"/>
    <col min="7" max="7" width="19.453125" style="291" bestFit="1" customWidth="1"/>
    <col min="8" max="8" width="9" style="291"/>
    <col min="9" max="9" width="13.45312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663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664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657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302">
        <v>1412000006</v>
      </c>
      <c r="B15" s="303" t="s">
        <v>424</v>
      </c>
      <c r="C15" s="304" t="s">
        <v>614</v>
      </c>
      <c r="D15" s="291" t="s">
        <v>576</v>
      </c>
      <c r="E15" s="291" t="s">
        <v>159</v>
      </c>
    </row>
    <row r="16" spans="1:7">
      <c r="A16" s="302" t="s">
        <v>780</v>
      </c>
      <c r="B16" s="303" t="s">
        <v>425</v>
      </c>
      <c r="C16" s="304" t="s">
        <v>615</v>
      </c>
      <c r="D16" s="291" t="s">
        <v>576</v>
      </c>
      <c r="E16" s="291" t="s">
        <v>159</v>
      </c>
    </row>
    <row r="17" spans="1:5">
      <c r="A17" s="302">
        <v>1412000040</v>
      </c>
      <c r="B17" s="303" t="s">
        <v>443</v>
      </c>
      <c r="C17" s="304" t="s">
        <v>616</v>
      </c>
      <c r="D17" s="291" t="s">
        <v>576</v>
      </c>
      <c r="E17" s="291" t="s">
        <v>159</v>
      </c>
    </row>
    <row r="18" spans="1:5">
      <c r="A18" s="302">
        <v>1412000106</v>
      </c>
      <c r="B18" s="303" t="s">
        <v>781</v>
      </c>
      <c r="C18" s="305" t="s">
        <v>782</v>
      </c>
      <c r="D18" s="291" t="s">
        <v>576</v>
      </c>
      <c r="E18" s="291" t="s">
        <v>159</v>
      </c>
    </row>
    <row r="19" spans="1:5">
      <c r="A19" s="302">
        <v>1412000039</v>
      </c>
      <c r="B19" s="303" t="s">
        <v>783</v>
      </c>
      <c r="C19" s="305" t="s">
        <v>784</v>
      </c>
      <c r="D19" s="291" t="s">
        <v>576</v>
      </c>
      <c r="E19" s="291" t="s">
        <v>159</v>
      </c>
    </row>
    <row r="20" spans="1:5">
      <c r="A20" s="294">
        <v>1412000013</v>
      </c>
      <c r="B20" s="293" t="s">
        <v>665</v>
      </c>
      <c r="C20" s="292" t="s">
        <v>609</v>
      </c>
      <c r="D20" s="291" t="s">
        <v>576</v>
      </c>
      <c r="E20" s="291" t="s">
        <v>159</v>
      </c>
    </row>
    <row r="21" spans="1:5">
      <c r="A21" s="294">
        <v>1412000080</v>
      </c>
      <c r="B21" s="293" t="s">
        <v>440</v>
      </c>
      <c r="C21" s="292" t="s">
        <v>605</v>
      </c>
      <c r="D21" s="291" t="s">
        <v>576</v>
      </c>
      <c r="E21" s="291" t="s">
        <v>159</v>
      </c>
    </row>
    <row r="22" spans="1:5">
      <c r="A22" s="294">
        <v>1412000044</v>
      </c>
      <c r="B22" s="293" t="s">
        <v>442</v>
      </c>
      <c r="C22" s="292" t="s">
        <v>604</v>
      </c>
      <c r="D22" s="291" t="s">
        <v>444</v>
      </c>
      <c r="E22" s="291" t="s">
        <v>159</v>
      </c>
    </row>
    <row r="23" spans="1:5">
      <c r="A23" s="295">
        <v>1412000056</v>
      </c>
      <c r="B23" s="293" t="s">
        <v>441</v>
      </c>
      <c r="C23" s="292" t="s">
        <v>603</v>
      </c>
      <c r="D23" s="291" t="s">
        <v>159</v>
      </c>
      <c r="E23" s="291" t="s">
        <v>159</v>
      </c>
    </row>
    <row r="24" spans="1:5">
      <c r="A24" s="295">
        <v>1412000018</v>
      </c>
      <c r="B24" s="293" t="s">
        <v>428</v>
      </c>
      <c r="C24" s="292" t="s">
        <v>626</v>
      </c>
      <c r="D24" s="291" t="s">
        <v>577</v>
      </c>
      <c r="E24" s="291" t="s">
        <v>159</v>
      </c>
    </row>
    <row r="25" spans="1:5">
      <c r="A25" s="295">
        <v>1412000019</v>
      </c>
      <c r="B25" s="293" t="s">
        <v>588</v>
      </c>
      <c r="C25" s="292" t="s">
        <v>627</v>
      </c>
      <c r="D25" s="291" t="s">
        <v>577</v>
      </c>
      <c r="E25" s="291" t="s">
        <v>159</v>
      </c>
    </row>
    <row r="26" spans="1:5">
      <c r="A26" s="295">
        <v>1412000058</v>
      </c>
      <c r="B26" s="293" t="s">
        <v>433</v>
      </c>
      <c r="C26" s="292" t="s">
        <v>628</v>
      </c>
      <c r="D26" s="291" t="s">
        <v>577</v>
      </c>
      <c r="E26" s="291" t="s">
        <v>159</v>
      </c>
    </row>
    <row r="27" spans="1:5">
      <c r="A27" s="295">
        <v>1412000042</v>
      </c>
      <c r="B27" s="293" t="s">
        <v>434</v>
      </c>
      <c r="C27" s="292" t="s">
        <v>629</v>
      </c>
      <c r="D27" s="291" t="s">
        <v>577</v>
      </c>
      <c r="E27" s="291" t="s">
        <v>159</v>
      </c>
    </row>
    <row r="28" spans="1:5">
      <c r="A28" s="295">
        <v>1412000021</v>
      </c>
      <c r="B28" s="293" t="s">
        <v>435</v>
      </c>
      <c r="C28" s="292" t="s">
        <v>630</v>
      </c>
      <c r="D28" s="291" t="s">
        <v>577</v>
      </c>
      <c r="E28" s="291" t="s">
        <v>159</v>
      </c>
    </row>
    <row r="29" spans="1:5">
      <c r="A29" s="295">
        <v>1412000022</v>
      </c>
      <c r="B29" s="293" t="s">
        <v>439</v>
      </c>
      <c r="C29" s="292" t="s">
        <v>632</v>
      </c>
      <c r="D29" s="291" t="s">
        <v>577</v>
      </c>
      <c r="E29" s="291" t="s">
        <v>159</v>
      </c>
    </row>
    <row r="30" spans="1:5">
      <c r="A30" s="295">
        <v>1412000024</v>
      </c>
      <c r="B30" s="293" t="s">
        <v>437</v>
      </c>
      <c r="C30" s="292" t="s">
        <v>633</v>
      </c>
      <c r="D30" s="291" t="s">
        <v>578</v>
      </c>
      <c r="E30" s="291" t="s">
        <v>160</v>
      </c>
    </row>
    <row r="31" spans="1:5">
      <c r="A31" s="295">
        <v>1412000025</v>
      </c>
      <c r="B31" s="293" t="s">
        <v>426</v>
      </c>
      <c r="C31" s="292" t="s">
        <v>634</v>
      </c>
      <c r="D31" s="291" t="s">
        <v>578</v>
      </c>
      <c r="E31" s="291" t="s">
        <v>160</v>
      </c>
    </row>
    <row r="32" spans="1:5">
      <c r="A32" s="295">
        <v>1412000026</v>
      </c>
      <c r="B32" s="293" t="s">
        <v>431</v>
      </c>
      <c r="C32" s="292" t="s">
        <v>635</v>
      </c>
      <c r="D32" s="291" t="s">
        <v>578</v>
      </c>
      <c r="E32" s="291" t="s">
        <v>160</v>
      </c>
    </row>
    <row r="33" spans="1:5">
      <c r="A33" s="295">
        <v>1412000028</v>
      </c>
      <c r="B33" s="293" t="s">
        <v>427</v>
      </c>
      <c r="C33" s="292" t="s">
        <v>636</v>
      </c>
      <c r="D33" s="291" t="s">
        <v>578</v>
      </c>
      <c r="E33" s="291" t="s">
        <v>160</v>
      </c>
    </row>
    <row r="34" spans="1:5">
      <c r="A34" s="295">
        <v>1412000029</v>
      </c>
      <c r="B34" s="293" t="s">
        <v>436</v>
      </c>
      <c r="C34" s="292" t="s">
        <v>637</v>
      </c>
      <c r="D34" s="291" t="s">
        <v>578</v>
      </c>
      <c r="E34" s="291" t="s">
        <v>160</v>
      </c>
    </row>
    <row r="35" spans="1:5">
      <c r="A35" s="295">
        <v>1412000030</v>
      </c>
      <c r="B35" s="293" t="s">
        <v>438</v>
      </c>
      <c r="C35" s="292" t="s">
        <v>638</v>
      </c>
      <c r="D35" s="291" t="s">
        <v>578</v>
      </c>
      <c r="E35" s="291" t="s">
        <v>161</v>
      </c>
    </row>
    <row r="36" spans="1:5">
      <c r="A36" s="295">
        <v>1412000086</v>
      </c>
      <c r="B36" s="293" t="s">
        <v>429</v>
      </c>
      <c r="C36" s="292" t="s">
        <v>639</v>
      </c>
      <c r="D36" s="291" t="s">
        <v>578</v>
      </c>
      <c r="E36" s="291" t="s">
        <v>160</v>
      </c>
    </row>
    <row r="37" spans="1:5">
      <c r="A37" s="295">
        <v>1412000063</v>
      </c>
      <c r="B37" s="293" t="s">
        <v>666</v>
      </c>
      <c r="C37" s="292" t="s">
        <v>602</v>
      </c>
      <c r="D37" s="291" t="s">
        <v>444</v>
      </c>
      <c r="E37" s="291" t="s">
        <v>159</v>
      </c>
    </row>
    <row r="38" spans="1:5">
      <c r="A38" s="295">
        <v>1412000066</v>
      </c>
      <c r="B38" s="293" t="s">
        <v>420</v>
      </c>
      <c r="C38" s="292" t="s">
        <v>595</v>
      </c>
      <c r="D38" s="291" t="s">
        <v>159</v>
      </c>
      <c r="E38" s="291" t="s">
        <v>159</v>
      </c>
    </row>
    <row r="39" spans="1:5">
      <c r="A39" s="295">
        <v>1412000035</v>
      </c>
      <c r="B39" s="293" t="s">
        <v>587</v>
      </c>
      <c r="C39" s="292" t="s">
        <v>610</v>
      </c>
      <c r="D39" s="291" t="s">
        <v>576</v>
      </c>
      <c r="E39" s="291" t="s">
        <v>159</v>
      </c>
    </row>
    <row r="40" spans="1:5">
      <c r="A40" s="295">
        <v>1412000016</v>
      </c>
      <c r="B40" s="293" t="s">
        <v>584</v>
      </c>
      <c r="C40" s="292" t="s">
        <v>617</v>
      </c>
      <c r="D40" s="291" t="s">
        <v>576</v>
      </c>
      <c r="E40" s="291" t="s">
        <v>159</v>
      </c>
    </row>
    <row r="41" spans="1:5">
      <c r="A41" s="295">
        <v>1412000069</v>
      </c>
      <c r="B41" s="293" t="s">
        <v>585</v>
      </c>
      <c r="C41" s="292" t="s">
        <v>618</v>
      </c>
      <c r="D41" s="291" t="s">
        <v>576</v>
      </c>
      <c r="E41" s="291" t="s">
        <v>159</v>
      </c>
    </row>
    <row r="42" spans="1:5">
      <c r="A42" s="295">
        <v>1412000070</v>
      </c>
      <c r="B42" s="293" t="s">
        <v>589</v>
      </c>
      <c r="C42" s="292" t="s">
        <v>631</v>
      </c>
      <c r="D42" s="291" t="s">
        <v>577</v>
      </c>
      <c r="E42" s="291" t="s">
        <v>159</v>
      </c>
    </row>
    <row r="43" spans="1:5">
      <c r="A43" s="295">
        <v>1412000072</v>
      </c>
      <c r="B43" s="293" t="s">
        <v>647</v>
      </c>
      <c r="C43" s="292" t="s">
        <v>612</v>
      </c>
      <c r="D43" s="291" t="s">
        <v>444</v>
      </c>
      <c r="E43" s="291" t="s">
        <v>161</v>
      </c>
    </row>
    <row r="44" spans="1:5">
      <c r="A44" s="295">
        <v>1412000073</v>
      </c>
      <c r="B44" s="293" t="s">
        <v>586</v>
      </c>
      <c r="C44" s="292" t="s">
        <v>613</v>
      </c>
      <c r="D44" s="291" t="s">
        <v>444</v>
      </c>
      <c r="E44" s="291" t="s">
        <v>159</v>
      </c>
    </row>
    <row r="45" spans="1:5">
      <c r="A45" s="294">
        <v>1412000075</v>
      </c>
      <c r="B45" s="293" t="s">
        <v>583</v>
      </c>
      <c r="C45" s="292" t="s">
        <v>598</v>
      </c>
      <c r="D45" s="291" t="s">
        <v>444</v>
      </c>
      <c r="E45" s="291" t="s">
        <v>159</v>
      </c>
    </row>
    <row r="46" spans="1:5">
      <c r="A46" s="294">
        <v>1412000057</v>
      </c>
      <c r="B46" s="293" t="s">
        <v>623</v>
      </c>
      <c r="C46" s="292" t="s">
        <v>624</v>
      </c>
      <c r="D46" s="291" t="s">
        <v>159</v>
      </c>
      <c r="E46" s="291" t="s">
        <v>159</v>
      </c>
    </row>
    <row r="47" spans="1:5">
      <c r="A47" s="295">
        <v>1412000078</v>
      </c>
      <c r="B47" s="293" t="s">
        <v>667</v>
      </c>
      <c r="C47" s="292" t="s">
        <v>625</v>
      </c>
      <c r="D47" s="291" t="s">
        <v>159</v>
      </c>
      <c r="E47" s="291" t="s">
        <v>159</v>
      </c>
    </row>
    <row r="48" spans="1:5">
      <c r="A48" s="294">
        <v>1412000081</v>
      </c>
      <c r="B48" s="293" t="s">
        <v>648</v>
      </c>
      <c r="C48" s="292" t="s">
        <v>641</v>
      </c>
      <c r="D48" s="291" t="s">
        <v>159</v>
      </c>
      <c r="E48" s="291" t="s">
        <v>159</v>
      </c>
    </row>
    <row r="49" spans="1:5">
      <c r="A49" s="294">
        <v>1412000083</v>
      </c>
      <c r="B49" s="293" t="s">
        <v>649</v>
      </c>
      <c r="C49" s="292" t="s">
        <v>651</v>
      </c>
      <c r="D49" s="291" t="s">
        <v>159</v>
      </c>
      <c r="E49" s="291" t="s">
        <v>159</v>
      </c>
    </row>
    <row r="50" spans="1:5">
      <c r="A50" s="294">
        <v>1412000084</v>
      </c>
      <c r="B50" s="291" t="s">
        <v>650</v>
      </c>
      <c r="C50" s="292" t="s">
        <v>654</v>
      </c>
      <c r="D50" s="291" t="s">
        <v>576</v>
      </c>
      <c r="E50" s="291" t="s">
        <v>159</v>
      </c>
    </row>
    <row r="51" spans="1:5">
      <c r="A51" s="294">
        <v>1412000087</v>
      </c>
      <c r="B51" s="293" t="s">
        <v>652</v>
      </c>
      <c r="C51" s="292" t="s">
        <v>655</v>
      </c>
      <c r="D51" s="291" t="s">
        <v>444</v>
      </c>
      <c r="E51" s="291" t="s">
        <v>159</v>
      </c>
    </row>
    <row r="52" spans="1:5">
      <c r="A52" s="294">
        <v>1412000088</v>
      </c>
      <c r="B52" s="291" t="s">
        <v>653</v>
      </c>
      <c r="C52" s="292" t="s">
        <v>656</v>
      </c>
      <c r="D52" s="291" t="s">
        <v>444</v>
      </c>
      <c r="E52" s="291" t="s">
        <v>159</v>
      </c>
    </row>
    <row r="54" spans="1:5">
      <c r="A54" s="294">
        <v>1412000091</v>
      </c>
      <c r="B54" s="291" t="s">
        <v>659</v>
      </c>
      <c r="C54" s="296" t="s">
        <v>658</v>
      </c>
      <c r="D54" s="291" t="s">
        <v>578</v>
      </c>
      <c r="E54" s="291" t="s">
        <v>160</v>
      </c>
    </row>
    <row r="55" spans="1:5">
      <c r="A55" s="294">
        <v>1412000092</v>
      </c>
      <c r="B55" s="291" t="s">
        <v>660</v>
      </c>
      <c r="C55" s="296" t="s">
        <v>661</v>
      </c>
      <c r="D55" s="291" t="s">
        <v>576</v>
      </c>
      <c r="E55" s="291" t="s">
        <v>159</v>
      </c>
    </row>
    <row r="56" spans="1:5">
      <c r="A56" s="294">
        <v>1412000093</v>
      </c>
      <c r="B56" s="291" t="s">
        <v>668</v>
      </c>
      <c r="C56" s="296" t="s">
        <v>662</v>
      </c>
      <c r="D56" s="291" t="s">
        <v>578</v>
      </c>
      <c r="E56" s="291" t="s">
        <v>160</v>
      </c>
    </row>
    <row r="57" spans="1:5">
      <c r="A57" s="294">
        <v>1412000094</v>
      </c>
      <c r="B57" s="291" t="s">
        <v>669</v>
      </c>
      <c r="C57" s="296" t="s">
        <v>680</v>
      </c>
      <c r="D57" s="291" t="s">
        <v>444</v>
      </c>
      <c r="E57" s="291" t="s">
        <v>159</v>
      </c>
    </row>
    <row r="58" spans="1:5">
      <c r="A58" s="294">
        <v>1412000096</v>
      </c>
      <c r="B58" s="293" t="s">
        <v>670</v>
      </c>
      <c r="C58" s="296" t="s">
        <v>681</v>
      </c>
      <c r="D58" s="291" t="s">
        <v>159</v>
      </c>
      <c r="E58" s="291" t="s">
        <v>159</v>
      </c>
    </row>
    <row r="59" spans="1:5">
      <c r="A59" s="294">
        <v>1412000098</v>
      </c>
      <c r="B59" s="291" t="s">
        <v>678</v>
      </c>
      <c r="C59" s="296" t="s">
        <v>682</v>
      </c>
      <c r="D59" s="291" t="s">
        <v>159</v>
      </c>
      <c r="E59" s="291" t="s">
        <v>159</v>
      </c>
    </row>
    <row r="60" spans="1:5">
      <c r="A60" s="294">
        <v>1412000099</v>
      </c>
      <c r="B60" s="291" t="s">
        <v>679</v>
      </c>
      <c r="C60" s="296" t="s">
        <v>683</v>
      </c>
      <c r="D60" s="291" t="s">
        <v>159</v>
      </c>
      <c r="E60" s="291" t="s">
        <v>159</v>
      </c>
    </row>
  </sheetData>
  <autoFilter ref="A1:K479" xr:uid="{642F3A18-20A5-43AC-B9F5-01E464E47FB4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C44E-DC30-4F1E-A59B-3874F90D1974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8"/>
  </cols>
  <sheetData>
    <row r="2" spans="1:2">
      <c r="A2" s="123" t="s">
        <v>672</v>
      </c>
      <c r="B2" s="248" t="s">
        <v>401</v>
      </c>
    </row>
    <row r="3" spans="1:2" ht="14.5">
      <c r="A3" s="92">
        <v>4</v>
      </c>
      <c r="B3" s="249">
        <v>20</v>
      </c>
    </row>
    <row r="4" spans="1:2" ht="14.5">
      <c r="A4" s="92">
        <v>5</v>
      </c>
      <c r="B4" s="249">
        <v>19</v>
      </c>
    </row>
    <row r="5" spans="1:2" ht="14.5">
      <c r="A5" s="92">
        <v>6</v>
      </c>
      <c r="B5" s="249">
        <v>21</v>
      </c>
    </row>
    <row r="6" spans="1:2" ht="14.5">
      <c r="A6" s="92">
        <v>7</v>
      </c>
      <c r="B6" s="249">
        <v>23</v>
      </c>
    </row>
    <row r="7" spans="1:2" ht="14.5">
      <c r="A7" s="92">
        <v>8</v>
      </c>
      <c r="B7" s="249">
        <v>20</v>
      </c>
    </row>
    <row r="8" spans="1:2" ht="14.5">
      <c r="A8" s="92">
        <v>9</v>
      </c>
      <c r="B8" s="249">
        <v>19</v>
      </c>
    </row>
    <row r="9" spans="1:2" ht="14.5">
      <c r="A9" s="92">
        <v>10</v>
      </c>
      <c r="B9" s="249">
        <v>23</v>
      </c>
    </row>
    <row r="10" spans="1:2" ht="14.5">
      <c r="A10" s="92">
        <v>11</v>
      </c>
      <c r="B10" s="249">
        <v>20</v>
      </c>
    </row>
    <row r="11" spans="1:2" ht="14.5">
      <c r="A11" s="92">
        <v>12</v>
      </c>
      <c r="B11" s="249">
        <v>22</v>
      </c>
    </row>
    <row r="12" spans="1:2" ht="14.5">
      <c r="A12" s="92">
        <v>1</v>
      </c>
      <c r="B12" s="249">
        <v>20</v>
      </c>
    </row>
    <row r="13" spans="1:2" ht="14.5">
      <c r="A13" s="92">
        <v>2</v>
      </c>
      <c r="B13" s="249">
        <v>15</v>
      </c>
    </row>
    <row r="14" spans="1:2" ht="14.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Phương Anh(Nguyen Thi Phuong Anh)</cp:lastModifiedBy>
  <cp:lastPrinted>2017-10-06T02:39:42Z</cp:lastPrinted>
  <dcterms:created xsi:type="dcterms:W3CDTF">2002-04-10T08:05:47Z</dcterms:created>
  <dcterms:modified xsi:type="dcterms:W3CDTF">2026-01-20T02:06:55Z</dcterms:modified>
</cp:coreProperties>
</file>