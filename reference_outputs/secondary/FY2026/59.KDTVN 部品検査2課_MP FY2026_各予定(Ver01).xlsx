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C0EBCF53-B8A2-4A61-B760-48FEA2095D89}" xr6:coauthVersionLast="47" xr6:coauthVersionMax="47" xr10:uidLastSave="{00000000-0000-0000-0000-000000000000}"/>
  <bookViews>
    <workbookView xWindow="-120" yWindow="-120" windowWidth="20730" windowHeight="11040" tabRatio="702" activeTab="3" xr2:uid="{843B491E-CD84-4C3E-AE5C-364B684C6CDC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'内訳ﾘｽﾄ(4～3月)'!$A$7:$T$797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_xlnm.Print_Area" localSheetId="2">'内訳ﾘｽﾄ(4～3月)'!$B$7:$S$77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0" l="1"/>
  <c r="J38" i="10"/>
  <c r="I38" i="10"/>
  <c r="F38" i="10"/>
  <c r="F60" i="10"/>
  <c r="F59" i="10"/>
  <c r="Q51" i="10"/>
  <c r="P51" i="10"/>
  <c r="O51" i="10"/>
  <c r="N51" i="10"/>
  <c r="M51" i="10"/>
  <c r="L51" i="10"/>
  <c r="K51" i="10"/>
  <c r="J51" i="10"/>
  <c r="I51" i="10"/>
  <c r="H51" i="10"/>
  <c r="G51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F78" i="10"/>
  <c r="R50" i="10" l="1"/>
  <c r="I71" i="10" l="1"/>
  <c r="L66" i="10" l="1"/>
  <c r="H57" i="10"/>
  <c r="F57" i="10"/>
  <c r="H61" i="10"/>
  <c r="H59" i="10"/>
  <c r="H60" i="10"/>
  <c r="H62" i="10"/>
  <c r="F62" i="10"/>
  <c r="F61" i="10"/>
  <c r="H58" i="10"/>
  <c r="F58" i="10"/>
  <c r="H79" i="10" l="1"/>
  <c r="F79" i="10"/>
  <c r="F75" i="10"/>
  <c r="Q71" i="10" l="1"/>
  <c r="N71" i="10"/>
  <c r="P71" i="10"/>
  <c r="O71" i="10"/>
  <c r="M71" i="10"/>
  <c r="L71" i="10"/>
  <c r="K71" i="10"/>
  <c r="J71" i="10"/>
  <c r="G71" i="10"/>
  <c r="F71" i="10"/>
  <c r="K67" i="10"/>
  <c r="F67" i="10"/>
  <c r="R65" i="10"/>
  <c r="O57" i="10"/>
  <c r="I57" i="10"/>
  <c r="P55" i="10"/>
  <c r="K55" i="10"/>
  <c r="H38" i="10" l="1"/>
  <c r="M38" i="10"/>
  <c r="L38" i="10"/>
  <c r="F74" i="10"/>
  <c r="G38" i="10" l="1"/>
  <c r="M55" i="10" l="1"/>
  <c r="M73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Q48" i="10" l="1"/>
  <c r="Q47" i="10"/>
  <c r="P48" i="10"/>
  <c r="P47" i="10"/>
  <c r="O48" i="10"/>
  <c r="O47" i="10"/>
  <c r="N48" i="10"/>
  <c r="N47" i="10"/>
  <c r="M48" i="10"/>
  <c r="M47" i="10"/>
  <c r="L48" i="10"/>
  <c r="L47" i="10"/>
  <c r="K48" i="10"/>
  <c r="K47" i="10"/>
  <c r="J48" i="10"/>
  <c r="J47" i="10"/>
  <c r="I48" i="10"/>
  <c r="I47" i="10"/>
  <c r="H48" i="10"/>
  <c r="H47" i="10"/>
  <c r="G48" i="10"/>
  <c r="G47" i="10"/>
  <c r="F48" i="10"/>
  <c r="F47" i="10"/>
  <c r="K46" i="10"/>
  <c r="Q46" i="10"/>
  <c r="Q45" i="10"/>
  <c r="P46" i="10"/>
  <c r="P45" i="10"/>
  <c r="O46" i="10"/>
  <c r="O45" i="10"/>
  <c r="N46" i="10"/>
  <c r="N45" i="10"/>
  <c r="M46" i="10"/>
  <c r="M45" i="10"/>
  <c r="L46" i="10"/>
  <c r="L45" i="10"/>
  <c r="K45" i="10"/>
  <c r="J46" i="10"/>
  <c r="J45" i="10"/>
  <c r="I46" i="10"/>
  <c r="I45" i="10"/>
  <c r="H46" i="10"/>
  <c r="H45" i="10"/>
  <c r="G46" i="10"/>
  <c r="G45" i="10"/>
  <c r="F46" i="10"/>
  <c r="F45" i="10"/>
  <c r="G77" i="10" l="1"/>
  <c r="H77" i="10"/>
  <c r="I77" i="10"/>
  <c r="J77" i="10"/>
  <c r="K77" i="10"/>
  <c r="L77" i="10"/>
  <c r="M77" i="10"/>
  <c r="N77" i="10"/>
  <c r="O77" i="10"/>
  <c r="P77" i="10"/>
  <c r="Q77" i="10"/>
  <c r="F77" i="10"/>
  <c r="Q62" i="10"/>
  <c r="O62" i="10"/>
  <c r="N62" i="10"/>
  <c r="M62" i="10"/>
  <c r="L62" i="10"/>
  <c r="K62" i="10"/>
  <c r="J62" i="10"/>
  <c r="I62" i="10"/>
  <c r="O55" i="10"/>
  <c r="L55" i="10"/>
  <c r="G55" i="10"/>
  <c r="F55" i="10"/>
  <c r="N55" i="10" l="1"/>
  <c r="I55" i="10"/>
  <c r="G67" i="10" l="1"/>
  <c r="Q67" i="10"/>
  <c r="O67" i="10"/>
  <c r="P67" i="10"/>
  <c r="N67" i="10"/>
  <c r="M67" i="10"/>
  <c r="L67" i="10"/>
  <c r="J67" i="10"/>
  <c r="I67" i="10"/>
  <c r="H67" i="10"/>
  <c r="Q55" i="10" l="1"/>
  <c r="J55" i="10"/>
  <c r="H55" i="10"/>
  <c r="G61" i="10" l="1"/>
  <c r="I61" i="10"/>
  <c r="J61" i="10"/>
  <c r="K61" i="10"/>
  <c r="L61" i="10"/>
  <c r="M61" i="10"/>
  <c r="N61" i="10"/>
  <c r="O61" i="10"/>
  <c r="P61" i="10"/>
  <c r="Q61" i="10"/>
  <c r="G58" i="10"/>
  <c r="I58" i="10"/>
  <c r="J58" i="10"/>
  <c r="K58" i="10"/>
  <c r="L58" i="10"/>
  <c r="M58" i="10"/>
  <c r="N58" i="10"/>
  <c r="O58" i="10"/>
  <c r="P58" i="10"/>
  <c r="Q58" i="10"/>
  <c r="G57" i="10"/>
  <c r="J57" i="10"/>
  <c r="K57" i="10"/>
  <c r="L57" i="10"/>
  <c r="M57" i="10"/>
  <c r="N57" i="10"/>
  <c r="P57" i="10"/>
  <c r="Q57" i="10"/>
  <c r="L72" i="10"/>
  <c r="N38" i="10" l="1"/>
  <c r="F2" i="10" l="1"/>
  <c r="G2" i="10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34" i="10"/>
  <c r="R33" i="10"/>
  <c r="R32" i="10"/>
  <c r="R31" i="10"/>
  <c r="R30" i="10"/>
  <c r="E5" i="10"/>
  <c r="C242" i="10" s="1"/>
  <c r="D242" i="10" s="1"/>
  <c r="D5" i="10"/>
  <c r="H2" i="36"/>
  <c r="G2" i="36"/>
  <c r="F2" i="36"/>
  <c r="N98" i="5"/>
  <c r="M98" i="5"/>
  <c r="M98" i="32" s="1"/>
  <c r="L98" i="5"/>
  <c r="K98" i="5"/>
  <c r="K98" i="32" s="1"/>
  <c r="J98" i="5"/>
  <c r="J98" i="32" s="1"/>
  <c r="I98" i="5"/>
  <c r="I98" i="32" s="1"/>
  <c r="H98" i="5"/>
  <c r="H98" i="32" s="1"/>
  <c r="G98" i="5"/>
  <c r="F98" i="5"/>
  <c r="E98" i="5"/>
  <c r="E98" i="32" s="1"/>
  <c r="D98" i="5"/>
  <c r="D98" i="32" s="1"/>
  <c r="C98" i="5"/>
  <c r="C98" i="32" s="1"/>
  <c r="N97" i="5"/>
  <c r="N97" i="32" s="1"/>
  <c r="M97" i="5"/>
  <c r="L97" i="5"/>
  <c r="L97" i="32" s="1"/>
  <c r="K97" i="5"/>
  <c r="J97" i="5"/>
  <c r="I97" i="5"/>
  <c r="H97" i="5"/>
  <c r="H97" i="32" s="1"/>
  <c r="G97" i="5"/>
  <c r="F97" i="5"/>
  <c r="F97" i="32" s="1"/>
  <c r="E97" i="5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I93" i="32" s="1"/>
  <c r="H93" i="5"/>
  <c r="G93" i="5"/>
  <c r="G93" i="32" s="1"/>
  <c r="F93" i="5"/>
  <c r="F93" i="32" s="1"/>
  <c r="E93" i="5"/>
  <c r="E93" i="32" s="1"/>
  <c r="D93" i="5"/>
  <c r="D93" i="32" s="1"/>
  <c r="C93" i="5"/>
  <c r="N92" i="5"/>
  <c r="N92" i="32" s="1"/>
  <c r="N94" i="32" s="1"/>
  <c r="M92" i="5"/>
  <c r="M92" i="32" s="1"/>
  <c r="L92" i="5"/>
  <c r="L92" i="32" s="1"/>
  <c r="K92" i="5"/>
  <c r="J92" i="5"/>
  <c r="I92" i="5"/>
  <c r="I92" i="32" s="1"/>
  <c r="H92" i="5"/>
  <c r="H92" i="32" s="1"/>
  <c r="G92" i="5"/>
  <c r="G92" i="32" s="1"/>
  <c r="F92" i="5"/>
  <c r="F92" i="32" s="1"/>
  <c r="E92" i="5"/>
  <c r="D92" i="5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G88" i="5"/>
  <c r="F88" i="5"/>
  <c r="F88" i="32" s="1"/>
  <c r="E88" i="5"/>
  <c r="E88" i="32" s="1"/>
  <c r="D88" i="5"/>
  <c r="D88" i="32" s="1"/>
  <c r="C88" i="5"/>
  <c r="N87" i="5"/>
  <c r="M87" i="5"/>
  <c r="L87" i="5"/>
  <c r="K87" i="5"/>
  <c r="J87" i="5"/>
  <c r="I87" i="5"/>
  <c r="I87" i="32" s="1"/>
  <c r="H87" i="5"/>
  <c r="G87" i="5"/>
  <c r="G87" i="32" s="1"/>
  <c r="F87" i="5"/>
  <c r="E87" i="5"/>
  <c r="E87" i="32" s="1"/>
  <c r="D87" i="5"/>
  <c r="C87" i="5"/>
  <c r="N74" i="5"/>
  <c r="M74" i="5"/>
  <c r="M74" i="32" s="1"/>
  <c r="L74" i="5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D74" i="5"/>
  <c r="D74" i="32" s="1"/>
  <c r="C74" i="5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D68" i="5"/>
  <c r="D68" i="32" s="1"/>
  <c r="C68" i="5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N74" i="32"/>
  <c r="C5" i="10"/>
  <c r="D1" i="21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L87" i="32"/>
  <c r="H88" i="32"/>
  <c r="H93" i="32"/>
  <c r="D4" i="32"/>
  <c r="E4" i="32"/>
  <c r="F4" i="32"/>
  <c r="G4" i="32"/>
  <c r="H4" i="32"/>
  <c r="I4" i="32"/>
  <c r="J4" i="32"/>
  <c r="K4" i="32"/>
  <c r="L4" i="32"/>
  <c r="M4" i="32"/>
  <c r="N4" i="32"/>
  <c r="O4" i="32"/>
  <c r="J87" i="32"/>
  <c r="C87" i="32"/>
  <c r="K87" i="32"/>
  <c r="F98" i="32"/>
  <c r="N98" i="32"/>
  <c r="G98" i="32"/>
  <c r="O64" i="5" l="1"/>
  <c r="I72" i="5"/>
  <c r="I72" i="32" s="1"/>
  <c r="B2" i="5"/>
  <c r="B2" i="32" s="1"/>
  <c r="G71" i="5"/>
  <c r="G71" i="32" s="1"/>
  <c r="J69" i="5"/>
  <c r="J69" i="32" s="1"/>
  <c r="M77" i="5"/>
  <c r="M77" i="32" s="1"/>
  <c r="K69" i="5"/>
  <c r="K69" i="32" s="1"/>
  <c r="J75" i="5"/>
  <c r="J75" i="32" s="1"/>
  <c r="H69" i="5"/>
  <c r="H63" i="5"/>
  <c r="H63" i="32" s="1"/>
  <c r="D69" i="5"/>
  <c r="D69" i="32" s="1"/>
  <c r="D63" i="5"/>
  <c r="D63" i="32" s="1"/>
  <c r="D75" i="5"/>
  <c r="I71" i="5"/>
  <c r="I71" i="32" s="1"/>
  <c r="C63" i="5"/>
  <c r="C63" i="32" s="1"/>
  <c r="N64" i="5"/>
  <c r="N64" i="32" s="1"/>
  <c r="N77" i="5"/>
  <c r="N77" i="32" s="1"/>
  <c r="F71" i="5"/>
  <c r="F71" i="32" s="1"/>
  <c r="H71" i="5"/>
  <c r="H71" i="32" s="1"/>
  <c r="I77" i="5"/>
  <c r="I77" i="32" s="1"/>
  <c r="C64" i="5"/>
  <c r="C64" i="32" s="1"/>
  <c r="M69" i="5"/>
  <c r="M69" i="32" s="1"/>
  <c r="C77" i="5"/>
  <c r="C77" i="32" s="1"/>
  <c r="E78" i="5"/>
  <c r="N75" i="5"/>
  <c r="N75" i="32" s="1"/>
  <c r="G75" i="5"/>
  <c r="M63" i="5"/>
  <c r="M63" i="32" s="1"/>
  <c r="C78" i="5"/>
  <c r="C78" i="32" s="1"/>
  <c r="E63" i="5"/>
  <c r="E63" i="32" s="1"/>
  <c r="I76" i="5"/>
  <c r="I76" i="32" s="1"/>
  <c r="E70" i="5"/>
  <c r="E70" i="32" s="1"/>
  <c r="M75" i="5"/>
  <c r="M75" i="32" s="1"/>
  <c r="C75" i="5"/>
  <c r="C75" i="32" s="1"/>
  <c r="J72" i="5"/>
  <c r="J72" i="32" s="1"/>
  <c r="H64" i="5"/>
  <c r="H64" i="32" s="1"/>
  <c r="M71" i="5"/>
  <c r="M71" i="32" s="1"/>
  <c r="J78" i="5"/>
  <c r="J78" i="32" s="1"/>
  <c r="K71" i="5"/>
  <c r="K71" i="32" s="1"/>
  <c r="L75" i="5"/>
  <c r="L75" i="32" s="1"/>
  <c r="I63" i="5"/>
  <c r="I63" i="32" s="1"/>
  <c r="L69" i="5"/>
  <c r="N71" i="5"/>
  <c r="N71" i="32" s="1"/>
  <c r="L63" i="5"/>
  <c r="L63" i="32" s="1"/>
  <c r="E71" i="5"/>
  <c r="E71" i="32" s="1"/>
  <c r="J70" i="5"/>
  <c r="J70" i="32" s="1"/>
  <c r="F70" i="5"/>
  <c r="F70" i="32" s="1"/>
  <c r="K63" i="5"/>
  <c r="K63" i="32" s="1"/>
  <c r="N76" i="5"/>
  <c r="N76" i="32" s="1"/>
  <c r="L76" i="5"/>
  <c r="L76" i="32" s="1"/>
  <c r="C929" i="10"/>
  <c r="D929" i="10" s="1"/>
  <c r="K78" i="5"/>
  <c r="K78" i="32" s="1"/>
  <c r="E75" i="5"/>
  <c r="E75" i="32" s="1"/>
  <c r="M64" i="5"/>
  <c r="M64" i="32" s="1"/>
  <c r="L64" i="5"/>
  <c r="L64" i="32" s="1"/>
  <c r="H72" i="5"/>
  <c r="H72" i="32" s="1"/>
  <c r="L71" i="5"/>
  <c r="L71" i="32" s="1"/>
  <c r="F72" i="5"/>
  <c r="F72" i="32" s="1"/>
  <c r="F64" i="5"/>
  <c r="F64" i="32" s="1"/>
  <c r="O71" i="5"/>
  <c r="L72" i="5"/>
  <c r="L72" i="32" s="1"/>
  <c r="I75" i="5"/>
  <c r="I75" i="32" s="1"/>
  <c r="G63" i="5"/>
  <c r="G63" i="32" s="1"/>
  <c r="K72" i="5"/>
  <c r="K72" i="32" s="1"/>
  <c r="E76" i="5"/>
  <c r="E76" i="32" s="1"/>
  <c r="N63" i="5"/>
  <c r="N63" i="32" s="1"/>
  <c r="D64" i="5"/>
  <c r="D64" i="32" s="1"/>
  <c r="J63" i="5"/>
  <c r="J63" i="32" s="1"/>
  <c r="I64" i="5"/>
  <c r="I64" i="32" s="1"/>
  <c r="O77" i="5"/>
  <c r="H75" i="5"/>
  <c r="H75" i="32" s="1"/>
  <c r="C76" i="5"/>
  <c r="C76" i="32" s="1"/>
  <c r="H77" i="5"/>
  <c r="H77" i="32" s="1"/>
  <c r="I78" i="5"/>
  <c r="I78" i="32" s="1"/>
  <c r="D72" i="5"/>
  <c r="D72" i="32" s="1"/>
  <c r="F78" i="5"/>
  <c r="F78" i="32" s="1"/>
  <c r="G78" i="5"/>
  <c r="G78" i="32" s="1"/>
  <c r="K75" i="5"/>
  <c r="K75" i="32" s="1"/>
  <c r="O78" i="5"/>
  <c r="E64" i="5"/>
  <c r="E64" i="32" s="1"/>
  <c r="J64" i="5"/>
  <c r="J64" i="32" s="1"/>
  <c r="F63" i="5"/>
  <c r="F63" i="32" s="1"/>
  <c r="C71" i="5"/>
  <c r="C71" i="32" s="1"/>
  <c r="E77" i="5"/>
  <c r="E77" i="32" s="1"/>
  <c r="L78" i="5"/>
  <c r="L78" i="32" s="1"/>
  <c r="F77" i="5"/>
  <c r="F77" i="32" s="1"/>
  <c r="M72" i="5"/>
  <c r="M72" i="32" s="1"/>
  <c r="C36" i="10"/>
  <c r="D36" i="10" s="1"/>
  <c r="C70" i="5"/>
  <c r="C70" i="32" s="1"/>
  <c r="D71" i="5"/>
  <c r="D71" i="32" s="1"/>
  <c r="K64" i="5"/>
  <c r="K64" i="32" s="1"/>
  <c r="L77" i="5"/>
  <c r="L77" i="32" s="1"/>
  <c r="G64" i="5"/>
  <c r="G64" i="32" s="1"/>
  <c r="N72" i="5"/>
  <c r="N72" i="32" s="1"/>
  <c r="G69" i="5"/>
  <c r="G69" i="32" s="1"/>
  <c r="N69" i="5"/>
  <c r="N69" i="32" s="1"/>
  <c r="O63" i="5"/>
  <c r="C72" i="5"/>
  <c r="C72" i="32" s="1"/>
  <c r="F69" i="5"/>
  <c r="F69" i="32" s="1"/>
  <c r="F75" i="5"/>
  <c r="F75" i="32" s="1"/>
  <c r="G72" i="5"/>
  <c r="J71" i="5"/>
  <c r="J71" i="32" s="1"/>
  <c r="K77" i="5"/>
  <c r="K77" i="32" s="1"/>
  <c r="O72" i="5"/>
  <c r="D77" i="5"/>
  <c r="D77" i="32" s="1"/>
  <c r="C69" i="5"/>
  <c r="C69" i="32" s="1"/>
  <c r="J77" i="5"/>
  <c r="J77" i="32" s="1"/>
  <c r="J76" i="5"/>
  <c r="J76" i="32" s="1"/>
  <c r="G77" i="5"/>
  <c r="G77" i="32" s="1"/>
  <c r="G76" i="5"/>
  <c r="G76" i="32" s="1"/>
  <c r="D78" i="5"/>
  <c r="D78" i="32" s="1"/>
  <c r="E69" i="5"/>
  <c r="E69" i="32" s="1"/>
  <c r="I69" i="5"/>
  <c r="I69" i="32" s="1"/>
  <c r="E72" i="5"/>
  <c r="E72" i="32" s="1"/>
  <c r="N78" i="5"/>
  <c r="N78" i="32" s="1"/>
  <c r="M78" i="5"/>
  <c r="M78" i="32" s="1"/>
  <c r="H78" i="5"/>
  <c r="H78" i="32" s="1"/>
  <c r="C730" i="10"/>
  <c r="D730" i="10" s="1"/>
  <c r="C943" i="10"/>
  <c r="D943" i="10" s="1"/>
  <c r="C583" i="10"/>
  <c r="D583" i="10" s="1"/>
  <c r="C986" i="10"/>
  <c r="D986" i="10" s="1"/>
  <c r="C690" i="10"/>
  <c r="D690" i="10" s="1"/>
  <c r="C355" i="10"/>
  <c r="D355" i="10" s="1"/>
  <c r="C333" i="10"/>
  <c r="D333" i="10" s="1"/>
  <c r="C831" i="10"/>
  <c r="D831" i="10" s="1"/>
  <c r="C146" i="10"/>
  <c r="D146" i="10" s="1"/>
  <c r="C38" i="10"/>
  <c r="D38" i="10" s="1"/>
  <c r="C315" i="10"/>
  <c r="D315" i="10" s="1"/>
  <c r="I70" i="5"/>
  <c r="I70" i="32" s="1"/>
  <c r="K76" i="5"/>
  <c r="K76" i="32" s="1"/>
  <c r="O92" i="5"/>
  <c r="O97" i="5"/>
  <c r="O93" i="5"/>
  <c r="R26" i="10"/>
  <c r="L94" i="5"/>
  <c r="C68" i="32"/>
  <c r="C89" i="5"/>
  <c r="H70" i="5"/>
  <c r="H70" i="32" s="1"/>
  <c r="R27" i="10"/>
  <c r="F76" i="5"/>
  <c r="F76" i="32" s="1"/>
  <c r="C483" i="10"/>
  <c r="D483" i="10" s="1"/>
  <c r="C678" i="10"/>
  <c r="D678" i="10" s="1"/>
  <c r="C74" i="32"/>
  <c r="C49" i="10"/>
  <c r="D49" i="10" s="1"/>
  <c r="D76" i="5"/>
  <c r="D76" i="32" s="1"/>
  <c r="C447" i="10"/>
  <c r="D447" i="10" s="1"/>
  <c r="C264" i="10"/>
  <c r="D264" i="10" s="1"/>
  <c r="H94" i="5"/>
  <c r="C769" i="10"/>
  <c r="D769" i="10" s="1"/>
  <c r="O74" i="5"/>
  <c r="O76" i="5" s="1"/>
  <c r="F89" i="5"/>
  <c r="C99" i="5"/>
  <c r="M94" i="5"/>
  <c r="G70" i="5"/>
  <c r="G70" i="32" s="1"/>
  <c r="M76" i="5"/>
  <c r="M76" i="32" s="1"/>
  <c r="C99" i="32"/>
  <c r="D94" i="5"/>
  <c r="E89" i="32"/>
  <c r="L74" i="32"/>
  <c r="F99" i="5"/>
  <c r="E74" i="32"/>
  <c r="O98" i="5"/>
  <c r="N99" i="32"/>
  <c r="H76" i="5"/>
  <c r="H76" i="32" s="1"/>
  <c r="G94" i="5"/>
  <c r="E68" i="32"/>
  <c r="F94" i="5"/>
  <c r="M70" i="5"/>
  <c r="M70" i="32" s="1"/>
  <c r="L94" i="32"/>
  <c r="L70" i="5"/>
  <c r="L70" i="32" s="1"/>
  <c r="D92" i="32"/>
  <c r="D94" i="32" s="1"/>
  <c r="I94" i="5"/>
  <c r="H94" i="32"/>
  <c r="O68" i="5"/>
  <c r="O70" i="5" s="1"/>
  <c r="F94" i="32"/>
  <c r="I89" i="5"/>
  <c r="F87" i="32"/>
  <c r="F89" i="32" s="1"/>
  <c r="C88" i="32"/>
  <c r="C89" i="32" s="1"/>
  <c r="J89" i="5"/>
  <c r="G89" i="5"/>
  <c r="K89" i="32"/>
  <c r="L89" i="32"/>
  <c r="E89" i="5"/>
  <c r="M89" i="5"/>
  <c r="O89" i="5"/>
  <c r="M87" i="32"/>
  <c r="M89" i="32" s="1"/>
  <c r="L89" i="5"/>
  <c r="G88" i="32"/>
  <c r="G89" i="32" s="1"/>
  <c r="J89" i="32"/>
  <c r="H89" i="5"/>
  <c r="H87" i="32"/>
  <c r="H89" i="32" s="1"/>
  <c r="C843" i="10"/>
  <c r="D843" i="10" s="1"/>
  <c r="C649" i="10"/>
  <c r="D649" i="10" s="1"/>
  <c r="C970" i="10"/>
  <c r="D970" i="10" s="1"/>
  <c r="C648" i="10"/>
  <c r="D648" i="10" s="1"/>
  <c r="C773" i="10"/>
  <c r="D773" i="10" s="1"/>
  <c r="C356" i="10"/>
  <c r="D356" i="10" s="1"/>
  <c r="C225" i="10"/>
  <c r="D225" i="10" s="1"/>
  <c r="C467" i="10"/>
  <c r="D467" i="10" s="1"/>
  <c r="C474" i="10"/>
  <c r="D474" i="10" s="1"/>
  <c r="C196" i="10"/>
  <c r="D196" i="10" s="1"/>
  <c r="C496" i="10"/>
  <c r="D496" i="10" s="1"/>
  <c r="C344" i="10"/>
  <c r="D344" i="10" s="1"/>
  <c r="C30" i="10"/>
  <c r="D30" i="10" s="1"/>
  <c r="C635" i="10"/>
  <c r="D635" i="10" s="1"/>
  <c r="C914" i="10"/>
  <c r="D914" i="10" s="1"/>
  <c r="C115" i="10"/>
  <c r="D115" i="10" s="1"/>
  <c r="C882" i="10"/>
  <c r="D882" i="10" s="1"/>
  <c r="C567" i="10"/>
  <c r="D567" i="10" s="1"/>
  <c r="C519" i="10"/>
  <c r="D519" i="10" s="1"/>
  <c r="C361" i="10"/>
  <c r="D361" i="10" s="1"/>
  <c r="C781" i="10"/>
  <c r="D781" i="10" s="1"/>
  <c r="C373" i="10"/>
  <c r="D373" i="10" s="1"/>
  <c r="C869" i="10"/>
  <c r="D869" i="10" s="1"/>
  <c r="C436" i="10"/>
  <c r="D436" i="10" s="1"/>
  <c r="C325" i="10"/>
  <c r="D325" i="10" s="1"/>
  <c r="C74" i="10"/>
  <c r="D74" i="10" s="1"/>
  <c r="C197" i="10"/>
  <c r="D197" i="10" s="1"/>
  <c r="C59" i="10"/>
  <c r="D59" i="10" s="1"/>
  <c r="C798" i="10"/>
  <c r="D798" i="10" s="1"/>
  <c r="C898" i="10"/>
  <c r="D898" i="10" s="1"/>
  <c r="C867" i="10"/>
  <c r="D867" i="10" s="1"/>
  <c r="C384" i="10"/>
  <c r="D384" i="10" s="1"/>
  <c r="C527" i="10"/>
  <c r="D527" i="10" s="1"/>
  <c r="C201" i="10"/>
  <c r="D201" i="10" s="1"/>
  <c r="C853" i="10"/>
  <c r="D853" i="10" s="1"/>
  <c r="C430" i="10"/>
  <c r="D430" i="10" s="1"/>
  <c r="C805" i="10"/>
  <c r="D805" i="10" s="1"/>
  <c r="C894" i="10"/>
  <c r="D894" i="10" s="1"/>
  <c r="C176" i="10"/>
  <c r="D176" i="10" s="1"/>
  <c r="C575" i="10"/>
  <c r="D575" i="10" s="1"/>
  <c r="C286" i="10"/>
  <c r="D286" i="10" s="1"/>
  <c r="C275" i="10"/>
  <c r="D275" i="10" s="1"/>
  <c r="C757" i="10"/>
  <c r="D757" i="10" s="1"/>
  <c r="C358" i="10"/>
  <c r="D358" i="10" s="1"/>
  <c r="C287" i="10"/>
  <c r="D287" i="10" s="1"/>
  <c r="C661" i="10"/>
  <c r="D661" i="10" s="1"/>
  <c r="C272" i="10"/>
  <c r="D272" i="10" s="1"/>
  <c r="C403" i="10"/>
  <c r="D403" i="10" s="1"/>
  <c r="C76" i="10"/>
  <c r="D76" i="10" s="1"/>
  <c r="C481" i="10"/>
  <c r="D481" i="10" s="1"/>
  <c r="C563" i="10"/>
  <c r="D563" i="10" s="1"/>
  <c r="C851" i="10"/>
  <c r="D851" i="10" s="1"/>
  <c r="C767" i="10"/>
  <c r="D767" i="10" s="1"/>
  <c r="C56" i="10"/>
  <c r="D56" i="10" s="1"/>
  <c r="C352" i="10"/>
  <c r="D352" i="10" s="1"/>
  <c r="C205" i="10"/>
  <c r="D205" i="10" s="1"/>
  <c r="C838" i="10"/>
  <c r="D838" i="10" s="1"/>
  <c r="C965" i="10"/>
  <c r="D965" i="10" s="1"/>
  <c r="C814" i="10"/>
  <c r="D814" i="10" s="1"/>
  <c r="C189" i="10"/>
  <c r="D189" i="10" s="1"/>
  <c r="C283" i="10"/>
  <c r="D283" i="10" s="1"/>
  <c r="C759" i="10"/>
  <c r="D759" i="10" s="1"/>
  <c r="C89" i="10"/>
  <c r="D89" i="10" s="1"/>
  <c r="C542" i="10"/>
  <c r="D542" i="10" s="1"/>
  <c r="C922" i="10"/>
  <c r="D922" i="10" s="1"/>
  <c r="C877" i="10"/>
  <c r="D877" i="10" s="1"/>
  <c r="C863" i="10"/>
  <c r="D863" i="10" s="1"/>
  <c r="C594" i="10"/>
  <c r="D594" i="10" s="1"/>
  <c r="C192" i="10"/>
  <c r="D192" i="10" s="1"/>
  <c r="C912" i="10"/>
  <c r="D912" i="10" s="1"/>
  <c r="C492" i="10"/>
  <c r="D492" i="10" s="1"/>
  <c r="C410" i="10"/>
  <c r="D410" i="10" s="1"/>
  <c r="C636" i="10"/>
  <c r="D636" i="10" s="1"/>
  <c r="C95" i="10"/>
  <c r="D95" i="10" s="1"/>
  <c r="C514" i="10"/>
  <c r="D514" i="10" s="1"/>
  <c r="C472" i="10"/>
  <c r="D472" i="10" s="1"/>
  <c r="C515" i="10"/>
  <c r="D515" i="10" s="1"/>
  <c r="C255" i="10"/>
  <c r="D255" i="10" s="1"/>
  <c r="C758" i="10"/>
  <c r="D758" i="10" s="1"/>
  <c r="C908" i="10"/>
  <c r="D908" i="10" s="1"/>
  <c r="C68" i="10"/>
  <c r="D68" i="10" s="1"/>
  <c r="C221" i="10"/>
  <c r="D221" i="10" s="1"/>
  <c r="C574" i="10"/>
  <c r="D574" i="10" s="1"/>
  <c r="C235" i="10"/>
  <c r="D235" i="10" s="1"/>
  <c r="C213" i="10"/>
  <c r="D213" i="10" s="1"/>
  <c r="C165" i="10"/>
  <c r="D165" i="10" s="1"/>
  <c r="C491" i="10"/>
  <c r="D491" i="10" s="1"/>
  <c r="C913" i="10"/>
  <c r="D913" i="10" s="1"/>
  <c r="C879" i="10"/>
  <c r="D879" i="10" s="1"/>
  <c r="C353" i="10"/>
  <c r="D353" i="10" s="1"/>
  <c r="C995" i="10"/>
  <c r="D995" i="10" s="1"/>
  <c r="C241" i="10"/>
  <c r="D241" i="10" s="1"/>
  <c r="C806" i="10"/>
  <c r="D806" i="10" s="1"/>
  <c r="C989" i="10"/>
  <c r="D989" i="10" s="1"/>
  <c r="C40" i="10"/>
  <c r="D40" i="10" s="1"/>
  <c r="C940" i="10"/>
  <c r="D940" i="10" s="1"/>
  <c r="C917" i="10"/>
  <c r="D917" i="10" s="1"/>
  <c r="C841" i="10"/>
  <c r="D841" i="10" s="1"/>
  <c r="C702" i="10"/>
  <c r="D702" i="10" s="1"/>
  <c r="C238" i="10"/>
  <c r="D238" i="10" s="1"/>
  <c r="C260" i="10"/>
  <c r="D260" i="10" s="1"/>
  <c r="C477" i="10"/>
  <c r="D477" i="10" s="1"/>
  <c r="C602" i="10"/>
  <c r="D602" i="10" s="1"/>
  <c r="C554" i="10"/>
  <c r="D554" i="10" s="1"/>
  <c r="C464" i="10"/>
  <c r="D464" i="10" s="1"/>
  <c r="C801" i="10"/>
  <c r="D801" i="10" s="1"/>
  <c r="C669" i="10"/>
  <c r="D669" i="10" s="1"/>
  <c r="C701" i="10"/>
  <c r="D701" i="10" s="1"/>
  <c r="C968" i="10"/>
  <c r="D968" i="10" s="1"/>
  <c r="E78" i="32"/>
  <c r="E79" i="32" s="1"/>
  <c r="D99" i="32"/>
  <c r="L99" i="5"/>
  <c r="L98" i="32"/>
  <c r="O98" i="32" s="1"/>
  <c r="L69" i="32"/>
  <c r="C149" i="10"/>
  <c r="D149" i="10" s="1"/>
  <c r="C434" i="10"/>
  <c r="D434" i="10" s="1"/>
  <c r="C33" i="10"/>
  <c r="D33" i="10" s="1"/>
  <c r="G72" i="32"/>
  <c r="C374" i="10"/>
  <c r="D374" i="10" s="1"/>
  <c r="C570" i="10"/>
  <c r="D570" i="10" s="1"/>
  <c r="C614" i="10"/>
  <c r="D614" i="10" s="1"/>
  <c r="C990" i="10"/>
  <c r="D990" i="10" s="1"/>
  <c r="C791" i="10"/>
  <c r="D791" i="10" s="1"/>
  <c r="C643" i="10"/>
  <c r="D643" i="10" s="1"/>
  <c r="C452" i="10"/>
  <c r="D452" i="10" s="1"/>
  <c r="C626" i="10"/>
  <c r="D626" i="10" s="1"/>
  <c r="C446" i="10"/>
  <c r="D446" i="10" s="1"/>
  <c r="C504" i="10"/>
  <c r="D504" i="10" s="1"/>
  <c r="C770" i="10"/>
  <c r="D770" i="10" s="1"/>
  <c r="C811" i="10"/>
  <c r="D811" i="10" s="1"/>
  <c r="C87" i="10"/>
  <c r="D87" i="10" s="1"/>
  <c r="C461" i="10"/>
  <c r="D461" i="10" s="1"/>
  <c r="C550" i="10"/>
  <c r="D550" i="10" s="1"/>
  <c r="C73" i="10"/>
  <c r="D73" i="10" s="1"/>
  <c r="G79" i="5"/>
  <c r="G75" i="32"/>
  <c r="G79" i="32" s="1"/>
  <c r="C987" i="10"/>
  <c r="D987" i="10" s="1"/>
  <c r="C933" i="10"/>
  <c r="D933" i="10" s="1"/>
  <c r="C137" i="10"/>
  <c r="D137" i="10" s="1"/>
  <c r="C487" i="10"/>
  <c r="D487" i="10" s="1"/>
  <c r="H69" i="32"/>
  <c r="D79" i="5"/>
  <c r="D75" i="32"/>
  <c r="C671" i="10"/>
  <c r="D671" i="10" s="1"/>
  <c r="C253" i="10"/>
  <c r="D253" i="10" s="1"/>
  <c r="C198" i="10"/>
  <c r="D198" i="10" s="1"/>
  <c r="C131" i="10"/>
  <c r="D131" i="10" s="1"/>
  <c r="C416" i="10"/>
  <c r="D416" i="10" s="1"/>
  <c r="C84" i="10"/>
  <c r="D84" i="10" s="1"/>
  <c r="C363" i="10"/>
  <c r="D363" i="10" s="1"/>
  <c r="C398" i="10"/>
  <c r="D398" i="10" s="1"/>
  <c r="C383" i="10"/>
  <c r="D383" i="10" s="1"/>
  <c r="C445" i="10"/>
  <c r="D445" i="10" s="1"/>
  <c r="C762" i="10"/>
  <c r="D762" i="10" s="1"/>
  <c r="C832" i="10"/>
  <c r="D832" i="10" s="1"/>
  <c r="C728" i="10"/>
  <c r="D728" i="10" s="1"/>
  <c r="C288" i="10"/>
  <c r="D288" i="10" s="1"/>
  <c r="C693" i="10"/>
  <c r="D693" i="10" s="1"/>
  <c r="C919" i="10"/>
  <c r="D919" i="10" s="1"/>
  <c r="C829" i="10"/>
  <c r="D829" i="10" s="1"/>
  <c r="I73" i="32"/>
  <c r="I94" i="32"/>
  <c r="C844" i="10"/>
  <c r="D844" i="10" s="1"/>
  <c r="C855" i="10"/>
  <c r="D855" i="10" s="1"/>
  <c r="C215" i="10"/>
  <c r="D215" i="10" s="1"/>
  <c r="C732" i="10"/>
  <c r="D732" i="10" s="1"/>
  <c r="C239" i="10"/>
  <c r="D239" i="10" s="1"/>
  <c r="C402" i="10"/>
  <c r="D402" i="10" s="1"/>
  <c r="C134" i="10"/>
  <c r="D134" i="10" s="1"/>
  <c r="C991" i="10"/>
  <c r="D991" i="10" s="1"/>
  <c r="C905" i="10"/>
  <c r="D905" i="10" s="1"/>
  <c r="C744" i="10"/>
  <c r="D744" i="10" s="1"/>
  <c r="C621" i="10"/>
  <c r="D621" i="10" s="1"/>
  <c r="C772" i="10"/>
  <c r="D772" i="10" s="1"/>
  <c r="C104" i="10"/>
  <c r="D104" i="10" s="1"/>
  <c r="C876" i="10"/>
  <c r="D876" i="10" s="1"/>
  <c r="C688" i="10"/>
  <c r="D688" i="10" s="1"/>
  <c r="C540" i="10"/>
  <c r="D540" i="10" s="1"/>
  <c r="C926" i="10"/>
  <c r="D926" i="10" s="1"/>
  <c r="C160" i="10"/>
  <c r="D160" i="10" s="1"/>
  <c r="C910" i="10"/>
  <c r="D910" i="10" s="1"/>
  <c r="C656" i="10"/>
  <c r="D656" i="10" s="1"/>
  <c r="C586" i="10"/>
  <c r="D586" i="10" s="1"/>
  <c r="C750" i="10"/>
  <c r="D750" i="10" s="1"/>
  <c r="C206" i="10"/>
  <c r="D206" i="10" s="1"/>
  <c r="C819" i="10"/>
  <c r="D819" i="10" s="1"/>
  <c r="C53" i="10"/>
  <c r="D53" i="10" s="1"/>
  <c r="C961" i="10"/>
  <c r="D961" i="10" s="1"/>
  <c r="C47" i="10"/>
  <c r="D47" i="10" s="1"/>
  <c r="C94" i="10"/>
  <c r="D94" i="10" s="1"/>
  <c r="C456" i="10"/>
  <c r="D456" i="10" s="1"/>
  <c r="C722" i="10"/>
  <c r="D722" i="10" s="1"/>
  <c r="C615" i="10"/>
  <c r="D615" i="10" s="1"/>
  <c r="C764" i="10"/>
  <c r="D764" i="10" s="1"/>
  <c r="C866" i="10"/>
  <c r="D866" i="10" s="1"/>
  <c r="C177" i="10"/>
  <c r="D177" i="10" s="1"/>
  <c r="C871" i="10"/>
  <c r="D871" i="10" s="1"/>
  <c r="C872" i="10"/>
  <c r="D872" i="10" s="1"/>
  <c r="C947" i="10"/>
  <c r="D947" i="10" s="1"/>
  <c r="C420" i="10"/>
  <c r="D420" i="10" s="1"/>
  <c r="C742" i="10"/>
  <c r="D742" i="10" s="1"/>
  <c r="C653" i="10"/>
  <c r="D653" i="10" s="1"/>
  <c r="C847" i="10"/>
  <c r="D847" i="10" s="1"/>
  <c r="C533" i="10"/>
  <c r="D533" i="10" s="1"/>
  <c r="C468" i="10"/>
  <c r="D468" i="10" s="1"/>
  <c r="C85" i="10"/>
  <c r="D85" i="10" s="1"/>
  <c r="C725" i="10"/>
  <c r="D725" i="10" s="1"/>
  <c r="C453" i="10"/>
  <c r="D453" i="10" s="1"/>
  <c r="C723" i="10"/>
  <c r="D723" i="10" s="1"/>
  <c r="C735" i="10"/>
  <c r="D735" i="10" s="1"/>
  <c r="C587" i="10"/>
  <c r="D587" i="10" s="1"/>
  <c r="C708" i="10"/>
  <c r="D708" i="10" s="1"/>
  <c r="C307" i="10"/>
  <c r="D307" i="10" s="1"/>
  <c r="C91" i="10"/>
  <c r="D91" i="10" s="1"/>
  <c r="C779" i="10"/>
  <c r="D779" i="10" s="1"/>
  <c r="C218" i="10"/>
  <c r="D218" i="10" s="1"/>
  <c r="C921" i="10"/>
  <c r="D921" i="10" s="1"/>
  <c r="C800" i="10"/>
  <c r="D800" i="10" s="1"/>
  <c r="C874" i="10"/>
  <c r="D874" i="10" s="1"/>
  <c r="C151" i="10"/>
  <c r="D151" i="10" s="1"/>
  <c r="C199" i="10"/>
  <c r="D199" i="10" s="1"/>
  <c r="C291" i="10"/>
  <c r="D291" i="10" s="1"/>
  <c r="C317" i="10"/>
  <c r="D317" i="10" s="1"/>
  <c r="C48" i="10"/>
  <c r="D48" i="10" s="1"/>
  <c r="C258" i="10"/>
  <c r="D258" i="10" s="1"/>
  <c r="C620" i="10"/>
  <c r="D620" i="10" s="1"/>
  <c r="C647" i="10"/>
  <c r="D647" i="10" s="1"/>
  <c r="C664" i="10"/>
  <c r="D664" i="10" s="1"/>
  <c r="C822" i="10"/>
  <c r="D822" i="10" s="1"/>
  <c r="C845" i="10"/>
  <c r="D845" i="10" s="1"/>
  <c r="C187" i="10"/>
  <c r="D187" i="10" s="1"/>
  <c r="C37" i="10"/>
  <c r="D37" i="10" s="1"/>
  <c r="C981" i="10"/>
  <c r="D981" i="10" s="1"/>
  <c r="C119" i="10"/>
  <c r="D119" i="10" s="1"/>
  <c r="C139" i="10"/>
  <c r="D139" i="10" s="1"/>
  <c r="C668" i="10"/>
  <c r="D668" i="10" s="1"/>
  <c r="C128" i="10"/>
  <c r="D128" i="10" s="1"/>
  <c r="C301" i="10"/>
  <c r="D301" i="10" s="1"/>
  <c r="C167" i="10"/>
  <c r="D167" i="10" s="1"/>
  <c r="C300" i="10"/>
  <c r="D300" i="10" s="1"/>
  <c r="C794" i="10"/>
  <c r="D794" i="10" s="1"/>
  <c r="C379" i="10"/>
  <c r="D379" i="10" s="1"/>
  <c r="C441" i="10"/>
  <c r="D441" i="10" s="1"/>
  <c r="C916" i="10"/>
  <c r="D916" i="10" s="1"/>
  <c r="C518" i="10"/>
  <c r="D518" i="10" s="1"/>
  <c r="C342" i="10"/>
  <c r="D342" i="10" s="1"/>
  <c r="C686" i="10"/>
  <c r="D686" i="10" s="1"/>
  <c r="C658" i="10"/>
  <c r="D658" i="10" s="1"/>
  <c r="C144" i="10"/>
  <c r="D144" i="10" s="1"/>
  <c r="C585" i="10"/>
  <c r="D585" i="10" s="1"/>
  <c r="C907" i="10"/>
  <c r="D907" i="10" s="1"/>
  <c r="C86" i="10"/>
  <c r="D86" i="10" s="1"/>
  <c r="C545" i="10"/>
  <c r="D545" i="10" s="1"/>
  <c r="C485" i="10"/>
  <c r="D485" i="10" s="1"/>
  <c r="C716" i="10"/>
  <c r="D716" i="10" s="1"/>
  <c r="C753" i="10"/>
  <c r="D753" i="10" s="1"/>
  <c r="C233" i="10"/>
  <c r="D233" i="10" s="1"/>
  <c r="C941" i="10"/>
  <c r="D941" i="10" s="1"/>
  <c r="C243" i="10"/>
  <c r="D243" i="10" s="1"/>
  <c r="C123" i="10"/>
  <c r="D123" i="10" s="1"/>
  <c r="C857" i="10"/>
  <c r="D857" i="10" s="1"/>
  <c r="C775" i="10"/>
  <c r="D775" i="10" s="1"/>
  <c r="C112" i="10"/>
  <c r="D112" i="10" s="1"/>
  <c r="C214" i="10"/>
  <c r="D214" i="10" s="1"/>
  <c r="C768" i="10"/>
  <c r="D768" i="10" s="1"/>
  <c r="C923" i="10"/>
  <c r="D923" i="10" s="1"/>
  <c r="C186" i="10"/>
  <c r="D186" i="10" s="1"/>
  <c r="C385" i="10"/>
  <c r="D385" i="10" s="1"/>
  <c r="C220" i="10"/>
  <c r="D220" i="10" s="1"/>
  <c r="C362" i="10"/>
  <c r="D362" i="10" s="1"/>
  <c r="C590" i="10"/>
  <c r="D590" i="10" s="1"/>
  <c r="C712" i="10"/>
  <c r="D712" i="10" s="1"/>
  <c r="C613" i="10"/>
  <c r="D613" i="10" s="1"/>
  <c r="C662" i="10"/>
  <c r="D662" i="10" s="1"/>
  <c r="C721" i="10"/>
  <c r="D721" i="10" s="1"/>
  <c r="C516" i="10"/>
  <c r="D516" i="10" s="1"/>
  <c r="C983" i="10"/>
  <c r="D983" i="10" s="1"/>
  <c r="C174" i="10"/>
  <c r="D174" i="10" s="1"/>
  <c r="C169" i="10"/>
  <c r="D169" i="10" s="1"/>
  <c r="C924" i="10"/>
  <c r="D924" i="10" s="1"/>
  <c r="C807" i="10"/>
  <c r="D807" i="10" s="1"/>
  <c r="C152" i="10"/>
  <c r="D152" i="10" s="1"/>
  <c r="C106" i="10"/>
  <c r="D106" i="10" s="1"/>
  <c r="C510" i="10"/>
  <c r="D510" i="10" s="1"/>
  <c r="C868" i="10"/>
  <c r="D868" i="10" s="1"/>
  <c r="C335" i="10"/>
  <c r="D335" i="10" s="1"/>
  <c r="C166" i="10"/>
  <c r="D166" i="10" s="1"/>
  <c r="C599" i="10"/>
  <c r="D599" i="10" s="1"/>
  <c r="C665" i="10"/>
  <c r="D665" i="10" s="1"/>
  <c r="C568" i="10"/>
  <c r="D568" i="10" s="1"/>
  <c r="C945" i="10"/>
  <c r="D945" i="10" s="1"/>
  <c r="C237" i="10"/>
  <c r="D237" i="10" s="1"/>
  <c r="C51" i="10"/>
  <c r="D51" i="10" s="1"/>
  <c r="C455" i="10"/>
  <c r="D455" i="10" s="1"/>
  <c r="C318" i="10"/>
  <c r="D318" i="10" s="1"/>
  <c r="C66" i="10"/>
  <c r="D66" i="10" s="1"/>
  <c r="C809" i="10"/>
  <c r="D809" i="10" s="1"/>
  <c r="C29" i="10"/>
  <c r="D29" i="10" s="1"/>
  <c r="C486" i="10"/>
  <c r="D486" i="10" s="1"/>
  <c r="C435" i="10"/>
  <c r="D435" i="10" s="1"/>
  <c r="C724" i="10"/>
  <c r="D724" i="10" s="1"/>
  <c r="C107" i="10"/>
  <c r="D107" i="10" s="1"/>
  <c r="C114" i="10"/>
  <c r="D114" i="10" s="1"/>
  <c r="C825" i="10"/>
  <c r="D825" i="10" s="1"/>
  <c r="C202" i="10"/>
  <c r="D202" i="10" s="1"/>
  <c r="C34" i="10"/>
  <c r="D34" i="10" s="1"/>
  <c r="C276" i="10"/>
  <c r="D276" i="10" s="1"/>
  <c r="C698" i="10"/>
  <c r="D698" i="10" s="1"/>
  <c r="C639" i="10"/>
  <c r="D639" i="10" s="1"/>
  <c r="C672" i="10"/>
  <c r="D672" i="10" s="1"/>
  <c r="C780" i="10"/>
  <c r="D780" i="10" s="1"/>
  <c r="C532" i="10"/>
  <c r="D532" i="10" s="1"/>
  <c r="C975" i="10"/>
  <c r="D975" i="10" s="1"/>
  <c r="C548" i="10"/>
  <c r="D548" i="10" s="1"/>
  <c r="C155" i="10"/>
  <c r="D155" i="10" s="1"/>
  <c r="C901" i="10"/>
  <c r="D901" i="10" s="1"/>
  <c r="C183" i="10"/>
  <c r="D183" i="10" s="1"/>
  <c r="C142" i="10"/>
  <c r="D142" i="10" s="1"/>
  <c r="C245" i="10"/>
  <c r="D245" i="10" s="1"/>
  <c r="C475" i="10"/>
  <c r="D475" i="10" s="1"/>
  <c r="C675" i="10"/>
  <c r="D675" i="10" s="1"/>
  <c r="C927" i="10"/>
  <c r="D927" i="10" s="1"/>
  <c r="C458" i="10"/>
  <c r="D458" i="10" s="1"/>
  <c r="C746" i="10"/>
  <c r="D746" i="10" s="1"/>
  <c r="C279" i="10"/>
  <c r="D279" i="10" s="1"/>
  <c r="C395" i="10"/>
  <c r="D395" i="10" s="1"/>
  <c r="C280" i="10"/>
  <c r="D280" i="10" s="1"/>
  <c r="C406" i="10"/>
  <c r="D406" i="10" s="1"/>
  <c r="C629" i="10"/>
  <c r="D629" i="10" s="1"/>
  <c r="C684" i="10"/>
  <c r="D684" i="10" s="1"/>
  <c r="C782" i="10"/>
  <c r="D782" i="10" s="1"/>
  <c r="C369" i="10"/>
  <c r="D369" i="10" s="1"/>
  <c r="C727" i="10"/>
  <c r="D727" i="10" s="1"/>
  <c r="C870" i="10"/>
  <c r="D870" i="10" s="1"/>
  <c r="C530" i="10"/>
  <c r="D530" i="10" s="1"/>
  <c r="C103" i="10"/>
  <c r="D103" i="10" s="1"/>
  <c r="C935" i="10"/>
  <c r="D935" i="10" s="1"/>
  <c r="C136" i="10"/>
  <c r="D136" i="10" s="1"/>
  <c r="C277" i="10"/>
  <c r="D277" i="10" s="1"/>
  <c r="C650" i="10"/>
  <c r="D650" i="10" s="1"/>
  <c r="C953" i="10"/>
  <c r="D953" i="10" s="1"/>
  <c r="C608" i="10"/>
  <c r="D608" i="10" s="1"/>
  <c r="C65" i="10"/>
  <c r="D65" i="10" s="1"/>
  <c r="C193" i="10"/>
  <c r="D193" i="10" s="1"/>
  <c r="C188" i="10"/>
  <c r="D188" i="10" s="1"/>
  <c r="C755" i="10"/>
  <c r="D755" i="10" s="1"/>
  <c r="C713" i="10"/>
  <c r="D713" i="10" s="1"/>
  <c r="C118" i="10"/>
  <c r="D118" i="10" s="1"/>
  <c r="C466" i="10"/>
  <c r="D466" i="10" s="1"/>
  <c r="C899" i="10"/>
  <c r="D899" i="10" s="1"/>
  <c r="C323" i="10"/>
  <c r="D323" i="10" s="1"/>
  <c r="C537" i="10"/>
  <c r="D537" i="10" s="1"/>
  <c r="C476" i="10"/>
  <c r="D476" i="10" s="1"/>
  <c r="C607" i="10"/>
  <c r="D607" i="10" s="1"/>
  <c r="C697" i="10"/>
  <c r="D697" i="10" s="1"/>
  <c r="C771" i="10"/>
  <c r="D771" i="10" s="1"/>
  <c r="C72" i="10"/>
  <c r="D72" i="10" s="1"/>
  <c r="C883" i="10"/>
  <c r="D883" i="10" s="1"/>
  <c r="C126" i="10"/>
  <c r="D126" i="10" s="1"/>
  <c r="C833" i="10"/>
  <c r="D833" i="10" s="1"/>
  <c r="C281" i="10"/>
  <c r="D281" i="10" s="1"/>
  <c r="C407" i="10"/>
  <c r="D407" i="10" s="1"/>
  <c r="C493" i="10"/>
  <c r="D493" i="10" s="1"/>
  <c r="C740" i="10"/>
  <c r="D740" i="10" s="1"/>
  <c r="C217" i="10"/>
  <c r="D217" i="10" s="1"/>
  <c r="C955" i="10"/>
  <c r="D955" i="10" s="1"/>
  <c r="C135" i="10"/>
  <c r="D135" i="10" s="1"/>
  <c r="C820" i="10"/>
  <c r="D820" i="10" s="1"/>
  <c r="C120" i="10"/>
  <c r="D120" i="10" s="1"/>
  <c r="C864" i="10"/>
  <c r="D864" i="10" s="1"/>
  <c r="C971" i="10"/>
  <c r="D971" i="10" s="1"/>
  <c r="C75" i="10"/>
  <c r="D75" i="10" s="1"/>
  <c r="C234" i="10"/>
  <c r="D234" i="10" s="1"/>
  <c r="C666" i="10"/>
  <c r="D666" i="10" s="1"/>
  <c r="C256" i="10"/>
  <c r="D256" i="10" s="1"/>
  <c r="C338" i="10"/>
  <c r="D338" i="10" s="1"/>
  <c r="C610" i="10"/>
  <c r="D610" i="10" s="1"/>
  <c r="C617" i="10"/>
  <c r="D617" i="10" s="1"/>
  <c r="C633" i="10"/>
  <c r="D633" i="10" s="1"/>
  <c r="C657" i="10"/>
  <c r="D657" i="10" s="1"/>
  <c r="C689" i="10"/>
  <c r="D689" i="10" s="1"/>
  <c r="C726" i="10"/>
  <c r="D726" i="10" s="1"/>
  <c r="C766" i="10"/>
  <c r="D766" i="10" s="1"/>
  <c r="C760" i="10"/>
  <c r="D760" i="10" s="1"/>
  <c r="C359" i="10"/>
  <c r="D359" i="10" s="1"/>
  <c r="C707" i="10"/>
  <c r="D707" i="10" s="1"/>
  <c r="C856" i="10"/>
  <c r="D856" i="10" s="1"/>
  <c r="C860" i="10"/>
  <c r="D860" i="10" s="1"/>
  <c r="C994" i="10"/>
  <c r="D994" i="10" s="1"/>
  <c r="C440" i="10"/>
  <c r="D440" i="10" s="1"/>
  <c r="C227" i="10"/>
  <c r="D227" i="10" s="1"/>
  <c r="C111" i="10"/>
  <c r="D111" i="10" s="1"/>
  <c r="C209" i="10"/>
  <c r="D209" i="10" s="1"/>
  <c r="C834" i="10"/>
  <c r="D834" i="10" s="1"/>
  <c r="C849" i="10"/>
  <c r="D849" i="10" s="1"/>
  <c r="C787" i="10"/>
  <c r="D787" i="10" s="1"/>
  <c r="C207" i="10"/>
  <c r="D207" i="10" s="1"/>
  <c r="C164" i="10"/>
  <c r="D164" i="10" s="1"/>
  <c r="C140" i="10"/>
  <c r="D140" i="10" s="1"/>
  <c r="C116" i="10"/>
  <c r="D116" i="10" s="1"/>
  <c r="C45" i="10"/>
  <c r="D45" i="10" s="1"/>
  <c r="C305" i="10"/>
  <c r="D305" i="10" s="1"/>
  <c r="C551" i="10"/>
  <c r="D551" i="10" s="1"/>
  <c r="C976" i="10"/>
  <c r="D976" i="10" s="1"/>
  <c r="C889" i="10"/>
  <c r="D889" i="10" s="1"/>
  <c r="C842" i="10"/>
  <c r="D842" i="10" s="1"/>
  <c r="C683" i="10"/>
  <c r="D683" i="10" s="1"/>
  <c r="C875" i="10"/>
  <c r="D875" i="10" s="1"/>
  <c r="C70" i="10"/>
  <c r="D70" i="10" s="1"/>
  <c r="C249" i="10"/>
  <c r="D249" i="10" s="1"/>
  <c r="C399" i="10"/>
  <c r="D399" i="10" s="1"/>
  <c r="C503" i="10"/>
  <c r="D503" i="10" s="1"/>
  <c r="C90" i="10"/>
  <c r="D90" i="10" s="1"/>
  <c r="C42" i="10"/>
  <c r="D42" i="10" s="1"/>
  <c r="C357" i="10"/>
  <c r="D357" i="10" s="1"/>
  <c r="C566" i="10"/>
  <c r="D566" i="10" s="1"/>
  <c r="C484" i="10"/>
  <c r="D484" i="10" s="1"/>
  <c r="C244" i="10"/>
  <c r="D244" i="10" s="1"/>
  <c r="C308" i="10"/>
  <c r="D308" i="10" s="1"/>
  <c r="C370" i="10"/>
  <c r="D370" i="10" s="1"/>
  <c r="C558" i="10"/>
  <c r="D558" i="10" s="1"/>
  <c r="C765" i="10"/>
  <c r="D765" i="10" s="1"/>
  <c r="C680" i="10"/>
  <c r="D680" i="10" s="1"/>
  <c r="C178" i="10"/>
  <c r="D178" i="10" s="1"/>
  <c r="C852" i="10"/>
  <c r="D852" i="10" s="1"/>
  <c r="C803" i="10"/>
  <c r="D803" i="10" s="1"/>
  <c r="C261" i="10"/>
  <c r="D261" i="10" s="1"/>
  <c r="C642" i="10"/>
  <c r="D642" i="10" s="1"/>
  <c r="C813" i="10"/>
  <c r="D813" i="10" s="1"/>
  <c r="C581" i="10"/>
  <c r="D581" i="10" s="1"/>
  <c r="C520" i="10"/>
  <c r="D520" i="10" s="1"/>
  <c r="C26" i="10"/>
  <c r="D26" i="10" s="1"/>
  <c r="C640" i="10"/>
  <c r="D640" i="10" s="1"/>
  <c r="C470" i="10"/>
  <c r="D470" i="10" s="1"/>
  <c r="C422" i="10"/>
  <c r="D422" i="10" s="1"/>
  <c r="C396" i="10"/>
  <c r="D396" i="10" s="1"/>
  <c r="C348" i="10"/>
  <c r="D348" i="10" s="1"/>
  <c r="C324" i="10"/>
  <c r="D324" i="10" s="1"/>
  <c r="C302" i="10"/>
  <c r="D302" i="10" s="1"/>
  <c r="C278" i="10"/>
  <c r="D278" i="10" s="1"/>
  <c r="C254" i="10"/>
  <c r="D254" i="10" s="1"/>
  <c r="C696" i="10"/>
  <c r="D696" i="10" s="1"/>
  <c r="C559" i="10"/>
  <c r="D559" i="10" s="1"/>
  <c r="C460" i="10"/>
  <c r="D460" i="10" s="1"/>
  <c r="C387" i="10"/>
  <c r="D387" i="10" s="1"/>
  <c r="C603" i="10"/>
  <c r="D603" i="10" s="1"/>
  <c r="C505" i="10"/>
  <c r="D505" i="10" s="1"/>
  <c r="C133" i="10"/>
  <c r="D133" i="10" s="1"/>
  <c r="C828" i="10"/>
  <c r="D828" i="10" s="1"/>
  <c r="C687" i="10"/>
  <c r="D687" i="10" s="1"/>
  <c r="C896" i="10"/>
  <c r="D896" i="10" s="1"/>
  <c r="C817" i="10"/>
  <c r="D817" i="10" s="1"/>
  <c r="C210" i="10"/>
  <c r="D210" i="10" s="1"/>
  <c r="C884" i="10"/>
  <c r="D884" i="10" s="1"/>
  <c r="C802" i="10"/>
  <c r="D802" i="10" s="1"/>
  <c r="C565" i="10"/>
  <c r="D565" i="10" s="1"/>
  <c r="C480" i="10"/>
  <c r="D480" i="10" s="1"/>
  <c r="C624" i="10"/>
  <c r="D624" i="10" s="1"/>
  <c r="C522" i="10"/>
  <c r="D522" i="10" s="1"/>
  <c r="C368" i="10"/>
  <c r="D368" i="10" s="1"/>
  <c r="C346" i="10"/>
  <c r="D346" i="10" s="1"/>
  <c r="C306" i="10"/>
  <c r="D306" i="10" s="1"/>
  <c r="C274" i="10"/>
  <c r="D274" i="10" s="1"/>
  <c r="C252" i="10"/>
  <c r="D252" i="10" s="1"/>
  <c r="C588" i="10"/>
  <c r="D588" i="10" s="1"/>
  <c r="C371" i="10"/>
  <c r="D371" i="10" s="1"/>
  <c r="C546" i="10"/>
  <c r="D546" i="10" s="1"/>
  <c r="C482" i="10"/>
  <c r="D482" i="10" s="1"/>
  <c r="C389" i="10"/>
  <c r="D389" i="10" s="1"/>
  <c r="C319" i="10"/>
  <c r="D319" i="10" s="1"/>
  <c r="C216" i="10"/>
  <c r="D216" i="10" s="1"/>
  <c r="C212" i="10"/>
  <c r="D212" i="10" s="1"/>
  <c r="C739" i="10"/>
  <c r="D739" i="10" s="1"/>
  <c r="C966" i="10"/>
  <c r="D966" i="10" s="1"/>
  <c r="C749" i="10"/>
  <c r="D749" i="10" s="1"/>
  <c r="C600" i="10"/>
  <c r="D600" i="10" s="1"/>
  <c r="C541" i="10"/>
  <c r="D541" i="10" s="1"/>
  <c r="C652" i="10"/>
  <c r="D652" i="10" s="1"/>
  <c r="C827" i="10"/>
  <c r="D827" i="10" s="1"/>
  <c r="C694" i="10"/>
  <c r="D694" i="10" s="1"/>
  <c r="C425" i="10"/>
  <c r="D425" i="10" s="1"/>
  <c r="C695" i="10"/>
  <c r="D695" i="10" s="1"/>
  <c r="C267" i="10"/>
  <c r="D267" i="10" s="1"/>
  <c r="C830" i="10"/>
  <c r="D830" i="10" s="1"/>
  <c r="C957" i="10"/>
  <c r="D957" i="10" s="1"/>
  <c r="C670" i="10"/>
  <c r="D670" i="10" s="1"/>
  <c r="C659" i="10"/>
  <c r="D659" i="10" s="1"/>
  <c r="C997" i="10"/>
  <c r="D997" i="10" s="1"/>
  <c r="C271" i="10"/>
  <c r="D271" i="10" s="1"/>
  <c r="C858" i="10"/>
  <c r="D858" i="10" s="1"/>
  <c r="C623" i="10"/>
  <c r="D623" i="10" s="1"/>
  <c r="C816" i="10"/>
  <c r="D816" i="10" s="1"/>
  <c r="C719" i="10"/>
  <c r="D719" i="10" s="1"/>
  <c r="C972" i="10"/>
  <c r="D972" i="10" s="1"/>
  <c r="C211" i="10"/>
  <c r="D211" i="10" s="1"/>
  <c r="C337" i="10"/>
  <c r="D337" i="10" s="1"/>
  <c r="C799" i="10"/>
  <c r="D799" i="10" s="1"/>
  <c r="C82" i="10"/>
  <c r="D82" i="10" s="1"/>
  <c r="C534" i="10"/>
  <c r="D534" i="10" s="1"/>
  <c r="C320" i="10"/>
  <c r="D320" i="10" s="1"/>
  <c r="C573" i="10"/>
  <c r="D573" i="10" s="1"/>
  <c r="C645" i="10"/>
  <c r="D645" i="10" s="1"/>
  <c r="C761" i="10"/>
  <c r="D761" i="10" s="1"/>
  <c r="C699" i="10"/>
  <c r="D699" i="10" s="1"/>
  <c r="C711" i="10"/>
  <c r="D711" i="10" s="1"/>
  <c r="C418" i="10"/>
  <c r="D418" i="10" s="1"/>
  <c r="C949" i="10"/>
  <c r="D949" i="10" s="1"/>
  <c r="C55" i="10"/>
  <c r="D55" i="10" s="1"/>
  <c r="C313" i="10"/>
  <c r="D313" i="10" s="1"/>
  <c r="C580" i="10"/>
  <c r="D580" i="10" s="1"/>
  <c r="C50" i="10"/>
  <c r="D50" i="10" s="1"/>
  <c r="C327" i="10"/>
  <c r="D327" i="10" s="1"/>
  <c r="C449" i="10"/>
  <c r="D449" i="10" s="1"/>
  <c r="C382" i="10"/>
  <c r="D382" i="10" s="1"/>
  <c r="C526" i="10"/>
  <c r="D526" i="10" s="1"/>
  <c r="C641" i="10"/>
  <c r="D641" i="10" s="1"/>
  <c r="C700" i="10"/>
  <c r="D700" i="10" s="1"/>
  <c r="C745" i="10"/>
  <c r="D745" i="10" s="1"/>
  <c r="C774" i="10"/>
  <c r="D774" i="10" s="1"/>
  <c r="C499" i="10"/>
  <c r="D499" i="10" s="1"/>
  <c r="C81" i="10"/>
  <c r="D81" i="10" s="1"/>
  <c r="C960" i="10"/>
  <c r="D960" i="10" s="1"/>
  <c r="C964" i="10"/>
  <c r="D964" i="10" s="1"/>
  <c r="C911" i="10"/>
  <c r="D911" i="10" s="1"/>
  <c r="C622" i="10"/>
  <c r="D622" i="10" s="1"/>
  <c r="C377" i="10"/>
  <c r="D377" i="10" s="1"/>
  <c r="C41" i="10"/>
  <c r="D41" i="10" s="1"/>
  <c r="C127" i="10"/>
  <c r="D127" i="10" s="1"/>
  <c r="C938" i="10"/>
  <c r="D938" i="10" s="1"/>
  <c r="C942" i="10"/>
  <c r="D942" i="10" s="1"/>
  <c r="C839" i="10"/>
  <c r="D839" i="10" s="1"/>
  <c r="C195" i="10"/>
  <c r="D195" i="10" s="1"/>
  <c r="C156" i="10"/>
  <c r="D156" i="10" s="1"/>
  <c r="C132" i="10"/>
  <c r="D132" i="10" s="1"/>
  <c r="C110" i="10"/>
  <c r="D110" i="10" s="1"/>
  <c r="C223" i="10"/>
  <c r="D223" i="10" s="1"/>
  <c r="C341" i="10"/>
  <c r="D341" i="10" s="1"/>
  <c r="C601" i="10"/>
  <c r="D601" i="10" s="1"/>
  <c r="C804" i="10"/>
  <c r="D804" i="10" s="1"/>
  <c r="C885" i="10"/>
  <c r="D885" i="10" s="1"/>
  <c r="C747" i="10"/>
  <c r="D747" i="10" s="1"/>
  <c r="C939" i="10"/>
  <c r="D939" i="10" s="1"/>
  <c r="C39" i="10"/>
  <c r="D39" i="10" s="1"/>
  <c r="C285" i="10"/>
  <c r="D285" i="10" s="1"/>
  <c r="C426" i="10"/>
  <c r="D426" i="10" s="1"/>
  <c r="C562" i="10"/>
  <c r="D562" i="10" s="1"/>
  <c r="C80" i="10"/>
  <c r="D80" i="10" s="1"/>
  <c r="C226" i="10"/>
  <c r="D226" i="10" s="1"/>
  <c r="C437" i="10"/>
  <c r="D437" i="10" s="1"/>
  <c r="C569" i="10"/>
  <c r="D569" i="10" s="1"/>
  <c r="C266" i="10"/>
  <c r="D266" i="10" s="1"/>
  <c r="C328" i="10"/>
  <c r="D328" i="10" s="1"/>
  <c r="C451" i="10"/>
  <c r="D451" i="10" s="1"/>
  <c r="C630" i="10"/>
  <c r="D630" i="10" s="1"/>
  <c r="C549" i="10"/>
  <c r="D549" i="10" s="1"/>
  <c r="C888" i="10"/>
  <c r="D888" i="10" s="1"/>
  <c r="C861" i="10"/>
  <c r="D861" i="10" s="1"/>
  <c r="C795" i="10"/>
  <c r="D795" i="10" s="1"/>
  <c r="C473" i="10"/>
  <c r="D473" i="10" s="1"/>
  <c r="C958" i="10"/>
  <c r="D958" i="10" s="1"/>
  <c r="C439" i="10"/>
  <c r="D439" i="10" s="1"/>
  <c r="C679" i="10"/>
  <c r="D679" i="10" s="1"/>
  <c r="C236" i="10"/>
  <c r="D236" i="10" s="1"/>
  <c r="C360" i="10"/>
  <c r="D360" i="10" s="1"/>
  <c r="C655" i="10"/>
  <c r="D655" i="10" s="1"/>
  <c r="C397" i="10"/>
  <c r="D397" i="10" s="1"/>
  <c r="C915" i="10"/>
  <c r="D915" i="10" s="1"/>
  <c r="C553" i="10"/>
  <c r="D553" i="10" s="1"/>
  <c r="C736" i="10"/>
  <c r="D736" i="10" s="1"/>
  <c r="C892" i="10"/>
  <c r="D892" i="10" s="1"/>
  <c r="C821" i="10"/>
  <c r="D821" i="10" s="1"/>
  <c r="C321" i="10"/>
  <c r="D321" i="10" s="1"/>
  <c r="C171" i="10"/>
  <c r="D171" i="10" s="1"/>
  <c r="C229" i="10"/>
  <c r="D229" i="10" s="1"/>
  <c r="C96" i="10"/>
  <c r="D96" i="10" s="1"/>
  <c r="C528" i="10"/>
  <c r="D528" i="10" s="1"/>
  <c r="C676" i="10"/>
  <c r="D676" i="10" s="1"/>
  <c r="C756" i="10"/>
  <c r="D756" i="10" s="1"/>
  <c r="C429" i="10"/>
  <c r="D429" i="10" s="1"/>
  <c r="C836" i="10"/>
  <c r="D836" i="10" s="1"/>
  <c r="C513" i="10"/>
  <c r="D513" i="10" s="1"/>
  <c r="C691" i="10"/>
  <c r="D691" i="10" s="1"/>
  <c r="C124" i="10"/>
  <c r="D124" i="10" s="1"/>
  <c r="C974" i="10"/>
  <c r="D974" i="10" s="1"/>
  <c r="C170" i="10"/>
  <c r="D170" i="10" s="1"/>
  <c r="C58" i="10"/>
  <c r="D58" i="10" s="1"/>
  <c r="C295" i="10"/>
  <c r="D295" i="10" s="1"/>
  <c r="C424" i="10"/>
  <c r="D424" i="10" s="1"/>
  <c r="C412" i="10"/>
  <c r="D412" i="10" s="1"/>
  <c r="C509" i="10"/>
  <c r="D509" i="10" s="1"/>
  <c r="C556" i="10"/>
  <c r="D556" i="10" s="1"/>
  <c r="C962" i="10"/>
  <c r="D962" i="10" s="1"/>
  <c r="C538" i="10"/>
  <c r="D538" i="10" s="1"/>
  <c r="C125" i="10"/>
  <c r="D125" i="10" s="1"/>
  <c r="C401" i="10"/>
  <c r="D401" i="10" s="1"/>
  <c r="C674" i="10"/>
  <c r="D674" i="10" s="1"/>
  <c r="C552" i="10"/>
  <c r="D552" i="10" s="1"/>
  <c r="C682" i="10"/>
  <c r="D682" i="10" s="1"/>
  <c r="C529" i="10"/>
  <c r="D529" i="10" s="1"/>
  <c r="C454" i="10"/>
  <c r="D454" i="10" s="1"/>
  <c r="C404" i="10"/>
  <c r="D404" i="10" s="1"/>
  <c r="C372" i="10"/>
  <c r="D372" i="10" s="1"/>
  <c r="C340" i="10"/>
  <c r="D340" i="10" s="1"/>
  <c r="C310" i="10"/>
  <c r="D310" i="10" s="1"/>
  <c r="C270" i="10"/>
  <c r="D270" i="10" s="1"/>
  <c r="C246" i="10"/>
  <c r="D246" i="10" s="1"/>
  <c r="C578" i="10"/>
  <c r="D578" i="10" s="1"/>
  <c r="C442" i="10"/>
  <c r="D442" i="10" s="1"/>
  <c r="C731" i="10"/>
  <c r="D731" i="10" s="1"/>
  <c r="C969" i="10"/>
  <c r="D969" i="10" s="1"/>
  <c r="C523" i="10"/>
  <c r="D523" i="10" s="1"/>
  <c r="C865" i="10"/>
  <c r="D865" i="10" s="1"/>
  <c r="C909" i="10"/>
  <c r="D909" i="10" s="1"/>
  <c r="C141" i="10"/>
  <c r="D141" i="10" s="1"/>
  <c r="C591" i="10"/>
  <c r="D591" i="10" s="1"/>
  <c r="C632" i="10"/>
  <c r="D632" i="10" s="1"/>
  <c r="C525" i="10"/>
  <c r="D525" i="10" s="1"/>
  <c r="C677" i="10"/>
  <c r="D677" i="10" s="1"/>
  <c r="C427" i="10"/>
  <c r="D427" i="10" s="1"/>
  <c r="C378" i="10"/>
  <c r="D378" i="10" s="1"/>
  <c r="C336" i="10"/>
  <c r="D336" i="10" s="1"/>
  <c r="C296" i="10"/>
  <c r="D296" i="10" s="1"/>
  <c r="C564" i="10"/>
  <c r="D564" i="10" s="1"/>
  <c r="C411" i="10"/>
  <c r="D411" i="10" s="1"/>
  <c r="C596" i="10"/>
  <c r="D596" i="10" s="1"/>
  <c r="C351" i="10"/>
  <c r="D351" i="10" s="1"/>
  <c r="C263" i="10"/>
  <c r="D263" i="10" s="1"/>
  <c r="C180" i="10"/>
  <c r="D180" i="10" s="1"/>
  <c r="C190" i="10"/>
  <c r="D190" i="10" s="1"/>
  <c r="C517" i="10"/>
  <c r="D517" i="10" s="1"/>
  <c r="C741" i="10"/>
  <c r="D741" i="10" s="1"/>
  <c r="C572" i="10"/>
  <c r="D572" i="10" s="1"/>
  <c r="C386" i="10"/>
  <c r="D386" i="10" s="1"/>
  <c r="C354" i="10"/>
  <c r="D354" i="10" s="1"/>
  <c r="C334" i="10"/>
  <c r="D334" i="10" s="1"/>
  <c r="C292" i="10"/>
  <c r="D292" i="10" s="1"/>
  <c r="C685" i="10"/>
  <c r="D685" i="10" s="1"/>
  <c r="C431" i="10"/>
  <c r="D431" i="10" s="1"/>
  <c r="C704" i="10"/>
  <c r="D704" i="10" s="1"/>
  <c r="C502" i="10"/>
  <c r="D502" i="10" s="1"/>
  <c r="C311" i="10"/>
  <c r="D311" i="10" s="1"/>
  <c r="C230" i="10"/>
  <c r="D230" i="10" s="1"/>
  <c r="C200" i="10"/>
  <c r="D200" i="10" s="1"/>
  <c r="C46" i="10"/>
  <c r="D46" i="10" s="1"/>
  <c r="C92" i="10"/>
  <c r="D92" i="10" s="1"/>
  <c r="C619" i="10"/>
  <c r="D619" i="10" s="1"/>
  <c r="C651" i="10"/>
  <c r="D651" i="10" s="1"/>
  <c r="C681" i="10"/>
  <c r="D681" i="10" s="1"/>
  <c r="C748" i="10"/>
  <c r="D748" i="10" s="1"/>
  <c r="C777" i="10"/>
  <c r="D777" i="10" s="1"/>
  <c r="C582" i="10"/>
  <c r="D582" i="10" s="1"/>
  <c r="C329" i="10"/>
  <c r="D329" i="10" s="1"/>
  <c r="C835" i="10"/>
  <c r="D835" i="10" s="1"/>
  <c r="C808" i="10"/>
  <c r="D808" i="10" s="1"/>
  <c r="C465" i="10"/>
  <c r="D465" i="10" s="1"/>
  <c r="C147" i="10"/>
  <c r="D147" i="10" s="1"/>
  <c r="C934" i="10"/>
  <c r="D934" i="10" s="1"/>
  <c r="C790" i="10"/>
  <c r="D790" i="10" s="1"/>
  <c r="C979" i="10"/>
  <c r="D979" i="10" s="1"/>
  <c r="C162" i="10"/>
  <c r="D162" i="10" s="1"/>
  <c r="C138" i="10"/>
  <c r="D138" i="10" s="1"/>
  <c r="C231" i="10"/>
  <c r="D231" i="10" s="1"/>
  <c r="C450" i="10"/>
  <c r="D450" i="10" s="1"/>
  <c r="C854" i="10"/>
  <c r="D854" i="10" s="1"/>
  <c r="C982" i="10"/>
  <c r="D982" i="10" s="1"/>
  <c r="C978" i="10"/>
  <c r="D978" i="10" s="1"/>
  <c r="C895" i="10"/>
  <c r="D895" i="10" s="1"/>
  <c r="C63" i="10"/>
  <c r="D63" i="10" s="1"/>
  <c r="C432" i="10"/>
  <c r="D432" i="10" s="1"/>
  <c r="C634" i="10"/>
  <c r="D634" i="10" s="1"/>
  <c r="C204" i="10"/>
  <c r="D204" i="10" s="1"/>
  <c r="C247" i="10"/>
  <c r="D247" i="10" s="1"/>
  <c r="C495" i="10"/>
  <c r="D495" i="10" s="1"/>
  <c r="C507" i="10"/>
  <c r="D507" i="10" s="1"/>
  <c r="C248" i="10"/>
  <c r="D248" i="10" s="1"/>
  <c r="C312" i="10"/>
  <c r="D312" i="10" s="1"/>
  <c r="C394" i="10"/>
  <c r="D394" i="10" s="1"/>
  <c r="C561" i="10"/>
  <c r="D561" i="10" s="1"/>
  <c r="C512" i="10"/>
  <c r="D512" i="10" s="1"/>
  <c r="C778" i="10"/>
  <c r="D778" i="10" s="1"/>
  <c r="C985" i="10"/>
  <c r="D985" i="10" s="1"/>
  <c r="C906" i="10"/>
  <c r="D906" i="10" s="1"/>
  <c r="C980" i="10"/>
  <c r="D980" i="10" s="1"/>
  <c r="C631" i="10"/>
  <c r="D631" i="10" s="1"/>
  <c r="C706" i="10"/>
  <c r="D706" i="10" s="1"/>
  <c r="C637" i="10"/>
  <c r="D637" i="10" s="1"/>
  <c r="C992" i="10"/>
  <c r="D992" i="10" s="1"/>
  <c r="C734" i="10"/>
  <c r="D734" i="10" s="1"/>
  <c r="C826" i="10"/>
  <c r="D826" i="10" s="1"/>
  <c r="C77" i="10"/>
  <c r="D77" i="10" s="1"/>
  <c r="C32" i="10"/>
  <c r="D32" i="10" s="1"/>
  <c r="C479" i="10"/>
  <c r="D479" i="10" s="1"/>
  <c r="C705" i="10"/>
  <c r="D705" i="10" s="1"/>
  <c r="C920" i="10"/>
  <c r="D920" i="10" s="1"/>
  <c r="C996" i="10"/>
  <c r="D996" i="10" s="1"/>
  <c r="C61" i="10"/>
  <c r="D61" i="10" s="1"/>
  <c r="C715" i="10"/>
  <c r="D715" i="10" s="1"/>
  <c r="C413" i="10"/>
  <c r="D413" i="10" s="1"/>
  <c r="C598" i="10"/>
  <c r="D598" i="10" s="1"/>
  <c r="C784" i="10"/>
  <c r="D784" i="10" s="1"/>
  <c r="C785" i="10"/>
  <c r="D785" i="10" s="1"/>
  <c r="C265" i="10"/>
  <c r="D265" i="10" s="1"/>
  <c r="C783" i="10"/>
  <c r="D783" i="10" s="1"/>
  <c r="C293" i="10"/>
  <c r="D293" i="10" s="1"/>
  <c r="C143" i="10"/>
  <c r="D143" i="10" s="1"/>
  <c r="C903" i="10"/>
  <c r="D903" i="10" s="1"/>
  <c r="C148" i="10"/>
  <c r="D148" i="10" s="1"/>
  <c r="C444" i="10"/>
  <c r="D444" i="10" s="1"/>
  <c r="C928" i="10"/>
  <c r="D928" i="10" s="1"/>
  <c r="C101" i="10"/>
  <c r="D101" i="10" s="1"/>
  <c r="C331" i="10"/>
  <c r="D331" i="10" s="1"/>
  <c r="C595" i="10"/>
  <c r="D595" i="10" s="1"/>
  <c r="C208" i="10"/>
  <c r="D208" i="10" s="1"/>
  <c r="C497" i="10"/>
  <c r="D497" i="10" s="1"/>
  <c r="C589" i="10"/>
  <c r="D589" i="10" s="1"/>
  <c r="C667" i="10"/>
  <c r="D667" i="10" s="1"/>
  <c r="C113" i="10"/>
  <c r="D113" i="10" s="1"/>
  <c r="C751" i="10"/>
  <c r="D751" i="10" s="1"/>
  <c r="C988" i="10"/>
  <c r="D988" i="10" s="1"/>
  <c r="C638" i="10"/>
  <c r="D638" i="10" s="1"/>
  <c r="C536" i="10"/>
  <c r="D536" i="10" s="1"/>
  <c r="C488" i="10"/>
  <c r="D488" i="10" s="1"/>
  <c r="C593" i="10"/>
  <c r="D593" i="10" s="1"/>
  <c r="C511" i="10"/>
  <c r="D511" i="10" s="1"/>
  <c r="C438" i="10"/>
  <c r="D438" i="10" s="1"/>
  <c r="C364" i="10"/>
  <c r="D364" i="10" s="1"/>
  <c r="C332" i="10"/>
  <c r="D332" i="10" s="1"/>
  <c r="C294" i="10"/>
  <c r="D294" i="10" s="1"/>
  <c r="C776" i="10"/>
  <c r="D776" i="10" s="1"/>
  <c r="C535" i="10"/>
  <c r="D535" i="10" s="1"/>
  <c r="C417" i="10"/>
  <c r="D417" i="10" s="1"/>
  <c r="C720" i="10"/>
  <c r="D720" i="10" s="1"/>
  <c r="C219" i="10"/>
  <c r="D219" i="10" s="1"/>
  <c r="C951" i="10"/>
  <c r="D951" i="10" s="1"/>
  <c r="C421" i="10"/>
  <c r="D421" i="10" s="1"/>
  <c r="C815" i="10"/>
  <c r="D815" i="10" s="1"/>
  <c r="C605" i="10"/>
  <c r="D605" i="10" s="1"/>
  <c r="C501" i="10"/>
  <c r="D501" i="10" s="1"/>
  <c r="C579" i="10"/>
  <c r="D579" i="10" s="1"/>
  <c r="C494" i="10"/>
  <c r="D494" i="10" s="1"/>
  <c r="C400" i="10"/>
  <c r="D400" i="10" s="1"/>
  <c r="C326" i="10"/>
  <c r="D326" i="10" s="1"/>
  <c r="C284" i="10"/>
  <c r="D284" i="10" s="1"/>
  <c r="C818" i="10"/>
  <c r="D818" i="10" s="1"/>
  <c r="C531" i="10"/>
  <c r="D531" i="10" s="1"/>
  <c r="C457" i="10"/>
  <c r="D457" i="10" s="1"/>
  <c r="C240" i="10"/>
  <c r="D240" i="10" s="1"/>
  <c r="C44" i="10"/>
  <c r="D44" i="10" s="1"/>
  <c r="C796" i="10"/>
  <c r="D796" i="10" s="1"/>
  <c r="C157" i="10"/>
  <c r="D157" i="10" s="1"/>
  <c r="C786" i="10"/>
  <c r="D786" i="10" s="1"/>
  <c r="C543" i="10"/>
  <c r="D543" i="10" s="1"/>
  <c r="C462" i="10"/>
  <c r="D462" i="10" s="1"/>
  <c r="C408" i="10"/>
  <c r="D408" i="10" s="1"/>
  <c r="C322" i="10"/>
  <c r="D322" i="10" s="1"/>
  <c r="C282" i="10"/>
  <c r="D282" i="10" s="1"/>
  <c r="C250" i="10"/>
  <c r="D250" i="10" s="1"/>
  <c r="C618" i="10"/>
  <c r="D618" i="10" s="1"/>
  <c r="C555" i="10"/>
  <c r="D555" i="10" s="1"/>
  <c r="C471" i="10"/>
  <c r="D471" i="10" s="1"/>
  <c r="C423" i="10"/>
  <c r="D423" i="10" s="1"/>
  <c r="C222" i="10"/>
  <c r="D222" i="10" s="1"/>
  <c r="C54" i="10"/>
  <c r="D54" i="10" s="1"/>
  <c r="C69" i="10"/>
  <c r="D69" i="10" s="1"/>
  <c r="C627" i="10"/>
  <c r="D627" i="10" s="1"/>
  <c r="C692" i="10"/>
  <c r="D692" i="10" s="1"/>
  <c r="C710" i="10"/>
  <c r="D710" i="10" s="1"/>
  <c r="C789" i="10"/>
  <c r="D789" i="10" s="1"/>
  <c r="C251" i="10"/>
  <c r="D251" i="10" s="1"/>
  <c r="C97" i="10"/>
  <c r="D97" i="10" s="1"/>
  <c r="C663" i="10"/>
  <c r="D663" i="10" s="1"/>
  <c r="C956" i="10"/>
  <c r="D956" i="10" s="1"/>
  <c r="C793" i="10"/>
  <c r="D793" i="10" s="1"/>
  <c r="C415" i="10"/>
  <c r="D415" i="10" s="1"/>
  <c r="C57" i="10"/>
  <c r="D57" i="10" s="1"/>
  <c r="C163" i="10"/>
  <c r="D163" i="10" s="1"/>
  <c r="C930" i="10"/>
  <c r="D930" i="10" s="1"/>
  <c r="C886" i="10"/>
  <c r="D886" i="10" s="1"/>
  <c r="C743" i="10"/>
  <c r="D743" i="10" s="1"/>
  <c r="C203" i="10"/>
  <c r="D203" i="10" s="1"/>
  <c r="C154" i="10"/>
  <c r="D154" i="10" s="1"/>
  <c r="C130" i="10"/>
  <c r="D130" i="10" s="1"/>
  <c r="C99" i="10"/>
  <c r="D99" i="10" s="1"/>
  <c r="C273" i="10"/>
  <c r="D273" i="10" s="1"/>
  <c r="C500" i="10"/>
  <c r="D500" i="10" s="1"/>
  <c r="C717" i="10"/>
  <c r="D717" i="10" s="1"/>
  <c r="C897" i="10"/>
  <c r="D897" i="10" s="1"/>
  <c r="C850" i="10"/>
  <c r="D850" i="10" s="1"/>
  <c r="C703" i="10"/>
  <c r="D703" i="10" s="1"/>
  <c r="C959" i="10"/>
  <c r="D959" i="10" s="1"/>
  <c r="C31" i="10"/>
  <c r="D31" i="10" s="1"/>
  <c r="C299" i="10"/>
  <c r="D299" i="10" s="1"/>
  <c r="C469" i="10"/>
  <c r="D469" i="10" s="1"/>
  <c r="C98" i="10"/>
  <c r="D98" i="10" s="1"/>
  <c r="C67" i="10"/>
  <c r="D67" i="10" s="1"/>
  <c r="C303" i="10"/>
  <c r="D303" i="10" s="1"/>
  <c r="C571" i="10"/>
  <c r="D571" i="10" s="1"/>
  <c r="C268" i="10"/>
  <c r="D268" i="10" s="1"/>
  <c r="C330" i="10"/>
  <c r="D330" i="10" s="1"/>
  <c r="C414" i="10"/>
  <c r="D414" i="10" s="1"/>
  <c r="C646" i="10"/>
  <c r="D646" i="10" s="1"/>
  <c r="C557" i="10"/>
  <c r="D557" i="10" s="1"/>
  <c r="C880" i="10"/>
  <c r="D880" i="10" s="1"/>
  <c r="R29" i="10"/>
  <c r="R5" i="10" s="1"/>
  <c r="L79" i="32"/>
  <c r="C873" i="10"/>
  <c r="D873" i="10" s="1"/>
  <c r="C824" i="10"/>
  <c r="D824" i="10" s="1"/>
  <c r="C606" i="10"/>
  <c r="D606" i="10" s="1"/>
  <c r="C931" i="10"/>
  <c r="D931" i="10" s="1"/>
  <c r="C881" i="10"/>
  <c r="D881" i="10" s="1"/>
  <c r="C109" i="10"/>
  <c r="D109" i="10" s="1"/>
  <c r="C391" i="10"/>
  <c r="D391" i="10" s="1"/>
  <c r="C848" i="10"/>
  <c r="D848" i="10" s="1"/>
  <c r="C145" i="10"/>
  <c r="D145" i="10" s="1"/>
  <c r="C506" i="10"/>
  <c r="D506" i="10" s="1"/>
  <c r="C954" i="10"/>
  <c r="D954" i="10" s="1"/>
  <c r="C862" i="10"/>
  <c r="D862" i="10" s="1"/>
  <c r="C973" i="10"/>
  <c r="D973" i="10" s="1"/>
  <c r="D70" i="5"/>
  <c r="C654" i="10"/>
  <c r="D654" i="10" s="1"/>
  <c r="C508" i="10"/>
  <c r="D508" i="10" s="1"/>
  <c r="C428" i="10"/>
  <c r="D428" i="10" s="1"/>
  <c r="C228" i="10"/>
  <c r="D228" i="10" s="1"/>
  <c r="C78" i="10"/>
  <c r="D78" i="10" s="1"/>
  <c r="C409" i="10"/>
  <c r="D409" i="10" s="1"/>
  <c r="C93" i="10"/>
  <c r="D93" i="10" s="1"/>
  <c r="C936" i="10"/>
  <c r="D936" i="10" s="1"/>
  <c r="C812" i="10"/>
  <c r="D812" i="10" s="1"/>
  <c r="C365" i="10"/>
  <c r="D365" i="10" s="1"/>
  <c r="C108" i="10"/>
  <c r="D108" i="10" s="1"/>
  <c r="C175" i="10"/>
  <c r="D175" i="10" s="1"/>
  <c r="C837" i="10"/>
  <c r="D837" i="10" s="1"/>
  <c r="K70" i="5"/>
  <c r="K70" i="32" s="1"/>
  <c r="K73" i="32" s="1"/>
  <c r="C257" i="10"/>
  <c r="D257" i="10" s="1"/>
  <c r="C763" i="10"/>
  <c r="D763" i="10" s="1"/>
  <c r="C904" i="10"/>
  <c r="D904" i="10" s="1"/>
  <c r="C35" i="10"/>
  <c r="D35" i="10" s="1"/>
  <c r="C714" i="10"/>
  <c r="D714" i="10" s="1"/>
  <c r="C737" i="10"/>
  <c r="D737" i="10" s="1"/>
  <c r="C673" i="10"/>
  <c r="D673" i="10" s="1"/>
  <c r="C611" i="10"/>
  <c r="D611" i="10" s="1"/>
  <c r="C62" i="10"/>
  <c r="D62" i="10" s="1"/>
  <c r="C184" i="10"/>
  <c r="D184" i="10" s="1"/>
  <c r="C343" i="10"/>
  <c r="D343" i="10" s="1"/>
  <c r="C539" i="10"/>
  <c r="D539" i="10" s="1"/>
  <c r="C463" i="10"/>
  <c r="D463" i="10" s="1"/>
  <c r="C792" i="10"/>
  <c r="D792" i="10" s="1"/>
  <c r="C366" i="10"/>
  <c r="D366" i="10" s="1"/>
  <c r="C419" i="10"/>
  <c r="D419" i="10" s="1"/>
  <c r="C604" i="10"/>
  <c r="D604" i="10" s="1"/>
  <c r="C560" i="10"/>
  <c r="D560" i="10" s="1"/>
  <c r="C153" i="10"/>
  <c r="D153" i="10" s="1"/>
  <c r="C60" i="10"/>
  <c r="D60" i="10" s="1"/>
  <c r="C224" i="10"/>
  <c r="D224" i="10" s="1"/>
  <c r="C738" i="10"/>
  <c r="D738" i="10" s="1"/>
  <c r="C628" i="10"/>
  <c r="D628" i="10" s="1"/>
  <c r="C547" i="10"/>
  <c r="D547" i="10" s="1"/>
  <c r="C544" i="10"/>
  <c r="D544" i="10" s="1"/>
  <c r="C448" i="10"/>
  <c r="D448" i="10" s="1"/>
  <c r="C181" i="10"/>
  <c r="D181" i="10" s="1"/>
  <c r="C612" i="10"/>
  <c r="D612" i="10" s="1"/>
  <c r="C498" i="10"/>
  <c r="D498" i="10" s="1"/>
  <c r="C380" i="10"/>
  <c r="D380" i="10" s="1"/>
  <c r="C752" i="10"/>
  <c r="D752" i="10" s="1"/>
  <c r="C597" i="10"/>
  <c r="D597" i="10" s="1"/>
  <c r="C105" i="10"/>
  <c r="D105" i="10" s="1"/>
  <c r="C269" i="10"/>
  <c r="D269" i="10" s="1"/>
  <c r="C392" i="10"/>
  <c r="D392" i="10" s="1"/>
  <c r="C754" i="10"/>
  <c r="D754" i="10" s="1"/>
  <c r="C71" i="10"/>
  <c r="D71" i="10" s="1"/>
  <c r="C932" i="10"/>
  <c r="D932" i="10" s="1"/>
  <c r="C259" i="10"/>
  <c r="D259" i="10" s="1"/>
  <c r="C179" i="10"/>
  <c r="D179" i="10" s="1"/>
  <c r="C890" i="10"/>
  <c r="D890" i="10" s="1"/>
  <c r="C963" i="10"/>
  <c r="D963" i="10" s="1"/>
  <c r="C625" i="10"/>
  <c r="D625" i="10" s="1"/>
  <c r="C298" i="10"/>
  <c r="D298" i="10" s="1"/>
  <c r="C998" i="10"/>
  <c r="D998" i="10" s="1"/>
  <c r="C902" i="10"/>
  <c r="D902" i="10" s="1"/>
  <c r="C83" i="10"/>
  <c r="D83" i="10" s="1"/>
  <c r="C405" i="10"/>
  <c r="D405" i="10" s="1"/>
  <c r="C349" i="10"/>
  <c r="D349" i="10" s="1"/>
  <c r="C150" i="10"/>
  <c r="D150" i="10" s="1"/>
  <c r="C393" i="10"/>
  <c r="D393" i="10" s="1"/>
  <c r="M99" i="5"/>
  <c r="M97" i="32"/>
  <c r="M99" i="32" s="1"/>
  <c r="F73" i="5"/>
  <c r="M79" i="5"/>
  <c r="C347" i="10"/>
  <c r="D347" i="10" s="1"/>
  <c r="C900" i="10"/>
  <c r="D900" i="10" s="1"/>
  <c r="C297" i="10"/>
  <c r="D297" i="10" s="1"/>
  <c r="C944" i="10"/>
  <c r="D944" i="10" s="1"/>
  <c r="C289" i="10"/>
  <c r="D289" i="10" s="1"/>
  <c r="C840" i="10"/>
  <c r="D840" i="10" s="1"/>
  <c r="C946" i="10"/>
  <c r="D946" i="10" s="1"/>
  <c r="C28" i="10"/>
  <c r="D28" i="10" s="1"/>
  <c r="C339" i="10"/>
  <c r="D339" i="10" s="1"/>
  <c r="C117" i="10"/>
  <c r="D117" i="10" s="1"/>
  <c r="C918" i="10"/>
  <c r="D918" i="10" s="1"/>
  <c r="C977" i="10"/>
  <c r="D977" i="10" s="1"/>
  <c r="C925" i="10"/>
  <c r="D925" i="10" s="1"/>
  <c r="C950" i="10"/>
  <c r="D950" i="10" s="1"/>
  <c r="C381" i="10"/>
  <c r="D381" i="10" s="1"/>
  <c r="C161" i="10"/>
  <c r="D161" i="10" s="1"/>
  <c r="C733" i="10"/>
  <c r="D733" i="10" s="1"/>
  <c r="C64" i="10"/>
  <c r="D64" i="10" s="1"/>
  <c r="C27" i="10"/>
  <c r="D27" i="10" s="1"/>
  <c r="C43" i="10"/>
  <c r="D43" i="10" s="1"/>
  <c r="C937" i="10"/>
  <c r="D937" i="10" s="1"/>
  <c r="C823" i="10"/>
  <c r="D823" i="10" s="1"/>
  <c r="C121" i="10"/>
  <c r="D121" i="10" s="1"/>
  <c r="C524" i="10"/>
  <c r="D524" i="10" s="1"/>
  <c r="N70" i="5"/>
  <c r="N70" i="32" s="1"/>
  <c r="C948" i="10"/>
  <c r="D948" i="10" s="1"/>
  <c r="C592" i="10"/>
  <c r="D592" i="10" s="1"/>
  <c r="C459" i="10"/>
  <c r="D459" i="10" s="1"/>
  <c r="C290" i="10"/>
  <c r="D290" i="10" s="1"/>
  <c r="C797" i="10"/>
  <c r="D797" i="10" s="1"/>
  <c r="C172" i="10"/>
  <c r="D172" i="10" s="1"/>
  <c r="C88" i="10"/>
  <c r="D88" i="10" s="1"/>
  <c r="C345" i="10"/>
  <c r="D345" i="10" s="1"/>
  <c r="C893" i="10"/>
  <c r="D893" i="10" s="1"/>
  <c r="C984" i="10"/>
  <c r="D984" i="10" s="1"/>
  <c r="C309" i="10"/>
  <c r="D309" i="10" s="1"/>
  <c r="C122" i="10"/>
  <c r="D122" i="10" s="1"/>
  <c r="C191" i="10"/>
  <c r="D191" i="10" s="1"/>
  <c r="C185" i="10"/>
  <c r="D185" i="10" s="1"/>
  <c r="C367" i="10"/>
  <c r="D367" i="10" s="1"/>
  <c r="C891" i="10"/>
  <c r="D891" i="10" s="1"/>
  <c r="C952" i="10"/>
  <c r="D952" i="10" s="1"/>
  <c r="C810" i="10"/>
  <c r="D810" i="10" s="1"/>
  <c r="C729" i="10"/>
  <c r="D729" i="10" s="1"/>
  <c r="C660" i="10"/>
  <c r="D660" i="10" s="1"/>
  <c r="C100" i="10"/>
  <c r="D100" i="10" s="1"/>
  <c r="C168" i="10"/>
  <c r="D168" i="10" s="1"/>
  <c r="C375" i="10"/>
  <c r="D375" i="10" s="1"/>
  <c r="C577" i="10"/>
  <c r="D577" i="10" s="1"/>
  <c r="C521" i="10"/>
  <c r="D521" i="10" s="1"/>
  <c r="C304" i="10"/>
  <c r="D304" i="10" s="1"/>
  <c r="C376" i="10"/>
  <c r="D376" i="10" s="1"/>
  <c r="C443" i="10"/>
  <c r="D443" i="10" s="1"/>
  <c r="C576" i="10"/>
  <c r="D576" i="10" s="1"/>
  <c r="C52" i="10"/>
  <c r="D52" i="10" s="1"/>
  <c r="C232" i="10"/>
  <c r="D232" i="10" s="1"/>
  <c r="C433" i="10"/>
  <c r="D433" i="10" s="1"/>
  <c r="C709" i="10"/>
  <c r="D709" i="10" s="1"/>
  <c r="C314" i="10"/>
  <c r="D314" i="10" s="1"/>
  <c r="C390" i="10"/>
  <c r="D390" i="10" s="1"/>
  <c r="C584" i="10"/>
  <c r="D584" i="10" s="1"/>
  <c r="C173" i="10"/>
  <c r="D173" i="10" s="1"/>
  <c r="C79" i="10"/>
  <c r="D79" i="10" s="1"/>
  <c r="C129" i="10"/>
  <c r="D129" i="10" s="1"/>
  <c r="C262" i="10"/>
  <c r="D262" i="10" s="1"/>
  <c r="C316" i="10"/>
  <c r="D316" i="10" s="1"/>
  <c r="C388" i="10"/>
  <c r="D388" i="10" s="1"/>
  <c r="C490" i="10"/>
  <c r="D490" i="10" s="1"/>
  <c r="C616" i="10"/>
  <c r="D616" i="10" s="1"/>
  <c r="C887" i="10"/>
  <c r="D887" i="10" s="1"/>
  <c r="C859" i="10"/>
  <c r="D859" i="10" s="1"/>
  <c r="C644" i="10"/>
  <c r="D644" i="10" s="1"/>
  <c r="C350" i="10"/>
  <c r="D350" i="10" s="1"/>
  <c r="C489" i="10"/>
  <c r="D489" i="10" s="1"/>
  <c r="C102" i="10"/>
  <c r="D102" i="10" s="1"/>
  <c r="C846" i="10"/>
  <c r="D846" i="10" s="1"/>
  <c r="C967" i="10"/>
  <c r="D967" i="10" s="1"/>
  <c r="C159" i="10"/>
  <c r="D159" i="10" s="1"/>
  <c r="C194" i="10"/>
  <c r="D194" i="10" s="1"/>
  <c r="C718" i="10"/>
  <c r="D718" i="10" s="1"/>
  <c r="C609" i="10"/>
  <c r="D609" i="10" s="1"/>
  <c r="C788" i="10"/>
  <c r="D788" i="10" s="1"/>
  <c r="C478" i="10"/>
  <c r="D478" i="10" s="1"/>
  <c r="C182" i="10"/>
  <c r="D182" i="10" s="1"/>
  <c r="C993" i="10"/>
  <c r="D993" i="10" s="1"/>
  <c r="C158" i="10"/>
  <c r="D158" i="10" s="1"/>
  <c r="C878" i="10"/>
  <c r="D878" i="10" s="1"/>
  <c r="J94" i="5"/>
  <c r="J92" i="32"/>
  <c r="J94" i="32" s="1"/>
  <c r="N94" i="5"/>
  <c r="D89" i="5"/>
  <c r="D87" i="32"/>
  <c r="K89" i="5"/>
  <c r="G97" i="32"/>
  <c r="G99" i="32" s="1"/>
  <c r="G99" i="5"/>
  <c r="J97" i="32"/>
  <c r="J99" i="32" s="1"/>
  <c r="J99" i="5"/>
  <c r="I89" i="32"/>
  <c r="O74" i="32"/>
  <c r="R28" i="10"/>
  <c r="N89" i="5"/>
  <c r="N87" i="32"/>
  <c r="N89" i="32" s="1"/>
  <c r="E94" i="5"/>
  <c r="E92" i="32"/>
  <c r="E94" i="32" s="1"/>
  <c r="E97" i="32"/>
  <c r="E99" i="32" s="1"/>
  <c r="E99" i="5"/>
  <c r="F99" i="32"/>
  <c r="G94" i="32"/>
  <c r="D99" i="5"/>
  <c r="I99" i="5"/>
  <c r="N99" i="5"/>
  <c r="O71" i="32"/>
  <c r="K97" i="32"/>
  <c r="K99" i="32" s="1"/>
  <c r="K99" i="5"/>
  <c r="K92" i="32"/>
  <c r="K94" i="5"/>
  <c r="M94" i="32"/>
  <c r="C93" i="32"/>
  <c r="C94" i="5"/>
  <c r="H99" i="32"/>
  <c r="H99" i="5"/>
  <c r="I97" i="32"/>
  <c r="F73" i="32" l="1"/>
  <c r="N79" i="32"/>
  <c r="H73" i="32"/>
  <c r="G73" i="5"/>
  <c r="H73" i="5"/>
  <c r="N79" i="5"/>
  <c r="O75" i="5"/>
  <c r="O69" i="5"/>
  <c r="O73" i="5" s="1"/>
  <c r="C73" i="5"/>
  <c r="F79" i="32"/>
  <c r="E73" i="5"/>
  <c r="L79" i="5"/>
  <c r="M79" i="32"/>
  <c r="E73" i="32"/>
  <c r="J79" i="32"/>
  <c r="I79" i="32"/>
  <c r="I67" i="32" s="1"/>
  <c r="O77" i="32"/>
  <c r="J79" i="5"/>
  <c r="O72" i="32"/>
  <c r="N73" i="32"/>
  <c r="E79" i="5"/>
  <c r="I79" i="5"/>
  <c r="G73" i="32"/>
  <c r="G67" i="32" s="1"/>
  <c r="I73" i="5"/>
  <c r="C79" i="5"/>
  <c r="C79" i="32"/>
  <c r="C73" i="32"/>
  <c r="H79" i="32"/>
  <c r="M73" i="32"/>
  <c r="O99" i="5"/>
  <c r="J73" i="32"/>
  <c r="J73" i="5"/>
  <c r="O94" i="5"/>
  <c r="O63" i="32"/>
  <c r="K79" i="32"/>
  <c r="K67" i="32" s="1"/>
  <c r="K79" i="5"/>
  <c r="O64" i="32"/>
  <c r="O68" i="32"/>
  <c r="K73" i="5"/>
  <c r="K67" i="5" s="1"/>
  <c r="H9" i="5"/>
  <c r="H9" i="32" s="1"/>
  <c r="F79" i="5"/>
  <c r="F67" i="5" s="1"/>
  <c r="H30" i="5"/>
  <c r="H30" i="32" s="1"/>
  <c r="I45" i="5"/>
  <c r="I45" i="32" s="1"/>
  <c r="J6" i="5"/>
  <c r="J6" i="32" s="1"/>
  <c r="M33" i="5"/>
  <c r="M33" i="32" s="1"/>
  <c r="F14" i="5"/>
  <c r="F14" i="32" s="1"/>
  <c r="J45" i="5"/>
  <c r="J45" i="32" s="1"/>
  <c r="L21" i="5"/>
  <c r="L21" i="32" s="1"/>
  <c r="K53" i="5"/>
  <c r="K53" i="32" s="1"/>
  <c r="I42" i="5"/>
  <c r="I42" i="32" s="1"/>
  <c r="H40" i="5"/>
  <c r="H40" i="32" s="1"/>
  <c r="E56" i="5"/>
  <c r="E56" i="32" s="1"/>
  <c r="J16" i="5"/>
  <c r="J16" i="32" s="1"/>
  <c r="C31" i="5"/>
  <c r="C31" i="32" s="1"/>
  <c r="M47" i="5"/>
  <c r="M47" i="32" s="1"/>
  <c r="G49" i="5"/>
  <c r="G49" i="32" s="1"/>
  <c r="M7" i="5"/>
  <c r="M7" i="32" s="1"/>
  <c r="I34" i="5"/>
  <c r="I34" i="32" s="1"/>
  <c r="O18" i="5"/>
  <c r="J40" i="5"/>
  <c r="J40" i="32" s="1"/>
  <c r="O45" i="5"/>
  <c r="I10" i="5"/>
  <c r="I10" i="32" s="1"/>
  <c r="D52" i="5"/>
  <c r="D52" i="32" s="1"/>
  <c r="J36" i="5"/>
  <c r="J36" i="32" s="1"/>
  <c r="O21" i="5"/>
  <c r="C28" i="5"/>
  <c r="C28" i="32" s="1"/>
  <c r="G25" i="5"/>
  <c r="G25" i="32" s="1"/>
  <c r="J28" i="5"/>
  <c r="J28" i="32" s="1"/>
  <c r="O16" i="5"/>
  <c r="J51" i="5"/>
  <c r="J51" i="32" s="1"/>
  <c r="O33" i="5"/>
  <c r="E19" i="5"/>
  <c r="E19" i="32" s="1"/>
  <c r="N9" i="5"/>
  <c r="N9" i="32" s="1"/>
  <c r="D39" i="5"/>
  <c r="D39" i="32" s="1"/>
  <c r="M15" i="5"/>
  <c r="M15" i="32" s="1"/>
  <c r="F53" i="5"/>
  <c r="F53" i="32" s="1"/>
  <c r="K36" i="5"/>
  <c r="K36" i="32" s="1"/>
  <c r="K65" i="5"/>
  <c r="K65" i="32" s="1"/>
  <c r="I36" i="5"/>
  <c r="I36" i="32" s="1"/>
  <c r="I52" i="5"/>
  <c r="I52" i="32" s="1"/>
  <c r="N6" i="5"/>
  <c r="N6" i="32" s="1"/>
  <c r="D41" i="5"/>
  <c r="D41" i="32" s="1"/>
  <c r="H43" i="5"/>
  <c r="H43" i="32" s="1"/>
  <c r="H67" i="32"/>
  <c r="N73" i="5"/>
  <c r="N67" i="5" s="1"/>
  <c r="I67" i="5"/>
  <c r="O78" i="32"/>
  <c r="M67" i="32"/>
  <c r="L99" i="32"/>
  <c r="H79" i="5"/>
  <c r="H67" i="5" s="1"/>
  <c r="O76" i="32"/>
  <c r="N67" i="32"/>
  <c r="E67" i="32"/>
  <c r="M73" i="5"/>
  <c r="L73" i="32"/>
  <c r="L67" i="32" s="1"/>
  <c r="L73" i="5"/>
  <c r="L67" i="5" s="1"/>
  <c r="E67" i="5"/>
  <c r="O88" i="32"/>
  <c r="J37" i="5"/>
  <c r="J37" i="32" s="1"/>
  <c r="E40" i="5"/>
  <c r="E40" i="32" s="1"/>
  <c r="D18" i="5"/>
  <c r="D18" i="32" s="1"/>
  <c r="H20" i="5"/>
  <c r="H20" i="32" s="1"/>
  <c r="O15" i="5"/>
  <c r="C42" i="5"/>
  <c r="C42" i="32" s="1"/>
  <c r="G46" i="5"/>
  <c r="G46" i="32" s="1"/>
  <c r="C17" i="5"/>
  <c r="C17" i="32" s="1"/>
  <c r="M39" i="5"/>
  <c r="M39" i="32" s="1"/>
  <c r="D7" i="5"/>
  <c r="D7" i="32" s="1"/>
  <c r="K54" i="5"/>
  <c r="K54" i="32" s="1"/>
  <c r="O17" i="5"/>
  <c r="J14" i="5"/>
  <c r="J14" i="32" s="1"/>
  <c r="O46" i="5"/>
  <c r="I30" i="5"/>
  <c r="I30" i="32" s="1"/>
  <c r="F51" i="5"/>
  <c r="F51" i="32" s="1"/>
  <c r="M25" i="5"/>
  <c r="M25" i="32" s="1"/>
  <c r="N50" i="5"/>
  <c r="N50" i="32" s="1"/>
  <c r="C6" i="5"/>
  <c r="C6" i="32" s="1"/>
  <c r="H19" i="5"/>
  <c r="H19" i="32" s="1"/>
  <c r="I14" i="5"/>
  <c r="I14" i="32" s="1"/>
  <c r="E25" i="5"/>
  <c r="E25" i="32" s="1"/>
  <c r="O23" i="5"/>
  <c r="I49" i="5"/>
  <c r="I49" i="32" s="1"/>
  <c r="L53" i="5"/>
  <c r="L53" i="32" s="1"/>
  <c r="O29" i="5"/>
  <c r="L33" i="5"/>
  <c r="L33" i="32" s="1"/>
  <c r="F24" i="5"/>
  <c r="F24" i="32" s="1"/>
  <c r="K29" i="5"/>
  <c r="K29" i="32" s="1"/>
  <c r="C47" i="5"/>
  <c r="C47" i="32" s="1"/>
  <c r="D43" i="5"/>
  <c r="D43" i="32" s="1"/>
  <c r="C50" i="5"/>
  <c r="C50" i="32" s="1"/>
  <c r="F25" i="5"/>
  <c r="F25" i="32" s="1"/>
  <c r="G23" i="5"/>
  <c r="G23" i="32" s="1"/>
  <c r="L46" i="5"/>
  <c r="L46" i="32" s="1"/>
  <c r="O24" i="5"/>
  <c r="E29" i="5"/>
  <c r="E29" i="32" s="1"/>
  <c r="C18" i="5"/>
  <c r="C18" i="32" s="1"/>
  <c r="M35" i="5"/>
  <c r="M35" i="32" s="1"/>
  <c r="J15" i="5"/>
  <c r="J15" i="32" s="1"/>
  <c r="D42" i="5"/>
  <c r="D42" i="32" s="1"/>
  <c r="D25" i="5"/>
  <c r="D25" i="32" s="1"/>
  <c r="L20" i="5"/>
  <c r="L20" i="32" s="1"/>
  <c r="M40" i="5"/>
  <c r="M40" i="32" s="1"/>
  <c r="N19" i="5"/>
  <c r="N19" i="32" s="1"/>
  <c r="N55" i="5"/>
  <c r="N55" i="32" s="1"/>
  <c r="D21" i="5"/>
  <c r="D21" i="32" s="1"/>
  <c r="M58" i="5"/>
  <c r="M58" i="32" s="1"/>
  <c r="E53" i="5"/>
  <c r="E53" i="32" s="1"/>
  <c r="M52" i="5"/>
  <c r="M52" i="32" s="1"/>
  <c r="H38" i="5"/>
  <c r="H38" i="32" s="1"/>
  <c r="F42" i="5"/>
  <c r="F42" i="32" s="1"/>
  <c r="F31" i="5"/>
  <c r="F31" i="32" s="1"/>
  <c r="H15" i="5"/>
  <c r="H15" i="32" s="1"/>
  <c r="L43" i="5"/>
  <c r="L43" i="32" s="1"/>
  <c r="E58" i="5"/>
  <c r="E58" i="32" s="1"/>
  <c r="F9" i="5"/>
  <c r="F9" i="32" s="1"/>
  <c r="H53" i="5"/>
  <c r="H53" i="32" s="1"/>
  <c r="M17" i="5"/>
  <c r="M17" i="32" s="1"/>
  <c r="F20" i="5"/>
  <c r="F20" i="32" s="1"/>
  <c r="M46" i="5"/>
  <c r="M46" i="32" s="1"/>
  <c r="L25" i="5"/>
  <c r="L25" i="32" s="1"/>
  <c r="F30" i="5"/>
  <c r="F30" i="32" s="1"/>
  <c r="G16" i="5"/>
  <c r="G16" i="32" s="1"/>
  <c r="H58" i="5"/>
  <c r="H58" i="32" s="1"/>
  <c r="N60" i="5"/>
  <c r="N60" i="32" s="1"/>
  <c r="H10" i="5"/>
  <c r="H10" i="32" s="1"/>
  <c r="L34" i="5"/>
  <c r="L34" i="32" s="1"/>
  <c r="G44" i="5"/>
  <c r="G44" i="32" s="1"/>
  <c r="D19" i="5"/>
  <c r="D19" i="32" s="1"/>
  <c r="H55" i="5"/>
  <c r="H55" i="32" s="1"/>
  <c r="O26" i="5"/>
  <c r="F52" i="5"/>
  <c r="F52" i="32" s="1"/>
  <c r="J30" i="5"/>
  <c r="J30" i="32" s="1"/>
  <c r="K45" i="5"/>
  <c r="K45" i="32" s="1"/>
  <c r="O6" i="5"/>
  <c r="C10" i="5"/>
  <c r="C10" i="32" s="1"/>
  <c r="M29" i="5"/>
  <c r="M29" i="32" s="1"/>
  <c r="H31" i="5"/>
  <c r="H31" i="32" s="1"/>
  <c r="N47" i="5"/>
  <c r="N47" i="32" s="1"/>
  <c r="C29" i="5"/>
  <c r="C29" i="32" s="1"/>
  <c r="N41" i="5"/>
  <c r="N41" i="32" s="1"/>
  <c r="D40" i="5"/>
  <c r="D40" i="32" s="1"/>
  <c r="I37" i="5"/>
  <c r="I37" i="32" s="1"/>
  <c r="G34" i="5"/>
  <c r="G34" i="32" s="1"/>
  <c r="K59" i="5"/>
  <c r="K59" i="32" s="1"/>
  <c r="G27" i="5"/>
  <c r="G27" i="32" s="1"/>
  <c r="D44" i="5"/>
  <c r="D44" i="32" s="1"/>
  <c r="D54" i="5"/>
  <c r="D54" i="32" s="1"/>
  <c r="K18" i="5"/>
  <c r="K18" i="32" s="1"/>
  <c r="I50" i="5"/>
  <c r="I50" i="32" s="1"/>
  <c r="H49" i="5"/>
  <c r="H49" i="32" s="1"/>
  <c r="G15" i="5"/>
  <c r="G15" i="32" s="1"/>
  <c r="C21" i="5"/>
  <c r="C21" i="32" s="1"/>
  <c r="C14" i="5"/>
  <c r="F21" i="5"/>
  <c r="F21" i="32" s="1"/>
  <c r="C59" i="5"/>
  <c r="C59" i="32" s="1"/>
  <c r="D14" i="5"/>
  <c r="L39" i="5"/>
  <c r="L39" i="32" s="1"/>
  <c r="D57" i="5"/>
  <c r="D57" i="32" s="1"/>
  <c r="F33" i="5"/>
  <c r="F33" i="32" s="1"/>
  <c r="C51" i="5"/>
  <c r="C51" i="32" s="1"/>
  <c r="K43" i="5"/>
  <c r="K43" i="32" s="1"/>
  <c r="G38" i="5"/>
  <c r="G38" i="32" s="1"/>
  <c r="M50" i="5"/>
  <c r="M50" i="32" s="1"/>
  <c r="D56" i="5"/>
  <c r="D56" i="32" s="1"/>
  <c r="C35" i="5"/>
  <c r="C35" i="32" s="1"/>
  <c r="E59" i="5"/>
  <c r="E59" i="32" s="1"/>
  <c r="L48" i="5"/>
  <c r="L48" i="32" s="1"/>
  <c r="H7" i="5"/>
  <c r="H7" i="32" s="1"/>
  <c r="I21" i="5"/>
  <c r="I21" i="32" s="1"/>
  <c r="E55" i="5"/>
  <c r="E55" i="32" s="1"/>
  <c r="N39" i="5"/>
  <c r="N39" i="32" s="1"/>
  <c r="D31" i="5"/>
  <c r="D31" i="32" s="1"/>
  <c r="D30" i="5"/>
  <c r="D30" i="32" s="1"/>
  <c r="E6" i="5"/>
  <c r="O55" i="5"/>
  <c r="C15" i="5"/>
  <c r="C15" i="32" s="1"/>
  <c r="D24" i="5"/>
  <c r="D24" i="32" s="1"/>
  <c r="D50" i="5"/>
  <c r="D50" i="32" s="1"/>
  <c r="F46" i="5"/>
  <c r="F46" i="32" s="1"/>
  <c r="O41" i="5"/>
  <c r="O7" i="5"/>
  <c r="N27" i="5"/>
  <c r="N27" i="32" s="1"/>
  <c r="K21" i="5"/>
  <c r="K21" i="32" s="1"/>
  <c r="G26" i="5"/>
  <c r="G26" i="32" s="1"/>
  <c r="G54" i="5"/>
  <c r="G54" i="32" s="1"/>
  <c r="F17" i="5"/>
  <c r="F17" i="32" s="1"/>
  <c r="J20" i="5"/>
  <c r="J20" i="32" s="1"/>
  <c r="K57" i="5"/>
  <c r="K57" i="32" s="1"/>
  <c r="K6" i="5"/>
  <c r="E23" i="5"/>
  <c r="E23" i="32" s="1"/>
  <c r="K39" i="5"/>
  <c r="K39" i="32" s="1"/>
  <c r="I58" i="5"/>
  <c r="I58" i="32" s="1"/>
  <c r="E26" i="5"/>
  <c r="E26" i="32" s="1"/>
  <c r="K50" i="5"/>
  <c r="K50" i="32" s="1"/>
  <c r="D49" i="5"/>
  <c r="D49" i="32" s="1"/>
  <c r="D17" i="5"/>
  <c r="D17" i="32" s="1"/>
  <c r="K55" i="5"/>
  <c r="K55" i="32" s="1"/>
  <c r="O22" i="5"/>
  <c r="C43" i="5"/>
  <c r="C43" i="32" s="1"/>
  <c r="J57" i="5"/>
  <c r="J57" i="32" s="1"/>
  <c r="J7" i="5"/>
  <c r="J7" i="32" s="1"/>
  <c r="F7" i="5"/>
  <c r="F7" i="32" s="1"/>
  <c r="K46" i="5"/>
  <c r="K46" i="32" s="1"/>
  <c r="K51" i="5"/>
  <c r="K51" i="32" s="1"/>
  <c r="E48" i="5"/>
  <c r="E48" i="32" s="1"/>
  <c r="L38" i="5"/>
  <c r="L38" i="32" s="1"/>
  <c r="G7" i="5"/>
  <c r="G7" i="32" s="1"/>
  <c r="J65" i="5"/>
  <c r="J65" i="32" s="1"/>
  <c r="I47" i="5"/>
  <c r="I47" i="32" s="1"/>
  <c r="O34" i="5"/>
  <c r="K58" i="5"/>
  <c r="K58" i="32" s="1"/>
  <c r="I15" i="5"/>
  <c r="I15" i="32" s="1"/>
  <c r="J38" i="5"/>
  <c r="J38" i="32" s="1"/>
  <c r="M65" i="5"/>
  <c r="M65" i="32" s="1"/>
  <c r="F28" i="5"/>
  <c r="F28" i="32" s="1"/>
  <c r="F34" i="5"/>
  <c r="F34" i="32" s="1"/>
  <c r="D60" i="5"/>
  <c r="D60" i="32" s="1"/>
  <c r="L55" i="5"/>
  <c r="L55" i="32" s="1"/>
  <c r="I7" i="5"/>
  <c r="I7" i="32" s="1"/>
  <c r="D55" i="5"/>
  <c r="D55" i="32" s="1"/>
  <c r="L58" i="5"/>
  <c r="L58" i="32" s="1"/>
  <c r="H26" i="5"/>
  <c r="H26" i="32" s="1"/>
  <c r="G45" i="5"/>
  <c r="G45" i="32" s="1"/>
  <c r="K9" i="5"/>
  <c r="K9" i="32" s="1"/>
  <c r="O52" i="5"/>
  <c r="G30" i="5"/>
  <c r="G30" i="32" s="1"/>
  <c r="E41" i="5"/>
  <c r="E41" i="32" s="1"/>
  <c r="E14" i="5"/>
  <c r="C60" i="5"/>
  <c r="C60" i="32" s="1"/>
  <c r="C40" i="5"/>
  <c r="C40" i="32" s="1"/>
  <c r="O36" i="5"/>
  <c r="N28" i="5"/>
  <c r="N28" i="32" s="1"/>
  <c r="I18" i="5"/>
  <c r="I18" i="32" s="1"/>
  <c r="G41" i="5"/>
  <c r="G41" i="32" s="1"/>
  <c r="I29" i="5"/>
  <c r="I29" i="32" s="1"/>
  <c r="K28" i="5"/>
  <c r="K28" i="32" s="1"/>
  <c r="M16" i="5"/>
  <c r="M16" i="32" s="1"/>
  <c r="G60" i="5"/>
  <c r="G60" i="32" s="1"/>
  <c r="N52" i="5"/>
  <c r="N52" i="32" s="1"/>
  <c r="J22" i="5"/>
  <c r="J22" i="32" s="1"/>
  <c r="H17" i="5"/>
  <c r="H17" i="32" s="1"/>
  <c r="D36" i="5"/>
  <c r="D36" i="32" s="1"/>
  <c r="F55" i="5"/>
  <c r="F55" i="32" s="1"/>
  <c r="D33" i="5"/>
  <c r="D33" i="32" s="1"/>
  <c r="L59" i="5"/>
  <c r="L59" i="32" s="1"/>
  <c r="L14" i="5"/>
  <c r="I17" i="5"/>
  <c r="I17" i="32" s="1"/>
  <c r="M6" i="5"/>
  <c r="M6" i="32" s="1"/>
  <c r="D58" i="5"/>
  <c r="D58" i="32" s="1"/>
  <c r="M54" i="5"/>
  <c r="M54" i="32" s="1"/>
  <c r="D15" i="5"/>
  <c r="D15" i="32" s="1"/>
  <c r="F10" i="5"/>
  <c r="F10" i="32" s="1"/>
  <c r="H16" i="5"/>
  <c r="H16" i="32" s="1"/>
  <c r="I55" i="5"/>
  <c r="I55" i="32" s="1"/>
  <c r="H6" i="5"/>
  <c r="F37" i="5"/>
  <c r="F37" i="32" s="1"/>
  <c r="C19" i="5"/>
  <c r="C19" i="32" s="1"/>
  <c r="D48" i="5"/>
  <c r="D48" i="32" s="1"/>
  <c r="G50" i="5"/>
  <c r="G50" i="32" s="1"/>
  <c r="D47" i="5"/>
  <c r="D47" i="32" s="1"/>
  <c r="N34" i="5"/>
  <c r="N34" i="32" s="1"/>
  <c r="N33" i="5"/>
  <c r="N33" i="32" s="1"/>
  <c r="E60" i="5"/>
  <c r="E60" i="32" s="1"/>
  <c r="G36" i="5"/>
  <c r="G36" i="32" s="1"/>
  <c r="N44" i="5"/>
  <c r="N44" i="32" s="1"/>
  <c r="J24" i="5"/>
  <c r="J24" i="32" s="1"/>
  <c r="N32" i="5"/>
  <c r="N32" i="32" s="1"/>
  <c r="G37" i="5"/>
  <c r="G37" i="32" s="1"/>
  <c r="N23" i="5"/>
  <c r="N23" i="32" s="1"/>
  <c r="H46" i="5"/>
  <c r="H46" i="32" s="1"/>
  <c r="E7" i="5"/>
  <c r="E7" i="32" s="1"/>
  <c r="L57" i="5"/>
  <c r="L57" i="32" s="1"/>
  <c r="C30" i="5"/>
  <c r="C30" i="32" s="1"/>
  <c r="E50" i="5"/>
  <c r="E50" i="32" s="1"/>
  <c r="I44" i="5"/>
  <c r="I44" i="32" s="1"/>
  <c r="M37" i="5"/>
  <c r="M37" i="32" s="1"/>
  <c r="E15" i="5"/>
  <c r="E15" i="32" s="1"/>
  <c r="F54" i="5"/>
  <c r="F54" i="32" s="1"/>
  <c r="G19" i="5"/>
  <c r="G19" i="32" s="1"/>
  <c r="C58" i="5"/>
  <c r="C58" i="32" s="1"/>
  <c r="E35" i="5"/>
  <c r="E35" i="32" s="1"/>
  <c r="G58" i="5"/>
  <c r="G58" i="32" s="1"/>
  <c r="J35" i="5"/>
  <c r="J35" i="32" s="1"/>
  <c r="F50" i="5"/>
  <c r="F50" i="32" s="1"/>
  <c r="H48" i="5"/>
  <c r="H48" i="32" s="1"/>
  <c r="C49" i="5"/>
  <c r="C49" i="32" s="1"/>
  <c r="L56" i="5"/>
  <c r="L56" i="32" s="1"/>
  <c r="H47" i="5"/>
  <c r="H47" i="32" s="1"/>
  <c r="C37" i="5"/>
  <c r="C37" i="32" s="1"/>
  <c r="G33" i="5"/>
  <c r="G33" i="32" s="1"/>
  <c r="L45" i="5"/>
  <c r="L45" i="32" s="1"/>
  <c r="F57" i="5"/>
  <c r="F57" i="32" s="1"/>
  <c r="H28" i="5"/>
  <c r="H28" i="32" s="1"/>
  <c r="E57" i="5"/>
  <c r="E57" i="32" s="1"/>
  <c r="G14" i="5"/>
  <c r="J53" i="5"/>
  <c r="J53" i="32" s="1"/>
  <c r="F15" i="5"/>
  <c r="F15" i="32" s="1"/>
  <c r="C55" i="5"/>
  <c r="C55" i="32" s="1"/>
  <c r="O48" i="5"/>
  <c r="J48" i="5"/>
  <c r="J48" i="32" s="1"/>
  <c r="N45" i="5"/>
  <c r="N45" i="32" s="1"/>
  <c r="C36" i="5"/>
  <c r="C36" i="32" s="1"/>
  <c r="H57" i="5"/>
  <c r="H57" i="32" s="1"/>
  <c r="C22" i="5"/>
  <c r="C22" i="32" s="1"/>
  <c r="K35" i="5"/>
  <c r="K35" i="32" s="1"/>
  <c r="K14" i="5"/>
  <c r="M45" i="5"/>
  <c r="M45" i="32" s="1"/>
  <c r="G59" i="5"/>
  <c r="G59" i="32" s="1"/>
  <c r="G9" i="5"/>
  <c r="G9" i="32" s="1"/>
  <c r="E43" i="5"/>
  <c r="E43" i="32" s="1"/>
  <c r="G57" i="5"/>
  <c r="G57" i="32" s="1"/>
  <c r="F36" i="5"/>
  <c r="F36" i="32" s="1"/>
  <c r="D65" i="5"/>
  <c r="D65" i="32" s="1"/>
  <c r="J29" i="5"/>
  <c r="J29" i="32" s="1"/>
  <c r="N36" i="5"/>
  <c r="N36" i="32" s="1"/>
  <c r="L36" i="5"/>
  <c r="L36" i="32" s="1"/>
  <c r="J25" i="5"/>
  <c r="J25" i="32" s="1"/>
  <c r="L15" i="5"/>
  <c r="L15" i="32" s="1"/>
  <c r="H14" i="5"/>
  <c r="C57" i="5"/>
  <c r="C57" i="32" s="1"/>
  <c r="E32" i="5"/>
  <c r="E32" i="32" s="1"/>
  <c r="N35" i="5"/>
  <c r="N35" i="32" s="1"/>
  <c r="F38" i="5"/>
  <c r="F38" i="32" s="1"/>
  <c r="K60" i="5"/>
  <c r="K60" i="32" s="1"/>
  <c r="O19" i="5"/>
  <c r="M18" i="5"/>
  <c r="M18" i="32" s="1"/>
  <c r="C54" i="5"/>
  <c r="C54" i="32" s="1"/>
  <c r="J32" i="5"/>
  <c r="J32" i="32" s="1"/>
  <c r="O42" i="5"/>
  <c r="M57" i="5"/>
  <c r="M57" i="32" s="1"/>
  <c r="K7" i="5"/>
  <c r="K7" i="32" s="1"/>
  <c r="K47" i="5"/>
  <c r="K47" i="32" s="1"/>
  <c r="L47" i="5"/>
  <c r="L47" i="32" s="1"/>
  <c r="K16" i="5"/>
  <c r="K16" i="32" s="1"/>
  <c r="O49" i="5"/>
  <c r="M31" i="5"/>
  <c r="M31" i="32" s="1"/>
  <c r="O65" i="5"/>
  <c r="E17" i="5"/>
  <c r="E17" i="32" s="1"/>
  <c r="E18" i="5"/>
  <c r="E18" i="32" s="1"/>
  <c r="N48" i="5"/>
  <c r="N48" i="32" s="1"/>
  <c r="E16" i="5"/>
  <c r="E16" i="32" s="1"/>
  <c r="L44" i="5"/>
  <c r="L44" i="32" s="1"/>
  <c r="H54" i="5"/>
  <c r="H54" i="32" s="1"/>
  <c r="M10" i="5"/>
  <c r="M10" i="32" s="1"/>
  <c r="N31" i="5"/>
  <c r="N31" i="32" s="1"/>
  <c r="H52" i="5"/>
  <c r="H52" i="32" s="1"/>
  <c r="I39" i="5"/>
  <c r="I39" i="32" s="1"/>
  <c r="K49" i="5"/>
  <c r="K49" i="32" s="1"/>
  <c r="I53" i="5"/>
  <c r="I53" i="32" s="1"/>
  <c r="O47" i="5"/>
  <c r="J49" i="5"/>
  <c r="J49" i="32" s="1"/>
  <c r="F48" i="5"/>
  <c r="F48" i="32" s="1"/>
  <c r="E37" i="5"/>
  <c r="E37" i="32" s="1"/>
  <c r="D32" i="5"/>
  <c r="D32" i="32" s="1"/>
  <c r="F16" i="5"/>
  <c r="F16" i="32" s="1"/>
  <c r="G39" i="5"/>
  <c r="G39" i="32" s="1"/>
  <c r="C52" i="5"/>
  <c r="C52" i="32" s="1"/>
  <c r="I9" i="5"/>
  <c r="I9" i="32" s="1"/>
  <c r="M21" i="5"/>
  <c r="M21" i="32" s="1"/>
  <c r="N58" i="5"/>
  <c r="N58" i="32" s="1"/>
  <c r="D53" i="5"/>
  <c r="D53" i="32" s="1"/>
  <c r="L37" i="5"/>
  <c r="L37" i="32" s="1"/>
  <c r="K30" i="5"/>
  <c r="K30" i="32" s="1"/>
  <c r="I59" i="5"/>
  <c r="I59" i="32" s="1"/>
  <c r="F65" i="5"/>
  <c r="F65" i="32" s="1"/>
  <c r="F23" i="5"/>
  <c r="F23" i="32" s="1"/>
  <c r="C32" i="5"/>
  <c r="C32" i="32" s="1"/>
  <c r="D38" i="5"/>
  <c r="D38" i="32" s="1"/>
  <c r="M26" i="5"/>
  <c r="M26" i="32" s="1"/>
  <c r="I51" i="5"/>
  <c r="I51" i="32" s="1"/>
  <c r="M23" i="5"/>
  <c r="M23" i="32" s="1"/>
  <c r="J56" i="5"/>
  <c r="J56" i="32" s="1"/>
  <c r="O39" i="5"/>
  <c r="O59" i="5"/>
  <c r="O38" i="5"/>
  <c r="I57" i="5"/>
  <c r="I57" i="32" s="1"/>
  <c r="E33" i="5"/>
  <c r="E33" i="32" s="1"/>
  <c r="D26" i="5"/>
  <c r="D26" i="32" s="1"/>
  <c r="O35" i="5"/>
  <c r="H34" i="5"/>
  <c r="H34" i="32" s="1"/>
  <c r="G47" i="5"/>
  <c r="G47" i="32" s="1"/>
  <c r="D35" i="5"/>
  <c r="D35" i="32" s="1"/>
  <c r="N49" i="5"/>
  <c r="N49" i="32" s="1"/>
  <c r="G55" i="5"/>
  <c r="G55" i="32" s="1"/>
  <c r="L6" i="5"/>
  <c r="L6" i="32" s="1"/>
  <c r="N14" i="5"/>
  <c r="L16" i="5"/>
  <c r="L16" i="32" s="1"/>
  <c r="G29" i="5"/>
  <c r="G29" i="32" s="1"/>
  <c r="H22" i="5"/>
  <c r="H22" i="32" s="1"/>
  <c r="H25" i="5"/>
  <c r="H25" i="32" s="1"/>
  <c r="F35" i="5"/>
  <c r="F35" i="32" s="1"/>
  <c r="H23" i="5"/>
  <c r="H23" i="32" s="1"/>
  <c r="I60" i="5"/>
  <c r="I60" i="32" s="1"/>
  <c r="H44" i="5"/>
  <c r="H44" i="32" s="1"/>
  <c r="L50" i="5"/>
  <c r="L50" i="32" s="1"/>
  <c r="E20" i="5"/>
  <c r="E20" i="32" s="1"/>
  <c r="J44" i="5"/>
  <c r="J44" i="32" s="1"/>
  <c r="J17" i="5"/>
  <c r="J17" i="32" s="1"/>
  <c r="E54" i="5"/>
  <c r="E54" i="32" s="1"/>
  <c r="M28" i="5"/>
  <c r="M28" i="32" s="1"/>
  <c r="K22" i="5"/>
  <c r="K22" i="32" s="1"/>
  <c r="C9" i="5"/>
  <c r="C9" i="32" s="1"/>
  <c r="C26" i="5"/>
  <c r="C26" i="32" s="1"/>
  <c r="I26" i="5"/>
  <c r="I26" i="32" s="1"/>
  <c r="F56" i="5"/>
  <c r="F56" i="32" s="1"/>
  <c r="M55" i="5"/>
  <c r="M55" i="32" s="1"/>
  <c r="F44" i="5"/>
  <c r="F44" i="32" s="1"/>
  <c r="I27" i="5"/>
  <c r="I27" i="32" s="1"/>
  <c r="F6" i="5"/>
  <c r="F6" i="32" s="1"/>
  <c r="I54" i="5"/>
  <c r="I54" i="32" s="1"/>
  <c r="M14" i="5"/>
  <c r="M22" i="5"/>
  <c r="M22" i="32" s="1"/>
  <c r="O43" i="5"/>
  <c r="C56" i="5"/>
  <c r="C56" i="32" s="1"/>
  <c r="O50" i="5"/>
  <c r="M24" i="5"/>
  <c r="M24" i="32" s="1"/>
  <c r="C45" i="5"/>
  <c r="C45" i="32" s="1"/>
  <c r="J19" i="5"/>
  <c r="J19" i="32" s="1"/>
  <c r="F32" i="5"/>
  <c r="F32" i="32" s="1"/>
  <c r="N10" i="5"/>
  <c r="N10" i="32" s="1"/>
  <c r="M43" i="5"/>
  <c r="M43" i="32" s="1"/>
  <c r="H65" i="5"/>
  <c r="H65" i="32" s="1"/>
  <c r="N29" i="5"/>
  <c r="N29" i="32" s="1"/>
  <c r="K52" i="5"/>
  <c r="K52" i="32" s="1"/>
  <c r="G24" i="5"/>
  <c r="G24" i="32" s="1"/>
  <c r="E42" i="5"/>
  <c r="E42" i="32" s="1"/>
  <c r="D51" i="5"/>
  <c r="D51" i="32" s="1"/>
  <c r="F18" i="5"/>
  <c r="F18" i="32" s="1"/>
  <c r="C46" i="5"/>
  <c r="C46" i="32" s="1"/>
  <c r="G51" i="5"/>
  <c r="G51" i="32" s="1"/>
  <c r="C25" i="5"/>
  <c r="C25" i="32" s="1"/>
  <c r="G6" i="5"/>
  <c r="G6" i="32" s="1"/>
  <c r="J31" i="5"/>
  <c r="J31" i="32" s="1"/>
  <c r="D59" i="5"/>
  <c r="D59" i="32" s="1"/>
  <c r="M48" i="5"/>
  <c r="M48" i="32" s="1"/>
  <c r="L28" i="5"/>
  <c r="L28" i="32" s="1"/>
  <c r="N46" i="5"/>
  <c r="N46" i="32" s="1"/>
  <c r="L7" i="5"/>
  <c r="L7" i="32" s="1"/>
  <c r="C34" i="5"/>
  <c r="C34" i="32" s="1"/>
  <c r="H33" i="5"/>
  <c r="H33" i="32" s="1"/>
  <c r="F19" i="5"/>
  <c r="F19" i="32" s="1"/>
  <c r="M34" i="5"/>
  <c r="M34" i="32" s="1"/>
  <c r="K26" i="5"/>
  <c r="K26" i="32" s="1"/>
  <c r="H59" i="5"/>
  <c r="H59" i="32" s="1"/>
  <c r="N16" i="5"/>
  <c r="N16" i="32" s="1"/>
  <c r="L65" i="5"/>
  <c r="L65" i="32" s="1"/>
  <c r="K38" i="5"/>
  <c r="K38" i="32" s="1"/>
  <c r="H60" i="5"/>
  <c r="H60" i="32" s="1"/>
  <c r="K10" i="5"/>
  <c r="K10" i="32" s="1"/>
  <c r="O58" i="5"/>
  <c r="L30" i="5"/>
  <c r="L30" i="32" s="1"/>
  <c r="I46" i="5"/>
  <c r="I46" i="32" s="1"/>
  <c r="I19" i="5"/>
  <c r="I19" i="32" s="1"/>
  <c r="O54" i="5"/>
  <c r="F47" i="5"/>
  <c r="F47" i="32" s="1"/>
  <c r="N54" i="5"/>
  <c r="N54" i="32" s="1"/>
  <c r="D16" i="5"/>
  <c r="D16" i="32" s="1"/>
  <c r="J26" i="5"/>
  <c r="J26" i="32" s="1"/>
  <c r="L29" i="5"/>
  <c r="L29" i="32" s="1"/>
  <c r="I20" i="5"/>
  <c r="I20" i="32" s="1"/>
  <c r="K24" i="5"/>
  <c r="K24" i="32" s="1"/>
  <c r="H39" i="5"/>
  <c r="H39" i="32" s="1"/>
  <c r="H42" i="5"/>
  <c r="H42" i="32" s="1"/>
  <c r="G65" i="5"/>
  <c r="G65" i="32" s="1"/>
  <c r="M49" i="5"/>
  <c r="M49" i="32" s="1"/>
  <c r="L18" i="5"/>
  <c r="L18" i="32" s="1"/>
  <c r="O30" i="5"/>
  <c r="F41" i="5"/>
  <c r="F41" i="32" s="1"/>
  <c r="G17" i="5"/>
  <c r="G17" i="32" s="1"/>
  <c r="F45" i="5"/>
  <c r="F45" i="32" s="1"/>
  <c r="K25" i="5"/>
  <c r="K25" i="32" s="1"/>
  <c r="L27" i="5"/>
  <c r="L27" i="32" s="1"/>
  <c r="K17" i="5"/>
  <c r="K17" i="32" s="1"/>
  <c r="E30" i="5"/>
  <c r="E30" i="32" s="1"/>
  <c r="H41" i="5"/>
  <c r="H41" i="32" s="1"/>
  <c r="D22" i="5"/>
  <c r="D22" i="32" s="1"/>
  <c r="G48" i="5"/>
  <c r="G48" i="32" s="1"/>
  <c r="K42" i="5"/>
  <c r="K42" i="32" s="1"/>
  <c r="N53" i="5"/>
  <c r="N53" i="32" s="1"/>
  <c r="C65" i="5"/>
  <c r="C65" i="32" s="1"/>
  <c r="H18" i="5"/>
  <c r="H18" i="32" s="1"/>
  <c r="H21" i="5"/>
  <c r="H21" i="32" s="1"/>
  <c r="K27" i="5"/>
  <c r="K27" i="32" s="1"/>
  <c r="H32" i="5"/>
  <c r="H32" i="32" s="1"/>
  <c r="H51" i="5"/>
  <c r="H51" i="32" s="1"/>
  <c r="C41" i="5"/>
  <c r="C41" i="32" s="1"/>
  <c r="M44" i="5"/>
  <c r="M44" i="32" s="1"/>
  <c r="L31" i="5"/>
  <c r="L31" i="32" s="1"/>
  <c r="E45" i="5"/>
  <c r="E45" i="32" s="1"/>
  <c r="D37" i="5"/>
  <c r="D37" i="32" s="1"/>
  <c r="K40" i="5"/>
  <c r="K40" i="32" s="1"/>
  <c r="J9" i="5"/>
  <c r="J9" i="32" s="1"/>
  <c r="I6" i="5"/>
  <c r="O56" i="5"/>
  <c r="G22" i="5"/>
  <c r="G22" i="32" s="1"/>
  <c r="O14" i="5"/>
  <c r="G56" i="5"/>
  <c r="G56" i="32" s="1"/>
  <c r="I40" i="5"/>
  <c r="I40" i="32" s="1"/>
  <c r="O37" i="5"/>
  <c r="E44" i="5"/>
  <c r="E44" i="32" s="1"/>
  <c r="G42" i="5"/>
  <c r="G42" i="32" s="1"/>
  <c r="H24" i="5"/>
  <c r="H24" i="32" s="1"/>
  <c r="C24" i="5"/>
  <c r="C24" i="32" s="1"/>
  <c r="K41" i="5"/>
  <c r="K41" i="32" s="1"/>
  <c r="M56" i="5"/>
  <c r="M56" i="32" s="1"/>
  <c r="F39" i="5"/>
  <c r="F39" i="32" s="1"/>
  <c r="H56" i="5"/>
  <c r="H56" i="32" s="1"/>
  <c r="G18" i="5"/>
  <c r="G18" i="32" s="1"/>
  <c r="E31" i="5"/>
  <c r="E31" i="32" s="1"/>
  <c r="O51" i="5"/>
  <c r="I25" i="5"/>
  <c r="I25" i="32" s="1"/>
  <c r="M32" i="5"/>
  <c r="M32" i="32" s="1"/>
  <c r="H35" i="5"/>
  <c r="H35" i="32" s="1"/>
  <c r="O32" i="5"/>
  <c r="I56" i="5"/>
  <c r="I56" i="32" s="1"/>
  <c r="K19" i="5"/>
  <c r="K19" i="32" s="1"/>
  <c r="K34" i="5"/>
  <c r="K34" i="32" s="1"/>
  <c r="L9" i="5"/>
  <c r="L9" i="32" s="1"/>
  <c r="O20" i="5"/>
  <c r="K32" i="5"/>
  <c r="K32" i="32" s="1"/>
  <c r="J42" i="5"/>
  <c r="J42" i="32" s="1"/>
  <c r="I31" i="5"/>
  <c r="I31" i="32" s="1"/>
  <c r="G28" i="5"/>
  <c r="G28" i="32" s="1"/>
  <c r="O28" i="5"/>
  <c r="C53" i="5"/>
  <c r="C53" i="32" s="1"/>
  <c r="D46" i="5"/>
  <c r="D46" i="32" s="1"/>
  <c r="K56" i="5"/>
  <c r="K56" i="32" s="1"/>
  <c r="K48" i="5"/>
  <c r="K48" i="32" s="1"/>
  <c r="L52" i="5"/>
  <c r="L52" i="32" s="1"/>
  <c r="M42" i="5"/>
  <c r="M42" i="32" s="1"/>
  <c r="N17" i="5"/>
  <c r="N17" i="32" s="1"/>
  <c r="E49" i="5"/>
  <c r="E49" i="32" s="1"/>
  <c r="L24" i="5"/>
  <c r="L24" i="32" s="1"/>
  <c r="K23" i="5"/>
  <c r="K23" i="32" s="1"/>
  <c r="M9" i="5"/>
  <c r="M9" i="32" s="1"/>
  <c r="H29" i="5"/>
  <c r="H29" i="32" s="1"/>
  <c r="K31" i="5"/>
  <c r="K31" i="32" s="1"/>
  <c r="N25" i="5"/>
  <c r="N25" i="32" s="1"/>
  <c r="G35" i="5"/>
  <c r="G35" i="32" s="1"/>
  <c r="L35" i="5"/>
  <c r="L35" i="32" s="1"/>
  <c r="D23" i="5"/>
  <c r="D23" i="32" s="1"/>
  <c r="J21" i="5"/>
  <c r="J21" i="32" s="1"/>
  <c r="D6" i="5"/>
  <c r="D6" i="32" s="1"/>
  <c r="L42" i="5"/>
  <c r="L42" i="32" s="1"/>
  <c r="G32" i="5"/>
  <c r="G32" i="32" s="1"/>
  <c r="J10" i="5"/>
  <c r="J10" i="32" s="1"/>
  <c r="H27" i="5"/>
  <c r="H27" i="32" s="1"/>
  <c r="N56" i="5"/>
  <c r="N56" i="32" s="1"/>
  <c r="J39" i="5"/>
  <c r="J39" i="32" s="1"/>
  <c r="I41" i="5"/>
  <c r="I41" i="32" s="1"/>
  <c r="G52" i="5"/>
  <c r="G52" i="32" s="1"/>
  <c r="E34" i="5"/>
  <c r="E34" i="32" s="1"/>
  <c r="E22" i="5"/>
  <c r="E22" i="32" s="1"/>
  <c r="I32" i="5"/>
  <c r="I32" i="32" s="1"/>
  <c r="C48" i="5"/>
  <c r="C48" i="32" s="1"/>
  <c r="M53" i="5"/>
  <c r="M53" i="32" s="1"/>
  <c r="J47" i="5"/>
  <c r="J47" i="32" s="1"/>
  <c r="N42" i="5"/>
  <c r="N42" i="32" s="1"/>
  <c r="L10" i="5"/>
  <c r="L10" i="32" s="1"/>
  <c r="N59" i="5"/>
  <c r="N59" i="32" s="1"/>
  <c r="L22" i="5"/>
  <c r="L22" i="32" s="1"/>
  <c r="L32" i="5"/>
  <c r="L32" i="32" s="1"/>
  <c r="N40" i="5"/>
  <c r="N40" i="32" s="1"/>
  <c r="N18" i="5"/>
  <c r="N18" i="32" s="1"/>
  <c r="N15" i="5"/>
  <c r="N15" i="32" s="1"/>
  <c r="O40" i="5"/>
  <c r="L17" i="5"/>
  <c r="L17" i="32" s="1"/>
  <c r="J34" i="5"/>
  <c r="J34" i="32" s="1"/>
  <c r="J18" i="5"/>
  <c r="J18" i="32" s="1"/>
  <c r="J55" i="5"/>
  <c r="J55" i="32" s="1"/>
  <c r="J46" i="5"/>
  <c r="J46" i="32" s="1"/>
  <c r="M19" i="5"/>
  <c r="M19" i="32" s="1"/>
  <c r="M51" i="5"/>
  <c r="M51" i="32" s="1"/>
  <c r="E65" i="5"/>
  <c r="E65" i="32" s="1"/>
  <c r="G40" i="5"/>
  <c r="G40" i="32" s="1"/>
  <c r="E24" i="5"/>
  <c r="E24" i="32" s="1"/>
  <c r="L49" i="5"/>
  <c r="L49" i="32" s="1"/>
  <c r="F49" i="5"/>
  <c r="F49" i="32" s="1"/>
  <c r="E38" i="5"/>
  <c r="E38" i="32" s="1"/>
  <c r="I33" i="5"/>
  <c r="I33" i="32" s="1"/>
  <c r="O57" i="5"/>
  <c r="F40" i="5"/>
  <c r="F40" i="32" s="1"/>
  <c r="J52" i="5"/>
  <c r="J52" i="32" s="1"/>
  <c r="E39" i="5"/>
  <c r="E39" i="32" s="1"/>
  <c r="O44" i="5"/>
  <c r="H50" i="5"/>
  <c r="H50" i="32" s="1"/>
  <c r="H37" i="5"/>
  <c r="H37" i="32" s="1"/>
  <c r="E10" i="5"/>
  <c r="E10" i="32" s="1"/>
  <c r="N65" i="5"/>
  <c r="N65" i="32" s="1"/>
  <c r="M60" i="5"/>
  <c r="M60" i="32" s="1"/>
  <c r="O31" i="5"/>
  <c r="I22" i="5"/>
  <c r="I22" i="32" s="1"/>
  <c r="D9" i="5"/>
  <c r="D9" i="32" s="1"/>
  <c r="D34" i="5"/>
  <c r="D34" i="32" s="1"/>
  <c r="E27" i="5"/>
  <c r="E27" i="32" s="1"/>
  <c r="I23" i="5"/>
  <c r="I23" i="32" s="1"/>
  <c r="I28" i="5"/>
  <c r="I28" i="32" s="1"/>
  <c r="G21" i="5"/>
  <c r="G21" i="32" s="1"/>
  <c r="J23" i="5"/>
  <c r="J23" i="32" s="1"/>
  <c r="F26" i="5"/>
  <c r="F26" i="32" s="1"/>
  <c r="N43" i="5"/>
  <c r="N43" i="32" s="1"/>
  <c r="I38" i="5"/>
  <c r="I38" i="32" s="1"/>
  <c r="J58" i="5"/>
  <c r="J58" i="32" s="1"/>
  <c r="I24" i="5"/>
  <c r="I24" i="32" s="1"/>
  <c r="H36" i="5"/>
  <c r="H36" i="32" s="1"/>
  <c r="N20" i="5"/>
  <c r="N20" i="32" s="1"/>
  <c r="L23" i="5"/>
  <c r="L23" i="32" s="1"/>
  <c r="L54" i="5"/>
  <c r="L54" i="32" s="1"/>
  <c r="N26" i="5"/>
  <c r="N26" i="32" s="1"/>
  <c r="N51" i="5"/>
  <c r="N51" i="32" s="1"/>
  <c r="I43" i="5"/>
  <c r="I43" i="32" s="1"/>
  <c r="I16" i="5"/>
  <c r="I16" i="32" s="1"/>
  <c r="N22" i="5"/>
  <c r="N22" i="32" s="1"/>
  <c r="L19" i="5"/>
  <c r="L19" i="32" s="1"/>
  <c r="L26" i="5"/>
  <c r="L26" i="32" s="1"/>
  <c r="L51" i="5"/>
  <c r="L51" i="32" s="1"/>
  <c r="M59" i="5"/>
  <c r="M59" i="32" s="1"/>
  <c r="O9" i="5"/>
  <c r="F27" i="5"/>
  <c r="F27" i="32" s="1"/>
  <c r="M41" i="5"/>
  <c r="M41" i="32" s="1"/>
  <c r="E46" i="5"/>
  <c r="E46" i="32" s="1"/>
  <c r="G20" i="5"/>
  <c r="G20" i="32" s="1"/>
  <c r="C7" i="5"/>
  <c r="C7" i="32" s="1"/>
  <c r="K15" i="5"/>
  <c r="K15" i="32" s="1"/>
  <c r="E47" i="5"/>
  <c r="E47" i="32" s="1"/>
  <c r="L60" i="5"/>
  <c r="L60" i="32" s="1"/>
  <c r="J41" i="5"/>
  <c r="J41" i="32" s="1"/>
  <c r="O25" i="5"/>
  <c r="G53" i="5"/>
  <c r="G53" i="32" s="1"/>
  <c r="M36" i="5"/>
  <c r="M36" i="32" s="1"/>
  <c r="H45" i="5"/>
  <c r="H45" i="32" s="1"/>
  <c r="C38" i="5"/>
  <c r="C38" i="32" s="1"/>
  <c r="D29" i="5"/>
  <c r="D29" i="32" s="1"/>
  <c r="I65" i="5"/>
  <c r="I65" i="32" s="1"/>
  <c r="L40" i="5"/>
  <c r="L40" i="32" s="1"/>
  <c r="F22" i="5"/>
  <c r="F22" i="32" s="1"/>
  <c r="K44" i="5"/>
  <c r="K44" i="32" s="1"/>
  <c r="F58" i="5"/>
  <c r="F58" i="32" s="1"/>
  <c r="I35" i="5"/>
  <c r="I35" i="32" s="1"/>
  <c r="N30" i="5"/>
  <c r="N30" i="32" s="1"/>
  <c r="C20" i="5"/>
  <c r="C20" i="32" s="1"/>
  <c r="D10" i="5"/>
  <c r="D10" i="32" s="1"/>
  <c r="N57" i="5"/>
  <c r="N57" i="32" s="1"/>
  <c r="I48" i="5"/>
  <c r="I48" i="32" s="1"/>
  <c r="O10" i="5"/>
  <c r="O79" i="5" s="1"/>
  <c r="O60" i="5"/>
  <c r="O27" i="5"/>
  <c r="E21" i="5"/>
  <c r="E21" i="32" s="1"/>
  <c r="D28" i="5"/>
  <c r="D28" i="32" s="1"/>
  <c r="E51" i="5"/>
  <c r="E51" i="32" s="1"/>
  <c r="K37" i="5"/>
  <c r="K37" i="32" s="1"/>
  <c r="J33" i="5"/>
  <c r="J33" i="32" s="1"/>
  <c r="M30" i="5"/>
  <c r="M30" i="32" s="1"/>
  <c r="C44" i="5"/>
  <c r="C44" i="32" s="1"/>
  <c r="K33" i="5"/>
  <c r="K33" i="32" s="1"/>
  <c r="J50" i="5"/>
  <c r="J50" i="32" s="1"/>
  <c r="E52" i="5"/>
  <c r="E52" i="32" s="1"/>
  <c r="N38" i="5"/>
  <c r="N38" i="32" s="1"/>
  <c r="N7" i="5"/>
  <c r="N7" i="32" s="1"/>
  <c r="C16" i="5"/>
  <c r="C16" i="32" s="1"/>
  <c r="G43" i="5"/>
  <c r="G43" i="32" s="1"/>
  <c r="D45" i="5"/>
  <c r="D45" i="32" s="1"/>
  <c r="C27" i="5"/>
  <c r="C27" i="32" s="1"/>
  <c r="C23" i="5"/>
  <c r="C23" i="32" s="1"/>
  <c r="F59" i="5"/>
  <c r="F59" i="32" s="1"/>
  <c r="M38" i="5"/>
  <c r="M38" i="32" s="1"/>
  <c r="J43" i="5"/>
  <c r="J43" i="32" s="1"/>
  <c r="F43" i="5"/>
  <c r="F43" i="32" s="1"/>
  <c r="E36" i="5"/>
  <c r="E36" i="32" s="1"/>
  <c r="J27" i="5"/>
  <c r="J27" i="32" s="1"/>
  <c r="M27" i="5"/>
  <c r="M27" i="32" s="1"/>
  <c r="J59" i="5"/>
  <c r="J59" i="32" s="1"/>
  <c r="G10" i="5"/>
  <c r="G10" i="32" s="1"/>
  <c r="J54" i="5"/>
  <c r="J54" i="32" s="1"/>
  <c r="C39" i="5"/>
  <c r="C39" i="32" s="1"/>
  <c r="N21" i="5"/>
  <c r="N21" i="32" s="1"/>
  <c r="F29" i="5"/>
  <c r="F29" i="32" s="1"/>
  <c r="K20" i="5"/>
  <c r="K20" i="32" s="1"/>
  <c r="C33" i="5"/>
  <c r="C33" i="32" s="1"/>
  <c r="F60" i="5"/>
  <c r="F60" i="32" s="1"/>
  <c r="D27" i="5"/>
  <c r="D27" i="32" s="1"/>
  <c r="N37" i="5"/>
  <c r="N37" i="32" s="1"/>
  <c r="D20" i="5"/>
  <c r="D20" i="32" s="1"/>
  <c r="E28" i="5"/>
  <c r="E28" i="32" s="1"/>
  <c r="N24" i="5"/>
  <c r="N24" i="32" s="1"/>
  <c r="G31" i="5"/>
  <c r="G31" i="32" s="1"/>
  <c r="L41" i="5"/>
  <c r="L41" i="32" s="1"/>
  <c r="M20" i="5"/>
  <c r="M20" i="32" s="1"/>
  <c r="O53" i="5"/>
  <c r="E9" i="5"/>
  <c r="E9" i="32" s="1"/>
  <c r="D89" i="32"/>
  <c r="O87" i="32"/>
  <c r="O89" i="32" s="1"/>
  <c r="D70" i="32"/>
  <c r="D73" i="5"/>
  <c r="D67" i="5" s="1"/>
  <c r="M67" i="5"/>
  <c r="O69" i="32"/>
  <c r="O75" i="32"/>
  <c r="D79" i="32"/>
  <c r="G67" i="5"/>
  <c r="J60" i="5"/>
  <c r="J60" i="32" s="1"/>
  <c r="I99" i="32"/>
  <c r="O97" i="32"/>
  <c r="O99" i="32" s="1"/>
  <c r="K94" i="32"/>
  <c r="O92" i="32"/>
  <c r="C94" i="32"/>
  <c r="O93" i="32"/>
  <c r="F67" i="32" l="1"/>
  <c r="O79" i="32"/>
  <c r="C67" i="5"/>
  <c r="C67" i="32"/>
  <c r="H14" i="32"/>
  <c r="H61" i="5"/>
  <c r="H61" i="32" s="1"/>
  <c r="G14" i="32"/>
  <c r="G61" i="5"/>
  <c r="G61" i="32" s="1"/>
  <c r="I61" i="5"/>
  <c r="I61" i="32" s="1"/>
  <c r="J61" i="5"/>
  <c r="J61" i="32" s="1"/>
  <c r="L14" i="32"/>
  <c r="L61" i="5"/>
  <c r="L61" i="32" s="1"/>
  <c r="E61" i="5"/>
  <c r="E61" i="32" s="1"/>
  <c r="D14" i="32"/>
  <c r="D61" i="5"/>
  <c r="D61" i="32" s="1"/>
  <c r="M14" i="32"/>
  <c r="M61" i="5"/>
  <c r="M61" i="32" s="1"/>
  <c r="N14" i="32"/>
  <c r="N61" i="5"/>
  <c r="N61" i="32" s="1"/>
  <c r="K14" i="32"/>
  <c r="K61" i="5"/>
  <c r="K61" i="32" s="1"/>
  <c r="O61" i="5"/>
  <c r="C14" i="32"/>
  <c r="C61" i="5"/>
  <c r="C61" i="32" s="1"/>
  <c r="F61" i="5"/>
  <c r="F61" i="32" s="1"/>
  <c r="J67" i="32"/>
  <c r="J67" i="5"/>
  <c r="M8" i="32"/>
  <c r="M5" i="32" s="1"/>
  <c r="M12" i="32" s="1"/>
  <c r="M81" i="32" s="1"/>
  <c r="M8" i="5"/>
  <c r="M5" i="5" s="1"/>
  <c r="M12" i="5" s="1"/>
  <c r="M81" i="5" s="1"/>
  <c r="G8" i="32"/>
  <c r="G5" i="32" s="1"/>
  <c r="G12" i="32" s="1"/>
  <c r="G81" i="32" s="1"/>
  <c r="J8" i="5"/>
  <c r="J5" i="5" s="1"/>
  <c r="J12" i="5" s="1"/>
  <c r="F8" i="5"/>
  <c r="F5" i="5" s="1"/>
  <c r="F12" i="5" s="1"/>
  <c r="F81" i="5" s="1"/>
  <c r="D8" i="32"/>
  <c r="D5" i="32" s="1"/>
  <c r="D12" i="32" s="1"/>
  <c r="L8" i="32"/>
  <c r="L5" i="32" s="1"/>
  <c r="L12" i="32" s="1"/>
  <c r="L81" i="32" s="1"/>
  <c r="I8" i="5"/>
  <c r="I5" i="5" s="1"/>
  <c r="I12" i="5" s="1"/>
  <c r="I81" i="5" s="1"/>
  <c r="D8" i="5"/>
  <c r="D5" i="5" s="1"/>
  <c r="D12" i="5" s="1"/>
  <c r="D81" i="5" s="1"/>
  <c r="O53" i="32"/>
  <c r="N62" i="5"/>
  <c r="J8" i="32"/>
  <c r="J5" i="32" s="1"/>
  <c r="J12" i="32" s="1"/>
  <c r="G8" i="5"/>
  <c r="G5" i="5" s="1"/>
  <c r="G12" i="5" s="1"/>
  <c r="G81" i="5" s="1"/>
  <c r="F8" i="32"/>
  <c r="F5" i="32" s="1"/>
  <c r="F12" i="32" s="1"/>
  <c r="F81" i="32" s="1"/>
  <c r="O31" i="32"/>
  <c r="O33" i="32"/>
  <c r="O55" i="32"/>
  <c r="K62" i="5"/>
  <c r="K62" i="32" s="1"/>
  <c r="O26" i="32"/>
  <c r="O46" i="32"/>
  <c r="I6" i="32"/>
  <c r="I8" i="32" s="1"/>
  <c r="I5" i="32" s="1"/>
  <c r="I12" i="32" s="1"/>
  <c r="I81" i="32" s="1"/>
  <c r="O25" i="32"/>
  <c r="O35" i="32"/>
  <c r="O24" i="32"/>
  <c r="O32" i="32"/>
  <c r="H62" i="5"/>
  <c r="O22" i="32"/>
  <c r="O56" i="32"/>
  <c r="O48" i="32"/>
  <c r="O39" i="32"/>
  <c r="O50" i="32"/>
  <c r="O21" i="32"/>
  <c r="O41" i="32"/>
  <c r="O20" i="32"/>
  <c r="O42" i="32"/>
  <c r="O59" i="32"/>
  <c r="O52" i="32"/>
  <c r="O9" i="32"/>
  <c r="O65" i="32"/>
  <c r="O28" i="32"/>
  <c r="O38" i="32"/>
  <c r="O17" i="32"/>
  <c r="O45" i="32"/>
  <c r="O27" i="32"/>
  <c r="O10" i="32"/>
  <c r="O40" i="32"/>
  <c r="O36" i="32"/>
  <c r="O8" i="5"/>
  <c r="O5" i="5" s="1"/>
  <c r="O12" i="5" s="1"/>
  <c r="O23" i="32"/>
  <c r="C8" i="5"/>
  <c r="C5" i="5" s="1"/>
  <c r="C12" i="5" s="1"/>
  <c r="C81" i="5" s="1"/>
  <c r="O37" i="32"/>
  <c r="O30" i="32"/>
  <c r="O7" i="32"/>
  <c r="O51" i="32"/>
  <c r="O34" i="32"/>
  <c r="O67" i="5"/>
  <c r="E6" i="32"/>
  <c r="E8" i="32" s="1"/>
  <c r="E5" i="32" s="1"/>
  <c r="E12" i="32" s="1"/>
  <c r="E81" i="32" s="1"/>
  <c r="E8" i="5"/>
  <c r="E5" i="5" s="1"/>
  <c r="E12" i="5" s="1"/>
  <c r="E81" i="5" s="1"/>
  <c r="I62" i="5"/>
  <c r="O44" i="32"/>
  <c r="O60" i="32"/>
  <c r="K6" i="32"/>
  <c r="K8" i="32" s="1"/>
  <c r="K5" i="32" s="1"/>
  <c r="K12" i="32" s="1"/>
  <c r="K81" i="32" s="1"/>
  <c r="K8" i="5"/>
  <c r="K5" i="5" s="1"/>
  <c r="K12" i="5" s="1"/>
  <c r="K81" i="5" s="1"/>
  <c r="C62" i="5"/>
  <c r="L62" i="5"/>
  <c r="L13" i="5" s="1"/>
  <c r="F62" i="5"/>
  <c r="F62" i="32" s="1"/>
  <c r="L8" i="5"/>
  <c r="L5" i="5" s="1"/>
  <c r="L12" i="5" s="1"/>
  <c r="L81" i="5" s="1"/>
  <c r="J62" i="5"/>
  <c r="N8" i="5"/>
  <c r="N5" i="5" s="1"/>
  <c r="N12" i="5" s="1"/>
  <c r="N81" i="5" s="1"/>
  <c r="D62" i="5"/>
  <c r="D62" i="32" s="1"/>
  <c r="D73" i="32"/>
  <c r="D67" i="32" s="1"/>
  <c r="O70" i="32"/>
  <c r="O73" i="32" s="1"/>
  <c r="O58" i="32"/>
  <c r="O49" i="32"/>
  <c r="O62" i="5"/>
  <c r="O57" i="32"/>
  <c r="E14" i="32"/>
  <c r="E62" i="5"/>
  <c r="G62" i="5"/>
  <c r="N8" i="32"/>
  <c r="N5" i="32" s="1"/>
  <c r="N12" i="32" s="1"/>
  <c r="N81" i="32" s="1"/>
  <c r="M62" i="5"/>
  <c r="M62" i="32" s="1"/>
  <c r="O43" i="32"/>
  <c r="O29" i="32"/>
  <c r="O47" i="32"/>
  <c r="O54" i="32"/>
  <c r="H8" i="5"/>
  <c r="H5" i="5" s="1"/>
  <c r="H12" i="5" s="1"/>
  <c r="H81" i="5" s="1"/>
  <c r="H6" i="32"/>
  <c r="H8" i="32" s="1"/>
  <c r="H5" i="32" s="1"/>
  <c r="H12" i="32" s="1"/>
  <c r="H81" i="32" s="1"/>
  <c r="I3" i="10" a="1"/>
  <c r="I3" i="10" s="1"/>
  <c r="O19" i="32"/>
  <c r="K3" i="10" a="1"/>
  <c r="K3" i="10" s="1"/>
  <c r="C8" i="32"/>
  <c r="C5" i="32" s="1"/>
  <c r="C12" i="32" s="1"/>
  <c r="O94" i="32"/>
  <c r="Q3" i="10" a="1"/>
  <c r="Q3" i="10" s="1"/>
  <c r="O16" i="32"/>
  <c r="O18" i="32"/>
  <c r="O15" i="32"/>
  <c r="O3" i="10" a="1"/>
  <c r="O3" i="10" s="1"/>
  <c r="O13" i="5" l="1"/>
  <c r="O66" i="5" s="1"/>
  <c r="O80" i="5" s="1"/>
  <c r="O67" i="32"/>
  <c r="J13" i="5"/>
  <c r="J81" i="32"/>
  <c r="J81" i="5"/>
  <c r="I13" i="5"/>
  <c r="I66" i="5" s="1"/>
  <c r="I80" i="5" s="1"/>
  <c r="F13" i="32"/>
  <c r="F66" i="32" s="1"/>
  <c r="F80" i="32" s="1"/>
  <c r="N13" i="5"/>
  <c r="N66" i="5" s="1"/>
  <c r="N80" i="5" s="1"/>
  <c r="O61" i="32"/>
  <c r="O14" i="32"/>
  <c r="K13" i="32"/>
  <c r="K66" i="32" s="1"/>
  <c r="K80" i="32" s="1"/>
  <c r="M13" i="32"/>
  <c r="M66" i="32" s="1"/>
  <c r="M80" i="32" s="1"/>
  <c r="C13" i="5"/>
  <c r="C66" i="5" s="1"/>
  <c r="C80" i="5" s="1"/>
  <c r="G13" i="5"/>
  <c r="G66" i="5" s="1"/>
  <c r="G80" i="5" s="1"/>
  <c r="D13" i="32"/>
  <c r="D66" i="32" s="1"/>
  <c r="D80" i="32" s="1"/>
  <c r="H13" i="5"/>
  <c r="H66" i="5" s="1"/>
  <c r="H80" i="5" s="1"/>
  <c r="F3" i="10" a="1"/>
  <c r="F3" i="10" s="1"/>
  <c r="G3" i="10" a="1"/>
  <c r="G3" i="10" s="1"/>
  <c r="M3" i="10" a="1"/>
  <c r="M3" i="10" s="1"/>
  <c r="N62" i="32"/>
  <c r="N13" i="32" s="1"/>
  <c r="N66" i="32" s="1"/>
  <c r="N80" i="32" s="1"/>
  <c r="L66" i="5"/>
  <c r="L80" i="5" s="1"/>
  <c r="H62" i="32"/>
  <c r="H13" i="32" s="1"/>
  <c r="H66" i="32" s="1"/>
  <c r="H80" i="32" s="1"/>
  <c r="L62" i="32"/>
  <c r="L13" i="32" s="1"/>
  <c r="L66" i="32" s="1"/>
  <c r="L80" i="32" s="1"/>
  <c r="K13" i="5"/>
  <c r="K66" i="5" s="1"/>
  <c r="K80" i="5" s="1"/>
  <c r="N3" i="10" a="1"/>
  <c r="N3" i="10" s="1"/>
  <c r="J66" i="5"/>
  <c r="J80" i="5" s="1"/>
  <c r="O6" i="32"/>
  <c r="O8" i="32" s="1"/>
  <c r="O5" i="32" s="1"/>
  <c r="O12" i="32" s="1"/>
  <c r="O81" i="32" s="1"/>
  <c r="F13" i="5"/>
  <c r="F66" i="5" s="1"/>
  <c r="F80" i="5" s="1"/>
  <c r="C62" i="32"/>
  <c r="C13" i="32" s="1"/>
  <c r="C66" i="32" s="1"/>
  <c r="C80" i="32" s="1"/>
  <c r="J3" i="10" a="1"/>
  <c r="J3" i="10" s="1"/>
  <c r="G62" i="32"/>
  <c r="G13" i="32" s="1"/>
  <c r="G66" i="32" s="1"/>
  <c r="G80" i="32" s="1"/>
  <c r="D81" i="32"/>
  <c r="O81" i="5"/>
  <c r="E62" i="32"/>
  <c r="E13" i="32" s="1"/>
  <c r="E66" i="32" s="1"/>
  <c r="E80" i="32" s="1"/>
  <c r="H3" i="10" a="1"/>
  <c r="H3" i="10" s="1"/>
  <c r="D13" i="5"/>
  <c r="D66" i="5" s="1"/>
  <c r="D80" i="5" s="1"/>
  <c r="J62" i="32"/>
  <c r="J13" i="32" s="1"/>
  <c r="J66" i="32" s="1"/>
  <c r="J80" i="32" s="1"/>
  <c r="P3" i="10" a="1"/>
  <c r="P3" i="10" s="1"/>
  <c r="L3" i="10" a="1"/>
  <c r="L3" i="10" s="1"/>
  <c r="E13" i="5"/>
  <c r="E66" i="5" s="1"/>
  <c r="E80" i="5" s="1"/>
  <c r="M13" i="5"/>
  <c r="M66" i="5" s="1"/>
  <c r="M80" i="5" s="1"/>
  <c r="I62" i="32"/>
  <c r="I13" i="32" s="1"/>
  <c r="I66" i="32" s="1"/>
  <c r="I80" i="32" s="1"/>
  <c r="C81" i="32"/>
  <c r="O62" i="32" l="1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3C065940-FC0D-4D5C-822D-DD736712B358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1026978-0364-4809-AB95-E4BAD5EBAEEF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<sst xmlns="http://schemas.openxmlformats.org/spreadsheetml/2006/main" count="1683" uniqueCount="743">
  <si>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</si>
  <si>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</si>
  <si>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</si>
  <si>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</si>
  <si>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</si>
  <si>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</si>
  <si>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</si>
  <si>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</si>
  <si>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</si>
  <si>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</si>
  <si>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</si>
  <si>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</si>
  <si>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</si>
  <si>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</si>
  <si>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</si>
  <si>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</si>
  <si>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</si>
  <si>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</si>
  <si>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</si>
  <si>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</si>
  <si>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</si>
  <si>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</si>
  <si>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</si>
  <si>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</si>
  <si>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</si>
  <si>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</si>
  <si>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</si>
  <si>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</si>
  <si>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</si>
  <si>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</si>
  <si>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</si>
  <si>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</si>
  <si>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</si>
  <si>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</si>
  <si>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</si>
  <si>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</si>
  <si>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</si>
  <si>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</si>
  <si>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</si>
  <si>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</si>
  <si>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</si>
  <si>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</si>
  <si>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</si>
  <si>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</si>
  <si>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</si>
  <si>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</si>
  <si>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</si>
  <si>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</si>
  <si>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</si>
  <si>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</si>
  <si>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</si>
  <si>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</si>
  <si>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</si>
  <si>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</si>
  <si>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</si>
  <si>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</si>
  <si>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</si>
  <si>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</si>
  <si>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</si>
  <si>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</si>
  <si>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</si>
  <si>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</si>
  <si>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</si>
  <si>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</si>
  <si>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</si>
  <si>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</si>
  <si>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</si>
  <si>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</si>
  <si>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</si>
  <si>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</si>
  <si>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</si>
  <si>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</si>
  <si>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</si>
  <si>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</si>
  <si>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</si>
  <si>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</si>
  <si>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</si>
  <si>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</si>
  <si>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</si>
  <si>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</si>
  <si>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</si>
  <si>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</si>
  <si>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</si>
  <si>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</si>
  <si>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</si>
  <si>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</si>
  <si>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</si>
  <si>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</si>
  <si>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</si>
  <si>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</si>
  <si>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</si>
  <si>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</si>
  <si>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</si>
  <si>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</si>
  <si>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</si>
  <si>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</si>
  <si>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</si>
  <si>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</si>
  <si>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</si>
  <si>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</si>
  <si>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</si>
  <si>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</si>
  <si>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</si>
  <si>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</si>
  <si>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</si>
  <si>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</si>
  <si>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</si>
  <si>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</si>
  <si>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</si>
  <si>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</si>
  <si>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</si>
  <si>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</si>
  <si>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</si>
  <si>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</si>
  <si>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</si>
  <si>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</si>
  <si>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</si>
  <si>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</si>
  <si>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</si>
  <si>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</si>
  <si>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</si>
  <si>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</si>
  <si>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</si>
  <si>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</si>
  <si>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</si>
  <si>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</si>
  <si>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</si>
  <si>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</si>
  <si>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</si>
  <si>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</si>
  <si>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</si>
  <si>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</si>
  <si>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</si>
  <si>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</si>
  <si>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</si>
  <si>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</si>
  <si>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</si>
  <si>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</si>
  <si>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</si>
  <si>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</si>
  <si>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</si>
  <si>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</si>
  <si>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</si>
  <si>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</si>
  <si>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</si>
  <si>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</si>
  <si>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</si>
  <si>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</si>
  <si>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</si>
  <si>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</si>
  <si>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</si>
  <si>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</si>
  <si>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</si>
  <si>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</si>
  <si>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</si>
  <si>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</si>
  <si>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</si>
  <si>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</si>
  <si>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</si>
  <si>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</si>
  <si>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</si>
  <si>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</si>
  <si>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</si>
  <si>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</si>
  <si>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</si>
  <si>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</si>
  <si>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</si>
  <si>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</si>
  <si>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</si>
  <si>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</si>
  <si>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</si>
  <si>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</si>
  <si>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</si>
  <si>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</si>
  <si>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</si>
  <si>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</si>
  <si>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</si>
  <si>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</si>
  <si>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</si>
  <si>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</si>
  <si>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</si>
  <si>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</si>
  <si>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</si>
  <si>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</si>
  <si>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</si>
  <si>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</si>
  <si>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</si>
  <si>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</si>
  <si>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</si>
  <si>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</si>
  <si>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</si>
  <si>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</si>
  <si>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</si>
  <si>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</si>
  <si>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</si>
  <si>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</si>
  <si>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</si>
  <si>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</si>
  <si>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</si>
  <si>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</si>
  <si>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</si>
  <si>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</si>
  <si>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</si>
  <si>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</si>
  <si>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</si>
  <si>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</si>
  <si>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</si>
  <si>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</si>
  <si>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</si>
  <si>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</si>
  <si>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</si>
  <si>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</si>
  <si>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</si>
  <si>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</si>
  <si>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</si>
  <si>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</si>
  <si>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</si>
  <si>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</si>
  <si>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</si>
  <si>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</si>
  <si>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</si>
  <si>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</si>
  <si>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</si>
  <si>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</si>
  <si>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</si>
  <si>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</si>
  <si>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</si>
  <si>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</si>
  <si>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</si>
  <si>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</si>
  <si>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</si>
  <si>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</si>
  <si>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</si>
  <si>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</si>
  <si>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</si>
  <si>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</si>
  <si>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</si>
  <si>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</si>
  <si>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</si>
  <si>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</si>
  <si>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</si>
  <si>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</si>
  <si>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</si>
  <si>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</si>
  <si>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</si>
  <si>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</si>
  <si>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</si>
  <si>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</si>
  <si>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</si>
  <si>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</si>
  <si>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</si>
  <si>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</si>
  <si>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</si>
  <si>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</si>
  <si>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</si>
  <si>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</si>
  <si>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</si>
  <si>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</si>
  <si>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</si>
  <si>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</si>
  <si>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</si>
  <si>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</si>
  <si>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</si>
  <si>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</si>
  <si>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</si>
  <si>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</si>
  <si>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</si>
  <si>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</si>
  <si>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</si>
  <si>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</si>
  <si>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</si>
  <si>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</si>
  <si>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</si>
  <si>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</si>
  <si>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</si>
  <si>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</si>
  <si>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</si>
  <si>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</si>
  <si>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</si>
  <si>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</si>
  <si>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</si>
  <si>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</si>
  <si>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</si>
  <si>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</si>
  <si>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</si>
  <si>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</si>
  <si>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</si>
  <si>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</si>
  <si>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</si>
  <si>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</si>
  <si>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</si>
  <si>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</si>
  <si>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</si>
  <si>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</si>
  <si>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</si>
  <si>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</si>
  <si>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</si>
  <si>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</si>
  <si>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</si>
  <si>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</si>
  <si>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</si>
  <si>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</si>
  <si>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</si>
  <si>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</si>
  <si>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</si>
  <si>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</si>
  <si>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</si>
  <si>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</si>
  <si>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</si>
  <si>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</si>
  <si>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</si>
  <si>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</si>
  <si>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</si>
  <si>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</si>
  <si>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</si>
  <si>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</si>
  <si>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</si>
  <si>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</si>
  <si>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</si>
  <si>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</si>
  <si>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</si>
  <si>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</si>
  <si>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</si>
  <si>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</si>
  <si>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</si>
  <si>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</si>
  <si>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</si>
  <si>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</si>
  <si>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</si>
  <si>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</si>
  <si>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</si>
  <si>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</si>
  <si>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</si>
  <si>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</si>
  <si>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</si>
  <si>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</si>
  <si>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</si>
  <si>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</si>
  <si>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</si>
  <si>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</si>
  <si>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</si>
  <si>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</si>
  <si>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</si>
  <si>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</si>
  <si>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</si>
  <si>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</si>
  <si>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</si>
  <si>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</si>
  <si>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</si>
  <si>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</si>
  <si>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</si>
  <si>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</si>
  <si>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</si>
  <si>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</si>
  <si>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</si>
  <si>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</si>
  <si>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</si>
  <si>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</si>
  <si>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</si>
  <si>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</si>
  <si>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</si>
  <si>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</si>
  <si>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</si>
  <si>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</si>
  <si>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</si>
  <si>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</si>
  <si>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</si>
  <si>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</si>
  <si>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</si>
  <si>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</si>
  <si>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</si>
  <si>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</si>
  <si>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</si>
  <si>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</si>
  <si>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</si>
  <si>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</si>
  <si>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</si>
  <si>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</si>
  <si>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</si>
  <si>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</si>
  <si>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</si>
  <si>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</si>
  <si>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</si>
  <si>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</si>
  <si>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</si>
  <si>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</si>
  <si>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</si>
  <si>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</si>
  <si>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</si>
  <si>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</si>
  <si>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</si>
  <si>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</si>
  <si>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</si>
  <si>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</si>
  <si>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</si>
  <si>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</si>
  <si>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</si>
  <si>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</si>
  <si>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</si>
  <si>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</si>
  <si>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</si>
  <si>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</si>
  <si>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</si>
  <si>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</si>
  <si>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</si>
  <si>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</si>
  <si>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</si>
  <si>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</si>
  <si>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</si>
  <si>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</si>
  <si>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</si>
  <si>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</si>
  <si>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</si>
  <si>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</si>
  <si>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</si>
  <si>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</si>
  <si>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</si>
  <si>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</si>
  <si>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</si>
  <si>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</si>
  <si>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</si>
  <si>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</si>
  <si>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</si>
  <si>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</si>
  <si>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</si>
  <si>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</si>
  <si>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</si>
  <si>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</si>
  <si>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</si>
  <si>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</si>
  <si>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</si>
  <si>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</si>
  <si>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</si>
  <si>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</si>
  <si>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</si>
  <si>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</si>
  <si>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</si>
  <si>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</si>
  <si>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</si>
  <si>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</si>
  <si>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</si>
  <si>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</si>
  <si>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</si>
  <si>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</si>
  <si>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</si>
  <si>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</si>
  <si>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</si>
  <si>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</si>
  <si>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</si>
  <si>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</si>
  <si>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</si>
  <si>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</si>
  <si>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</si>
  <si>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</si>
  <si>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</si>
  <si>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</si>
  <si>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</si>
  <si>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</si>
  <si>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</si>
  <si>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</si>
  <si>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</si>
  <si>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</si>
  <si>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</si>
  <si>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</si>
  <si>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</si>
  <si>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</si>
  <si>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</si>
  <si>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</si>
  <si>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</si>
  <si>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</si>
  <si>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</si>
  <si>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</si>
  <si>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</si>
  <si>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</si>
  <si>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</si>
  <si>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</si>
  <si>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</si>
  <si>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</si>
  <si>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</si>
  <si>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</si>
  <si>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</si>
  <si>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</si>
  <si>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</si>
  <si>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</si>
  <si>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</si>
  <si>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</si>
  <si>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</si>
  <si>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</si>
  <si>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</si>
  <si>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</si>
  <si>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</si>
  <si>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</si>
  <si>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</si>
  <si>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</si>
  <si>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</si>
  <si>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</si>
  <si>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</si>
  <si>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</si>
  <si>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</si>
  <si>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</si>
  <si>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</si>
  <si>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</si>
  <si>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</si>
  <si>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</si>
  <si>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</si>
  <si>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</si>
  <si>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</si>
  <si>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</si>
  <si>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</si>
  <si>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</si>
  <si>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</si>
  <si>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</si>
  <si>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</si>
  <si>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</si>
  <si>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</si>
  <si>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</si>
  <si>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</si>
  <si>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</si>
  <si>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</si>
  <si>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</si>
  <si>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</si>
  <si>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</si>
  <si>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</si>
  <si>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</si>
  <si>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</si>
  <si>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</si>
  <si>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</si>
  <si>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</si>
  <si>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</si>
  <si>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</si>
  <si>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</si>
  <si>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</si>
  <si>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</si>
  <si>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</si>
  <si>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</si>
  <si>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</si>
  <si>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</si>
  <si>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</si>
  <si>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</si>
  <si>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</si>
  <si>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</si>
  <si>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</si>
  <si>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</si>
  <si>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</si>
  <si>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</si>
  <si>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</si>
  <si>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</si>
  <si>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</si>
  <si>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</si>
  <si>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</si>
  <si>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</si>
  <si>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</si>
  <si>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</si>
  <si>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</si>
  <si>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</si>
  <si>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</si>
  <si>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</si>
  <si>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</si>
  <si>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</si>
  <si>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</si>
  <si>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</si>
  <si>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</si>
  <si>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</si>
  <si>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</si>
  <si>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</si>
  <si>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</si>
  <si>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</si>
  <si>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</si>
  <si>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</si>
  <si>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</si>
  <si>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</si>
  <si>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</si>
  <si>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</si>
  <si>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</si>
  <si>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</si>
  <si>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</si>
  <si>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</si>
  <si>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</si>
  <si>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</si>
  <si>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</si>
  <si>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</si>
  <si>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</si>
  <si>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</si>
  <si>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</si>
  <si>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</si>
  <si>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</si>
  <si>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</si>
  <si>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</si>
  <si>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</si>
  <si>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</si>
  <si>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</si>
  <si>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</si>
  <si>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</si>
  <si>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</si>
  <si>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</si>
  <si>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</si>
  <si>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</si>
  <si>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</si>
  <si>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</si>
  <si>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</si>
  <si>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</si>
  <si>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</si>
  <si>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</si>
  <si>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</si>
  <si>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</si>
  <si>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</si>
  <si>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</si>
  <si>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</si>
  <si>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</si>
  <si>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</si>
  <si>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</si>
  <si>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</si>
  <si>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</si>
  <si>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</si>
  <si>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</si>
  <si>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</si>
  <si>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</si>
  <si>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</si>
  <si>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</si>
  <si>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</si>
  <si>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</si>
  <si>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</si>
  <si>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</si>
  <si>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</si>
  <si>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</si>
  <si>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</si>
  <si>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</si>
  <si>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</si>
  <si>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</si>
  <si>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</si>
  <si>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</si>
  <si>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</si>
  <si>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</si>
  <si>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</si>
  <si>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</si>
  <si>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</si>
  <si>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</si>
  <si>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</si>
  <si>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</si>
  <si>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</si>
  <si>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</si>
  <si>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</si>
  <si>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</si>
  <si>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</si>
  <si>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</si>
  <si>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</si>
  <si>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</si>
  <si>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</si>
  <si>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</si>
  <si>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</si>
  <si>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</si>
  <si>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</si>
  <si>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</si>
  <si>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</si>
  <si>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</si>
  <si>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</si>
  <si>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</si>
  <si>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</si>
  <si>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</si>
  <si>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</si>
  <si>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</si>
  <si>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</si>
  <si>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</si>
  <si>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</si>
  <si>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</si>
  <si>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</si>
  <si>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</si>
  <si>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</si>
  <si>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</si>
  <si>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</si>
  <si>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</si>
  <si>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</si>
  <si>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</si>
  <si>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</si>
  <si>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</si>
  <si>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</si>
  <si>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</si>
  <si>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</si>
  <si>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</si>
  <si>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</si>
  <si>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</si>
  <si>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</si>
  <si>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</si>
  <si>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</si>
  <si>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</si>
  <si>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</si>
  <si>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</si>
  <si>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</si>
  <si>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</si>
  <si>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</si>
  <si>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</si>
  <si>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</si>
  <si>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</si>
  <si>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ガス代 (Gas)</t>
  </si>
  <si>
    <t>トイレットパーパーGiấy vệ sinh</t>
  </si>
  <si>
    <t>手洗い洗剤 Nước rửa tay</t>
  </si>
  <si>
    <t>清掃費用 Phí làm sạch</t>
  </si>
  <si>
    <t>電気代 ( Điện )</t>
  </si>
  <si>
    <t>水道代 ( Nước )</t>
  </si>
  <si>
    <t>建屋償却費  ( Khấu hao xấy dựng )</t>
  </si>
  <si>
    <t>土地使用権償却費 ( Khấu hao đất )</t>
  </si>
  <si>
    <t>固定資産　建物　lãi khấu hao nhà</t>
  </si>
  <si>
    <t>固定資産　土地 lãi khẫu hao đất</t>
  </si>
  <si>
    <t>MFG)MACHINERY AND EQUIPMENT</t>
  </si>
  <si>
    <t>通関申告費用 - Chi phí mở tờ hải quan,kê khai hải quan</t>
  </si>
  <si>
    <t>COURIER CHARGES (P) : Di chuyển chi phí vận chuyển linh kiện KIT sang phòng chuẩn bị trước sản xuất KIT (KIT生産準備室に移動）</t>
  </si>
  <si>
    <t>Sửa khóa tủ Locker</t>
  </si>
  <si>
    <t xml:space="preserve">Mũ: (trắng :33.500)(màu :39.000)/chiếc </t>
  </si>
  <si>
    <t>靴 Giày : nữ : 82.000 vnđ ,nam:84.000 vnđ, giầy size đại: 120.000vnđ</t>
  </si>
  <si>
    <t>制服・ズボン,(116.000) quần ,quần bầu (124.500)</t>
  </si>
  <si>
    <t>ローカル社員(人)通勤送迎費用(1人)-Xe đưa đón người Việt
3月: 
16/1-15/2</t>
  </si>
  <si>
    <t>PLM/R3/MES ( Tiền sử dụng PLM/R3/MES ) - IT</t>
  </si>
  <si>
    <t>10月：
1. Hiệu chuẩn máy đo điện trở　（高抵抗率測定器校正費用）: 1.700.000vnđ (k cần làm BCHT)
2. Hiệu chuẩn máy đo màu　（色差測定器校正費用）: 10.000.000vnđ (k cần làm BCHT)
11月：
Hiệu chuẩn máy quang phổ huỳnh quang tia X （工ネルギ－分散型蛍光X線分析装置校正費用）: 26.500.000vnđ
12月:
1 : Hiệu chuẩn máy RosH2 RosH 2の校正費用  : 50.000.000vnd</t>
  </si>
  <si>
    <t xml:space="preserve">月:
電話代 ( Tiền điện thoại ) : 300.000 VND.
</t>
  </si>
  <si>
    <t xml:space="preserve">月: 1.500.000 VND
(ｶｰﾄﾞｹｰｽA4,ﾃｰﾌﾟ,ジッパーバッグ,ランプ電池 、,消せるペン。
Mua túi bóng đựng tài liệu,Túi zip,băng dính,Pin của đèn,bút tẩy được)
</t>
  </si>
  <si>
    <t>日本人の書類申請段取り</t>
  </si>
  <si>
    <t>誕生日sinh nhật : 163.000/人,</t>
  </si>
  <si>
    <t>NX　(CADソフト:検査図面作成用) : phần mềm làm bản vẽ 6 line</t>
  </si>
  <si>
    <t>日本から測定依頼、限度見本を運賃（Phí vận chuyển mẫu giới hạn, mẫu yêu cầu đo từ Nhật）</t>
  </si>
  <si>
    <t>出産祝いmừng sinh con,kết hôn</t>
  </si>
  <si>
    <t>出向社員通勤送迎費用(1人)-Xe đưa đón người Nhật
4月:
16/2-15/3 :   VND.
5月:
16/3-30/3 :  VND.</t>
  </si>
  <si>
    <r>
      <rPr>
        <sz val="9"/>
        <rFont val="ＭＳ Ｐゴシック"/>
        <family val="3"/>
        <charset val="128"/>
      </rPr>
      <t>4月：</t>
    </r>
    <r>
      <rPr>
        <sz val="9"/>
        <color theme="1"/>
        <rFont val="ＭＳ Ｐゴシック"/>
        <family val="3"/>
        <charset val="128"/>
      </rPr>
      <t xml:space="preserve">
Nâng cấp phần mềm 2 máy đo : 5.000.000 VND /chiếc
Sửa chữa cây máy LSM : 40.000.000 VND
5月：
Nâng cấp phần mềm  máy cây (Mịn ) : 12.150.000 VND/chiếc.
12月:
 1. RoHS2の消耗品の交換修理 ( Vòng đệm O-ring RoHS2)  : 4.300.000 (mua thay thế hàng năm）
</t>
    </r>
  </si>
  <si>
    <t>日本語勉強費用　(chi phí tiếng nhật)(Mr Dương)</t>
  </si>
  <si>
    <t>Chi phí thẻ ,ảnh,bút , triết lý 1,2 ... Cho người mới.</t>
  </si>
  <si>
    <t>4月： X線計測器線量測定 (Đọc và đánh giá liều kế)   : 1.500.000 vnđ
7月： X線計測器線量測定   : 1.500.000 vnđ; 放射線安全評価試験(Kiểm tra,đánh giá an toàn bức xạ)  : 3.500.000vnd
10月：
1 : X線計測器線量測定: 1.500.000 vnd
2 : thay thế chứng chỉ nhân viên bức xạ (do hết hạn) : 200.000 VND.
1.2026月： X線計測器線量測定: 1.500.000 vnd, Diễn tập sự cố máy tia X　Ｘ線の問題対応訓練 : 13.000.000vnđ</t>
  </si>
  <si>
    <r>
      <rPr>
        <b/>
        <sz val="9"/>
        <rFont val="ＭＳ Ｐゴシック"/>
        <family val="3"/>
        <charset val="128"/>
      </rPr>
      <t>4月:</t>
    </r>
    <r>
      <rPr>
        <sz val="9"/>
        <rFont val="ＭＳ Ｐゴシック"/>
        <family val="3"/>
        <charset val="128"/>
      </rPr>
      <t xml:space="preserve">  RP7 85000vnd＊2個;  GIFT 21000vnd＊2個, NMIJ CRM 8152-b: 23.000.000vnđ（RoHS2 日常点検試料②）,NMIJ CRM 8110-b: 26.500.000vnđ, 手袋 (Gang tay): 120 * 5350vnđ, マクス　(Khẩu trang): 51.000vnđ, Cr6+: 1*800 USD, 安全手袋: 360.000vnđ.
</t>
    </r>
    <r>
      <rPr>
        <b/>
        <sz val="9"/>
        <rFont val="ＭＳ Ｐゴシック"/>
        <family val="3"/>
        <charset val="128"/>
      </rPr>
      <t>5月</t>
    </r>
    <r>
      <rPr>
        <sz val="9"/>
        <rFont val="ＭＳ Ｐゴシック"/>
        <family val="3"/>
        <charset val="128"/>
      </rPr>
      <t xml:space="preserve">:   RP7 85000vnd＊2個; GIFT 21000vnd＊2個; 手袋 (Gang tay): 120 * 5350vnđ, マスク　(Khẩu trang): 51.000vnđ, Pin laptop: 1.650.000vnđ.
</t>
    </r>
    <r>
      <rPr>
        <b/>
        <sz val="9"/>
        <rFont val="ＭＳ Ｐゴシック"/>
        <family val="3"/>
        <charset val="128"/>
      </rPr>
      <t>6月:</t>
    </r>
    <r>
      <rPr>
        <sz val="9"/>
        <rFont val="ＭＳ Ｐゴシック"/>
        <family val="3"/>
        <charset val="128"/>
      </rPr>
      <t xml:space="preserve"> RP7 85000vnd＊2個; GIFT 21000vnd＊2個（定盤用の洗剤）; 手袋 (Gang tay): 120 * 5350vnđ, マスク　(Khẩu trang): 51.000vnđ, Cr6+: 800 USD, 両面 テープ (băng dính 2 mặt): 8.5$*16*25390, Pin laptop: 1.650.000vnđ.
</t>
    </r>
    <r>
      <rPr>
        <b/>
        <sz val="9"/>
        <rFont val="ＭＳ Ｐゴシック"/>
        <family val="3"/>
        <charset val="128"/>
      </rPr>
      <t>7月:</t>
    </r>
    <r>
      <rPr>
        <sz val="9"/>
        <rFont val="ＭＳ Ｐゴシック"/>
        <family val="3"/>
        <charset val="128"/>
      </rPr>
      <t xml:space="preserve">  RP7 85000vnd＊2個;  GIFT 21000vnd＊2個（定盤用の洗剤）; 手袋 (Gang tay): 120 * 5350vnđ,マスク　(Khẩu trang): 51.000vnđ, , Pin laptop: 1.650.000vnđ
</t>
    </r>
    <r>
      <rPr>
        <b/>
        <sz val="9"/>
        <rFont val="ＭＳ Ｐゴシック"/>
        <family val="3"/>
        <charset val="128"/>
      </rPr>
      <t>8月:</t>
    </r>
    <r>
      <rPr>
        <sz val="9"/>
        <rFont val="ＭＳ Ｐゴシック"/>
        <family val="3"/>
        <charset val="128"/>
      </rPr>
      <t xml:space="preserve"> RP7 85000vnd＊2個;  GIFT 21000vnd＊2個（定盤用の洗剤）, 手袋 (Gang tay): 120 * 5350vnđ, マスク　(Khẩu trang): 51.000vnđ, 安全手袋: 360.000vnđ, Pin laptop: 1.650.000vnđ
</t>
    </r>
    <r>
      <rPr>
        <b/>
        <sz val="9"/>
        <rFont val="ＭＳ Ｐゴシック"/>
        <family val="3"/>
        <charset val="128"/>
      </rPr>
      <t>9月:</t>
    </r>
    <r>
      <rPr>
        <sz val="9"/>
        <rFont val="ＭＳ Ｐゴシック"/>
        <family val="3"/>
        <charset val="128"/>
      </rPr>
      <t xml:space="preserve"> RP7 85000vnd＊2個;  GIFT 21000vnd＊2個（定盤用の洗剤）; Cr6+: 800 USD, 手袋 (Gang tay): 120 * 5350vnđ, マクス　(Khẩu trang): 51.000vnđ,  
</t>
    </r>
    <r>
      <rPr>
        <b/>
        <sz val="9"/>
        <rFont val="ＭＳ Ｐゴシック"/>
        <family val="3"/>
        <charset val="128"/>
      </rPr>
      <t>10月:</t>
    </r>
    <r>
      <rPr>
        <sz val="9"/>
        <rFont val="ＭＳ Ｐゴシック"/>
        <family val="3"/>
        <charset val="128"/>
      </rPr>
      <t xml:space="preserve">  RP7 85000vnd＊2個; GIFT 21000vnd＊2個（定盤用の洗剤）; 手袋 (Gang tay): 120 * 5350vnđ, マクス　(Khẩu trang): 51.000vnđ, ROHSのコップ: 28.000.000 vnđ (10 hộp), Nước cất: 290.000vnđ, 安全手袋: 360.000vnđ, Nitto テープ (băng dính 2 mặt): 8.5$*16*25390.
</t>
    </r>
    <r>
      <rPr>
        <b/>
        <sz val="9"/>
        <rFont val="ＭＳ Ｐゴシック"/>
        <family val="3"/>
        <charset val="128"/>
      </rPr>
      <t>11月:</t>
    </r>
    <r>
      <rPr>
        <sz val="9"/>
        <rFont val="ＭＳ Ｐゴシック"/>
        <family val="3"/>
        <charset val="128"/>
      </rPr>
      <t xml:space="preserve">  RP7 85000vnd＊2個; GIFT 21000vnd＊2個（定盤用の洗剤）, 手袋 (Gang tay): 120 * 5350vnđ, マクス　(Khẩu trang): 51.000vnđ, 
</t>
    </r>
    <r>
      <rPr>
        <b/>
        <sz val="9"/>
        <rFont val="ＭＳ Ｐゴシック"/>
        <family val="3"/>
        <charset val="128"/>
      </rPr>
      <t>12 月:</t>
    </r>
    <r>
      <rPr>
        <sz val="9"/>
        <rFont val="ＭＳ Ｐゴシック"/>
        <family val="3"/>
        <charset val="128"/>
      </rPr>
      <t xml:space="preserve"> RP7 85000vnd＊2個; GIFT 21000vnd＊2個（定盤用の洗剤）;Cr6+: 800 USD, 手袋 (Gang tay): 120 * 5350vnđ, マクス　(Khẩu trang): 51.000vnđ, 安全手袋: 360.000vnđ, 
</t>
    </r>
    <r>
      <rPr>
        <b/>
        <sz val="9"/>
        <rFont val="ＭＳ Ｐゴシック"/>
        <family val="3"/>
        <charset val="128"/>
      </rPr>
      <t>1.2026:</t>
    </r>
    <r>
      <rPr>
        <sz val="9"/>
        <rFont val="ＭＳ Ｐゴシック"/>
        <family val="3"/>
        <charset val="128"/>
      </rPr>
      <t xml:space="preserve">  RP7 85000vnd＊2個;  GIFT 21000vnd＊2個（定盤用の洗剤）; 手袋 (Gang tay): 120 * 5350vnđ, マクス　(Khẩu trang): 51.000vnđ, 
</t>
    </r>
    <r>
      <rPr>
        <b/>
        <sz val="9"/>
        <rFont val="ＭＳ Ｐゴシック"/>
        <family val="3"/>
        <charset val="128"/>
      </rPr>
      <t>2.2026:</t>
    </r>
    <r>
      <rPr>
        <sz val="9"/>
        <rFont val="ＭＳ Ｐゴシック"/>
        <family val="3"/>
        <charset val="128"/>
      </rPr>
      <t xml:space="preserve">RP7 85000vnd＊2個;  GIFT 21000vnd＊2 個（定盤用の洗剤）, 手袋 (Gang tay): 120 * 5350vnđ, マクス　(Khẩu trang): 51.000vnđ, 安全手袋: 360.000vnđ, Nitto テープ (băng dính 2 mặt): 8.5$*16*25390.
</t>
    </r>
    <r>
      <rPr>
        <b/>
        <sz val="9"/>
        <rFont val="ＭＳ Ｐゴシック"/>
        <family val="3"/>
        <charset val="128"/>
      </rPr>
      <t>3.2026:</t>
    </r>
    <r>
      <rPr>
        <sz val="9"/>
        <rFont val="ＭＳ Ｐゴシック"/>
        <family val="3"/>
        <charset val="128"/>
      </rPr>
      <t xml:space="preserve">  RP7 85000vnd＊2個; GIFT 21000vnd＊2個（定盤用の洗剤）; Cr6+: 800 USD, 手袋 (Gang tay): 120 * 5350vnđ, マクス　(Khẩu trang): 51.000vnđ,　</t>
    </r>
  </si>
  <si>
    <t xml:space="preserve">4.2025: đối tác mới :280.000 VND (ăn,出張代),Taxi : 2.500.000 VND,(đào tạo 2 đối tác mới)
5.2025: Ewisdom : 70.000 VND (ăn,出張代),280.00 VND(Tiền ăn)
6.2025: 280.00 VND(Tiền ăn)(ncc mới)
7.2025: Hudson,Cheeyuen,Yonghan : 210.000 VND (ăn,出張代), Taxi : 2.500.000 VND,  線X-R使用人の健康診断（5人）: 600.00 vnd;Taxi : 2.500.000 VND,(đào tạo 2  đối tác  mới)+280.000 (tiền ăn)
8.2025: Zhongyu: 140.000 VND(ăn,出張代), Taxi : 1.800.000 VND.,280.00 VND(Tiền ăn)
9.2025: Seiyo HP,Nissei : 140.000 VND(ăn,出張代), Taxi : 2.000.000 VND.,280.00 VND(Tiền ăn)
10.2025: Vanlong ,Kuroda : 140.000 VND(ăn,出張代) , Taxi : 2.000.000 VND,Taxi : 2.500.000 VND,(đào tạo 2  đối tác  mới)+280.000 (tiền ăn)
11.2025: 280.00 VND(Tiền ăn)- ncc mới
12.2025: Kyowa,Orc,Rhythm: 310.000 VND(ăn,出張代) , Taxi :  4.000.000 VND,Taxi : 2.500.000 VND,(đào tạo 2  đối tác mới)+280.000 (tiền ăn)
1.2026: Tenma,Eva : 210.000 VND (ăn,出張代), Taxi : 2.000.000 VND,280.00 VND(Tiền ăn)
2.2026: 280.00 VND(Tiền ăn)-  đối tác  mới
3.2026: Changhong:Kishiro, Cosmos : 310.000 VND(ăn,出張代), Taxi : 3.000.000 VND, 280.00 VND(Tiền ăn)-mới
</t>
  </si>
  <si>
    <t>4月：
1 : CMM XYANA　⇒ Carypso変更 (30.524 USD)
2 : CMM Carypso Ver UP (20.739 USD)
3 : Win 10ライセンス追加 (1.972 USD/1 Line - dự định 2 line)
4 : NX CMM(自動測定プログラム作成ソフト) : 24.444 USD</t>
  </si>
  <si>
    <t>非接触３次元測定器
(レーザープローブ＋差異分析ソフト)</t>
  </si>
  <si>
    <t>AMS対応（Spica、Leo対応）</t>
  </si>
  <si>
    <t>マイクロスコープ</t>
  </si>
  <si>
    <t>故障による買い替え</t>
  </si>
  <si>
    <t>受入検査自動搬送装置</t>
  </si>
  <si>
    <t>生産性改善</t>
  </si>
  <si>
    <t>受入検査自動搬送対応 CMMオプションソフト</t>
  </si>
  <si>
    <t>3Dハンディスキャン</t>
  </si>
  <si>
    <r>
      <rPr>
        <b/>
        <sz val="9"/>
        <color theme="1"/>
        <rFont val="ＭＳ Ｐゴシック"/>
        <family val="3"/>
        <charset val="128"/>
      </rPr>
      <t xml:space="preserve">4月:
</t>
    </r>
    <r>
      <rPr>
        <sz val="9"/>
        <color theme="1"/>
        <rFont val="ＭＳ Ｐゴシック"/>
        <family val="3"/>
        <charset val="128"/>
      </rPr>
      <t xml:space="preserve">X線使用人の牛乳: 1.800.000vnđ(sữa),Tiệc khuấy động năm tài chính
決起コンパ（対象：全部門）: 200.000 /人(45 /人) 
</t>
    </r>
    <r>
      <rPr>
        <b/>
        <sz val="9"/>
        <color theme="1"/>
        <rFont val="ＭＳ Ｐゴシック"/>
        <family val="3"/>
        <charset val="128"/>
      </rPr>
      <t xml:space="preserve">5月:
</t>
    </r>
    <r>
      <rPr>
        <sz val="9"/>
        <color theme="1"/>
        <rFont val="ＭＳ Ｐゴシック"/>
        <family val="3"/>
        <charset val="128"/>
      </rPr>
      <t xml:space="preserve">X線使用人の牛乳: 1.800.0000vnđ(sữa); 社員旅行 : 1.890.000vnđ*45người(du lịch), 健康診断khám sức khỏe người mới : 3*175.000 vnd/người
</t>
    </r>
    <r>
      <rPr>
        <b/>
        <sz val="9"/>
        <color theme="1"/>
        <rFont val="ＭＳ Ｐゴシック"/>
        <family val="3"/>
        <charset val="128"/>
      </rPr>
      <t>6月:</t>
    </r>
    <r>
      <rPr>
        <sz val="9"/>
        <color theme="1"/>
        <rFont val="ＭＳ Ｐゴシック"/>
        <family val="3"/>
        <charset val="128"/>
      </rPr>
      <t xml:space="preserve"> 
X線使用人の牛乳:1.800.000vnđ(sữa); 線X-R使用人の健康診断（5人）： 5 * 506.000vnđ, 
</t>
    </r>
    <r>
      <rPr>
        <b/>
        <sz val="9"/>
        <color theme="1"/>
        <rFont val="ＭＳ Ｐゴシック"/>
        <family val="3"/>
        <charset val="128"/>
      </rPr>
      <t xml:space="preserve">7月
</t>
    </r>
    <r>
      <rPr>
        <sz val="9"/>
        <color theme="1"/>
        <rFont val="ＭＳ Ｐゴシック"/>
        <family val="3"/>
        <charset val="128"/>
      </rPr>
      <t xml:space="preserve">X線使用人の牛乳:1.800.000vnđ(sữa);フィロソフィ論文参加賞: 100.000/人(42人) sô phi, 健康診断khám sức khỏe người mới : 2*175.000 vnd/người
</t>
    </r>
    <r>
      <rPr>
        <b/>
        <sz val="9"/>
        <color theme="1"/>
        <rFont val="ＭＳ Ｐゴシック"/>
        <family val="3"/>
        <charset val="128"/>
      </rPr>
      <t xml:space="preserve">8月:
</t>
    </r>
    <r>
      <rPr>
        <sz val="9"/>
        <color theme="1"/>
        <rFont val="ＭＳ Ｐゴシック"/>
        <family val="3"/>
        <charset val="128"/>
      </rPr>
      <t xml:space="preserve">X線使用人の牛乳:1.800.000vnđ(sữa)
</t>
    </r>
    <r>
      <rPr>
        <b/>
        <sz val="9"/>
        <color theme="1"/>
        <rFont val="ＭＳ Ｐゴシック"/>
        <family val="3"/>
        <charset val="128"/>
      </rPr>
      <t xml:space="preserve">9月:
</t>
    </r>
    <r>
      <rPr>
        <sz val="9"/>
        <color theme="1"/>
        <rFont val="ＭＳ Ｐゴシック"/>
        <family val="3"/>
        <charset val="128"/>
      </rPr>
      <t xml:space="preserve">X線使用人の牛乳:1.800.000vnđ(sữa);  </t>
    </r>
    <r>
      <rPr>
        <sz val="9"/>
        <rFont val="ＭＳ Ｐゴシック"/>
        <family val="3"/>
        <charset val="128"/>
      </rPr>
      <t>京セラフェスティバル:47*126.000/人(Lễ hội).</t>
    </r>
    <r>
      <rPr>
        <sz val="9"/>
        <color theme="1"/>
        <rFont val="ＭＳ Ｐゴシック"/>
        <family val="3"/>
        <charset val="128"/>
      </rPr>
      <t xml:space="preserve">
</t>
    </r>
    <r>
      <rPr>
        <b/>
        <sz val="9"/>
        <color theme="1"/>
        <rFont val="ＭＳ Ｐゴシック"/>
        <family val="3"/>
        <charset val="128"/>
      </rPr>
      <t>10月:</t>
    </r>
    <r>
      <rPr>
        <sz val="9"/>
        <color theme="1"/>
        <rFont val="ＭＳ Ｐゴシック"/>
        <family val="3"/>
        <charset val="128"/>
      </rPr>
      <t xml:space="preserve"> 
X線使用人の牛乳:1.800.000vnđ(sữa), 10年勤続記念コンパTiệc kỷ niệm 10 năm gắn bó :549.000/1 người  (2人), 10年勤続記念品Quà kỷ niệm cho CNV 10 năm gắn bó: 382.000/1 người  (2人)月餅 , 47*56.000vnđ/人(bánh trung thu);
</t>
    </r>
    <r>
      <rPr>
        <b/>
        <sz val="9"/>
        <color theme="1"/>
        <rFont val="ＭＳ Ｐゴシック"/>
        <family val="3"/>
        <charset val="128"/>
      </rPr>
      <t>11月</t>
    </r>
    <r>
      <rPr>
        <sz val="9"/>
        <color theme="1"/>
        <rFont val="ＭＳ Ｐゴシック"/>
        <family val="3"/>
        <charset val="128"/>
      </rPr>
      <t xml:space="preserve">:
X線使用人の牛乳:1.800.000vnđ(sữa); 運動会 </t>
    </r>
    <r>
      <rPr>
        <sz val="9"/>
        <rFont val="ＭＳ Ｐゴシック"/>
        <family val="3"/>
        <charset val="128"/>
      </rPr>
      <t>(Đại hội thể thao-47 người): 47*107.000vnđ,</t>
    </r>
    <r>
      <rPr>
        <sz val="9"/>
        <color theme="1"/>
        <rFont val="ＭＳ Ｐゴシック"/>
        <family val="3"/>
        <charset val="128"/>
      </rPr>
      <t xml:space="preserve">
</t>
    </r>
    <r>
      <rPr>
        <b/>
        <sz val="9"/>
        <color theme="1"/>
        <rFont val="ＭＳ Ｐゴシック"/>
        <family val="3"/>
        <charset val="128"/>
      </rPr>
      <t>12月:</t>
    </r>
    <r>
      <rPr>
        <sz val="9"/>
        <color theme="1"/>
        <rFont val="ＭＳ Ｐゴシック"/>
        <family val="3"/>
        <charset val="128"/>
      </rPr>
      <t xml:space="preserve"> 
X線使用人の牛乳:1.800.000vnđ(sữa); 健康診断khám sứ khỏe: 189.000/Nam(14人), 204.000/Nữ (28人), 線X-R使用人の健康診断（5人）：506.000/人, 
</t>
    </r>
    <r>
      <rPr>
        <b/>
        <sz val="9"/>
        <color theme="1"/>
        <rFont val="ＭＳ Ｐゴシック"/>
        <family val="3"/>
        <charset val="128"/>
      </rPr>
      <t>2026年1月</t>
    </r>
    <r>
      <rPr>
        <sz val="9"/>
        <color theme="1"/>
        <rFont val="ＭＳ Ｐゴシック"/>
        <family val="3"/>
        <charset val="128"/>
      </rPr>
      <t xml:space="preserve">: X線使用人の牛乳 :1800.000vnđ(sữa); 忘年会補助金 Hỗ trợ tiệc tất niên : 300.000/人
</t>
    </r>
    <r>
      <rPr>
        <b/>
        <sz val="9"/>
        <color theme="1"/>
        <rFont val="ＭＳ Ｐゴシック"/>
        <family val="3"/>
        <charset val="128"/>
      </rPr>
      <t>2026年2月</t>
    </r>
    <r>
      <rPr>
        <sz val="9"/>
        <color theme="1"/>
        <rFont val="ＭＳ Ｐゴシック"/>
        <family val="3"/>
        <charset val="128"/>
      </rPr>
      <t xml:space="preserve">: X線使用人の牛乳 :1.800.000vnđ(sữa), お年玉 Tiền lì xì : 100.000/人(47人).
</t>
    </r>
    <r>
      <rPr>
        <b/>
        <sz val="9"/>
        <color theme="1"/>
        <rFont val="ＭＳ Ｐゴシック"/>
        <family val="3"/>
        <charset val="128"/>
      </rPr>
      <t>2026年3月:</t>
    </r>
    <r>
      <rPr>
        <sz val="9"/>
        <color theme="1"/>
        <rFont val="ＭＳ Ｐゴシック"/>
        <family val="3"/>
        <charset val="128"/>
      </rPr>
      <t>X線使用人の牛乳 :1.800.000vnđ(sữa).</t>
    </r>
  </si>
  <si>
    <t>ポケットカレンダー Lịch bỏ túi : 800*50</t>
  </si>
  <si>
    <t xml:space="preserve">MFG)TOOLS FURNITURE AND FIXTURES
4月:受入検査自動搬送装置 : 13.333 USD/60月 = 222.217$/月
受入検査自動搬送対応 CMMオプションソフト 24.800USD/60月= 413.33$/月
マイクロスコープ (Máy kính hiển vi) 59.109$/60月＝985.15$/月
5月 : 3Dハンディスキャン: 41.463 USD /60月= 691.05$/月
10月: 非接触３次元測定器
(レーザープローブ＋差異分析ソフト) 138313.8$/84月＝1646.6$/月
</t>
  </si>
  <si>
    <t>Lãi suất chi phí cố định dụng cụ đo
納入された時のﾚｰﾄで購入金額算出*0.3%
5月:受入検査自動搬送装置 : 13.333 USD*0.003 = 39.999 $/月
受入検査自動搬送対応 CMMオプションソフト 24.800 USD*0.003= 74.4  $/月
マイクロスコープ (Máy kính hiển vi) 59.109 USD*0.003＝177.327 $/月
6月 : 3Dハンディスキャン: 41.463 USD *0.003 = 124.389 $/月
11月: 非接触３次元測定器
(レーザープローブ＋差異分析ソフト) 138313.8 USD *0.003＝414.9414 $/月</t>
  </si>
  <si>
    <t xml:space="preserve">制服(夏)Áo ngắn tay áo mới : 165.000 (tháng 4 phát đồng phục mới 2 chiếc/người)
</t>
  </si>
  <si>
    <t>制服（冬）áo dài tay,áo mới : 175.000( tháng 4 phát đồng phục mới 2 chiếc/người)</t>
  </si>
  <si>
    <t xml:space="preserve">4月:
JIG-SP/G:10*2.000.000 VND, Laptop: 21.065.000 VND, Chuột máy tính PCのマウス: 2*220.000 VND, サンプル保管用の棚 Kệ sắt (KIT) : 6.000.000 VND, Đèn Pin　外観検査用ライト: 375.000 VND/chiếc (2 chiếc),ﾌﾞﾚｰﾄﾞﾏｲｸﾛﾒｰﾀ Panme đo rãnh(B/M) : 2.500.000 VND, 椅子 Ghế: 3*505.000 VND, Bàn làm việc 机: 5.000.000 VND , 電源コンセント ổ điện : 400.000 VND,サンプル保管用の棚  Kệ sắt  : 6.000.000 VND, RAM : 850.000 VND,Ổ cứng (lưu chương trình máy đo) : 2.700.000 VND,
5月:
CMM針Đầu kim CMM: 1*5.500.000 VND, ﾏｲｸﾛﾒｰﾀ Panme : 6.500.000 VND, Đèn Pin　外観検査用ライト: 375.000 VND/chiếc (2 chiếc),,  椅子 Ghế: 3*505.000 VND, Laptop: 21.065.000 VND, Chuột máy tính PCのマウス: 2*220.000 VND, Mastergear: 1500 USD, JIG-SP/G:10*2.000.000 VND,  Bàn làm việc 机: 5.000.000 VND, 電源コンセント ổ điện : 400.000 VND, サンプル保管用の棚  Kệ sắt  : 6.000.000 VND,椅子 Ghế(họp) : 450.000 VND/CHIẾC(4 CHIẾC),RAM : 850.000 VND.
6月:
CMM針Đầu kim CMM: 1*6.500.000 VND,  H/G針 Đầu kim H/G : 350.000 VND, Đèn Pin　外観検査用ライト: 375.000VND/chiếc (2 chiếc), Kính Lúp虫眼鏡 : 950.000 VND,  椅子 Ghế: 3*505.000 VND, 電子秤(ﾃﾞｼﾞﾀﾙはかり) Cân điện tử : 10.000.000 VND, Block V : 9.000.000 ((1set: 2 PCS),  Laptop:21.065.000 VND, Chuột máy tính PCのマウス : 2*220.000 VND, Mastergear: 1500 USD, JIG-SP/G:10*2.000.000 VND, サンプル保管用の棚  Kệ sắt  : 6.000.000  VND, 電源コンセント ổ điện : 400.000 VND,Bàn làm việc 机: 5.000.000 VND,椅子 Ghế(họp) : 450.000 VND/CHIẾC(6 CHIẾC),RAM : 850.000 VND.
7月 : 
SRMI針 Đầu kim SRMI :  7.000.000 VND, H/Gダイヤルゲージ Đồng hồ so H/G: 2.500.000 VND, Đèn Pin　外観検査用ライト: 375.000 VND/chiếc (2 chiếc), 椅子 Ghế: 3*505.000 VND,  Block V : 9.000.000 ((1set: 2 PCS),  Laptop:21.065.000 VND, Chuột máy tính PCのマウス : 2*220.000 VND, Bàn làm việc 机: 5.000.000 VND, サンプル保管用の棚  Kệ sắt  : 6.000.000  VND, Mastergear: 1500 USD,【超音波カッター】máy cắt sóng từ: 9.000.000 VND,RAM : 850.000 VND,Bộ JIG Gá : 10.000.000 VND,Bộ chốt gá : 8.500.000 VND.
8月:
 ﾉｷﾞｽ Thước cặp(300mm) : 4.000.000 VND, 椅子 Ghế: 3*505.000 VND, 移動式テーブル Bàn di động : 3.000.000 VND,  Block V : 9.000.000 (1set: 2 PCS), Laptop:21.065.000 VND, Chuột máy tính PCのマウス : 2*220.000 VND, JIG-SP/G:10*2.000.000 VND, サンプル保管用の棚  Kệ sắt  : 6.000.000  VND, Mastergear: 1500 USD, Đèn Pin　外観検査用ライト: 375.000 VND/chiếc (2 chiếc),Bộ JIG Gá : 10.000.000  VND.
9月:
 Laptop:21.065.000 VND, Chuột máy tính PCのマウス : 1*220.000 VND,  Kính Lúp虫眼鏡 : 950.000 VND,  椅子 Ghế: 3*505.000 VND,   Block V : 9.000.000 ((1set: 2 PCS), サンプル保管用の棚  Kệ sắt  : 6.000.000  VND, Mastergear: 1500 USD,Bộ JIG Gá : 10.000.000  VND.,Bộ chốt gá : 8.500.000 VND.
10月:
,椅子 Ghế: 3*505.000 VND, D/I 針Đầu kim D/I : 1.570.000 VND,  JIG-SP/G:10*2.000.000 VND,  サンプル保管用の棚  Kệ sắt  : 6.000.000  VND,Laptop:21.065.000 VND, Chuột máy tính PCのマウス : 1*220.000 VND
11月:
 椅子 Ghế: 3*505.000 VND, Laptop:21.065.000 VND,Chuột máy tính PCのマウス : 1*220.000 VND,
12月:
JIG-SP/G:10*2.000.000 VND, 椅子 Ghế: 1*505.000 VND,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</si>
</sst>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&quot;¥&quot;#,##0;[Red]&quot;¥&quot;\-#,##0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  <numFmt numFmtId="183" formatCode="&quot;レート: 1USD = &quot;#,##0&quot; VND&quot;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206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43" fillId="3" borderId="0" applyNumberFormat="0" applyBorder="0" applyAlignment="0" applyProtection="0"/>
    <xf numFmtId="0" fontId="44" fillId="20" borderId="1" applyNumberFormat="0" applyAlignment="0" applyProtection="0"/>
    <xf numFmtId="0" fontId="45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47" fillId="4" borderId="0" applyNumberFormat="0" applyBorder="0" applyAlignment="0" applyProtection="0"/>
    <xf numFmtId="0" fontId="48" fillId="0" borderId="3" applyNumberFormat="0" applyFill="0" applyAlignment="0" applyProtection="0"/>
    <xf numFmtId="0" fontId="49" fillId="0" borderId="4" applyNumberFormat="0" applyFill="0" applyAlignment="0" applyProtection="0"/>
    <xf numFmtId="0" fontId="50" fillId="0" borderId="5" applyNumberFormat="0" applyFill="0" applyAlignment="0" applyProtection="0"/>
    <xf numFmtId="0" fontId="50" fillId="0" borderId="0" applyNumberFormat="0" applyFill="0" applyBorder="0" applyAlignment="0" applyProtection="0"/>
    <xf numFmtId="0" fontId="51" fillId="7" borderId="1" applyNumberFormat="0" applyAlignment="0" applyProtection="0"/>
    <xf numFmtId="0" fontId="52" fillId="0" borderId="6" applyNumberFormat="0" applyFill="0" applyAlignment="0" applyProtection="0"/>
    <xf numFmtId="0" fontId="53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4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/>
    <xf numFmtId="0" fontId="56" fillId="0" borderId="9" applyNumberFormat="0" applyFill="0" applyAlignment="0" applyProtection="0"/>
    <xf numFmtId="0" fontId="57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59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40" fontId="1" fillId="0" borderId="0" applyFont="0" applyFill="0" applyBorder="0" applyAlignment="0" applyProtection="0"/>
    <xf numFmtId="40" fontId="1" fillId="0" borderId="0" applyFont="0" applyFill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40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1" fillId="0" borderId="0" applyBorder="0"/>
    <xf numFmtId="0" fontId="1" fillId="0" borderId="0" applyBorder="0"/>
    <xf numFmtId="0" fontId="1" fillId="0" borderId="0" applyBorder="0"/>
    <xf numFmtId="0" fontId="1" fillId="23" borderId="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3" borderId="7" applyNumberFormat="0" applyFont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" fillId="0" borderId="0"/>
    <xf numFmtId="40" fontId="1" fillId="0" borderId="0" applyFont="0" applyFill="0" applyBorder="0" applyAlignment="0" applyProtection="0"/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 applyBorder="0"/>
  </cellStyleXfs>
  <cellXfs count="318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8" borderId="26" xfId="169" applyNumberFormat="1" applyFont="1" applyFill="1" applyBorder="1" applyAlignment="1">
      <alignment horizontal="center" vertical="center"/>
    </xf>
    <xf numFmtId="49" fontId="34" fillId="28" borderId="26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29" borderId="28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2" fillId="0" borderId="0" xfId="67" applyFont="1" applyFill="1" applyAlignment="1">
      <alignment horizontal="center" vertical="center"/>
    </xf>
    <xf numFmtId="169" fontId="72" fillId="0" borderId="0" xfId="67" applyNumberFormat="1" applyFont="1" applyFill="1" applyAlignment="1">
      <alignment horizontal="center" vertical="center"/>
    </xf>
    <xf numFmtId="168" fontId="73" fillId="25" borderId="10" xfId="67" applyNumberFormat="1" applyFont="1" applyFill="1" applyBorder="1" applyAlignment="1">
      <alignment horizontal="center" vertical="center"/>
    </xf>
    <xf numFmtId="168" fontId="73" fillId="25" borderId="29" xfId="67" applyNumberFormat="1" applyFont="1" applyFill="1" applyBorder="1" applyAlignment="1">
      <alignment horizontal="center" vertical="center"/>
    </xf>
    <xf numFmtId="38" fontId="73" fillId="25" borderId="11" xfId="67" applyFont="1" applyFill="1" applyBorder="1" applyAlignment="1">
      <alignment horizontal="center" vertical="center"/>
    </xf>
    <xf numFmtId="38" fontId="73" fillId="25" borderId="12" xfId="67" applyFont="1" applyFill="1" applyBorder="1" applyAlignment="1">
      <alignment horizontal="center" vertical="center"/>
    </xf>
    <xf numFmtId="169" fontId="72" fillId="0" borderId="0" xfId="68" applyNumberFormat="1" applyFont="1" applyFill="1" applyAlignment="1">
      <alignment horizontal="center" vertical="center"/>
    </xf>
    <xf numFmtId="168" fontId="74" fillId="0" borderId="0" xfId="0" applyNumberFormat="1" applyFont="1" applyFill="1"/>
    <xf numFmtId="0" fontId="0" fillId="0" borderId="0" xfId="129" applyFont="1"/>
    <xf numFmtId="40" fontId="72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8" fillId="30" borderId="0" xfId="0" applyNumberFormat="1" applyFont="1" applyFill="1" applyAlignment="1" applyProtection="1">
      <alignment horizontal="centerContinuous"/>
      <protection locked="0"/>
    </xf>
    <xf numFmtId="178" fontId="11" fillId="30" borderId="0" xfId="0" applyNumberFormat="1" applyFont="1" applyFill="1" applyAlignment="1" applyProtection="1">
      <alignment horizontal="centerContinuous"/>
      <protection locked="0"/>
    </xf>
    <xf numFmtId="167" fontId="60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0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1" fillId="0" borderId="0" xfId="169" applyNumberFormat="1" applyFont="1" applyAlignment="1">
      <alignment horizontal="center" vertical="center"/>
    </xf>
    <xf numFmtId="49" fontId="61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5" fillId="0" borderId="0" xfId="0" applyNumberFormat="1" applyFont="1"/>
    <xf numFmtId="0" fontId="76" fillId="0" borderId="0" xfId="0" applyFont="1"/>
    <xf numFmtId="38" fontId="76" fillId="0" borderId="0" xfId="67" applyFont="1" applyAlignment="1">
      <alignment horizontal="center" vertical="center"/>
    </xf>
    <xf numFmtId="38" fontId="76" fillId="0" borderId="0" xfId="67" applyFont="1"/>
    <xf numFmtId="0" fontId="76" fillId="0" borderId="0" xfId="0" applyFont="1" applyFill="1"/>
    <xf numFmtId="0" fontId="61" fillId="0" borderId="0" xfId="169" applyFont="1" applyAlignment="1">
      <alignment horizontal="center" vertical="center"/>
    </xf>
    <xf numFmtId="0" fontId="62" fillId="31" borderId="0" xfId="0" applyFont="1" applyFill="1"/>
    <xf numFmtId="180" fontId="72" fillId="0" borderId="0" xfId="67" applyNumberFormat="1" applyFont="1" applyAlignment="1">
      <alignment horizontal="center" vertical="center"/>
    </xf>
    <xf numFmtId="180" fontId="72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0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1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0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1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29" borderId="10" xfId="0" applyNumberFormat="1" applyFont="1" applyFill="1" applyBorder="1" applyAlignment="1" applyProtection="1">
      <alignment horizontal="center"/>
      <protection locked="0"/>
    </xf>
    <xf numFmtId="1" fontId="76" fillId="0" borderId="0" xfId="0" applyNumberFormat="1" applyFont="1"/>
    <xf numFmtId="1" fontId="8" fillId="25" borderId="29" xfId="0" applyNumberFormat="1" applyFont="1" applyFill="1" applyBorder="1" applyAlignment="1">
      <alignment horizontal="center" vertical="center" wrapText="1"/>
    </xf>
    <xf numFmtId="1" fontId="5" fillId="32" borderId="32" xfId="0" applyNumberFormat="1" applyFont="1" applyFill="1" applyBorder="1" applyAlignment="1" applyProtection="1">
      <alignment horizontal="center"/>
      <protection locked="0"/>
    </xf>
    <xf numFmtId="1" fontId="5" fillId="32" borderId="33" xfId="0" applyNumberFormat="1" applyFont="1" applyFill="1" applyBorder="1" applyAlignment="1" applyProtection="1">
      <alignment horizontal="center"/>
      <protection locked="0"/>
    </xf>
    <xf numFmtId="1" fontId="5" fillId="32" borderId="34" xfId="0" applyNumberFormat="1" applyFont="1" applyFill="1" applyBorder="1" applyAlignment="1" applyProtection="1">
      <alignment horizontal="center"/>
      <protection locked="0"/>
    </xf>
    <xf numFmtId="1" fontId="5" fillId="0" borderId="33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2" borderId="0" xfId="0" applyNumberFormat="1" applyFont="1" applyFill="1"/>
    <xf numFmtId="40" fontId="5" fillId="0" borderId="19" xfId="0" applyNumberFormat="1" applyFont="1" applyFill="1" applyBorder="1"/>
    <xf numFmtId="40" fontId="77" fillId="0" borderId="35" xfId="0" applyNumberFormat="1" applyFont="1" applyFill="1" applyBorder="1"/>
    <xf numFmtId="40" fontId="5" fillId="0" borderId="35" xfId="0" applyNumberFormat="1" applyFont="1" applyFill="1" applyBorder="1" applyAlignment="1">
      <alignment horizontal="center"/>
    </xf>
    <xf numFmtId="40" fontId="72" fillId="33" borderId="36" xfId="68" applyNumberFormat="1" applyFont="1" applyFill="1" applyBorder="1" applyAlignment="1" applyProtection="1">
      <alignment horizontal="right" vertical="center"/>
      <protection locked="0"/>
    </xf>
    <xf numFmtId="40" fontId="5" fillId="33" borderId="36" xfId="67" applyNumberFormat="1" applyFont="1" applyFill="1" applyBorder="1" applyProtection="1">
      <protection locked="0"/>
    </xf>
    <xf numFmtId="40" fontId="5" fillId="33" borderId="36" xfId="0" applyNumberFormat="1" applyFont="1" applyFill="1" applyBorder="1" applyAlignment="1" applyProtection="1">
      <alignment wrapText="1"/>
      <protection locked="0"/>
    </xf>
    <xf numFmtId="40" fontId="5" fillId="0" borderId="36" xfId="0" applyNumberFormat="1" applyFont="1" applyFill="1" applyBorder="1" applyAlignment="1" applyProtection="1">
      <alignment wrapText="1"/>
      <protection locked="0"/>
    </xf>
    <xf numFmtId="40" fontId="78" fillId="0" borderId="0" xfId="0" applyNumberFormat="1" applyFont="1"/>
    <xf numFmtId="40" fontId="5" fillId="0" borderId="0" xfId="0" applyNumberFormat="1" applyFont="1"/>
    <xf numFmtId="40" fontId="77" fillId="0" borderId="37" xfId="0" applyNumberFormat="1" applyFont="1" applyFill="1" applyBorder="1"/>
    <xf numFmtId="40" fontId="5" fillId="0" borderId="37" xfId="0" applyNumberFormat="1" applyFont="1" applyFill="1" applyBorder="1" applyAlignment="1">
      <alignment horizontal="center"/>
    </xf>
    <xf numFmtId="40" fontId="72" fillId="33" borderId="38" xfId="68" applyNumberFormat="1" applyFont="1" applyFill="1" applyBorder="1" applyAlignment="1" applyProtection="1">
      <alignment horizontal="right" vertical="center"/>
      <protection locked="0"/>
    </xf>
    <xf numFmtId="40" fontId="5" fillId="33" borderId="39" xfId="67" applyNumberFormat="1" applyFont="1" applyFill="1" applyBorder="1" applyProtection="1">
      <protection locked="0"/>
    </xf>
    <xf numFmtId="40" fontId="5" fillId="33" borderId="39" xfId="0" applyNumberFormat="1" applyFont="1" applyFill="1" applyBorder="1" applyAlignment="1" applyProtection="1">
      <alignment wrapText="1"/>
      <protection locked="0"/>
    </xf>
    <xf numFmtId="40" fontId="5" fillId="0" borderId="39" xfId="0" applyNumberFormat="1" applyFont="1" applyFill="1" applyBorder="1" applyAlignment="1" applyProtection="1">
      <alignment wrapText="1"/>
      <protection locked="0"/>
    </xf>
    <xf numFmtId="40" fontId="9" fillId="0" borderId="40" xfId="0" applyNumberFormat="1" applyFont="1" applyFill="1" applyBorder="1"/>
    <xf numFmtId="40" fontId="5" fillId="0" borderId="40" xfId="0" applyNumberFormat="1" applyFont="1" applyFill="1" applyBorder="1" applyAlignment="1">
      <alignment horizontal="center"/>
    </xf>
    <xf numFmtId="40" fontId="5" fillId="33" borderId="38" xfId="67" applyNumberFormat="1" applyFont="1" applyFill="1" applyBorder="1" applyProtection="1">
      <protection locked="0"/>
    </xf>
    <xf numFmtId="40" fontId="5" fillId="33" borderId="38" xfId="0" applyNumberFormat="1" applyFont="1" applyFill="1" applyBorder="1" applyProtection="1">
      <protection locked="0"/>
    </xf>
    <xf numFmtId="40" fontId="5" fillId="0" borderId="38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1" xfId="0" applyNumberFormat="1" applyFont="1" applyFill="1" applyBorder="1" applyAlignment="1">
      <alignment horizontal="center"/>
    </xf>
    <xf numFmtId="40" fontId="5" fillId="33" borderId="42" xfId="67" applyNumberFormat="1" applyFont="1" applyFill="1" applyBorder="1" applyProtection="1">
      <protection locked="0"/>
    </xf>
    <xf numFmtId="40" fontId="5" fillId="33" borderId="42" xfId="0" applyNumberFormat="1" applyFont="1" applyFill="1" applyBorder="1" applyProtection="1">
      <protection locked="0"/>
    </xf>
    <xf numFmtId="40" fontId="5" fillId="0" borderId="42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1" borderId="31" xfId="0" applyNumberFormat="1" applyFont="1" applyFill="1" applyBorder="1"/>
    <xf numFmtId="40" fontId="9" fillId="31" borderId="41" xfId="0" applyNumberFormat="1" applyFont="1" applyFill="1" applyBorder="1"/>
    <xf numFmtId="40" fontId="5" fillId="31" borderId="41" xfId="0" applyNumberFormat="1" applyFont="1" applyFill="1" applyBorder="1" applyAlignment="1">
      <alignment horizontal="center"/>
    </xf>
    <xf numFmtId="40" fontId="72" fillId="31" borderId="38" xfId="68" applyNumberFormat="1" applyFont="1" applyFill="1" applyBorder="1" applyAlignment="1" applyProtection="1">
      <alignment horizontal="right" vertical="center"/>
      <protection locked="0"/>
    </xf>
    <xf numFmtId="40" fontId="5" fillId="31" borderId="42" xfId="67" applyNumberFormat="1" applyFont="1" applyFill="1" applyBorder="1" applyProtection="1">
      <protection locked="0"/>
    </xf>
    <xf numFmtId="40" fontId="5" fillId="31" borderId="42" xfId="0" applyNumberFormat="1" applyFont="1" applyFill="1" applyBorder="1" applyProtection="1">
      <protection locked="0"/>
    </xf>
    <xf numFmtId="40" fontId="77" fillId="0" borderId="41" xfId="0" applyNumberFormat="1" applyFont="1" applyFill="1" applyBorder="1"/>
    <xf numFmtId="40" fontId="72" fillId="33" borderId="38" xfId="96" applyNumberFormat="1" applyFont="1" applyFill="1" applyBorder="1" applyAlignment="1" applyProtection="1">
      <alignment horizontal="right" vertical="center"/>
      <protection locked="0"/>
    </xf>
    <xf numFmtId="40" fontId="5" fillId="31" borderId="43" xfId="0" applyNumberFormat="1" applyFont="1" applyFill="1" applyBorder="1"/>
    <xf numFmtId="40" fontId="5" fillId="31" borderId="35" xfId="0" applyNumberFormat="1" applyFont="1" applyFill="1" applyBorder="1"/>
    <xf numFmtId="40" fontId="5" fillId="31" borderId="44" xfId="0" applyNumberFormat="1" applyFont="1" applyFill="1" applyBorder="1" applyAlignment="1">
      <alignment horizontal="center"/>
    </xf>
    <xf numFmtId="40" fontId="72" fillId="31" borderId="36" xfId="68" applyNumberFormat="1" applyFont="1" applyFill="1" applyBorder="1" applyAlignment="1" applyProtection="1">
      <alignment horizontal="right"/>
      <protection locked="0"/>
    </xf>
    <xf numFmtId="40" fontId="5" fillId="31" borderId="39" xfId="67" applyNumberFormat="1" applyFont="1" applyFill="1" applyBorder="1" applyProtection="1">
      <protection locked="0"/>
    </xf>
    <xf numFmtId="40" fontId="5" fillId="31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78" fillId="0" borderId="13" xfId="0" applyNumberFormat="1" applyFont="1" applyBorder="1"/>
    <xf numFmtId="40" fontId="5" fillId="0" borderId="13" xfId="0" applyNumberFormat="1" applyFont="1" applyBorder="1"/>
    <xf numFmtId="40" fontId="5" fillId="32" borderId="0" xfId="0" applyNumberFormat="1" applyFont="1" applyFill="1"/>
    <xf numFmtId="40" fontId="5" fillId="31" borderId="19" xfId="0" applyNumberFormat="1" applyFont="1" applyFill="1" applyBorder="1"/>
    <xf numFmtId="40" fontId="5" fillId="31" borderId="37" xfId="0" applyNumberFormat="1" applyFont="1" applyFill="1" applyBorder="1"/>
    <xf numFmtId="40" fontId="5" fillId="31" borderId="40" xfId="0" applyNumberFormat="1" applyFont="1" applyFill="1" applyBorder="1" applyAlignment="1">
      <alignment horizontal="center"/>
    </xf>
    <xf numFmtId="40" fontId="72" fillId="31" borderId="38" xfId="68" applyNumberFormat="1" applyFont="1" applyFill="1" applyBorder="1" applyAlignment="1" applyProtection="1">
      <alignment horizontal="right"/>
      <protection locked="0"/>
    </xf>
    <xf numFmtId="40" fontId="5" fillId="31" borderId="38" xfId="0" applyNumberFormat="1" applyFont="1" applyFill="1" applyBorder="1" applyProtection="1">
      <protection locked="0"/>
    </xf>
    <xf numFmtId="40" fontId="5" fillId="31" borderId="45" xfId="0" applyNumberFormat="1" applyFont="1" applyFill="1" applyBorder="1"/>
    <xf numFmtId="40" fontId="5" fillId="31" borderId="46" xfId="0" applyNumberFormat="1" applyFont="1" applyFill="1" applyBorder="1"/>
    <xf numFmtId="40" fontId="5" fillId="31" borderId="46" xfId="0" applyNumberFormat="1" applyFont="1" applyFill="1" applyBorder="1" applyAlignment="1">
      <alignment horizontal="center"/>
    </xf>
    <xf numFmtId="40" fontId="72" fillId="31" borderId="47" xfId="68" applyNumberFormat="1" applyFont="1" applyFill="1" applyBorder="1" applyAlignment="1" applyProtection="1">
      <alignment horizontal="right"/>
      <protection locked="0"/>
    </xf>
    <xf numFmtId="40" fontId="5" fillId="31" borderId="47" xfId="67" applyNumberFormat="1" applyFont="1" applyFill="1" applyBorder="1" applyProtection="1">
      <protection locked="0"/>
    </xf>
    <xf numFmtId="40" fontId="5" fillId="31" borderId="47" xfId="0" applyNumberFormat="1" applyFont="1" applyFill="1" applyBorder="1" applyProtection="1">
      <protection locked="0"/>
    </xf>
    <xf numFmtId="40" fontId="5" fillId="0" borderId="47" xfId="0" applyNumberFormat="1" applyFont="1" applyFill="1" applyBorder="1" applyProtection="1">
      <protection locked="0"/>
    </xf>
    <xf numFmtId="40" fontId="5" fillId="0" borderId="37" xfId="0" applyNumberFormat="1" applyFont="1" applyFill="1" applyBorder="1"/>
    <xf numFmtId="40" fontId="72" fillId="33" borderId="38" xfId="68" applyNumberFormat="1" applyFont="1" applyFill="1" applyBorder="1" applyAlignment="1" applyProtection="1">
      <alignment horizontal="right"/>
      <protection locked="0"/>
    </xf>
    <xf numFmtId="40" fontId="72" fillId="33" borderId="38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0" xfId="0" applyNumberFormat="1" applyFont="1" applyFill="1" applyBorder="1"/>
    <xf numFmtId="40" fontId="5" fillId="0" borderId="48" xfId="0" applyNumberFormat="1" applyFont="1" applyFill="1" applyBorder="1" applyAlignment="1">
      <alignment horizontal="center"/>
    </xf>
    <xf numFmtId="40" fontId="5" fillId="32" borderId="40" xfId="0" applyNumberFormat="1" applyFont="1" applyFill="1" applyBorder="1" applyAlignment="1">
      <alignment horizontal="center"/>
    </xf>
    <xf numFmtId="40" fontId="79" fillId="0" borderId="0" xfId="0" applyNumberFormat="1" applyFont="1"/>
    <xf numFmtId="40" fontId="72" fillId="33" borderId="38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4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6" fillId="0" borderId="0" xfId="0" applyFont="1" applyFill="1" applyBorder="1" applyAlignment="1">
      <alignment horizontal="left"/>
    </xf>
    <xf numFmtId="40" fontId="72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0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1" fillId="0" borderId="0" xfId="67" applyNumberFormat="1" applyFont="1" applyFill="1" applyAlignment="1">
      <alignment horizontal="center"/>
    </xf>
    <xf numFmtId="0" fontId="64" fillId="0" borderId="0" xfId="0" applyNumberFormat="1" applyFont="1" applyFill="1" applyBorder="1" applyAlignment="1">
      <alignment horizontal="right" vertical="center"/>
    </xf>
    <xf numFmtId="40" fontId="82" fillId="0" borderId="32" xfId="0" applyNumberFormat="1" applyFont="1" applyFill="1" applyBorder="1" applyAlignment="1">
      <alignment horizontal="center"/>
    </xf>
    <xf numFmtId="40" fontId="82" fillId="0" borderId="49" xfId="0" applyNumberFormat="1" applyFont="1" applyFill="1" applyBorder="1" applyAlignment="1">
      <alignment horizontal="center"/>
    </xf>
    <xf numFmtId="40" fontId="3" fillId="0" borderId="33" xfId="0" applyNumberFormat="1" applyFont="1" applyFill="1" applyBorder="1" applyAlignment="1">
      <alignment horizontal="center"/>
    </xf>
    <xf numFmtId="40" fontId="3" fillId="0" borderId="50" xfId="0" applyNumberFormat="1" applyFont="1" applyFill="1" applyBorder="1" applyAlignment="1">
      <alignment horizontal="center"/>
    </xf>
    <xf numFmtId="40" fontId="82" fillId="0" borderId="50" xfId="0" applyNumberFormat="1" applyFont="1" applyFill="1" applyBorder="1" applyAlignment="1">
      <alignment horizontal="center"/>
    </xf>
    <xf numFmtId="40" fontId="82" fillId="0" borderId="33" xfId="0" applyNumberFormat="1" applyFont="1" applyFill="1" applyBorder="1" applyAlignment="1">
      <alignment horizontal="center"/>
    </xf>
    <xf numFmtId="40" fontId="77" fillId="0" borderId="20" xfId="0" applyNumberFormat="1" applyFont="1" applyFill="1" applyBorder="1"/>
    <xf numFmtId="40" fontId="77" fillId="0" borderId="40" xfId="0" applyNumberFormat="1" applyFont="1" applyFill="1" applyBorder="1"/>
    <xf numFmtId="40" fontId="5" fillId="33" borderId="38" xfId="68" applyNumberFormat="1" applyFont="1" applyFill="1" applyBorder="1" applyAlignment="1" applyProtection="1">
      <alignment horizontal="right" vertical="center"/>
      <protection locked="0"/>
    </xf>
    <xf numFmtId="40" fontId="78" fillId="0" borderId="0" xfId="0" applyNumberFormat="1" applyFont="1" applyAlignment="1">
      <alignment horizontal="right"/>
    </xf>
    <xf numFmtId="40" fontId="77" fillId="0" borderId="31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5" fillId="33" borderId="47" xfId="68" applyNumberFormat="1" applyFont="1" applyFill="1" applyBorder="1" applyAlignment="1" applyProtection="1">
      <alignment horizontal="right" vertical="center"/>
      <protection locked="0"/>
    </xf>
    <xf numFmtId="40" fontId="5" fillId="33" borderId="47" xfId="67" applyNumberFormat="1" applyFont="1" applyFill="1" applyBorder="1" applyProtection="1">
      <protection locked="0"/>
    </xf>
    <xf numFmtId="40" fontId="5" fillId="33" borderId="47" xfId="0" applyNumberFormat="1" applyFont="1" applyFill="1" applyBorder="1" applyProtection="1">
      <protection locked="0"/>
    </xf>
    <xf numFmtId="40" fontId="74" fillId="34" borderId="13" xfId="0" applyNumberFormat="1" applyFont="1" applyFill="1" applyBorder="1" applyAlignment="1">
      <alignment horizontal="center"/>
    </xf>
    <xf numFmtId="38" fontId="83" fillId="0" borderId="0" xfId="68" applyFont="1" applyAlignment="1">
      <alignment horizontal="center" vertical="center"/>
    </xf>
    <xf numFmtId="38" fontId="21" fillId="0" borderId="25" xfId="67" applyFont="1" applyBorder="1" applyAlignment="1" applyProtection="1">
      <protection locked="0"/>
    </xf>
    <xf numFmtId="0" fontId="21" fillId="0" borderId="13" xfId="129" applyBorder="1"/>
    <xf numFmtId="38" fontId="21" fillId="0" borderId="0" xfId="68" applyFont="1" applyAlignment="1">
      <alignment horizontal="right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5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1" xfId="129" applyNumberFormat="1" applyBorder="1" applyAlignment="1">
      <alignment horizontal="center" vertical="center"/>
    </xf>
    <xf numFmtId="0" fontId="0" fillId="0" borderId="52" xfId="129" applyFont="1" applyBorder="1" applyAlignment="1">
      <alignment horizontal="center" vertical="center" wrapText="1"/>
    </xf>
    <xf numFmtId="171" fontId="21" fillId="0" borderId="52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2" xfId="129" applyFont="1" applyBorder="1" applyAlignment="1">
      <alignment horizontal="center" vertical="center"/>
    </xf>
    <xf numFmtId="0" fontId="84" fillId="0" borderId="0" xfId="170" applyFont="1">
      <alignment vertical="center"/>
    </xf>
    <xf numFmtId="182" fontId="84" fillId="0" borderId="0" xfId="170" applyNumberFormat="1" applyFont="1">
      <alignment vertical="center"/>
    </xf>
    <xf numFmtId="172" fontId="84" fillId="0" borderId="0" xfId="170" applyNumberFormat="1" applyFont="1">
      <alignment vertical="center"/>
    </xf>
    <xf numFmtId="0" fontId="84" fillId="0" borderId="0" xfId="170" applyFont="1" applyAlignment="1">
      <alignment horizontal="left" vertical="center"/>
    </xf>
    <xf numFmtId="49" fontId="84" fillId="0" borderId="0" xfId="170" applyNumberFormat="1" applyFont="1" applyAlignment="1">
      <alignment horizontal="left" vertical="center"/>
    </xf>
    <xf numFmtId="182" fontId="84" fillId="0" borderId="0" xfId="170" quotePrefix="1" applyNumberFormat="1" applyFont="1">
      <alignment vertical="center"/>
    </xf>
    <xf numFmtId="0" fontId="0" fillId="31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5" fillId="33" borderId="38" xfId="0" applyNumberFormat="1" applyFont="1" applyFill="1" applyBorder="1" applyAlignment="1" applyProtection="1">
      <alignment vertical="top" wrapText="1"/>
      <protection locked="0"/>
    </xf>
    <xf numFmtId="40" fontId="5" fillId="33" borderId="38" xfId="0" applyNumberFormat="1" applyFont="1" applyFill="1" applyBorder="1" applyAlignment="1" applyProtection="1">
      <alignment wrapText="1"/>
      <protection locked="0"/>
    </xf>
    <xf numFmtId="183" fontId="85" fillId="35" borderId="0" xfId="0" applyNumberFormat="1" applyFont="1" applyFill="1"/>
    <xf numFmtId="40" fontId="5" fillId="33" borderId="38" xfId="67" applyNumberFormat="1" applyFont="1" applyFill="1" applyBorder="1" applyAlignment="1" applyProtection="1">
      <alignment horizontal="center" vertical="center"/>
      <protection locked="0"/>
    </xf>
    <xf numFmtId="40" fontId="72" fillId="33" borderId="38" xfId="0" applyNumberFormat="1" applyFont="1" applyFill="1" applyBorder="1" applyAlignment="1" applyProtection="1">
      <alignment vertical="top" wrapText="1"/>
      <protection locked="0"/>
    </xf>
    <xf numFmtId="40" fontId="5" fillId="33" borderId="38" xfId="0" applyNumberFormat="1" applyFont="1" applyFill="1" applyBorder="1" applyAlignment="1" applyProtection="1">
      <alignment horizontal="left" vertical="center" wrapText="1"/>
      <protection locked="0"/>
    </xf>
    <xf numFmtId="0" fontId="84" fillId="36" borderId="0" xfId="170" applyFont="1" applyFill="1" applyAlignment="1">
      <alignment horizontal="left" vertical="center"/>
    </xf>
    <xf numFmtId="0" fontId="84" fillId="36" borderId="0" xfId="170" applyFont="1" applyFill="1">
      <alignment vertical="center"/>
    </xf>
    <xf numFmtId="182" fontId="84" fillId="36" borderId="0" xfId="170" quotePrefix="1" applyNumberFormat="1" applyFont="1" applyFill="1">
      <alignment vertical="center"/>
    </xf>
    <xf numFmtId="40" fontId="5" fillId="36" borderId="37" xfId="0" applyNumberFormat="1" applyFont="1" applyFill="1" applyBorder="1"/>
    <xf numFmtId="40" fontId="5" fillId="36" borderId="19" xfId="0" applyNumberFormat="1" applyFont="1" applyFill="1" applyBorder="1"/>
    <xf numFmtId="1" fontId="5" fillId="36" borderId="33" xfId="0" applyNumberFormat="1" applyFont="1" applyFill="1" applyBorder="1" applyAlignment="1" applyProtection="1">
      <alignment horizontal="center"/>
      <protection locked="0"/>
    </xf>
    <xf numFmtId="0" fontId="5" fillId="36" borderId="50" xfId="0" applyFont="1" applyFill="1" applyBorder="1" applyAlignment="1">
      <alignment horizontal="center" vertical="center"/>
    </xf>
    <xf numFmtId="0" fontId="5" fillId="36" borderId="49" xfId="0" applyFont="1" applyFill="1" applyBorder="1" applyAlignment="1">
      <alignment horizontal="center" vertical="center"/>
    </xf>
    <xf numFmtId="0" fontId="1" fillId="0" borderId="24" xfId="194" applyBorder="1" applyProtection="1">
      <protection locked="0"/>
    </xf>
    <xf numFmtId="0" fontId="1" fillId="0" borderId="25" xfId="194" applyBorder="1" applyProtection="1">
      <protection locked="0"/>
    </xf>
    <xf numFmtId="0" fontId="0" fillId="0" borderId="24" xfId="194" applyFont="1" applyBorder="1" applyProtection="1">
      <protection locked="0"/>
    </xf>
    <xf numFmtId="4" fontId="1" fillId="0" borderId="24" xfId="194" applyNumberFormat="1" applyBorder="1" applyAlignment="1" applyProtection="1">
      <alignment horizontal="center"/>
      <protection locked="0"/>
    </xf>
    <xf numFmtId="4" fontId="1" fillId="0" borderId="24" xfId="194" applyNumberFormat="1" applyBorder="1" applyProtection="1">
      <protection locked="0"/>
    </xf>
    <xf numFmtId="4" fontId="1" fillId="0" borderId="25" xfId="194" applyNumberFormat="1" applyBorder="1"/>
    <xf numFmtId="0" fontId="1" fillId="0" borderId="24" xfId="194" applyBorder="1" applyAlignment="1" applyProtection="1">
      <alignment horizontal="left"/>
      <protection locked="0"/>
    </xf>
    <xf numFmtId="4" fontId="1" fillId="0" borderId="24" xfId="194" applyNumberFormat="1" applyBorder="1" applyAlignment="1" applyProtection="1">
      <alignment horizontal="left"/>
      <protection locked="0"/>
    </xf>
    <xf numFmtId="40" fontId="5" fillId="36" borderId="40" xfId="0" applyNumberFormat="1" applyFont="1" applyFill="1" applyBorder="1" applyAlignment="1">
      <alignment horizontal="center"/>
    </xf>
  </cellXfs>
  <cellStyles count="206">
    <cellStyle name="_FY2014 MP作成依頼（KDTCN).1207(3)" xfId="1" xr:uid="{E9152EA0-3C12-41F7-BB88-68508631E192}"/>
    <cellStyle name="20% - Accent1" xfId="2" xr:uid="{E574EBD8-B54A-4ADB-BED0-6FF42D62E140}"/>
    <cellStyle name="20% - Accent2" xfId="3" xr:uid="{1CF5EAB3-406C-4377-95CC-1C12CCC12530}"/>
    <cellStyle name="20% - Accent3" xfId="4" xr:uid="{FFBDF975-6038-43CF-B777-5B3D51A78BA9}"/>
    <cellStyle name="20% - Accent4" xfId="5" xr:uid="{86CF2453-A245-43BB-B55E-ABDE3F2A41D1}"/>
    <cellStyle name="20% - Accent5" xfId="6" xr:uid="{14B12DD0-FF8F-4301-A13F-C597B98408AE}"/>
    <cellStyle name="20% - Accent6" xfId="7" xr:uid="{4CA8D072-6501-45FB-9AC7-DDAE01E9A151}"/>
    <cellStyle name="20% - アクセント 1" xfId="8" xr:uid="{4C580B08-6B41-4E41-8CA4-79A84DC59059}"/>
    <cellStyle name="20% - アクセント 1 2" xfId="9" xr:uid="{1B14F02E-DC9F-4A9A-8895-B694E5C8FFF5}"/>
    <cellStyle name="20% - アクセント 2" xfId="10" xr:uid="{2015AC96-6860-44B7-A3E8-B24DC5D5B16B}"/>
    <cellStyle name="20% - アクセント 2 2" xfId="11" xr:uid="{52754053-6937-429F-A125-DFBA2BDE78EE}"/>
    <cellStyle name="20% - アクセント 3" xfId="12" xr:uid="{9D1F3D3A-4AFE-4D27-B136-FAE284F6030A}"/>
    <cellStyle name="20% - アクセント 3 2" xfId="13" xr:uid="{D750B21E-E140-489F-943D-AA5A5B751F95}"/>
    <cellStyle name="20% - アクセント 4" xfId="14" xr:uid="{3041C9EA-2F61-4B60-A96F-89F9FEB7737F}"/>
    <cellStyle name="20% - アクセント 4 2" xfId="15" xr:uid="{E66BA281-8FF8-42E0-A7D7-54E9CA42247D}"/>
    <cellStyle name="20% - アクセント 5" xfId="16" xr:uid="{C78E4C07-65CF-4DF4-8D3E-D2FD3F318B27}"/>
    <cellStyle name="20% - アクセント 5 2" xfId="17" xr:uid="{032B0127-5997-493D-A495-C20A95588F0B}"/>
    <cellStyle name="20% - アクセント 6" xfId="18" xr:uid="{4273C639-DBEB-4BCE-9BA3-2EB1255E39DA}"/>
    <cellStyle name="20% - アクセント 6 2" xfId="19" xr:uid="{372B80B1-3F8D-437C-BA3D-E54FB76C6106}"/>
    <cellStyle name="3232" xfId="20" xr:uid="{70E07802-DC62-43BB-A468-D8CEB5711321}"/>
    <cellStyle name="40% - Accent1" xfId="21" xr:uid="{7476898F-FFAA-470B-997D-99AAC907AF50}"/>
    <cellStyle name="40% - Accent2" xfId="22" xr:uid="{02DFA8AE-FB4E-4121-8018-17A6D0DBE3FE}"/>
    <cellStyle name="40% - Accent3" xfId="23" xr:uid="{85B850B4-7A66-45B4-93B4-08A5EB5DCB61}"/>
    <cellStyle name="40% - Accent4" xfId="24" xr:uid="{F226EC3B-6656-466F-9A30-EB31FCD4574D}"/>
    <cellStyle name="40% - Accent5" xfId="25" xr:uid="{B8E3723E-E272-46F3-9B35-0D1C46F7283B}"/>
    <cellStyle name="40% - Accent6" xfId="26" xr:uid="{2278A8C8-E1B6-4339-A840-F7D94AD886E4}"/>
    <cellStyle name="40% - アクセント 1" xfId="27" xr:uid="{7A8CD129-7698-495C-A654-92825ECCDB11}"/>
    <cellStyle name="40% - アクセント 1 2" xfId="28" xr:uid="{642AC6F0-F335-4293-94AE-E69A2EF6E3A8}"/>
    <cellStyle name="40% - アクセント 2" xfId="29" xr:uid="{557E825C-CC2D-4917-B951-FF77E1E5DBC5}"/>
    <cellStyle name="40% - アクセント 2 2" xfId="30" xr:uid="{74A1EE6F-2707-4FB3-871E-01235A89D428}"/>
    <cellStyle name="40% - アクセント 3" xfId="31" xr:uid="{8C522303-6AC1-4E93-BAD3-5C6062477F7F}"/>
    <cellStyle name="40% - アクセント 3 2" xfId="32" xr:uid="{0D71D5B7-D08F-4675-A2A4-20CD0E66A021}"/>
    <cellStyle name="40% - アクセント 4" xfId="33" xr:uid="{2F5094B0-2B66-4E03-BA3A-D88A01BE8A56}"/>
    <cellStyle name="40% - アクセント 4 2" xfId="34" xr:uid="{32636564-517A-4717-B491-7D1A04742BCE}"/>
    <cellStyle name="40% - アクセント 5" xfId="35" xr:uid="{1F51F29F-E651-4910-A3A5-67AF602A2AB2}"/>
    <cellStyle name="40% - アクセント 5 2" xfId="36" xr:uid="{95DC2966-11D3-4B16-B319-1C92362D7FB4}"/>
    <cellStyle name="40% - アクセント 6" xfId="37" xr:uid="{2C513430-6928-4E0F-A23A-C41A78BA7660}"/>
    <cellStyle name="40% - アクセント 6 2" xfId="38" xr:uid="{C92F74BC-AC1D-4AFE-95A0-6602A158FA0B}"/>
    <cellStyle name="60% - Accent1" xfId="39" xr:uid="{65605BA0-95A6-474D-84D4-19DC95E3D8A7}"/>
    <cellStyle name="60% - Accent2" xfId="40" xr:uid="{F6C4910F-255C-45E4-A863-F8F097A45FF9}"/>
    <cellStyle name="60% - Accent3" xfId="41" xr:uid="{4A4AB138-11ED-46AC-A08E-BF77FA8C994D}"/>
    <cellStyle name="60% - Accent4" xfId="42" xr:uid="{733D5AC9-01BA-41C2-BBD7-BFC63F1B4A8C}"/>
    <cellStyle name="60% - Accent5" xfId="43" xr:uid="{53E926F2-22B5-4B2F-B789-CEDFC53531F0}"/>
    <cellStyle name="60% - Accent6" xfId="44" xr:uid="{1EA36A27-F3A1-4F68-9D30-E262B39C04DD}"/>
    <cellStyle name="60% - アクセント 1" xfId="45" xr:uid="{BE259DA0-AAFD-43B7-824F-C6D30F8F38C1}"/>
    <cellStyle name="60% - アクセント 1 2" xfId="46" xr:uid="{59D1DFD4-5AB2-4B64-9879-04FF32C34CB5}"/>
    <cellStyle name="60% - アクセント 2" xfId="47" xr:uid="{50F31828-5923-45C3-8FCD-B2052ED49CA2}"/>
    <cellStyle name="60% - アクセント 2 2" xfId="48" xr:uid="{26C104F7-65BE-46CB-80EA-D1BBEBE699C0}"/>
    <cellStyle name="60% - アクセント 3" xfId="49" xr:uid="{359264FD-2BC0-473B-BC1F-51E29309E4A4}"/>
    <cellStyle name="60% - アクセント 3 2" xfId="50" xr:uid="{D69D7A16-23AC-41DE-8814-328BE2715D78}"/>
    <cellStyle name="60% - アクセント 4" xfId="51" xr:uid="{4AE6B4C7-C51C-4BB3-9EDB-BC73E6531AF7}"/>
    <cellStyle name="60% - アクセント 4 2" xfId="52" xr:uid="{FC68554F-3195-43D0-A75C-4F9BCA47CACA}"/>
    <cellStyle name="60% - アクセント 5" xfId="53" xr:uid="{7DE583B6-8D88-4356-92BA-7CCE88760F56}"/>
    <cellStyle name="60% - アクセント 5 2" xfId="54" xr:uid="{55FE3F9D-64B6-4A46-A9D8-53B993E3252C}"/>
    <cellStyle name="60% - アクセント 6" xfId="55" xr:uid="{2EDFB44E-DB8D-4397-BCF0-E3E73E5F5E14}"/>
    <cellStyle name="60% - アクセント 6 2" xfId="56" xr:uid="{31D30950-EDF0-4E88-82EC-0BB9286033B2}"/>
    <cellStyle name="Accent1" xfId="57" xr:uid="{B0DAC80C-06EB-49ED-98DE-92EB419EF622}"/>
    <cellStyle name="Accent2" xfId="58" xr:uid="{575A4983-2A3B-44B1-A138-4694FC3DC32A}"/>
    <cellStyle name="Accent3" xfId="59" xr:uid="{623C747B-16FC-4C7F-B2D0-B5FD64C26D52}"/>
    <cellStyle name="Accent4" xfId="60" xr:uid="{97138FE3-A2EF-413F-8AA1-94B7AC9E8866}"/>
    <cellStyle name="Accent5" xfId="61" xr:uid="{B280AE56-29C4-4959-8C3F-DF84A0737238}"/>
    <cellStyle name="Accent6" xfId="62" xr:uid="{30E6EF13-0A31-4AD5-BF36-ADB425979DCF}"/>
    <cellStyle name="Bad" xfId="63" xr:uid="{2EDD5BEA-F0D5-42FE-8BEE-49ED9B373169}"/>
    <cellStyle name="Calculation" xfId="64" xr:uid="{B00DE2E5-288C-4976-9453-605049E7F0A2}"/>
    <cellStyle name="Check Cell" xfId="65" xr:uid="{E2E88414-4B5E-48A8-A974-47F3BE348A43}"/>
    <cellStyle name="Comma" xfId="66" builtinId="3"/>
    <cellStyle name="Comma [0]" xfId="67" builtinId="6"/>
    <cellStyle name="Comma [0] 2" xfId="68" xr:uid="{799B30AF-A05A-442B-BFBD-601FC687CAD8}"/>
    <cellStyle name="Comma [0] 2 2" xfId="69" xr:uid="{942B15C6-1EA3-4210-B213-90938471B63D}"/>
    <cellStyle name="Comma [0] 2 2 2" xfId="175" xr:uid="{FD15448F-04FB-47EB-91E6-653662233501}"/>
    <cellStyle name="Comma [0] 2 3" xfId="174" xr:uid="{27EBCC49-CA72-4164-9596-E66DBCAAC599}"/>
    <cellStyle name="Comma [0] 3" xfId="70" xr:uid="{B6A12DC5-7559-458C-865A-AA176E42CFDD}"/>
    <cellStyle name="Comma [0] 4" xfId="71" xr:uid="{48954544-D6F1-4775-8198-DE580457E5BB}"/>
    <cellStyle name="Comma [0] 4 2" xfId="176" xr:uid="{6F69A4E8-F15A-4148-AE71-3AAA1736D80C}"/>
    <cellStyle name="Comma 2" xfId="72" xr:uid="{67DB886F-D940-4E01-8BF2-CDBDD9A66546}"/>
    <cellStyle name="Comma 2 2" xfId="177" xr:uid="{0D153A52-ED4D-4409-964A-EC66057551E5}"/>
    <cellStyle name="Comma 2 3" xfId="73" xr:uid="{6448FB8C-2FAF-426E-8412-190F42B74807}"/>
    <cellStyle name="Comma 3" xfId="74" xr:uid="{9B944311-79C7-443C-97D3-2D759B2EAE86}"/>
    <cellStyle name="Comma 3 2" xfId="178" xr:uid="{04FE4084-4473-45BC-A4E7-CCFE4728CFFC}"/>
    <cellStyle name="Comma 3 2 2" xfId="75" xr:uid="{08D74147-1EED-4EDA-A92A-097B0BAA7998}"/>
    <cellStyle name="Comma 4" xfId="76" xr:uid="{402656D5-6331-47F3-A572-DA93018F4F2B}"/>
    <cellStyle name="Comma 4 2" xfId="179" xr:uid="{99A548CF-CAAC-4D40-93B1-7059175F6AEA}"/>
    <cellStyle name="Comma 5" xfId="77" xr:uid="{8E01D201-2DD6-4531-B444-B455C242F567}"/>
    <cellStyle name="Comma 5 2" xfId="180" xr:uid="{1350862C-A3E7-4923-89D5-5441D7FF7C1A}"/>
    <cellStyle name="Comma 6" xfId="78" xr:uid="{C034504F-6141-4FFE-9A23-31FEA4BB7929}"/>
    <cellStyle name="Comma 6 2" xfId="181" xr:uid="{73F377AC-B48A-43A0-84FD-60A9CA8F761B}"/>
    <cellStyle name="Currency [0] 2" xfId="79" xr:uid="{34B79845-972F-4E73-B802-D7646C26F6A1}"/>
    <cellStyle name="Currency [0] 2 2" xfId="182" xr:uid="{807810B9-4DA4-4821-875F-09435EC5A320}"/>
    <cellStyle name="Explanatory Text" xfId="80" xr:uid="{3B4BC6BA-D568-4BCF-8ED5-2B6D4660A1F2}"/>
    <cellStyle name="Good" xfId="81" xr:uid="{8483F7CA-ACB4-4E30-A845-F65502BA1B08}"/>
    <cellStyle name="Heading 1" xfId="82" xr:uid="{3CA49000-72A5-439B-BD6A-B335591193F0}"/>
    <cellStyle name="Heading 2" xfId="83" xr:uid="{F0AFB03C-ADB7-42FE-B2C4-32D09C9CC6EF}"/>
    <cellStyle name="Heading 3" xfId="84" xr:uid="{8E805B87-927C-4FBE-BD4B-A6D969CA3A97}"/>
    <cellStyle name="Heading 4" xfId="85" xr:uid="{90F7024D-AB11-4546-8169-23F7021B290E}"/>
    <cellStyle name="Input" xfId="86" xr:uid="{79820EC2-4B14-4132-AC47-D4BD560B1833}"/>
    <cellStyle name="Linked Cell" xfId="87" xr:uid="{AD4C60F9-6A2C-4CDC-B89E-9248AF33AA46}"/>
    <cellStyle name="Neutral" xfId="88" xr:uid="{BA343DE2-E45A-4788-82CA-5A61D3C36444}"/>
    <cellStyle name="Normal" xfId="0" builtinId="0"/>
    <cellStyle name="Normal 2" xfId="89" xr:uid="{F28F323D-CFA3-48FE-957A-E693143CEC60}"/>
    <cellStyle name="Normal 2 2" xfId="90" xr:uid="{E1D81B5E-200F-4BCE-8F88-B18B0F00FF2E}"/>
    <cellStyle name="Normal 2 2 2" xfId="184" xr:uid="{3CFCBB46-873B-4201-8500-C428054C76E2}"/>
    <cellStyle name="Normal 2 3" xfId="183" xr:uid="{C6A283D2-CC54-4A05-9D27-0A725847EAFC}"/>
    <cellStyle name="Normal 3" xfId="91" xr:uid="{C2E726AB-0015-4BA0-BDE3-56939ADFF617}"/>
    <cellStyle name="Normal 4" xfId="92" xr:uid="{D63DFC21-179E-4CF1-8501-BB21EEB524CA}"/>
    <cellStyle name="Normal 4 2" xfId="185" xr:uid="{356F1CAB-6F2C-48F3-9682-C78C36101215}"/>
    <cellStyle name="Normal 5" xfId="93" xr:uid="{0DD4F9A7-B5F0-4AD2-AD3E-9D93B83DC38A}"/>
    <cellStyle name="Normal 5 2" xfId="186" xr:uid="{65A5F44E-333B-4A9C-BA09-62AD0F6C7EF3}"/>
    <cellStyle name="Note" xfId="94" xr:uid="{A1AD95F8-645E-4E13-87A5-19AFD569A193}"/>
    <cellStyle name="Note 2" xfId="187" xr:uid="{61B97B3C-B0FE-400F-BA38-AC8B1914DC56}"/>
    <cellStyle name="Output" xfId="95" xr:uid="{BE4B6D89-5C9E-4C38-B320-C59E08601667}"/>
    <cellStyle name="Percent 2" xfId="96" xr:uid="{195E1658-49CE-42E7-A8CD-221CEA493AA7}"/>
    <cellStyle name="Percent 2 2" xfId="188" xr:uid="{1A8B38E8-B5A9-4694-9F3B-A6FAC4DDB805}"/>
    <cellStyle name="Percent 3" xfId="97" xr:uid="{EF03DB87-69FE-4734-983A-7A88F7B8B44C}"/>
    <cellStyle name="Percent 3 2" xfId="189" xr:uid="{83E5EF13-4037-42D9-A71A-CAEDF0340B91}"/>
    <cellStyle name="Title" xfId="98" xr:uid="{AE3DF70A-62F0-4710-835C-503B27CDE2D0}"/>
    <cellStyle name="Total" xfId="99" xr:uid="{7F3ADD4D-CBCC-412E-BA24-95F70B802C51}"/>
    <cellStyle name="Warning Text" xfId="100" xr:uid="{E8F72F09-6B16-40D6-9C2F-98D90E401EF4}"/>
    <cellStyle name="アクセント 1" xfId="101" xr:uid="{FFB8912C-107A-4302-8AEA-43C8B5B8FC36}"/>
    <cellStyle name="アクセント 1 2" xfId="102" xr:uid="{E1876A75-75DE-4406-8B5B-A63F38248FE8}"/>
    <cellStyle name="アクセント 2" xfId="103" xr:uid="{5C477398-24FB-47EB-B4F6-1E77A3040872}"/>
    <cellStyle name="アクセント 2 2" xfId="104" xr:uid="{7009AB05-5D75-4E3B-8CA1-0739B61F04EA}"/>
    <cellStyle name="アクセント 3" xfId="105" xr:uid="{DA6C5F7B-CB95-4B6D-B9D3-310061E500F5}"/>
    <cellStyle name="アクセント 3 2" xfId="106" xr:uid="{F49D96D7-0A37-4710-8EBF-9B6E2E1771BB}"/>
    <cellStyle name="アクセント 4" xfId="107" xr:uid="{6A546A77-7DDD-46EE-805F-78A850F2241F}"/>
    <cellStyle name="アクセント 4 2" xfId="108" xr:uid="{9587783F-8182-4BB7-AA8D-765EE7E04030}"/>
    <cellStyle name="アクセント 5" xfId="109" xr:uid="{BD98CD62-3531-42B7-A043-C7C44313EE28}"/>
    <cellStyle name="アクセント 5 2" xfId="110" xr:uid="{449F042E-696D-49FE-9043-32A1FCA8D24D}"/>
    <cellStyle name="アクセント 6" xfId="111" xr:uid="{9842D063-BB24-485E-AC2E-02C27744172D}"/>
    <cellStyle name="アクセント 6 2" xfId="112" xr:uid="{1383423D-9293-4293-86E4-85F06CC60C15}"/>
    <cellStyle name="タイトル" xfId="113" xr:uid="{C921BAE3-5AE1-4700-A62E-4F650BD2D2AA}"/>
    <cellStyle name="タイトル 2" xfId="114" xr:uid="{8C188F20-E15C-4D49-9313-C10B8C0AF8C3}"/>
    <cellStyle name="チェック セル" xfId="115" xr:uid="{EAF8346B-F9F0-483C-916D-C338F3542031}"/>
    <cellStyle name="チェック セル 2" xfId="116" xr:uid="{9D5C1D87-BBF5-4387-B437-C9EDB77F959E}"/>
    <cellStyle name="どちらでもない" xfId="117" xr:uid="{4C0C1B9A-3B18-4E5F-8892-4F33A7843DE5}"/>
    <cellStyle name="どちらでもない 2" xfId="118" xr:uid="{C3E3D046-F929-4866-9334-4F64A91E34CC}"/>
    <cellStyle name="パーセント 2" xfId="119" xr:uid="{DD9D5000-41FA-4779-AAD6-965C42EEBD6E}"/>
    <cellStyle name="パーセント 2 2" xfId="190" xr:uid="{4B894642-4A6B-4929-8AA9-901EE677CC45}"/>
    <cellStyle name="パーセント 3" xfId="120" xr:uid="{B486FA42-C619-4F06-A9F4-D4EB5219A8BC}"/>
    <cellStyle name="パーセント 3 2" xfId="121" xr:uid="{F4CA1759-8E88-4E31-9CDE-DCF90EDE5134}"/>
    <cellStyle name="パーセント 3 2 2" xfId="191" xr:uid="{121321D8-324E-4356-AB2D-26BEB60E4B7B}"/>
    <cellStyle name="メモ" xfId="122" xr:uid="{A3D3C225-BBE0-4393-98C2-A6D4B30D86BF}"/>
    <cellStyle name="メモ 2" xfId="123" xr:uid="{BBC70777-171F-4533-A09D-573208B8C907}"/>
    <cellStyle name="メモ 2 2" xfId="193" xr:uid="{C362F994-9467-418F-9409-7B30E648A6D9}"/>
    <cellStyle name="メモ 3" xfId="192" xr:uid="{E090E441-C3B3-426B-9EB9-86425C501C4F}"/>
    <cellStyle name="リンク セル" xfId="124" xr:uid="{D1E5508F-C859-4FE1-915C-15381F607716}"/>
    <cellStyle name="リンク セル 2" xfId="125" xr:uid="{5F3BA38F-EAD8-4967-A60E-1FBDFA7B2E96}"/>
    <cellStyle name="一般_KMHK FY2008 時間当り採算 2007年4月 ( Month Plan )" xfId="128" xr:uid="{5819952D-68EA-46E0-B16B-952FE8F0CFD1}"/>
    <cellStyle name="一般_設備投資金額一覽表" xfId="129" xr:uid="{2C96216E-ACBB-4B55-BA89-7F4EEFFE16B4}"/>
    <cellStyle name="一般_設備投資金額一覽表 2" xfId="194" xr:uid="{EF75B60C-ED14-4708-8F42-F5A5C5679EED}"/>
    <cellStyle name="入力" xfId="161" xr:uid="{1D25D261-AC29-4617-A5CD-3F9753C5F1B6}"/>
    <cellStyle name="入力 2" xfId="162" xr:uid="{46487D3B-F49A-422E-A2FA-3589F4702A38}"/>
    <cellStyle name="出力" xfId="154" xr:uid="{222040C5-A12A-4226-940A-7278B6099369}"/>
    <cellStyle name="出力 2" xfId="155" xr:uid="{7B271E3E-89B2-4D46-887F-51B235097938}"/>
    <cellStyle name="常规_総生産分析(0605-0606)" xfId="156" xr:uid="{DBB57F5E-4905-46D8-8ADC-60FB997F5176}"/>
    <cellStyle name="悪い" xfId="126" xr:uid="{37672F1A-1A44-442F-BEAD-397AAAD49A34}"/>
    <cellStyle name="悪い 2" xfId="127" xr:uid="{86E2766A-9CDC-4DE2-B703-6BA6AA9DBAF4}"/>
    <cellStyle name="未定義" xfId="171" xr:uid="{33F4D25E-B417-4F52-A439-422AF6746CC4}"/>
    <cellStyle name="桁区切り [0.00] 2" xfId="134" xr:uid="{17BE8BB9-B3EA-4BD9-9EB0-335B43380D1C}"/>
    <cellStyle name="桁区切り [0.00] 2 2" xfId="135" xr:uid="{456E2CE0-69BA-4712-85F5-EF993A47C9D2}"/>
    <cellStyle name="桁区切り [0.00] 2 2 2" xfId="196" xr:uid="{0CFE0A46-71AF-4204-A1A8-F19041FBFC92}"/>
    <cellStyle name="桁区切り [0.00] 2 3" xfId="136" xr:uid="{E2706EA9-2811-48DC-91F1-DE4626B10CD2}"/>
    <cellStyle name="桁区切り [0.00] 2 4" xfId="195" xr:uid="{B0EF8737-7EFC-42E7-B374-86D87B8CD47C}"/>
    <cellStyle name="桁区切り 2" xfId="137" xr:uid="{2B923EA0-47FE-4FDC-9728-196CB9164ED3}"/>
    <cellStyle name="桁区切り 2 2" xfId="138" xr:uid="{0016D73F-CB9A-45F4-B997-0EACC06E1A1E}"/>
    <cellStyle name="桁区切り 2 3" xfId="139" xr:uid="{B2B5804E-95E4-44A6-9612-373F856F7353}"/>
    <cellStyle name="桁区切り 2 3 2" xfId="198" xr:uid="{DC9F5F81-B9A9-405D-A7F8-A3B5C0BF1E29}"/>
    <cellStyle name="桁区切り 2 4" xfId="197" xr:uid="{70F7C558-2631-46AC-848F-B7BA53516034}"/>
    <cellStyle name="桁区切り 3" xfId="140" xr:uid="{AC943111-1B2C-4442-BEB0-0E6D6FBBD8BA}"/>
    <cellStyle name="桁区切り 3 2" xfId="199" xr:uid="{71606B23-E3BD-420B-9348-90C7CCD6CCBE}"/>
    <cellStyle name="桁区切り 4" xfId="141" xr:uid="{C146F943-1D49-43F3-8D26-696ABBC6DB8B}"/>
    <cellStyle name="桁区切り 5" xfId="142" xr:uid="{5DB2EDEA-D12F-4DE2-8A73-5B16C1EAF056}"/>
    <cellStyle name="桁区切り 6" xfId="143" xr:uid="{F88C6FD7-73B3-43A9-9353-93DE1AE8B460}"/>
    <cellStyle name="標準 2" xfId="163" xr:uid="{CF2D13A3-3069-49A2-9352-778AB9F50B2C}"/>
    <cellStyle name="標準 2 2" xfId="164" xr:uid="{B3FD975C-0D3E-4A15-9103-EC792B1E5372}"/>
    <cellStyle name="標準 2 2 2" xfId="203" xr:uid="{E8643958-AFEE-4664-8D88-A1BB5E5808AA}"/>
    <cellStyle name="標準 2 3" xfId="202" xr:uid="{7959E06C-4126-4DA2-AF1F-42AF60A208A5}"/>
    <cellStyle name="標準 3" xfId="165" xr:uid="{DD0866F3-7E69-40A5-9647-CA200AFBC19B}"/>
    <cellStyle name="標準 3 2" xfId="166" xr:uid="{34D3D2D2-C69E-4C69-8F93-AB1610D0CAF0}"/>
    <cellStyle name="標準 3 2 2" xfId="204" xr:uid="{9F35EB42-ADFD-4648-BC9C-E0D367C39B30}"/>
    <cellStyle name="標準 4" xfId="167" xr:uid="{9A573764-0E80-4026-9B15-E2A6EF83755A}"/>
    <cellStyle name="標準 4 2" xfId="168" xr:uid="{E15CCBF1-717C-400B-8960-6D79AE602652}"/>
    <cellStyle name="標準 4 2 2" xfId="205" xr:uid="{3C5362A4-B728-4320-8E6E-74D786D1BBE3}"/>
    <cellStyle name="標準_★予定用採算表フォーム（製造課用）" xfId="169" xr:uid="{22A2531B-E362-43D6-88A4-74096A8B2858}"/>
    <cellStyle name="標準_KDTVN 2012年9月1日付原価センタ" xfId="170" xr:uid="{12B6A106-FDF6-4612-81BF-DDD1971003A2}"/>
    <cellStyle name="良い" xfId="172" xr:uid="{31C55521-B055-49F7-8758-A5699841BF9C}"/>
    <cellStyle name="良い 2" xfId="173" xr:uid="{FFE8D55B-AD39-4F15-B824-7431462B67CF}"/>
    <cellStyle name="見出し 1" xfId="144" xr:uid="{7BD99D02-D491-4264-818B-CDBD0AEEE9A6}"/>
    <cellStyle name="見出し 1 2" xfId="145" xr:uid="{E759557A-B1FF-4FFC-996A-8858EB976CC9}"/>
    <cellStyle name="見出し 2" xfId="146" xr:uid="{1A8C1537-8FA2-4539-9016-79B70E5E9088}"/>
    <cellStyle name="見出し 2 2" xfId="147" xr:uid="{332C2273-4A0B-43CC-A561-2ACD6AFFBBBE}"/>
    <cellStyle name="見出し 3" xfId="148" xr:uid="{C7099115-4137-4F63-9A7D-62ABEC232426}"/>
    <cellStyle name="見出し 3 2" xfId="149" xr:uid="{72D5D964-D834-4A73-A7CC-1AD3507B02F8}"/>
    <cellStyle name="見出し 4" xfId="150" xr:uid="{3CF5CFD4-7152-4582-99A0-383ABD0AB850}"/>
    <cellStyle name="見出し 4 2" xfId="151" xr:uid="{6EE96314-2EA5-48F9-B238-94E4097A29B4}"/>
    <cellStyle name="計算" xfId="130" xr:uid="{B29EFC5B-FE40-462F-971D-D00F059C8E75}"/>
    <cellStyle name="計算 2" xfId="131" xr:uid="{576E90AE-23D8-40D2-B0D0-BB45801F7EA6}"/>
    <cellStyle name="説明文" xfId="157" xr:uid="{EED9A7D8-05EA-4018-B1D3-41E4E0416C7A}"/>
    <cellStyle name="説明文 2" xfId="158" xr:uid="{09CA3447-8C78-4BF6-87A0-B53B84C3CECC}"/>
    <cellStyle name="警告文" xfId="132" xr:uid="{7E2BB80A-A737-4609-8C70-7BC73166DB15}"/>
    <cellStyle name="警告文 2" xfId="133" xr:uid="{B525E982-2211-44B7-9F4B-1C9BE9D5BD8C}"/>
    <cellStyle name="通貨 2" xfId="159" xr:uid="{F35EB3F4-E163-4B50-B850-0EC0506C2CC9}"/>
    <cellStyle name="通貨 2 2" xfId="200" xr:uid="{40763B1E-838B-4B28-93E7-9F71C04EA9B8}"/>
    <cellStyle name="通貨 3" xfId="160" xr:uid="{093A44AD-A4A2-4F72-9518-2D5696342A6C}"/>
    <cellStyle name="通貨 3 2" xfId="201" xr:uid="{1D2841C9-38CA-409D-AB8C-F048B5E85B3C}"/>
    <cellStyle name="集計" xfId="152" xr:uid="{167054AA-4048-4A7B-A28B-E9ECFB67215A}"/>
    <cellStyle name="集計 2" xfId="153" xr:uid="{6FDAB63D-E8C7-4B0C-B5D6-6E45A3E28BF5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721B-0601-4707-ACFE-97E209B7D8A0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5" t="str">
        <f>'採算表(VND)'!C1</f>
        <v>MP FY2026_各予定</v>
      </c>
      <c r="D1" s="96"/>
      <c r="E1" s="96"/>
      <c r="F1" s="97"/>
      <c r="G1" s="97"/>
      <c r="H1" s="97"/>
      <c r="I1" s="96"/>
      <c r="J1" s="97"/>
      <c r="K1" s="96"/>
      <c r="L1" s="98"/>
      <c r="M1" s="96"/>
      <c r="N1" s="101">
        <f>'内訳ﾘｽﾄ(4～3月)'!B2</f>
        <v>25390</v>
      </c>
      <c r="O1" s="93"/>
    </row>
    <row r="2" spans="1:15" ht="14.25" customHeight="1" thickBot="1">
      <c r="B2" s="21" t="str">
        <f>'採算表(VND)'!B2</f>
        <v>部品検査2課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2"/>
      <c r="O2" s="52"/>
    </row>
    <row r="3" spans="1:15" ht="11.25" customHeight="1">
      <c r="C3" s="68"/>
      <c r="D3" s="68"/>
      <c r="E3" s="63"/>
      <c r="F3" s="68"/>
      <c r="G3" s="68"/>
      <c r="H3" s="63"/>
      <c r="I3" s="68"/>
      <c r="J3" s="63"/>
      <c r="K3" s="68"/>
      <c r="L3" s="68"/>
      <c r="M3" s="68"/>
      <c r="N3" s="68"/>
      <c r="O3" s="68"/>
    </row>
    <row r="4" spans="1:15">
      <c r="A4" s="24"/>
      <c r="B4" s="25" t="s">
        <v>71</v>
      </c>
      <c r="C4" s="67">
        <f>'採算表(VND)'!C4</f>
        <v>4</v>
      </c>
      <c r="D4" s="67">
        <f>'採算表(VND)'!D4</f>
        <v>5</v>
      </c>
      <c r="E4" s="67">
        <f>'採算表(VND)'!E4</f>
        <v>6</v>
      </c>
      <c r="F4" s="67">
        <f>'採算表(VND)'!F4</f>
        <v>7</v>
      </c>
      <c r="G4" s="67">
        <f>'採算表(VND)'!G4</f>
        <v>8</v>
      </c>
      <c r="H4" s="67">
        <f>'採算表(VND)'!H4</f>
        <v>9</v>
      </c>
      <c r="I4" s="67">
        <f>'採算表(VND)'!I4</f>
        <v>10</v>
      </c>
      <c r="J4" s="67">
        <f>'採算表(VND)'!J4</f>
        <v>11</v>
      </c>
      <c r="K4" s="67">
        <f>'採算表(VND)'!K4</f>
        <v>12</v>
      </c>
      <c r="L4" s="67">
        <f>'採算表(VND)'!L4</f>
        <v>1</v>
      </c>
      <c r="M4" s="67">
        <f>'採算表(VND)'!M4</f>
        <v>2</v>
      </c>
      <c r="N4" s="67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6">
        <f>C8+C9</f>
        <v>0</v>
      </c>
      <c r="D5" s="126">
        <f t="shared" ref="D5:O5" si="0">D8+D9</f>
        <v>0</v>
      </c>
      <c r="E5" s="126">
        <f t="shared" si="0"/>
        <v>0</v>
      </c>
      <c r="F5" s="126">
        <f t="shared" si="0"/>
        <v>0</v>
      </c>
      <c r="G5" s="126">
        <f t="shared" si="0"/>
        <v>0</v>
      </c>
      <c r="H5" s="126">
        <f t="shared" si="0"/>
        <v>0</v>
      </c>
      <c r="I5" s="126">
        <f t="shared" si="0"/>
        <v>0</v>
      </c>
      <c r="J5" s="126">
        <f t="shared" si="0"/>
        <v>0</v>
      </c>
      <c r="K5" s="126">
        <f t="shared" si="0"/>
        <v>0</v>
      </c>
      <c r="L5" s="126">
        <f t="shared" si="0"/>
        <v>0</v>
      </c>
      <c r="M5" s="126">
        <f t="shared" si="0"/>
        <v>0</v>
      </c>
      <c r="N5" s="126">
        <f t="shared" si="0"/>
        <v>0</v>
      </c>
      <c r="O5" s="126">
        <f t="shared" si="0"/>
        <v>0</v>
      </c>
    </row>
    <row r="6" spans="1:15" ht="11.25" customHeight="1">
      <c r="A6" s="26"/>
      <c r="B6" s="29" t="s">
        <v>141</v>
      </c>
      <c r="C6" s="127">
        <f>ROUNDDOWN('採算表(VND)'!C6/$N$1,2)</f>
        <v>0</v>
      </c>
      <c r="D6" s="127">
        <f>ROUNDDOWN('採算表(VND)'!D6/$N$1,2)</f>
        <v>0</v>
      </c>
      <c r="E6" s="127">
        <f>ROUNDDOWN('採算表(VND)'!E6/$N$1,2)</f>
        <v>0</v>
      </c>
      <c r="F6" s="127">
        <f>ROUNDDOWN('採算表(VND)'!F6/$N$1,2)</f>
        <v>0</v>
      </c>
      <c r="G6" s="127">
        <f>ROUNDDOWN('採算表(VND)'!G6/$N$1,2)</f>
        <v>0</v>
      </c>
      <c r="H6" s="127">
        <f>ROUNDDOWN('採算表(VND)'!H6/$N$1,2)</f>
        <v>0</v>
      </c>
      <c r="I6" s="127">
        <f>ROUNDDOWN('採算表(VND)'!I6/$N$1,2)</f>
        <v>0</v>
      </c>
      <c r="J6" s="127">
        <f>ROUNDDOWN('採算表(VND)'!J6/$N$1,2)</f>
        <v>0</v>
      </c>
      <c r="K6" s="127">
        <f>ROUNDDOWN('採算表(VND)'!K6/$N$1,2)</f>
        <v>0</v>
      </c>
      <c r="L6" s="127">
        <f>ROUNDDOWN('採算表(VND)'!L6/$N$1,2)</f>
        <v>0</v>
      </c>
      <c r="M6" s="127">
        <f>ROUNDDOWN('採算表(VND)'!M6/$N$1,2)</f>
        <v>0</v>
      </c>
      <c r="N6" s="127">
        <f>ROUNDDOWN('採算表(VND)'!N6/$N$1,2)</f>
        <v>0</v>
      </c>
      <c r="O6" s="127">
        <f>SUM(C6:N6)</f>
        <v>0</v>
      </c>
    </row>
    <row r="7" spans="1:15" ht="11.25" customHeight="1">
      <c r="A7" s="26"/>
      <c r="B7" s="30" t="s">
        <v>112</v>
      </c>
      <c r="C7" s="128">
        <f>ROUNDDOWN('採算表(VND)'!C7/$N$1,2)</f>
        <v>0</v>
      </c>
      <c r="D7" s="128">
        <f>ROUNDDOWN('採算表(VND)'!D7/$N$1,2)</f>
        <v>0</v>
      </c>
      <c r="E7" s="128">
        <f>ROUNDDOWN('採算表(VND)'!E7/$N$1,2)</f>
        <v>0</v>
      </c>
      <c r="F7" s="128">
        <f>ROUNDDOWN('採算表(VND)'!F7/$N$1,2)</f>
        <v>0</v>
      </c>
      <c r="G7" s="128">
        <f>ROUNDDOWN('採算表(VND)'!G7/$N$1,2)</f>
        <v>0</v>
      </c>
      <c r="H7" s="128">
        <f>ROUNDDOWN('採算表(VND)'!H7/$N$1,2)</f>
        <v>0</v>
      </c>
      <c r="I7" s="128">
        <f>ROUNDDOWN('採算表(VND)'!I7/$N$1,2)</f>
        <v>0</v>
      </c>
      <c r="J7" s="128">
        <f>ROUNDDOWN('採算表(VND)'!J7/$N$1,2)</f>
        <v>0</v>
      </c>
      <c r="K7" s="128">
        <f>ROUNDDOWN('採算表(VND)'!K7/$N$1,2)</f>
        <v>0</v>
      </c>
      <c r="L7" s="128">
        <f>ROUNDDOWN('採算表(VND)'!L7/$N$1,2)</f>
        <v>0</v>
      </c>
      <c r="M7" s="128">
        <f>ROUNDDOWN('採算表(VND)'!M7/$N$1,2)</f>
        <v>0</v>
      </c>
      <c r="N7" s="128">
        <f>ROUNDDOWN('採算表(VND)'!N7/$N$1,2)</f>
        <v>0</v>
      </c>
      <c r="O7" s="128">
        <f>SUM(C7:N7)</f>
        <v>0</v>
      </c>
    </row>
    <row r="8" spans="1:15" ht="11.25" customHeight="1">
      <c r="A8" s="26"/>
      <c r="B8" s="31" t="s">
        <v>85</v>
      </c>
      <c r="C8" s="129">
        <f t="shared" ref="C8:O8" si="1">C6+C7</f>
        <v>0</v>
      </c>
      <c r="D8" s="129">
        <f t="shared" si="1"/>
        <v>0</v>
      </c>
      <c r="E8" s="129">
        <f t="shared" si="1"/>
        <v>0</v>
      </c>
      <c r="F8" s="129">
        <f t="shared" si="1"/>
        <v>0</v>
      </c>
      <c r="G8" s="129">
        <f t="shared" si="1"/>
        <v>0</v>
      </c>
      <c r="H8" s="129">
        <f t="shared" si="1"/>
        <v>0</v>
      </c>
      <c r="I8" s="129">
        <f t="shared" si="1"/>
        <v>0</v>
      </c>
      <c r="J8" s="129">
        <f t="shared" si="1"/>
        <v>0</v>
      </c>
      <c r="K8" s="129">
        <f t="shared" si="1"/>
        <v>0</v>
      </c>
      <c r="L8" s="129">
        <f t="shared" si="1"/>
        <v>0</v>
      </c>
      <c r="M8" s="129">
        <f t="shared" si="1"/>
        <v>0</v>
      </c>
      <c r="N8" s="129">
        <f t="shared" si="1"/>
        <v>0</v>
      </c>
      <c r="O8" s="129">
        <f t="shared" si="1"/>
        <v>0</v>
      </c>
    </row>
    <row r="9" spans="1:15" ht="11.25" customHeight="1">
      <c r="A9" s="26"/>
      <c r="B9" s="28" t="s">
        <v>73</v>
      </c>
      <c r="C9" s="130">
        <f>ROUNDDOWN('採算表(VND)'!C9/$N$1,2)</f>
        <v>0</v>
      </c>
      <c r="D9" s="130">
        <f>ROUNDDOWN('採算表(VND)'!D9/$N$1,2)</f>
        <v>0</v>
      </c>
      <c r="E9" s="130">
        <f>ROUNDDOWN('採算表(VND)'!E9/$N$1,2)</f>
        <v>0</v>
      </c>
      <c r="F9" s="130">
        <f>ROUNDDOWN('採算表(VND)'!F9/$N$1,2)</f>
        <v>0</v>
      </c>
      <c r="G9" s="130">
        <f>ROUNDDOWN('採算表(VND)'!G9/$N$1,2)</f>
        <v>0</v>
      </c>
      <c r="H9" s="130">
        <f>ROUNDDOWN('採算表(VND)'!H9/$N$1,2)</f>
        <v>0</v>
      </c>
      <c r="I9" s="130">
        <f>ROUNDDOWN('採算表(VND)'!I9/$N$1,2)</f>
        <v>0</v>
      </c>
      <c r="J9" s="130">
        <f>ROUNDDOWN('採算表(VND)'!J9/$N$1,2)</f>
        <v>0</v>
      </c>
      <c r="K9" s="130">
        <f>ROUNDDOWN('採算表(VND)'!K9/$N$1,2)</f>
        <v>0</v>
      </c>
      <c r="L9" s="130">
        <f>ROUNDDOWN('採算表(VND)'!L9/$N$1,2)</f>
        <v>0</v>
      </c>
      <c r="M9" s="130">
        <f>ROUNDDOWN('採算表(VND)'!M9/$N$1,2)</f>
        <v>0</v>
      </c>
      <c r="N9" s="130">
        <f>ROUNDDOWN('採算表(VND)'!N9/$N$1,2)</f>
        <v>0</v>
      </c>
      <c r="O9" s="130">
        <f>SUM(C9:N9)</f>
        <v>0</v>
      </c>
    </row>
    <row r="10" spans="1:15" ht="11.25" customHeight="1">
      <c r="A10" s="26"/>
      <c r="B10" s="28" t="s">
        <v>74</v>
      </c>
      <c r="C10" s="130">
        <f>ROUNDDOWN('採算表(VND)'!C10/$N$1,2)</f>
        <v>0</v>
      </c>
      <c r="D10" s="130">
        <f>ROUNDDOWN('採算表(VND)'!D10/$N$1,2)</f>
        <v>0</v>
      </c>
      <c r="E10" s="130">
        <f>ROUNDDOWN('採算表(VND)'!E10/$N$1,2)</f>
        <v>0</v>
      </c>
      <c r="F10" s="130">
        <f>ROUNDDOWN('採算表(VND)'!F10/$N$1,2)</f>
        <v>0</v>
      </c>
      <c r="G10" s="130">
        <f>ROUNDDOWN('採算表(VND)'!G10/$N$1,2)</f>
        <v>0</v>
      </c>
      <c r="H10" s="130">
        <f>ROUNDDOWN('採算表(VND)'!H10/$N$1,2)</f>
        <v>0</v>
      </c>
      <c r="I10" s="130">
        <f>ROUNDDOWN('採算表(VND)'!I10/$N$1,2)</f>
        <v>0</v>
      </c>
      <c r="J10" s="130">
        <f>ROUNDDOWN('採算表(VND)'!J10/$N$1,2)</f>
        <v>0</v>
      </c>
      <c r="K10" s="130">
        <f>ROUNDDOWN('採算表(VND)'!K10/$N$1,2)</f>
        <v>0</v>
      </c>
      <c r="L10" s="130">
        <f>ROUNDDOWN('採算表(VND)'!L10/$N$1,2)</f>
        <v>0</v>
      </c>
      <c r="M10" s="130">
        <f>ROUNDDOWN('採算表(VND)'!M10/$N$1,2)</f>
        <v>0</v>
      </c>
      <c r="N10" s="130">
        <f>ROUNDDOWN('採算表(VND)'!N10/$N$1,2)</f>
        <v>0</v>
      </c>
      <c r="O10" s="130">
        <f>SUM(C10:N10)</f>
        <v>0</v>
      </c>
    </row>
    <row r="11" spans="1:15" ht="1.5" customHeight="1">
      <c r="A11" s="26"/>
      <c r="B11" s="28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</row>
    <row r="12" spans="1:15" ht="11.25" customHeight="1">
      <c r="A12" s="33"/>
      <c r="B12" s="32" t="s">
        <v>75</v>
      </c>
      <c r="C12" s="131">
        <f>C5-C10</f>
        <v>0</v>
      </c>
      <c r="D12" s="131">
        <f t="shared" ref="D12:O12" si="2">D5-D10</f>
        <v>0</v>
      </c>
      <c r="E12" s="131">
        <f t="shared" si="2"/>
        <v>0</v>
      </c>
      <c r="F12" s="131">
        <f t="shared" si="2"/>
        <v>0</v>
      </c>
      <c r="G12" s="131">
        <f t="shared" si="2"/>
        <v>0</v>
      </c>
      <c r="H12" s="131">
        <f t="shared" si="2"/>
        <v>0</v>
      </c>
      <c r="I12" s="131">
        <f t="shared" si="2"/>
        <v>0</v>
      </c>
      <c r="J12" s="131">
        <f t="shared" si="2"/>
        <v>0</v>
      </c>
      <c r="K12" s="131">
        <f t="shared" si="2"/>
        <v>0</v>
      </c>
      <c r="L12" s="131">
        <f t="shared" si="2"/>
        <v>0</v>
      </c>
      <c r="M12" s="131">
        <f t="shared" si="2"/>
        <v>0</v>
      </c>
      <c r="N12" s="131">
        <f t="shared" si="2"/>
        <v>0</v>
      </c>
      <c r="O12" s="131">
        <f t="shared" si="2"/>
        <v>0</v>
      </c>
    </row>
    <row r="13" spans="1:15" ht="11.25" customHeight="1">
      <c r="A13" s="26"/>
      <c r="B13" s="28" t="s">
        <v>76</v>
      </c>
      <c r="C13" s="130">
        <f>SUM(C14:C65)</f>
        <v>5.0000000032014214E-2</v>
      </c>
      <c r="D13" s="130">
        <f t="shared" ref="D13:O13" si="3">SUM(D14:D65)</f>
        <v>4.9999999999272404E-2</v>
      </c>
      <c r="E13" s="130">
        <f t="shared" si="3"/>
        <v>5.0000000002910383E-2</v>
      </c>
      <c r="F13" s="130">
        <f t="shared" si="3"/>
        <v>4.0000000000873115E-2</v>
      </c>
      <c r="G13" s="130">
        <f t="shared" si="3"/>
        <v>3.9999999999054126E-2</v>
      </c>
      <c r="H13" s="130">
        <f t="shared" si="3"/>
        <v>3.9999999997235136E-2</v>
      </c>
      <c r="I13" s="130">
        <f t="shared" si="3"/>
        <v>4.9999999999272404E-2</v>
      </c>
      <c r="J13" s="130">
        <f t="shared" si="3"/>
        <v>4.0000000000873115E-2</v>
      </c>
      <c r="K13" s="130">
        <f t="shared" si="3"/>
        <v>3.9999999999054126E-2</v>
      </c>
      <c r="L13" s="130">
        <f t="shared" si="3"/>
        <v>4.0000000000873115E-2</v>
      </c>
      <c r="M13" s="130">
        <f t="shared" si="3"/>
        <v>3.0000000000654836E-2</v>
      </c>
      <c r="N13" s="130">
        <f t="shared" si="3"/>
        <v>1.9999999998617568E-2</v>
      </c>
      <c r="O13" s="130">
        <f t="shared" si="3"/>
        <v>0.4900000000197906</v>
      </c>
    </row>
    <row r="14" spans="1:15" ht="11.25" customHeight="1">
      <c r="A14" s="34"/>
      <c r="B14" s="35" t="s">
        <v>101</v>
      </c>
      <c r="C14" s="132">
        <f>ROUNDUP('採算表(VND)'!C14/$N$1,2)</f>
        <v>0</v>
      </c>
      <c r="D14" s="132">
        <f>ROUNDUP('採算表(VND)'!D14/$N$1,2)</f>
        <v>0</v>
      </c>
      <c r="E14" s="132">
        <f>ROUNDUP('採算表(VND)'!E14/$N$1,2)</f>
        <v>0</v>
      </c>
      <c r="F14" s="132">
        <f>ROUNDUP('採算表(VND)'!F14/$N$1,2)</f>
        <v>0</v>
      </c>
      <c r="G14" s="132">
        <f>ROUNDUP('採算表(VND)'!G14/$N$1,2)</f>
        <v>0</v>
      </c>
      <c r="H14" s="132">
        <f>ROUNDUP('採算表(VND)'!H14/$N$1,2)</f>
        <v>0</v>
      </c>
      <c r="I14" s="132">
        <f>ROUNDUP('採算表(VND)'!I14/$N$1,2)</f>
        <v>0</v>
      </c>
      <c r="J14" s="132">
        <f>ROUNDUP('採算表(VND)'!J14/$N$1,2)</f>
        <v>0</v>
      </c>
      <c r="K14" s="132">
        <f>ROUNDUP('採算表(VND)'!K14/$N$1,2)</f>
        <v>0</v>
      </c>
      <c r="L14" s="132">
        <f>ROUNDUP('採算表(VND)'!L14/$N$1,2)</f>
        <v>0</v>
      </c>
      <c r="M14" s="132">
        <f>ROUNDUP('採算表(VND)'!M14/$N$1,2)</f>
        <v>0</v>
      </c>
      <c r="N14" s="132">
        <f>ROUNDUP('採算表(VND)'!N14/$N$1,2)</f>
        <v>0</v>
      </c>
      <c r="O14" s="132">
        <f t="shared" ref="O14:O65" si="4">SUM(C14:N14)</f>
        <v>0</v>
      </c>
    </row>
    <row r="15" spans="1:15" ht="11.25" customHeight="1">
      <c r="A15" s="34"/>
      <c r="B15" s="35" t="s">
        <v>124</v>
      </c>
      <c r="C15" s="132">
        <f>ROUNDUP('採算表(VND)'!C15/$N$1,2)</f>
        <v>0</v>
      </c>
      <c r="D15" s="132">
        <f>ROUNDUP('採算表(VND)'!D15/$N$1,2)</f>
        <v>0</v>
      </c>
      <c r="E15" s="132">
        <f>ROUNDUP('採算表(VND)'!E15/$N$1,2)</f>
        <v>0</v>
      </c>
      <c r="F15" s="132">
        <f>ROUNDUP('採算表(VND)'!F15/$N$1,2)</f>
        <v>0</v>
      </c>
      <c r="G15" s="132">
        <f>ROUNDUP('採算表(VND)'!G15/$N$1,2)</f>
        <v>0</v>
      </c>
      <c r="H15" s="132">
        <f>ROUNDUP('採算表(VND)'!H15/$N$1,2)</f>
        <v>0</v>
      </c>
      <c r="I15" s="132">
        <f>ROUNDUP('採算表(VND)'!I15/$N$1,2)</f>
        <v>0</v>
      </c>
      <c r="J15" s="132">
        <f>ROUNDUP('採算表(VND)'!J15/$N$1,2)</f>
        <v>0</v>
      </c>
      <c r="K15" s="132">
        <f>ROUNDUP('採算表(VND)'!K15/$N$1,2)</f>
        <v>0</v>
      </c>
      <c r="L15" s="132">
        <f>ROUNDUP('採算表(VND)'!L15/$N$1,2)</f>
        <v>0</v>
      </c>
      <c r="M15" s="132">
        <f>ROUNDUP('採算表(VND)'!M15/$N$1,2)</f>
        <v>0</v>
      </c>
      <c r="N15" s="132">
        <f>ROUNDUP('採算表(VND)'!N15/$N$1,2)</f>
        <v>0</v>
      </c>
      <c r="O15" s="132">
        <f t="shared" si="4"/>
        <v>0</v>
      </c>
    </row>
    <row r="16" spans="1:15" ht="11.25" customHeight="1">
      <c r="A16" s="34"/>
      <c r="B16" s="35" t="s">
        <v>120</v>
      </c>
      <c r="C16" s="132">
        <f>ROUNDUP('採算表(VND)'!C16/$N$1,2)</f>
        <v>0</v>
      </c>
      <c r="D16" s="132">
        <f>ROUNDUP('採算表(VND)'!D16/$N$1,2)</f>
        <v>0</v>
      </c>
      <c r="E16" s="132">
        <f>ROUNDUP('採算表(VND)'!E16/$N$1,2)</f>
        <v>0</v>
      </c>
      <c r="F16" s="132">
        <f>ROUNDUP('採算表(VND)'!F16/$N$1,2)</f>
        <v>0</v>
      </c>
      <c r="G16" s="132">
        <f>ROUNDUP('採算表(VND)'!G16/$N$1,2)</f>
        <v>0</v>
      </c>
      <c r="H16" s="132">
        <f>ROUNDUP('採算表(VND)'!H16/$N$1,2)</f>
        <v>0</v>
      </c>
      <c r="I16" s="132">
        <f>ROUNDUP('採算表(VND)'!I16/$N$1,2)</f>
        <v>0</v>
      </c>
      <c r="J16" s="132">
        <f>ROUNDUP('採算表(VND)'!J16/$N$1,2)</f>
        <v>0</v>
      </c>
      <c r="K16" s="132">
        <f>ROUNDUP('採算表(VND)'!K16/$N$1,2)</f>
        <v>0</v>
      </c>
      <c r="L16" s="132">
        <f>ROUNDUP('採算表(VND)'!L16/$N$1,2)</f>
        <v>0</v>
      </c>
      <c r="M16" s="132">
        <f>ROUNDUP('採算表(VND)'!M16/$N$1,2)</f>
        <v>0</v>
      </c>
      <c r="N16" s="132">
        <f>ROUNDUP('採算表(VND)'!N16/$N$1,2)</f>
        <v>0</v>
      </c>
      <c r="O16" s="132">
        <f t="shared" si="4"/>
        <v>0</v>
      </c>
    </row>
    <row r="17" spans="1:15" ht="11.25" customHeight="1">
      <c r="A17" s="34"/>
      <c r="B17" s="36" t="s">
        <v>102</v>
      </c>
      <c r="C17" s="133">
        <f>ROUNDUP('採算表(VND)'!C17/$N$1,2)</f>
        <v>0</v>
      </c>
      <c r="D17" s="133">
        <f>ROUNDUP('採算表(VND)'!D17/$N$1,2)</f>
        <v>0</v>
      </c>
      <c r="E17" s="133">
        <f>ROUNDUP('採算表(VND)'!E17/$N$1,2)</f>
        <v>0</v>
      </c>
      <c r="F17" s="133">
        <f>ROUNDUP('採算表(VND)'!F17/$N$1,2)</f>
        <v>0</v>
      </c>
      <c r="G17" s="133">
        <f>ROUNDUP('採算表(VND)'!G17/$N$1,2)</f>
        <v>0</v>
      </c>
      <c r="H17" s="133">
        <f>ROUNDUP('採算表(VND)'!H17/$N$1,2)</f>
        <v>0</v>
      </c>
      <c r="I17" s="133">
        <f>ROUNDUP('採算表(VND)'!I17/$N$1,2)</f>
        <v>0</v>
      </c>
      <c r="J17" s="133">
        <f>ROUNDUP('採算表(VND)'!J17/$N$1,2)</f>
        <v>0</v>
      </c>
      <c r="K17" s="133">
        <f>ROUNDUP('採算表(VND)'!K17/$N$1,2)</f>
        <v>0</v>
      </c>
      <c r="L17" s="133">
        <f>ROUNDUP('採算表(VND)'!L17/$N$1,2)</f>
        <v>0</v>
      </c>
      <c r="M17" s="133">
        <f>ROUNDUP('採算表(VND)'!M17/$N$1,2)</f>
        <v>0</v>
      </c>
      <c r="N17" s="133">
        <f>ROUNDUP('採算表(VND)'!N17/$N$1,2)</f>
        <v>0</v>
      </c>
      <c r="O17" s="133">
        <f t="shared" si="4"/>
        <v>0</v>
      </c>
    </row>
    <row r="18" spans="1:15" ht="11.25" customHeight="1">
      <c r="A18" s="34"/>
      <c r="B18" s="36" t="s">
        <v>37</v>
      </c>
      <c r="C18" s="133">
        <f>ROUNDUP('採算表(VND)'!C18/$N$1,2)</f>
        <v>0</v>
      </c>
      <c r="D18" s="133">
        <f>ROUNDUP('採算表(VND)'!D18/$N$1,2)</f>
        <v>0</v>
      </c>
      <c r="E18" s="133">
        <f>ROUNDUP('採算表(VND)'!E18/$N$1,2)</f>
        <v>0</v>
      </c>
      <c r="F18" s="133">
        <f>ROUNDUP('採算表(VND)'!F18/$N$1,2)</f>
        <v>0</v>
      </c>
      <c r="G18" s="133">
        <f>ROUNDUP('採算表(VND)'!G18/$N$1,2)</f>
        <v>0</v>
      </c>
      <c r="H18" s="133">
        <f>ROUNDUP('採算表(VND)'!H18/$N$1,2)</f>
        <v>0</v>
      </c>
      <c r="I18" s="133">
        <f>ROUNDUP('採算表(VND)'!I18/$N$1,2)</f>
        <v>0</v>
      </c>
      <c r="J18" s="133">
        <f>ROUNDUP('採算表(VND)'!J18/$N$1,2)</f>
        <v>0</v>
      </c>
      <c r="K18" s="133">
        <f>ROUNDUP('採算表(VND)'!K18/$N$1,2)</f>
        <v>0</v>
      </c>
      <c r="L18" s="133">
        <f>ROUNDUP('採算表(VND)'!L18/$N$1,2)</f>
        <v>0</v>
      </c>
      <c r="M18" s="133">
        <f>ROUNDUP('採算表(VND)'!M18/$N$1,2)</f>
        <v>0</v>
      </c>
      <c r="N18" s="133">
        <f>ROUNDUP('採算表(VND)'!N18/$N$1,2)</f>
        <v>0</v>
      </c>
      <c r="O18" s="133">
        <f t="shared" si="4"/>
        <v>0</v>
      </c>
    </row>
    <row r="19" spans="1:15" ht="11.25" customHeight="1">
      <c r="A19" s="34"/>
      <c r="B19" s="36" t="s">
        <v>43</v>
      </c>
      <c r="C19" s="133">
        <f>ROUNDUP('採算表(VND)'!C19/$N$1,2)</f>
        <v>0</v>
      </c>
      <c r="D19" s="133">
        <f>ROUNDUP('採算表(VND)'!D19/$N$1,2)</f>
        <v>0</v>
      </c>
      <c r="E19" s="133">
        <f>ROUNDUP('採算表(VND)'!E19/$N$1,2)</f>
        <v>0</v>
      </c>
      <c r="F19" s="133">
        <f>ROUNDUP('採算表(VND)'!F19/$N$1,2)</f>
        <v>0</v>
      </c>
      <c r="G19" s="133">
        <f>ROUNDUP('採算表(VND)'!G19/$N$1,2)</f>
        <v>0</v>
      </c>
      <c r="H19" s="133">
        <f>ROUNDUP('採算表(VND)'!H19/$N$1,2)</f>
        <v>0</v>
      </c>
      <c r="I19" s="133">
        <f>ROUNDUP('採算表(VND)'!I19/$N$1,2)</f>
        <v>0</v>
      </c>
      <c r="J19" s="133">
        <f>ROUNDUP('採算表(VND)'!J19/$N$1,2)</f>
        <v>0</v>
      </c>
      <c r="K19" s="133">
        <f>ROUNDUP('採算表(VND)'!K19/$N$1,2)</f>
        <v>0</v>
      </c>
      <c r="L19" s="133">
        <f>ROUNDUP('採算表(VND)'!L19/$N$1,2)</f>
        <v>0</v>
      </c>
      <c r="M19" s="133">
        <f>ROUNDUP('採算表(VND)'!M19/$N$1,2)</f>
        <v>0</v>
      </c>
      <c r="N19" s="133">
        <f>ROUNDUP('採算表(VND)'!N19/$N$1,2)</f>
        <v>0</v>
      </c>
      <c r="O19" s="133">
        <f t="shared" si="4"/>
        <v>0</v>
      </c>
    </row>
    <row r="20" spans="1:15" ht="11.25" customHeight="1">
      <c r="A20" s="34"/>
      <c r="B20" s="36" t="s">
        <v>45</v>
      </c>
      <c r="C20" s="133">
        <f>ROUNDUP('採算表(VND)'!C20/$N$1,2)</f>
        <v>2705.76</v>
      </c>
      <c r="D20" s="133">
        <f>ROUNDUP('採算表(VND)'!D20/$N$1,2)</f>
        <v>3393.9900000000002</v>
      </c>
      <c r="E20" s="133">
        <f>ROUNDUP('採算表(VND)'!E20/$N$1,2)</f>
        <v>3403.32</v>
      </c>
      <c r="F20" s="133">
        <f>ROUNDUP('採算表(VND)'!F20/$N$1,2)</f>
        <v>3388.4500000000003</v>
      </c>
      <c r="G20" s="133">
        <f>ROUNDUP('採算表(VND)'!G20/$N$1,2)</f>
        <v>3382.03</v>
      </c>
      <c r="H20" s="133">
        <f>ROUNDUP('採算表(VND)'!H20/$N$1,2)</f>
        <v>3364.4700000000003</v>
      </c>
      <c r="I20" s="133">
        <f>ROUNDUP('採算表(VND)'!I20/$N$1,2)</f>
        <v>4994.54</v>
      </c>
      <c r="J20" s="133">
        <f>ROUNDUP('採算表(VND)'!J20/$N$1,2)</f>
        <v>4994.21</v>
      </c>
      <c r="K20" s="133">
        <f>ROUNDUP('採算表(VND)'!K20/$N$1,2)</f>
        <v>4994.66</v>
      </c>
      <c r="L20" s="133">
        <f>ROUNDUP('採算表(VND)'!L20/$N$1,2)</f>
        <v>4991.58</v>
      </c>
      <c r="M20" s="133">
        <f>ROUNDUP('採算表(VND)'!M20/$N$1,2)</f>
        <v>4981.6000000000004</v>
      </c>
      <c r="N20" s="133">
        <f>ROUNDUP('採算表(VND)'!N20/$N$1,2)</f>
        <v>4989.49</v>
      </c>
      <c r="O20" s="133">
        <f t="shared" si="4"/>
        <v>49584.1</v>
      </c>
    </row>
    <row r="21" spans="1:15" ht="11.25" customHeight="1">
      <c r="A21" s="34"/>
      <c r="B21" s="36" t="s">
        <v>46</v>
      </c>
      <c r="C21" s="133">
        <f>ROUNDUP('採算表(VND)'!C21/$N$1,2)</f>
        <v>0</v>
      </c>
      <c r="D21" s="133">
        <f>ROUNDUP('採算表(VND)'!D21/$N$1,2)</f>
        <v>0</v>
      </c>
      <c r="E21" s="133">
        <f>ROUNDUP('採算表(VND)'!E21/$N$1,2)</f>
        <v>0</v>
      </c>
      <c r="F21" s="133">
        <f>ROUNDUP('採算表(VND)'!F21/$N$1,2)</f>
        <v>0</v>
      </c>
      <c r="G21" s="133">
        <f>ROUNDUP('採算表(VND)'!G21/$N$1,2)</f>
        <v>0</v>
      </c>
      <c r="H21" s="133">
        <f>ROUNDUP('採算表(VND)'!H21/$N$1,2)</f>
        <v>0</v>
      </c>
      <c r="I21" s="133">
        <f>ROUNDUP('採算表(VND)'!I21/$N$1,2)</f>
        <v>0</v>
      </c>
      <c r="J21" s="133">
        <f>ROUNDUP('採算表(VND)'!J21/$N$1,2)</f>
        <v>0</v>
      </c>
      <c r="K21" s="133">
        <f>ROUNDUP('採算表(VND)'!K21/$N$1,2)</f>
        <v>0</v>
      </c>
      <c r="L21" s="133">
        <f>ROUNDUP('採算表(VND)'!L21/$N$1,2)</f>
        <v>0</v>
      </c>
      <c r="M21" s="133">
        <f>ROUNDUP('採算表(VND)'!M21/$N$1,2)</f>
        <v>0</v>
      </c>
      <c r="N21" s="133">
        <f>ROUNDUP('採算表(VND)'!N21/$N$1,2)</f>
        <v>0</v>
      </c>
      <c r="O21" s="133">
        <f t="shared" si="4"/>
        <v>0</v>
      </c>
    </row>
    <row r="22" spans="1:15" ht="11.25" customHeight="1">
      <c r="A22" s="34"/>
      <c r="B22" s="36" t="s">
        <v>47</v>
      </c>
      <c r="C22" s="133">
        <f>ROUNDUP('採算表(VND)'!C22/$N$1,2)</f>
        <v>0</v>
      </c>
      <c r="D22" s="133">
        <f>ROUNDUP('採算表(VND)'!D22/$N$1,2)</f>
        <v>0</v>
      </c>
      <c r="E22" s="133">
        <f>ROUNDUP('採算表(VND)'!E22/$N$1,2)</f>
        <v>0</v>
      </c>
      <c r="F22" s="133">
        <f>ROUNDUP('採算表(VND)'!F22/$N$1,2)</f>
        <v>0</v>
      </c>
      <c r="G22" s="133">
        <f>ROUNDUP('採算表(VND)'!G22/$N$1,2)</f>
        <v>0</v>
      </c>
      <c r="H22" s="133">
        <f>ROUNDUP('採算表(VND)'!H22/$N$1,2)</f>
        <v>0</v>
      </c>
      <c r="I22" s="133">
        <f>ROUNDUP('採算表(VND)'!I22/$N$1,2)</f>
        <v>0</v>
      </c>
      <c r="J22" s="133">
        <f>ROUNDUP('採算表(VND)'!J22/$N$1,2)</f>
        <v>0</v>
      </c>
      <c r="K22" s="133">
        <f>ROUNDUP('採算表(VND)'!K22/$N$1,2)</f>
        <v>0</v>
      </c>
      <c r="L22" s="133">
        <f>ROUNDUP('採算表(VND)'!L22/$N$1,2)</f>
        <v>0</v>
      </c>
      <c r="M22" s="133">
        <f>ROUNDUP('採算表(VND)'!M22/$N$1,2)</f>
        <v>0</v>
      </c>
      <c r="N22" s="133">
        <f>ROUNDUP('採算表(VND)'!N22/$N$1,2)</f>
        <v>0</v>
      </c>
      <c r="O22" s="133">
        <f t="shared" si="4"/>
        <v>0</v>
      </c>
    </row>
    <row r="23" spans="1:15" ht="11.25" customHeight="1">
      <c r="A23" s="34"/>
      <c r="B23" s="36" t="s">
        <v>49</v>
      </c>
      <c r="C23" s="133">
        <f>ROUNDUP('採算表(VND)'!C23/$N$1,2)</f>
        <v>0</v>
      </c>
      <c r="D23" s="133">
        <f>ROUNDUP('採算表(VND)'!D23/$N$1,2)</f>
        <v>0</v>
      </c>
      <c r="E23" s="133">
        <f>ROUNDUP('採算表(VND)'!E23/$N$1,2)</f>
        <v>0</v>
      </c>
      <c r="F23" s="133">
        <f>ROUNDUP('採算表(VND)'!F23/$N$1,2)</f>
        <v>0</v>
      </c>
      <c r="G23" s="133">
        <f>ROUNDUP('採算表(VND)'!G23/$N$1,2)</f>
        <v>0</v>
      </c>
      <c r="H23" s="133">
        <f>ROUNDUP('採算表(VND)'!H23/$N$1,2)</f>
        <v>0</v>
      </c>
      <c r="I23" s="133">
        <f>ROUNDUP('採算表(VND)'!I23/$N$1,2)</f>
        <v>0</v>
      </c>
      <c r="J23" s="133">
        <f>ROUNDUP('採算表(VND)'!J23/$N$1,2)</f>
        <v>0</v>
      </c>
      <c r="K23" s="133">
        <f>ROUNDUP('採算表(VND)'!K23/$N$1,2)</f>
        <v>0</v>
      </c>
      <c r="L23" s="133">
        <f>ROUNDUP('採算表(VND)'!L23/$N$1,2)</f>
        <v>0</v>
      </c>
      <c r="M23" s="133">
        <f>ROUNDUP('採算表(VND)'!M23/$N$1,2)</f>
        <v>0</v>
      </c>
      <c r="N23" s="133">
        <f>ROUNDUP('採算表(VND)'!N23/$N$1,2)</f>
        <v>0</v>
      </c>
      <c r="O23" s="133">
        <f t="shared" si="4"/>
        <v>0</v>
      </c>
    </row>
    <row r="24" spans="1:15" ht="11.25" customHeight="1">
      <c r="A24" s="34"/>
      <c r="B24" s="36" t="s">
        <v>52</v>
      </c>
      <c r="C24" s="133">
        <f>ROUNDUP('採算表(VND)'!C24/$N$1,2)</f>
        <v>0</v>
      </c>
      <c r="D24" s="133">
        <f>ROUNDUP('採算表(VND)'!D24/$N$1,2)</f>
        <v>0</v>
      </c>
      <c r="E24" s="133">
        <f>ROUNDUP('採算表(VND)'!E24/$N$1,2)</f>
        <v>0</v>
      </c>
      <c r="F24" s="133">
        <f>ROUNDUP('採算表(VND)'!F24/$N$1,2)</f>
        <v>0</v>
      </c>
      <c r="G24" s="133">
        <f>ROUNDUP('採算表(VND)'!G24/$N$1,2)</f>
        <v>0</v>
      </c>
      <c r="H24" s="133">
        <f>ROUNDUP('採算表(VND)'!H24/$N$1,2)</f>
        <v>0</v>
      </c>
      <c r="I24" s="133">
        <f>ROUNDUP('採算表(VND)'!I24/$N$1,2)</f>
        <v>0</v>
      </c>
      <c r="J24" s="133">
        <f>ROUNDUP('採算表(VND)'!J24/$N$1,2)</f>
        <v>0</v>
      </c>
      <c r="K24" s="133">
        <f>ROUNDUP('採算表(VND)'!K24/$N$1,2)</f>
        <v>0</v>
      </c>
      <c r="L24" s="133">
        <f>ROUNDUP('採算表(VND)'!L24/$N$1,2)</f>
        <v>0</v>
      </c>
      <c r="M24" s="133">
        <f>ROUNDUP('採算表(VND)'!M24/$N$1,2)</f>
        <v>0</v>
      </c>
      <c r="N24" s="133">
        <f>ROUNDUP('採算表(VND)'!N24/$N$1,2)</f>
        <v>0</v>
      </c>
      <c r="O24" s="133">
        <f t="shared" si="4"/>
        <v>0</v>
      </c>
    </row>
    <row r="25" spans="1:15" ht="11.25" customHeight="1">
      <c r="A25" s="34"/>
      <c r="B25" s="36" t="s">
        <v>55</v>
      </c>
      <c r="C25" s="133">
        <f>ROUNDUP('採算表(VND)'!C25/$N$1,2)</f>
        <v>2831.75</v>
      </c>
      <c r="D25" s="133">
        <f>ROUNDUP('採算表(VND)'!D25/$N$1,2)</f>
        <v>134.07</v>
      </c>
      <c r="E25" s="133">
        <f>ROUNDUP('採算表(VND)'!E25/$N$1,2)</f>
        <v>1073.07</v>
      </c>
      <c r="F25" s="133">
        <f>ROUNDUP('採算表(VND)'!F25/$N$1,2)</f>
        <v>141.82</v>
      </c>
      <c r="G25" s="133">
        <f>ROUNDUP('採算表(VND)'!G25/$N$1,2)</f>
        <v>150.88</v>
      </c>
      <c r="H25" s="133">
        <f>ROUNDUP('採算表(VND)'!H25/$N$1,2)</f>
        <v>870.06999999999994</v>
      </c>
      <c r="I25" s="133">
        <f>ROUNDUP('採算表(VND)'!I25/$N$1,2)</f>
        <v>1341.22</v>
      </c>
      <c r="J25" s="133">
        <f>ROUNDUP('採算表(VND)'!J25/$N$1,2)</f>
        <v>71.81</v>
      </c>
      <c r="K25" s="133">
        <f>ROUNDUP('採算表(VND)'!K25/$N$1,2)</f>
        <v>889.4</v>
      </c>
      <c r="L25" s="133">
        <f>ROUNDUP('採算表(VND)'!L25/$N$1,2)</f>
        <v>71.800000000000011</v>
      </c>
      <c r="M25" s="133">
        <f>ROUNDUP('採算表(VND)'!M25/$N$1,2)</f>
        <v>213.60999999999999</v>
      </c>
      <c r="N25" s="133">
        <f>ROUNDUP('採算表(VND)'!N25/$N$1,2)</f>
        <v>871.78</v>
      </c>
      <c r="O25" s="133">
        <f t="shared" si="4"/>
        <v>8661.2800000000007</v>
      </c>
    </row>
    <row r="26" spans="1:15" ht="11.25" customHeight="1">
      <c r="A26" s="34"/>
      <c r="B26" s="37" t="s">
        <v>104</v>
      </c>
      <c r="C26" s="133">
        <f>ROUNDUP('採算表(VND)'!C26/$N$1,2)</f>
        <v>2647.5</v>
      </c>
      <c r="D26" s="133">
        <f>ROUNDUP('採算表(VND)'!D26/$N$1,2)</f>
        <v>4249.91</v>
      </c>
      <c r="E26" s="133">
        <f>ROUNDUP('採算表(VND)'!E26/$N$1,2)</f>
        <v>4868.26</v>
      </c>
      <c r="F26" s="133">
        <f>ROUNDUP('採算表(VND)'!F26/$N$1,2)</f>
        <v>4714.66</v>
      </c>
      <c r="G26" s="133">
        <f>ROUNDUP('採算表(VND)'!G26/$N$1,2)</f>
        <v>4484.25</v>
      </c>
      <c r="H26" s="133">
        <f>ROUNDUP('採算表(VND)'!H26/$N$1,2)</f>
        <v>3754.8300000000004</v>
      </c>
      <c r="I26" s="133">
        <f>ROUNDUP('採算表(VND)'!I26/$N$1,2)</f>
        <v>1983.86</v>
      </c>
      <c r="J26" s="133">
        <f>ROUNDUP('採算表(VND)'!J26/$N$1,2)</f>
        <v>898</v>
      </c>
      <c r="K26" s="133">
        <f>ROUNDUP('採算表(VND)'!K26/$N$1,2)</f>
        <v>807.61</v>
      </c>
      <c r="L26" s="133">
        <f>ROUNDUP('採算表(VND)'!L26/$N$1,2)</f>
        <v>0</v>
      </c>
      <c r="M26" s="133">
        <f>ROUNDUP('採算表(VND)'!M26/$N$1,2)</f>
        <v>0</v>
      </c>
      <c r="N26" s="133">
        <f>ROUNDUP('採算表(VND)'!N26/$N$1,2)</f>
        <v>0</v>
      </c>
      <c r="O26" s="133">
        <f t="shared" si="4"/>
        <v>28408.880000000005</v>
      </c>
    </row>
    <row r="27" spans="1:15" ht="11.25" customHeight="1">
      <c r="A27" s="34"/>
      <c r="B27" s="37" t="s">
        <v>54</v>
      </c>
      <c r="C27" s="133">
        <f>ROUNDUP('採算表(VND)'!C27/$N$1,2)</f>
        <v>0</v>
      </c>
      <c r="D27" s="133">
        <f>ROUNDUP('採算表(VND)'!D27/$N$1,2)</f>
        <v>0</v>
      </c>
      <c r="E27" s="133">
        <f>ROUNDUP('採算表(VND)'!E27/$N$1,2)</f>
        <v>0</v>
      </c>
      <c r="F27" s="133">
        <f>ROUNDUP('採算表(VND)'!F27/$N$1,2)</f>
        <v>0</v>
      </c>
      <c r="G27" s="133">
        <f>ROUNDUP('採算表(VND)'!G27/$N$1,2)</f>
        <v>0</v>
      </c>
      <c r="H27" s="133">
        <f>ROUNDUP('採算表(VND)'!H27/$N$1,2)</f>
        <v>0</v>
      </c>
      <c r="I27" s="133">
        <f>ROUNDUP('採算表(VND)'!I27/$N$1,2)</f>
        <v>0</v>
      </c>
      <c r="J27" s="133">
        <f>ROUNDUP('採算表(VND)'!J27/$N$1,2)</f>
        <v>0</v>
      </c>
      <c r="K27" s="133">
        <f>ROUNDUP('採算表(VND)'!K27/$N$1,2)</f>
        <v>0</v>
      </c>
      <c r="L27" s="133">
        <f>ROUNDUP('採算表(VND)'!L27/$N$1,2)</f>
        <v>0</v>
      </c>
      <c r="M27" s="133">
        <f>ROUNDUP('採算表(VND)'!M27/$N$1,2)</f>
        <v>0</v>
      </c>
      <c r="N27" s="133">
        <f>ROUNDUP('採算表(VND)'!N27/$N$1,2)</f>
        <v>0</v>
      </c>
      <c r="O27" s="133">
        <f t="shared" si="4"/>
        <v>0</v>
      </c>
    </row>
    <row r="28" spans="1:15" ht="11.25" customHeight="1">
      <c r="A28" s="34"/>
      <c r="B28" s="37" t="s">
        <v>56</v>
      </c>
      <c r="C28" s="133">
        <f>ROUNDUP('採算表(VND)'!C28/$N$1,2)</f>
        <v>109.5</v>
      </c>
      <c r="D28" s="133">
        <f>ROUNDUP('採算表(VND)'!D28/$N$1,2)</f>
        <v>13.79</v>
      </c>
      <c r="E28" s="133">
        <f>ROUNDUP('採算表(VND)'!E28/$N$1,2)</f>
        <v>11.03</v>
      </c>
      <c r="F28" s="133">
        <f>ROUNDUP('採算表(VND)'!F28/$N$1,2)</f>
        <v>239.85999999999999</v>
      </c>
      <c r="G28" s="133">
        <f>ROUNDUP('採算表(VND)'!G28/$N$1,2)</f>
        <v>87.440000000000012</v>
      </c>
      <c r="H28" s="133">
        <f>ROUNDUP('採算表(VND)'!H28/$N$1,2)</f>
        <v>95.320000000000007</v>
      </c>
      <c r="I28" s="133">
        <f>ROUNDUP('採算表(VND)'!I28/$N$1,2)</f>
        <v>193.78</v>
      </c>
      <c r="J28" s="133">
        <f>ROUNDUP('採算表(VND)'!J28/$N$1,2)</f>
        <v>11.03</v>
      </c>
      <c r="K28" s="133">
        <f>ROUNDUP('採算表(VND)'!K28/$N$1,2)</f>
        <v>279.25</v>
      </c>
      <c r="L28" s="133">
        <f>ROUNDUP('採算表(VND)'!L28/$N$1,2)</f>
        <v>98.08</v>
      </c>
      <c r="M28" s="133">
        <f>ROUNDUP('採算表(VND)'!M28/$N$1,2)</f>
        <v>11.03</v>
      </c>
      <c r="N28" s="133">
        <f>ROUNDUP('採算表(VND)'!N28/$N$1,2)</f>
        <v>141.39999999999998</v>
      </c>
      <c r="O28" s="133">
        <f t="shared" si="4"/>
        <v>1291.5099999999998</v>
      </c>
    </row>
    <row r="29" spans="1:15" ht="11.25" customHeight="1">
      <c r="A29" s="34"/>
      <c r="B29" s="37" t="s">
        <v>57</v>
      </c>
      <c r="C29" s="133">
        <f>ROUNDUP('採算表(VND)'!C29/$N$1,2)</f>
        <v>0</v>
      </c>
      <c r="D29" s="133">
        <f>ROUNDUP('採算表(VND)'!D29/$N$1,2)</f>
        <v>0</v>
      </c>
      <c r="E29" s="133">
        <f>ROUNDUP('採算表(VND)'!E29/$N$1,2)</f>
        <v>0</v>
      </c>
      <c r="F29" s="133">
        <f>ROUNDUP('採算表(VND)'!F29/$N$1,2)</f>
        <v>0</v>
      </c>
      <c r="G29" s="133">
        <f>ROUNDUP('採算表(VND)'!G29/$N$1,2)</f>
        <v>0</v>
      </c>
      <c r="H29" s="133">
        <f>ROUNDUP('採算表(VND)'!H29/$N$1,2)</f>
        <v>0</v>
      </c>
      <c r="I29" s="133">
        <f>ROUNDUP('採算表(VND)'!I29/$N$1,2)</f>
        <v>0</v>
      </c>
      <c r="J29" s="133">
        <f>ROUNDUP('採算表(VND)'!J29/$N$1,2)</f>
        <v>0</v>
      </c>
      <c r="K29" s="133">
        <f>ROUNDUP('採算表(VND)'!K29/$N$1,2)</f>
        <v>0</v>
      </c>
      <c r="L29" s="133">
        <f>ROUNDUP('採算表(VND)'!L29/$N$1,2)</f>
        <v>0</v>
      </c>
      <c r="M29" s="133">
        <f>ROUNDUP('採算表(VND)'!M29/$N$1,2)</f>
        <v>0</v>
      </c>
      <c r="N29" s="133">
        <f>ROUNDUP('採算表(VND)'!N29/$N$1,2)</f>
        <v>0</v>
      </c>
      <c r="O29" s="133">
        <f t="shared" si="4"/>
        <v>0</v>
      </c>
    </row>
    <row r="30" spans="1:15" ht="11.25" customHeight="1">
      <c r="A30" s="34"/>
      <c r="B30" s="37" t="s">
        <v>97</v>
      </c>
      <c r="C30" s="133">
        <f>ROUNDUP('採算表(VND)'!C30/$N$1,2)</f>
        <v>329.03</v>
      </c>
      <c r="D30" s="133">
        <f>ROUNDUP('採算表(VND)'!D30/$N$1,2)</f>
        <v>342.13</v>
      </c>
      <c r="E30" s="133">
        <f>ROUNDUP('採算表(VND)'!E30/$N$1,2)</f>
        <v>417.28</v>
      </c>
      <c r="F30" s="133">
        <f>ROUNDUP('採算表(VND)'!F30/$N$1,2)</f>
        <v>474.21999999999997</v>
      </c>
      <c r="G30" s="133">
        <f>ROUNDUP('採算表(VND)'!G30/$N$1,2)</f>
        <v>466.77</v>
      </c>
      <c r="H30" s="133">
        <f>ROUNDUP('採算表(VND)'!H30/$N$1,2)</f>
        <v>422.65</v>
      </c>
      <c r="I30" s="133">
        <f>ROUNDUP('採算表(VND)'!I30/$N$1,2)</f>
        <v>419.05</v>
      </c>
      <c r="J30" s="133">
        <f>ROUNDUP('採算表(VND)'!J30/$N$1,2)</f>
        <v>397.05</v>
      </c>
      <c r="K30" s="133">
        <f>ROUNDUP('採算表(VND)'!K30/$N$1,2)</f>
        <v>392.03</v>
      </c>
      <c r="L30" s="133">
        <f>ROUNDUP('採算表(VND)'!L30/$N$1,2)</f>
        <v>334.93</v>
      </c>
      <c r="M30" s="133">
        <f>ROUNDUP('採算表(VND)'!M30/$N$1,2)</f>
        <v>305.18</v>
      </c>
      <c r="N30" s="133">
        <f>ROUNDUP('採算表(VND)'!N30/$N$1,2)</f>
        <v>287.25</v>
      </c>
      <c r="O30" s="133">
        <f t="shared" si="4"/>
        <v>4587.57</v>
      </c>
    </row>
    <row r="31" spans="1:15" ht="11.25" customHeight="1">
      <c r="A31" s="34"/>
      <c r="B31" s="37" t="s">
        <v>59</v>
      </c>
      <c r="C31" s="133">
        <f>ROUNDUP('採算表(VND)'!C31/$N$1,2)</f>
        <v>81620.28</v>
      </c>
      <c r="D31" s="133">
        <f>ROUNDUP('採算表(VND)'!D31/$N$1,2)</f>
        <v>478.53999999999996</v>
      </c>
      <c r="E31" s="133">
        <f>ROUNDUP('採算表(VND)'!E31/$N$1,2)</f>
        <v>0</v>
      </c>
      <c r="F31" s="133">
        <f>ROUNDUP('採算表(VND)'!F31/$N$1,2)</f>
        <v>0</v>
      </c>
      <c r="G31" s="133">
        <f>ROUNDUP('採算表(VND)'!G31/$N$1,2)</f>
        <v>0</v>
      </c>
      <c r="H31" s="133">
        <f>ROUNDUP('採算表(VND)'!H31/$N$1,2)</f>
        <v>0</v>
      </c>
      <c r="I31" s="133">
        <f>ROUNDUP('採算表(VND)'!I31/$N$1,2)</f>
        <v>460.82</v>
      </c>
      <c r="J31" s="133">
        <f>ROUNDUP('採算表(VND)'!J31/$N$1,2)</f>
        <v>1043.72</v>
      </c>
      <c r="K31" s="133">
        <f>ROUNDUP('採算表(VND)'!K31/$N$1,2)</f>
        <v>2138.6400000000003</v>
      </c>
      <c r="L31" s="133">
        <f>ROUNDUP('採算表(VND)'!L31/$N$1,2)</f>
        <v>0</v>
      </c>
      <c r="M31" s="133">
        <f>ROUNDUP('採算表(VND)'!M31/$N$1,2)</f>
        <v>0</v>
      </c>
      <c r="N31" s="133">
        <f>ROUNDUP('採算表(VND)'!N31/$N$1,2)</f>
        <v>0</v>
      </c>
      <c r="O31" s="133">
        <f t="shared" si="4"/>
        <v>85742</v>
      </c>
    </row>
    <row r="32" spans="1:15" ht="11.25" customHeight="1">
      <c r="A32" s="38"/>
      <c r="B32" s="37" t="s">
        <v>61</v>
      </c>
      <c r="C32" s="133">
        <f>ROUNDUP('採算表(VND)'!C32/$N$1,2)</f>
        <v>137.85</v>
      </c>
      <c r="D32" s="133">
        <f>ROUNDUP('採算表(VND)'!D32/$N$1,2)</f>
        <v>137.85</v>
      </c>
      <c r="E32" s="133">
        <f>ROUNDUP('採算表(VND)'!E32/$N$1,2)</f>
        <v>137.85</v>
      </c>
      <c r="F32" s="133">
        <f>ROUNDUP('採算表(VND)'!F32/$N$1,2)</f>
        <v>137.85</v>
      </c>
      <c r="G32" s="133">
        <f>ROUNDUP('採算表(VND)'!G32/$N$1,2)</f>
        <v>137.85</v>
      </c>
      <c r="H32" s="133">
        <f>ROUNDUP('採算表(VND)'!H32/$N$1,2)</f>
        <v>137.85</v>
      </c>
      <c r="I32" s="133">
        <f>ROUNDUP('採算表(VND)'!I32/$N$1,2)</f>
        <v>137.85</v>
      </c>
      <c r="J32" s="133">
        <f>ROUNDUP('採算表(VND)'!J32/$N$1,2)</f>
        <v>137.85</v>
      </c>
      <c r="K32" s="133">
        <f>ROUNDUP('採算表(VND)'!K32/$N$1,2)</f>
        <v>137.85</v>
      </c>
      <c r="L32" s="133">
        <f>ROUNDUP('採算表(VND)'!L32/$N$1,2)</f>
        <v>137.85</v>
      </c>
      <c r="M32" s="133">
        <f>ROUNDUP('採算表(VND)'!M32/$N$1,2)</f>
        <v>137.85</v>
      </c>
      <c r="N32" s="133">
        <f>ROUNDUP('採算表(VND)'!N32/$N$1,2)</f>
        <v>137.85</v>
      </c>
      <c r="O32" s="133">
        <f t="shared" si="4"/>
        <v>1654.1999999999996</v>
      </c>
    </row>
    <row r="33" spans="1:15" ht="11.25" customHeight="1">
      <c r="A33" s="38"/>
      <c r="B33" s="37" t="s">
        <v>60</v>
      </c>
      <c r="C33" s="133">
        <f>ROUNDUP('採算表(VND)'!C33/$N$1,2)</f>
        <v>0</v>
      </c>
      <c r="D33" s="133">
        <f>ROUNDUP('採算表(VND)'!D33/$N$1,2)</f>
        <v>0</v>
      </c>
      <c r="E33" s="133">
        <f>ROUNDUP('採算表(VND)'!E33/$N$1,2)</f>
        <v>0</v>
      </c>
      <c r="F33" s="133">
        <f>ROUNDUP('採算表(VND)'!F33/$N$1,2)</f>
        <v>0</v>
      </c>
      <c r="G33" s="133">
        <f>ROUNDUP('採算表(VND)'!G33/$N$1,2)</f>
        <v>0</v>
      </c>
      <c r="H33" s="133">
        <f>ROUNDUP('採算表(VND)'!H33/$N$1,2)</f>
        <v>0</v>
      </c>
      <c r="I33" s="133">
        <f>ROUNDUP('採算表(VND)'!I33/$N$1,2)</f>
        <v>0</v>
      </c>
      <c r="J33" s="133">
        <f>ROUNDUP('採算表(VND)'!J33/$N$1,2)</f>
        <v>0</v>
      </c>
      <c r="K33" s="133">
        <f>ROUNDUP('採算表(VND)'!K33/$N$1,2)</f>
        <v>0</v>
      </c>
      <c r="L33" s="133">
        <f>ROUNDUP('採算表(VND)'!L33/$N$1,2)</f>
        <v>0</v>
      </c>
      <c r="M33" s="133">
        <f>ROUNDUP('採算表(VND)'!M33/$N$1,2)</f>
        <v>0</v>
      </c>
      <c r="N33" s="133">
        <f>ROUNDUP('採算表(VND)'!N33/$N$1,2)</f>
        <v>0</v>
      </c>
      <c r="O33" s="133">
        <f t="shared" si="4"/>
        <v>0</v>
      </c>
    </row>
    <row r="34" spans="1:15" ht="11.25" customHeight="1">
      <c r="A34" s="38"/>
      <c r="B34" s="37" t="s">
        <v>65</v>
      </c>
      <c r="C34" s="133">
        <f>ROUNDUP('採算表(VND)'!C34/$N$1,2)</f>
        <v>0</v>
      </c>
      <c r="D34" s="133">
        <f>ROUNDUP('採算表(VND)'!D34/$N$1,2)</f>
        <v>0</v>
      </c>
      <c r="E34" s="133">
        <f>ROUNDUP('採算表(VND)'!E34/$N$1,2)</f>
        <v>0</v>
      </c>
      <c r="F34" s="133">
        <f>ROUNDUP('採算表(VND)'!F34/$N$1,2)</f>
        <v>0</v>
      </c>
      <c r="G34" s="133">
        <f>ROUNDUP('採算表(VND)'!G34/$N$1,2)</f>
        <v>0</v>
      </c>
      <c r="H34" s="133">
        <f>ROUNDUP('採算表(VND)'!H34/$N$1,2)</f>
        <v>0</v>
      </c>
      <c r="I34" s="133">
        <f>ROUNDUP('採算表(VND)'!I34/$N$1,2)</f>
        <v>0</v>
      </c>
      <c r="J34" s="133">
        <f>ROUNDUP('採算表(VND)'!J34/$N$1,2)</f>
        <v>0</v>
      </c>
      <c r="K34" s="133">
        <f>ROUNDUP('採算表(VND)'!K34/$N$1,2)</f>
        <v>0</v>
      </c>
      <c r="L34" s="133">
        <f>ROUNDUP('採算表(VND)'!L34/$N$1,2)</f>
        <v>0</v>
      </c>
      <c r="M34" s="133">
        <f>ROUNDUP('採算表(VND)'!M34/$N$1,2)</f>
        <v>0</v>
      </c>
      <c r="N34" s="133">
        <f>ROUNDUP('採算表(VND)'!N34/$N$1,2)</f>
        <v>0</v>
      </c>
      <c r="O34" s="133">
        <f t="shared" si="4"/>
        <v>0</v>
      </c>
    </row>
    <row r="35" spans="1:15" ht="11.25" customHeight="1">
      <c r="A35" s="38"/>
      <c r="B35" s="37" t="s">
        <v>44</v>
      </c>
      <c r="C35" s="133">
        <f>ROUNDUP('採算表(VND)'!C35/$N$1,2)</f>
        <v>0</v>
      </c>
      <c r="D35" s="133">
        <f>ROUNDUP('採算表(VND)'!D35/$N$1,2)</f>
        <v>0</v>
      </c>
      <c r="E35" s="133">
        <f>ROUNDUP('採算表(VND)'!E35/$N$1,2)</f>
        <v>0</v>
      </c>
      <c r="F35" s="133">
        <f>ROUNDUP('採算表(VND)'!F35/$N$1,2)</f>
        <v>0</v>
      </c>
      <c r="G35" s="133">
        <f>ROUNDUP('採算表(VND)'!G35/$N$1,2)</f>
        <v>0</v>
      </c>
      <c r="H35" s="133">
        <f>ROUNDUP('採算表(VND)'!H35/$N$1,2)</f>
        <v>0</v>
      </c>
      <c r="I35" s="133">
        <f>ROUNDUP('採算表(VND)'!I35/$N$1,2)</f>
        <v>0</v>
      </c>
      <c r="J35" s="133">
        <f>ROUNDUP('採算表(VND)'!J35/$N$1,2)</f>
        <v>0</v>
      </c>
      <c r="K35" s="133">
        <f>ROUNDUP('採算表(VND)'!K35/$N$1,2)</f>
        <v>0</v>
      </c>
      <c r="L35" s="133">
        <f>ROUNDUP('採算表(VND)'!L35/$N$1,2)</f>
        <v>0</v>
      </c>
      <c r="M35" s="133">
        <f>ROUNDUP('採算表(VND)'!M35/$N$1,2)</f>
        <v>0</v>
      </c>
      <c r="N35" s="133">
        <f>ROUNDUP('採算表(VND)'!N35/$N$1,2)</f>
        <v>0</v>
      </c>
      <c r="O35" s="133">
        <f t="shared" si="4"/>
        <v>0</v>
      </c>
    </row>
    <row r="36" spans="1:15" ht="11.25" customHeight="1">
      <c r="A36" s="38"/>
      <c r="B36" s="37" t="s">
        <v>63</v>
      </c>
      <c r="C36" s="133">
        <f>ROUNDUP('採算表(VND)'!C36/$N$1,2)</f>
        <v>0</v>
      </c>
      <c r="D36" s="133">
        <f>ROUNDUP('採算表(VND)'!D36/$N$1,2)</f>
        <v>0</v>
      </c>
      <c r="E36" s="133">
        <f>ROUNDUP('採算表(VND)'!E36/$N$1,2)</f>
        <v>0</v>
      </c>
      <c r="F36" s="133">
        <f>ROUNDUP('採算表(VND)'!F36/$N$1,2)</f>
        <v>0</v>
      </c>
      <c r="G36" s="133">
        <f>ROUNDUP('採算表(VND)'!G36/$N$1,2)</f>
        <v>0</v>
      </c>
      <c r="H36" s="133">
        <f>ROUNDUP('採算表(VND)'!H36/$N$1,2)</f>
        <v>0</v>
      </c>
      <c r="I36" s="133">
        <f>ROUNDUP('採算表(VND)'!I36/$N$1,2)</f>
        <v>0</v>
      </c>
      <c r="J36" s="133">
        <f>ROUNDUP('採算表(VND)'!J36/$N$1,2)</f>
        <v>0</v>
      </c>
      <c r="K36" s="133">
        <f>ROUNDUP('採算表(VND)'!K36/$N$1,2)</f>
        <v>0</v>
      </c>
      <c r="L36" s="133">
        <f>ROUNDUP('採算表(VND)'!L36/$N$1,2)</f>
        <v>0</v>
      </c>
      <c r="M36" s="133">
        <f>ROUNDUP('採算表(VND)'!M36/$N$1,2)</f>
        <v>0</v>
      </c>
      <c r="N36" s="133">
        <f>ROUNDUP('採算表(VND)'!N36/$N$1,2)</f>
        <v>0</v>
      </c>
      <c r="O36" s="133">
        <f t="shared" si="4"/>
        <v>0</v>
      </c>
    </row>
    <row r="37" spans="1:15" ht="11.25" customHeight="1">
      <c r="A37" s="38"/>
      <c r="B37" s="37" t="s">
        <v>41</v>
      </c>
      <c r="C37" s="133">
        <f>ROUNDUP('採算表(VND)'!C37/$N$1,2)</f>
        <v>0</v>
      </c>
      <c r="D37" s="133">
        <f>ROUNDUP('採算表(VND)'!D37/$N$1,2)</f>
        <v>0</v>
      </c>
      <c r="E37" s="133">
        <f>ROUNDUP('採算表(VND)'!E37/$N$1,2)</f>
        <v>0</v>
      </c>
      <c r="F37" s="133">
        <f>ROUNDUP('採算表(VND)'!F37/$N$1,2)</f>
        <v>0</v>
      </c>
      <c r="G37" s="133">
        <f>ROUNDUP('採算表(VND)'!G37/$N$1,2)</f>
        <v>0</v>
      </c>
      <c r="H37" s="133">
        <f>ROUNDUP('採算表(VND)'!H37/$N$1,2)</f>
        <v>0</v>
      </c>
      <c r="I37" s="133">
        <f>ROUNDUP('採算表(VND)'!I37/$N$1,2)</f>
        <v>0</v>
      </c>
      <c r="J37" s="133">
        <f>ROUNDUP('採算表(VND)'!J37/$N$1,2)</f>
        <v>0</v>
      </c>
      <c r="K37" s="133">
        <f>ROUNDUP('採算表(VND)'!K37/$N$1,2)</f>
        <v>0</v>
      </c>
      <c r="L37" s="133">
        <f>ROUNDUP('採算表(VND)'!L37/$N$1,2)</f>
        <v>0</v>
      </c>
      <c r="M37" s="133">
        <f>ROUNDUP('採算表(VND)'!M37/$N$1,2)</f>
        <v>0</v>
      </c>
      <c r="N37" s="133">
        <f>ROUNDUP('採算表(VND)'!N37/$N$1,2)</f>
        <v>0</v>
      </c>
      <c r="O37" s="133">
        <f t="shared" si="4"/>
        <v>0</v>
      </c>
    </row>
    <row r="38" spans="1:15" ht="11.25" customHeight="1">
      <c r="A38" s="38"/>
      <c r="B38" s="37" t="s">
        <v>48</v>
      </c>
      <c r="C38" s="133">
        <f>ROUNDUP('採算表(VND)'!C38/$N$1,2)</f>
        <v>0</v>
      </c>
      <c r="D38" s="133">
        <f>ROUNDUP('採算表(VND)'!D38/$N$1,2)</f>
        <v>0</v>
      </c>
      <c r="E38" s="133">
        <f>ROUNDUP('採算表(VND)'!E38/$N$1,2)</f>
        <v>0</v>
      </c>
      <c r="F38" s="133">
        <f>ROUNDUP('採算表(VND)'!F38/$N$1,2)</f>
        <v>0</v>
      </c>
      <c r="G38" s="133">
        <f>ROUNDUP('採算表(VND)'!G38/$N$1,2)</f>
        <v>0</v>
      </c>
      <c r="H38" s="133">
        <f>ROUNDUP('採算表(VND)'!H38/$N$1,2)</f>
        <v>0</v>
      </c>
      <c r="I38" s="133">
        <f>ROUNDUP('採算表(VND)'!I38/$N$1,2)</f>
        <v>0</v>
      </c>
      <c r="J38" s="133">
        <f>ROUNDUP('採算表(VND)'!J38/$N$1,2)</f>
        <v>0</v>
      </c>
      <c r="K38" s="133">
        <f>ROUNDUP('採算表(VND)'!K38/$N$1,2)</f>
        <v>0</v>
      </c>
      <c r="L38" s="133">
        <f>ROUNDUP('採算表(VND)'!L38/$N$1,2)</f>
        <v>0</v>
      </c>
      <c r="M38" s="133">
        <f>ROUNDUP('採算表(VND)'!M38/$N$1,2)</f>
        <v>0</v>
      </c>
      <c r="N38" s="133">
        <f>ROUNDUP('採算表(VND)'!N38/$N$1,2)</f>
        <v>0</v>
      </c>
      <c r="O38" s="133">
        <f t="shared" si="4"/>
        <v>0</v>
      </c>
    </row>
    <row r="39" spans="1:15" ht="11.25" customHeight="1">
      <c r="A39" s="38"/>
      <c r="B39" s="37" t="s">
        <v>50</v>
      </c>
      <c r="C39" s="133">
        <f>ROUNDUP('採算表(VND)'!C39/$N$1,2)</f>
        <v>297.84999999999997</v>
      </c>
      <c r="D39" s="133">
        <f>ROUNDUP('採算表(VND)'!D39/$N$1,2)</f>
        <v>100.08</v>
      </c>
      <c r="E39" s="133">
        <f>ROUNDUP('採算表(VND)'!E39/$N$1,2)</f>
        <v>103.16000000000001</v>
      </c>
      <c r="F39" s="133">
        <f>ROUNDUP('採算表(VND)'!F39/$N$1,2)</f>
        <v>295.61</v>
      </c>
      <c r="G39" s="133">
        <f>ROUNDUP('採算表(VND)'!G39/$N$1,2)</f>
        <v>96.06</v>
      </c>
      <c r="H39" s="133">
        <f>ROUNDUP('採算表(VND)'!H39/$N$1,2)</f>
        <v>91.800000000000011</v>
      </c>
      <c r="I39" s="133">
        <f>ROUNDUP('採算表(VND)'!I39/$N$1,2)</f>
        <v>154.76</v>
      </c>
      <c r="J39" s="133">
        <f>ROUNDUP('採算表(VND)'!J39/$N$1,2)</f>
        <v>86.72</v>
      </c>
      <c r="K39" s="133">
        <f>ROUNDUP('採算表(VND)'!K39/$N$1,2)</f>
        <v>86.97</v>
      </c>
      <c r="L39" s="133">
        <f>ROUNDUP('採算表(VND)'!L39/$N$1,2)</f>
        <v>654.34</v>
      </c>
      <c r="M39" s="133">
        <f>ROUNDUP('採算表(VND)'!M39/$N$1,2)</f>
        <v>78.790000000000006</v>
      </c>
      <c r="N39" s="133">
        <f>ROUNDUP('採算表(VND)'!N39/$N$1,2)</f>
        <v>82.45</v>
      </c>
      <c r="O39" s="133">
        <f t="shared" si="4"/>
        <v>2128.5899999999997</v>
      </c>
    </row>
    <row r="40" spans="1:15" ht="11.25" customHeight="1">
      <c r="A40" s="38"/>
      <c r="B40" s="37" t="s">
        <v>51</v>
      </c>
      <c r="C40" s="133">
        <f>ROUNDUP('採算表(VND)'!C40/$N$1,2)</f>
        <v>0</v>
      </c>
      <c r="D40" s="133">
        <f>ROUNDUP('採算表(VND)'!D40/$N$1,2)</f>
        <v>0</v>
      </c>
      <c r="E40" s="133">
        <f>ROUNDUP('採算表(VND)'!E40/$N$1,2)</f>
        <v>0</v>
      </c>
      <c r="F40" s="133">
        <f>ROUNDUP('採算表(VND)'!F40/$N$1,2)</f>
        <v>0</v>
      </c>
      <c r="G40" s="133">
        <f>ROUNDUP('採算表(VND)'!G40/$N$1,2)</f>
        <v>0</v>
      </c>
      <c r="H40" s="133">
        <f>ROUNDUP('採算表(VND)'!H40/$N$1,2)</f>
        <v>0</v>
      </c>
      <c r="I40" s="133">
        <f>ROUNDUP('採算表(VND)'!I40/$N$1,2)</f>
        <v>0</v>
      </c>
      <c r="J40" s="133">
        <f>ROUNDUP('採算表(VND)'!J40/$N$1,2)</f>
        <v>0</v>
      </c>
      <c r="K40" s="133">
        <f>ROUNDUP('採算表(VND)'!K40/$N$1,2)</f>
        <v>0</v>
      </c>
      <c r="L40" s="133">
        <f>ROUNDUP('採算表(VND)'!L40/$N$1,2)</f>
        <v>0</v>
      </c>
      <c r="M40" s="133">
        <f>ROUNDUP('採算表(VND)'!M40/$N$1,2)</f>
        <v>0</v>
      </c>
      <c r="N40" s="133">
        <f>ROUNDUP('採算表(VND)'!N40/$N$1,2)</f>
        <v>0</v>
      </c>
      <c r="O40" s="133">
        <f t="shared" si="4"/>
        <v>0</v>
      </c>
    </row>
    <row r="41" spans="1:15" ht="11.25" customHeight="1">
      <c r="A41" s="38"/>
      <c r="B41" s="37" t="s">
        <v>58</v>
      </c>
      <c r="C41" s="133">
        <f>ROUNDUP('採算表(VND)'!C41/$N$1,2)</f>
        <v>11.82</v>
      </c>
      <c r="D41" s="133">
        <f>ROUNDUP('採算表(VND)'!D41/$N$1,2)</f>
        <v>11.82</v>
      </c>
      <c r="E41" s="133">
        <f>ROUNDUP('採算表(VND)'!E41/$N$1,2)</f>
        <v>11.82</v>
      </c>
      <c r="F41" s="133">
        <f>ROUNDUP('採算表(VND)'!F41/$N$1,2)</f>
        <v>11.82</v>
      </c>
      <c r="G41" s="133">
        <f>ROUNDUP('採算表(VND)'!G41/$N$1,2)</f>
        <v>11.82</v>
      </c>
      <c r="H41" s="133">
        <f>ROUNDUP('採算表(VND)'!H41/$N$1,2)</f>
        <v>11.82</v>
      </c>
      <c r="I41" s="133">
        <f>ROUNDUP('採算表(VND)'!I41/$N$1,2)</f>
        <v>11.82</v>
      </c>
      <c r="J41" s="133">
        <f>ROUNDUP('採算表(VND)'!J41/$N$1,2)</f>
        <v>11.82</v>
      </c>
      <c r="K41" s="133">
        <f>ROUNDUP('採算表(VND)'!K41/$N$1,2)</f>
        <v>11.82</v>
      </c>
      <c r="L41" s="133">
        <f>ROUNDUP('採算表(VND)'!L41/$N$1,2)</f>
        <v>11.82</v>
      </c>
      <c r="M41" s="133">
        <f>ROUNDUP('採算表(VND)'!M41/$N$1,2)</f>
        <v>11.82</v>
      </c>
      <c r="N41" s="133">
        <f>ROUNDUP('採算表(VND)'!N41/$N$1,2)</f>
        <v>11.82</v>
      </c>
      <c r="O41" s="133">
        <f t="shared" si="4"/>
        <v>141.83999999999997</v>
      </c>
    </row>
    <row r="42" spans="1:15" ht="11.25" customHeight="1">
      <c r="A42" s="38"/>
      <c r="B42" s="37" t="s">
        <v>98</v>
      </c>
      <c r="C42" s="133">
        <f>ROUNDUP('採算表(VND)'!C42/$N$1,2)</f>
        <v>1955.47</v>
      </c>
      <c r="D42" s="133">
        <f>ROUNDUP('採算表(VND)'!D42/$N$1,2)</f>
        <v>1943.07</v>
      </c>
      <c r="E42" s="133">
        <f>ROUNDUP('採算表(VND)'!E42/$N$1,2)</f>
        <v>1951.34</v>
      </c>
      <c r="F42" s="133">
        <f>ROUNDUP('採算表(VND)'!F42/$N$1,2)</f>
        <v>1943.07</v>
      </c>
      <c r="G42" s="133">
        <f>ROUNDUP('採算表(VND)'!G42/$N$1,2)</f>
        <v>1943.07</v>
      </c>
      <c r="H42" s="133">
        <f>ROUNDUP('採算表(VND)'!H42/$N$1,2)</f>
        <v>1943.07</v>
      </c>
      <c r="I42" s="133">
        <f>ROUNDUP('採算表(VND)'!I42/$N$1,2)</f>
        <v>1943.07</v>
      </c>
      <c r="J42" s="133">
        <f>ROUNDUP('採算表(VND)'!J42/$N$1,2)</f>
        <v>1944.65</v>
      </c>
      <c r="K42" s="133">
        <f>ROUNDUP('採算表(VND)'!K42/$N$1,2)</f>
        <v>1943.07</v>
      </c>
      <c r="L42" s="133">
        <f>ROUNDUP('採算表(VND)'!L42/$N$1,2)</f>
        <v>1943.07</v>
      </c>
      <c r="M42" s="133">
        <f>ROUNDUP('採算表(VND)'!M42/$N$1,2)</f>
        <v>1943.07</v>
      </c>
      <c r="N42" s="133">
        <f>ROUNDUP('採算表(VND)'!N42/$N$1,2)</f>
        <v>1943.07</v>
      </c>
      <c r="O42" s="133">
        <f t="shared" si="4"/>
        <v>23339.09</v>
      </c>
    </row>
    <row r="43" spans="1:15" ht="11.25" customHeight="1">
      <c r="A43" s="38"/>
      <c r="B43" s="37" t="s">
        <v>99</v>
      </c>
      <c r="C43" s="133">
        <f>ROUNDUP('採算表(VND)'!C43/$N$1,2)</f>
        <v>0</v>
      </c>
      <c r="D43" s="133">
        <f>ROUNDUP('採算表(VND)'!D43/$N$1,2)</f>
        <v>0</v>
      </c>
      <c r="E43" s="133">
        <f>ROUNDUP('採算表(VND)'!E43/$N$1,2)</f>
        <v>0</v>
      </c>
      <c r="F43" s="133">
        <f>ROUNDUP('採算表(VND)'!F43/$N$1,2)</f>
        <v>0</v>
      </c>
      <c r="G43" s="133">
        <f>ROUNDUP('採算表(VND)'!G43/$N$1,2)</f>
        <v>0</v>
      </c>
      <c r="H43" s="133">
        <f>ROUNDUP('採算表(VND)'!H43/$N$1,2)</f>
        <v>0</v>
      </c>
      <c r="I43" s="133">
        <f>ROUNDUP('採算表(VND)'!I43/$N$1,2)</f>
        <v>0</v>
      </c>
      <c r="J43" s="133">
        <f>ROUNDUP('採算表(VND)'!J43/$N$1,2)</f>
        <v>0</v>
      </c>
      <c r="K43" s="133">
        <f>ROUNDUP('採算表(VND)'!K43/$N$1,2)</f>
        <v>0</v>
      </c>
      <c r="L43" s="133">
        <f>ROUNDUP('採算表(VND)'!L43/$N$1,2)</f>
        <v>0</v>
      </c>
      <c r="M43" s="133">
        <f>ROUNDUP('採算表(VND)'!M43/$N$1,2)</f>
        <v>0</v>
      </c>
      <c r="N43" s="133">
        <f>ROUNDUP('採算表(VND)'!N43/$N$1,2)</f>
        <v>0</v>
      </c>
      <c r="O43" s="133">
        <f t="shared" si="4"/>
        <v>0</v>
      </c>
    </row>
    <row r="44" spans="1:15" ht="11.25" customHeight="1">
      <c r="A44" s="38"/>
      <c r="B44" s="37" t="s">
        <v>42</v>
      </c>
      <c r="C44" s="133">
        <f>ROUNDUP('採算表(VND)'!C44/$N$1,2)</f>
        <v>1849.04</v>
      </c>
      <c r="D44" s="133">
        <f>ROUNDUP('採算表(VND)'!D44/$N$1,2)</f>
        <v>3604.4</v>
      </c>
      <c r="E44" s="133">
        <f>ROUNDUP('採算表(VND)'!E44/$N$1,2)</f>
        <v>376.2</v>
      </c>
      <c r="F44" s="133">
        <f>ROUNDUP('採算表(VND)'!F44/$N$1,2)</f>
        <v>368.44</v>
      </c>
      <c r="G44" s="133">
        <f>ROUNDUP('採算表(VND)'!G44/$N$1,2)</f>
        <v>168.04</v>
      </c>
      <c r="H44" s="133">
        <f>ROUNDUP('採算表(VND)'!H44/$N$1,2)</f>
        <v>426.96</v>
      </c>
      <c r="I44" s="133">
        <f>ROUNDUP('採算表(VND)'!I44/$N$1,2)</f>
        <v>351.46</v>
      </c>
      <c r="J44" s="133">
        <f>ROUNDUP('採算表(VND)'!J44/$N$1,2)</f>
        <v>359.69</v>
      </c>
      <c r="K44" s="133">
        <f>ROUNDUP('採算表(VND)'!K44/$N$1,2)</f>
        <v>616.13</v>
      </c>
      <c r="L44" s="133">
        <f>ROUNDUP('採算表(VND)'!L44/$N$1,2)</f>
        <v>750.99</v>
      </c>
      <c r="M44" s="133">
        <f>ROUNDUP('採算表(VND)'!M44/$N$1,2)</f>
        <v>340.32</v>
      </c>
      <c r="N44" s="133">
        <f>ROUNDUP('採算表(VND)'!N44/$N$1,2)</f>
        <v>174.45999999999998</v>
      </c>
      <c r="O44" s="133">
        <f t="shared" si="4"/>
        <v>9386.1299999999992</v>
      </c>
    </row>
    <row r="45" spans="1:15" ht="11.25" customHeight="1">
      <c r="A45" s="38"/>
      <c r="B45" s="37" t="s">
        <v>115</v>
      </c>
      <c r="C45" s="133">
        <f>ROUNDUP('採算表(VND)'!C45/$N$1,2)</f>
        <v>0</v>
      </c>
      <c r="D45" s="133">
        <f>ROUNDUP('採算表(VND)'!D45/$N$1,2)</f>
        <v>0</v>
      </c>
      <c r="E45" s="133">
        <f>ROUNDUP('採算表(VND)'!E45/$N$1,2)</f>
        <v>0</v>
      </c>
      <c r="F45" s="133">
        <f>ROUNDUP('採算表(VND)'!F45/$N$1,2)</f>
        <v>0</v>
      </c>
      <c r="G45" s="133">
        <f>ROUNDUP('採算表(VND)'!G45/$N$1,2)</f>
        <v>0</v>
      </c>
      <c r="H45" s="133">
        <f>ROUNDUP('採算表(VND)'!H45/$N$1,2)</f>
        <v>0</v>
      </c>
      <c r="I45" s="133">
        <f>ROUNDUP('採算表(VND)'!I45/$N$1,2)</f>
        <v>0</v>
      </c>
      <c r="J45" s="133">
        <f>ROUNDUP('採算表(VND)'!J45/$N$1,2)</f>
        <v>0</v>
      </c>
      <c r="K45" s="133">
        <f>ROUNDUP('採算表(VND)'!K45/$N$1,2)</f>
        <v>0</v>
      </c>
      <c r="L45" s="133">
        <f>ROUNDUP('採算表(VND)'!L45/$N$1,2)</f>
        <v>0</v>
      </c>
      <c r="M45" s="133">
        <f>ROUNDUP('採算表(VND)'!M45/$N$1,2)</f>
        <v>0</v>
      </c>
      <c r="N45" s="133">
        <f>ROUNDUP('採算表(VND)'!N45/$N$1,2)</f>
        <v>0</v>
      </c>
      <c r="O45" s="133">
        <f t="shared" si="4"/>
        <v>0</v>
      </c>
    </row>
    <row r="46" spans="1:15" ht="11.25" customHeight="1">
      <c r="A46" s="38"/>
      <c r="B46" s="37" t="s">
        <v>116</v>
      </c>
      <c r="C46" s="133">
        <f>ROUNDUP('採算表(VND)'!C46/$N$1,2)</f>
        <v>0</v>
      </c>
      <c r="D46" s="133">
        <f>ROUNDUP('採算表(VND)'!D46/$N$1,2)</f>
        <v>0</v>
      </c>
      <c r="E46" s="133">
        <f>ROUNDUP('採算表(VND)'!E46/$N$1,2)</f>
        <v>0</v>
      </c>
      <c r="F46" s="133">
        <f>ROUNDUP('採算表(VND)'!F46/$N$1,2)</f>
        <v>0</v>
      </c>
      <c r="G46" s="133">
        <f>ROUNDUP('採算表(VND)'!G46/$N$1,2)</f>
        <v>0</v>
      </c>
      <c r="H46" s="133">
        <f>ROUNDUP('採算表(VND)'!H46/$N$1,2)</f>
        <v>0</v>
      </c>
      <c r="I46" s="133">
        <f>ROUNDUP('採算表(VND)'!I46/$N$1,2)</f>
        <v>0</v>
      </c>
      <c r="J46" s="133">
        <f>ROUNDUP('採算表(VND)'!J46/$N$1,2)</f>
        <v>0</v>
      </c>
      <c r="K46" s="133">
        <f>ROUNDUP('採算表(VND)'!K46/$N$1,2)</f>
        <v>0</v>
      </c>
      <c r="L46" s="133">
        <f>ROUNDUP('採算表(VND)'!L46/$N$1,2)</f>
        <v>0</v>
      </c>
      <c r="M46" s="133">
        <f>ROUNDUP('採算表(VND)'!M46/$N$1,2)</f>
        <v>0</v>
      </c>
      <c r="N46" s="133">
        <f>ROUNDUP('採算表(VND)'!N46/$N$1,2)</f>
        <v>0</v>
      </c>
      <c r="O46" s="133">
        <f t="shared" si="4"/>
        <v>0</v>
      </c>
    </row>
    <row r="47" spans="1:15" ht="11.25" customHeight="1">
      <c r="A47" s="38"/>
      <c r="B47" s="37" t="s">
        <v>117</v>
      </c>
      <c r="C47" s="133">
        <f>ROUNDUP('採算表(VND)'!C47/$N$1,2)</f>
        <v>0</v>
      </c>
      <c r="D47" s="133">
        <f>ROUNDUP('採算表(VND)'!D47/$N$1,2)</f>
        <v>0</v>
      </c>
      <c r="E47" s="133">
        <f>ROUNDUP('採算表(VND)'!E47/$N$1,2)</f>
        <v>0</v>
      </c>
      <c r="F47" s="133">
        <f>ROUNDUP('採算表(VND)'!F47/$N$1,2)</f>
        <v>0</v>
      </c>
      <c r="G47" s="133">
        <f>ROUNDUP('採算表(VND)'!G47/$N$1,2)</f>
        <v>0</v>
      </c>
      <c r="H47" s="133">
        <f>ROUNDUP('採算表(VND)'!H47/$N$1,2)</f>
        <v>0</v>
      </c>
      <c r="I47" s="133">
        <f>ROUNDUP('採算表(VND)'!I47/$N$1,2)</f>
        <v>0</v>
      </c>
      <c r="J47" s="133">
        <f>ROUNDUP('採算表(VND)'!J47/$N$1,2)</f>
        <v>0</v>
      </c>
      <c r="K47" s="133">
        <f>ROUNDUP('採算表(VND)'!K47/$N$1,2)</f>
        <v>0</v>
      </c>
      <c r="L47" s="133">
        <f>ROUNDUP('採算表(VND)'!L47/$N$1,2)</f>
        <v>0</v>
      </c>
      <c r="M47" s="133">
        <f>ROUNDUP('採算表(VND)'!M47/$N$1,2)</f>
        <v>0</v>
      </c>
      <c r="N47" s="133">
        <f>ROUNDUP('採算表(VND)'!N47/$N$1,2)</f>
        <v>0</v>
      </c>
      <c r="O47" s="133">
        <f t="shared" si="4"/>
        <v>0</v>
      </c>
    </row>
    <row r="48" spans="1:15" ht="11.25" customHeight="1">
      <c r="A48" s="38"/>
      <c r="B48" s="37" t="s">
        <v>53</v>
      </c>
      <c r="C48" s="133">
        <f>ROUNDUP('採算表(VND)'!C48/$N$1,2)</f>
        <v>0</v>
      </c>
      <c r="D48" s="133">
        <f>ROUNDUP('採算表(VND)'!D48/$N$1,2)</f>
        <v>0</v>
      </c>
      <c r="E48" s="133">
        <f>ROUNDUP('採算表(VND)'!E48/$N$1,2)</f>
        <v>0</v>
      </c>
      <c r="F48" s="133">
        <f>ROUNDUP('採算表(VND)'!F48/$N$1,2)</f>
        <v>0</v>
      </c>
      <c r="G48" s="133">
        <f>ROUNDUP('採算表(VND)'!G48/$N$1,2)</f>
        <v>0</v>
      </c>
      <c r="H48" s="133">
        <f>ROUNDUP('採算表(VND)'!H48/$N$1,2)</f>
        <v>0</v>
      </c>
      <c r="I48" s="133">
        <f>ROUNDUP('採算表(VND)'!I48/$N$1,2)</f>
        <v>0</v>
      </c>
      <c r="J48" s="133">
        <f>ROUNDUP('採算表(VND)'!J48/$N$1,2)</f>
        <v>0</v>
      </c>
      <c r="K48" s="133">
        <f>ROUNDUP('採算表(VND)'!K48/$N$1,2)</f>
        <v>0</v>
      </c>
      <c r="L48" s="133">
        <f>ROUNDUP('採算表(VND)'!L48/$N$1,2)</f>
        <v>0</v>
      </c>
      <c r="M48" s="133">
        <f>ROUNDUP('採算表(VND)'!M48/$N$1,2)</f>
        <v>0</v>
      </c>
      <c r="N48" s="133">
        <f>ROUNDUP('採算表(VND)'!N48/$N$1,2)</f>
        <v>0</v>
      </c>
      <c r="O48" s="133">
        <f t="shared" si="4"/>
        <v>0</v>
      </c>
    </row>
    <row r="49" spans="1:15" ht="11.25" customHeight="1">
      <c r="A49" s="38"/>
      <c r="B49" s="45" t="s">
        <v>64</v>
      </c>
      <c r="C49" s="134">
        <f>ROUNDUP('採算表(VND)'!C49/$N$1,2)</f>
        <v>0</v>
      </c>
      <c r="D49" s="134">
        <f>ROUNDUP('採算表(VND)'!D49/$N$1,2)</f>
        <v>0</v>
      </c>
      <c r="E49" s="134">
        <f>ROUNDUP('採算表(VND)'!E49/$N$1,2)</f>
        <v>0</v>
      </c>
      <c r="F49" s="134">
        <f>ROUNDUP('採算表(VND)'!F49/$N$1,2)</f>
        <v>0</v>
      </c>
      <c r="G49" s="134">
        <f>ROUNDUP('採算表(VND)'!G49/$N$1,2)</f>
        <v>0</v>
      </c>
      <c r="H49" s="134">
        <f>ROUNDUP('採算表(VND)'!H49/$N$1,2)</f>
        <v>0</v>
      </c>
      <c r="I49" s="134">
        <f>ROUNDUP('採算表(VND)'!I49/$N$1,2)</f>
        <v>0</v>
      </c>
      <c r="J49" s="134">
        <f>ROUNDUP('採算表(VND)'!J49/$N$1,2)</f>
        <v>0</v>
      </c>
      <c r="K49" s="134">
        <f>ROUNDUP('採算表(VND)'!K49/$N$1,2)</f>
        <v>0</v>
      </c>
      <c r="L49" s="134">
        <f>ROUNDUP('採算表(VND)'!L49/$N$1,2)</f>
        <v>0</v>
      </c>
      <c r="M49" s="134">
        <f>ROUNDUP('採算表(VND)'!M49/$N$1,2)</f>
        <v>0</v>
      </c>
      <c r="N49" s="134">
        <f>ROUNDUP('採算表(VND)'!N49/$N$1,2)</f>
        <v>0</v>
      </c>
      <c r="O49" s="134">
        <f t="shared" si="4"/>
        <v>0</v>
      </c>
    </row>
    <row r="50" spans="1:15" ht="11.25" customHeight="1">
      <c r="A50" s="38"/>
      <c r="B50" s="39" t="s">
        <v>62</v>
      </c>
      <c r="C50" s="135">
        <f>ROUNDUP('採算表(VND)'!C50/$N$1,2)</f>
        <v>0</v>
      </c>
      <c r="D50" s="135">
        <f>ROUNDUP('採算表(VND)'!D50/$N$1,2)</f>
        <v>0</v>
      </c>
      <c r="E50" s="135">
        <f>ROUNDUP('採算表(VND)'!E50/$N$1,2)</f>
        <v>0</v>
      </c>
      <c r="F50" s="135">
        <f>ROUNDUP('採算表(VND)'!F50/$N$1,2)</f>
        <v>0</v>
      </c>
      <c r="G50" s="135">
        <f>ROUNDUP('採算表(VND)'!G50/$N$1,2)</f>
        <v>0</v>
      </c>
      <c r="H50" s="135">
        <f>ROUNDUP('採算表(VND)'!H50/$N$1,2)</f>
        <v>0</v>
      </c>
      <c r="I50" s="135">
        <f>ROUNDUP('採算表(VND)'!I50/$N$1,2)</f>
        <v>0</v>
      </c>
      <c r="J50" s="135">
        <f>ROUNDUP('採算表(VND)'!J50/$N$1,2)</f>
        <v>0</v>
      </c>
      <c r="K50" s="135">
        <f>ROUNDUP('採算表(VND)'!K50/$N$1,2)</f>
        <v>0</v>
      </c>
      <c r="L50" s="135">
        <f>ROUNDUP('採算表(VND)'!L50/$N$1,2)</f>
        <v>0</v>
      </c>
      <c r="M50" s="135">
        <f>ROUNDUP('採算表(VND)'!M50/$N$1,2)</f>
        <v>0</v>
      </c>
      <c r="N50" s="135">
        <f>ROUNDUP('採算表(VND)'!N50/$N$1,2)</f>
        <v>0</v>
      </c>
      <c r="O50" s="135">
        <f t="shared" si="4"/>
        <v>0</v>
      </c>
    </row>
    <row r="51" spans="1:15" ht="11.25" customHeight="1">
      <c r="A51" s="38"/>
      <c r="B51" s="39" t="s">
        <v>105</v>
      </c>
      <c r="C51" s="135">
        <f>ROUNDUP('採算表(VND)'!C51/$N$1,2)</f>
        <v>0</v>
      </c>
      <c r="D51" s="135">
        <f>ROUNDUP('採算表(VND)'!D51/$N$1,2)</f>
        <v>0</v>
      </c>
      <c r="E51" s="135">
        <f>ROUNDUP('採算表(VND)'!E51/$N$1,2)</f>
        <v>0</v>
      </c>
      <c r="F51" s="135">
        <f>ROUNDUP('採算表(VND)'!F51/$N$1,2)</f>
        <v>0</v>
      </c>
      <c r="G51" s="135">
        <f>ROUNDUP('採算表(VND)'!G51/$N$1,2)</f>
        <v>0</v>
      </c>
      <c r="H51" s="135">
        <f>ROUNDUP('採算表(VND)'!H51/$N$1,2)</f>
        <v>0</v>
      </c>
      <c r="I51" s="135">
        <f>ROUNDUP('採算表(VND)'!I51/$N$1,2)</f>
        <v>0</v>
      </c>
      <c r="J51" s="135">
        <f>ROUNDUP('採算表(VND)'!J51/$N$1,2)</f>
        <v>0</v>
      </c>
      <c r="K51" s="135">
        <f>ROUNDUP('採算表(VND)'!K51/$N$1,2)</f>
        <v>0</v>
      </c>
      <c r="L51" s="135">
        <f>ROUNDUP('採算表(VND)'!L51/$N$1,2)</f>
        <v>0</v>
      </c>
      <c r="M51" s="135">
        <f>ROUNDUP('採算表(VND)'!M51/$N$1,2)</f>
        <v>0</v>
      </c>
      <c r="N51" s="135">
        <f>ROUNDUP('採算表(VND)'!N51/$N$1,2)</f>
        <v>0</v>
      </c>
      <c r="O51" s="135">
        <f t="shared" si="4"/>
        <v>0</v>
      </c>
    </row>
    <row r="52" spans="1:15" ht="11.25" customHeight="1">
      <c r="A52" s="38"/>
      <c r="B52" s="37" t="s">
        <v>118</v>
      </c>
      <c r="C52" s="136">
        <f>ROUNDUP('採算表(VND)'!C52/$N$1,2)</f>
        <v>0</v>
      </c>
      <c r="D52" s="136">
        <f>ROUNDUP('採算表(VND)'!D52/$N$1,2)</f>
        <v>0</v>
      </c>
      <c r="E52" s="136">
        <f>ROUNDUP('採算表(VND)'!E52/$N$1,2)</f>
        <v>0</v>
      </c>
      <c r="F52" s="136">
        <f>ROUNDUP('採算表(VND)'!F52/$N$1,2)</f>
        <v>0</v>
      </c>
      <c r="G52" s="136">
        <f>ROUNDUP('採算表(VND)'!G52/$N$1,2)</f>
        <v>0</v>
      </c>
      <c r="H52" s="136">
        <f>ROUNDUP('採算表(VND)'!H52/$N$1,2)</f>
        <v>0</v>
      </c>
      <c r="I52" s="136">
        <f>ROUNDUP('採算表(VND)'!I52/$N$1,2)</f>
        <v>0</v>
      </c>
      <c r="J52" s="136">
        <f>ROUNDUP('採算表(VND)'!J52/$N$1,2)</f>
        <v>0</v>
      </c>
      <c r="K52" s="136">
        <f>ROUNDUP('採算表(VND)'!K52/$N$1,2)</f>
        <v>0</v>
      </c>
      <c r="L52" s="136">
        <f>ROUNDUP('採算表(VND)'!L52/$N$1,2)</f>
        <v>0</v>
      </c>
      <c r="M52" s="136">
        <f>ROUNDUP('採算表(VND)'!M52/$N$1,2)</f>
        <v>0</v>
      </c>
      <c r="N52" s="136">
        <f>ROUNDUP('採算表(VND)'!N52/$N$1,2)</f>
        <v>0</v>
      </c>
      <c r="O52" s="136">
        <f t="shared" si="4"/>
        <v>0</v>
      </c>
    </row>
    <row r="53" spans="1:15" ht="11.25" customHeight="1">
      <c r="A53" s="38"/>
      <c r="B53" s="37" t="s">
        <v>119</v>
      </c>
      <c r="C53" s="136">
        <f>ROUNDUP('採算表(VND)'!C53/$N$1,2)</f>
        <v>0</v>
      </c>
      <c r="D53" s="136">
        <f>ROUNDUP('採算表(VND)'!D53/$N$1,2)</f>
        <v>0</v>
      </c>
      <c r="E53" s="136">
        <f>ROUNDUP('採算表(VND)'!E53/$N$1,2)</f>
        <v>0</v>
      </c>
      <c r="F53" s="136">
        <f>ROUNDUP('採算表(VND)'!F53/$N$1,2)</f>
        <v>0</v>
      </c>
      <c r="G53" s="136">
        <f>ROUNDUP('採算表(VND)'!G53/$N$1,2)</f>
        <v>0</v>
      </c>
      <c r="H53" s="136">
        <f>ROUNDUP('採算表(VND)'!H53/$N$1,2)</f>
        <v>0</v>
      </c>
      <c r="I53" s="136">
        <f>ROUNDUP('採算表(VND)'!I53/$N$1,2)</f>
        <v>0</v>
      </c>
      <c r="J53" s="136">
        <f>ROUNDUP('採算表(VND)'!J53/$N$1,2)</f>
        <v>0</v>
      </c>
      <c r="K53" s="136">
        <f>ROUNDUP('採算表(VND)'!K53/$N$1,2)</f>
        <v>0</v>
      </c>
      <c r="L53" s="136">
        <f>ROUNDUP('採算表(VND)'!L53/$N$1,2)</f>
        <v>0</v>
      </c>
      <c r="M53" s="136">
        <f>ROUNDUP('採算表(VND)'!M53/$N$1,2)</f>
        <v>0</v>
      </c>
      <c r="N53" s="136">
        <f>ROUNDUP('採算表(VND)'!N53/$N$1,2)</f>
        <v>0</v>
      </c>
      <c r="O53" s="136">
        <f t="shared" si="4"/>
        <v>0</v>
      </c>
    </row>
    <row r="54" spans="1:15" ht="11.25" customHeight="1">
      <c r="A54" s="38"/>
      <c r="B54" s="37" t="s">
        <v>100</v>
      </c>
      <c r="C54" s="136">
        <f>ROUNDUP('採算表(VND)'!C54/$N$1,2)</f>
        <v>0</v>
      </c>
      <c r="D54" s="136">
        <f>ROUNDUP('採算表(VND)'!D54/$N$1,2)</f>
        <v>0</v>
      </c>
      <c r="E54" s="136">
        <f>ROUNDUP('採算表(VND)'!E54/$N$1,2)</f>
        <v>0</v>
      </c>
      <c r="F54" s="136">
        <f>ROUNDUP('採算表(VND)'!F54/$N$1,2)</f>
        <v>0</v>
      </c>
      <c r="G54" s="136">
        <f>ROUNDUP('採算表(VND)'!G54/$N$1,2)</f>
        <v>0</v>
      </c>
      <c r="H54" s="136">
        <f>ROUNDUP('採算表(VND)'!H54/$N$1,2)</f>
        <v>0</v>
      </c>
      <c r="I54" s="136">
        <f>ROUNDUP('採算表(VND)'!I54/$N$1,2)</f>
        <v>0</v>
      </c>
      <c r="J54" s="136">
        <f>ROUNDUP('採算表(VND)'!J54/$N$1,2)</f>
        <v>0</v>
      </c>
      <c r="K54" s="136">
        <f>ROUNDUP('採算表(VND)'!K54/$N$1,2)</f>
        <v>0</v>
      </c>
      <c r="L54" s="136">
        <f>ROUNDUP('採算表(VND)'!L54/$N$1,2)</f>
        <v>0</v>
      </c>
      <c r="M54" s="136">
        <f>ROUNDUP('採算表(VND)'!M54/$N$1,2)</f>
        <v>0</v>
      </c>
      <c r="N54" s="136">
        <f>ROUNDUP('採算表(VND)'!N54/$N$1,2)</f>
        <v>0</v>
      </c>
      <c r="O54" s="136">
        <f t="shared" si="4"/>
        <v>0</v>
      </c>
    </row>
    <row r="55" spans="1:15" ht="11.25" customHeight="1">
      <c r="A55" s="38"/>
      <c r="B55" s="37" t="s">
        <v>110</v>
      </c>
      <c r="C55" s="136">
        <f>ROUNDUP('採算表(VND)'!C55/$N$1,2)</f>
        <v>0</v>
      </c>
      <c r="D55" s="136">
        <f>ROUNDUP('採算表(VND)'!D55/$N$1,2)</f>
        <v>0</v>
      </c>
      <c r="E55" s="136">
        <f>ROUNDUP('採算表(VND)'!E55/$N$1,2)</f>
        <v>0</v>
      </c>
      <c r="F55" s="136">
        <f>ROUNDUP('採算表(VND)'!F55/$N$1,2)</f>
        <v>0</v>
      </c>
      <c r="G55" s="136">
        <f>ROUNDUP('採算表(VND)'!G55/$N$1,2)</f>
        <v>0</v>
      </c>
      <c r="H55" s="136">
        <f>ROUNDUP('採算表(VND)'!H55/$N$1,2)</f>
        <v>0</v>
      </c>
      <c r="I55" s="136">
        <f>ROUNDUP('採算表(VND)'!I55/$N$1,2)</f>
        <v>0</v>
      </c>
      <c r="J55" s="136">
        <f>ROUNDUP('採算表(VND)'!J55/$N$1,2)</f>
        <v>0</v>
      </c>
      <c r="K55" s="136">
        <f>ROUNDUP('採算表(VND)'!K55/$N$1,2)</f>
        <v>0</v>
      </c>
      <c r="L55" s="136">
        <f>ROUNDUP('採算表(VND)'!L55/$N$1,2)</f>
        <v>0</v>
      </c>
      <c r="M55" s="136">
        <f>ROUNDUP('採算表(VND)'!M55/$N$1,2)</f>
        <v>0</v>
      </c>
      <c r="N55" s="136">
        <f>ROUNDUP('採算表(VND)'!N55/$N$1,2)</f>
        <v>0</v>
      </c>
      <c r="O55" s="136">
        <f t="shared" si="4"/>
        <v>0</v>
      </c>
    </row>
    <row r="56" spans="1:15" ht="11.25" customHeight="1">
      <c r="A56" s="38"/>
      <c r="B56" s="37" t="s">
        <v>113</v>
      </c>
      <c r="C56" s="136">
        <f>ROUNDUP('採算表(VND)'!C56/$N$1,2)</f>
        <v>0</v>
      </c>
      <c r="D56" s="136">
        <f>ROUNDUP('採算表(VND)'!D56/$N$1,2)</f>
        <v>0</v>
      </c>
      <c r="E56" s="136">
        <f>ROUNDUP('採算表(VND)'!E56/$N$1,2)</f>
        <v>0</v>
      </c>
      <c r="F56" s="136">
        <f>ROUNDUP('採算表(VND)'!F56/$N$1,2)</f>
        <v>0</v>
      </c>
      <c r="G56" s="136">
        <f>ROUNDUP('採算表(VND)'!G56/$N$1,2)</f>
        <v>0</v>
      </c>
      <c r="H56" s="136">
        <f>ROUNDUP('採算表(VND)'!H56/$N$1,2)</f>
        <v>0</v>
      </c>
      <c r="I56" s="136">
        <f>ROUNDUP('採算表(VND)'!I56/$N$1,2)</f>
        <v>0</v>
      </c>
      <c r="J56" s="136">
        <f>ROUNDUP('採算表(VND)'!J56/$N$1,2)</f>
        <v>0</v>
      </c>
      <c r="K56" s="136">
        <f>ROUNDUP('採算表(VND)'!K56/$N$1,2)</f>
        <v>0</v>
      </c>
      <c r="L56" s="136">
        <f>ROUNDUP('採算表(VND)'!L56/$N$1,2)</f>
        <v>0</v>
      </c>
      <c r="M56" s="136">
        <f>ROUNDUP('採算表(VND)'!M56/$N$1,2)</f>
        <v>0</v>
      </c>
      <c r="N56" s="136">
        <f>ROUNDUP('採算表(VND)'!N56/$N$1,2)</f>
        <v>0</v>
      </c>
      <c r="O56" s="136">
        <f t="shared" si="4"/>
        <v>0</v>
      </c>
    </row>
    <row r="57" spans="1:15" ht="11.25" customHeight="1">
      <c r="A57" s="38"/>
      <c r="B57" s="37" t="s">
        <v>114</v>
      </c>
      <c r="C57" s="136">
        <f>ROUNDUP('採算表(VND)'!C57/$N$1,2)</f>
        <v>784.27</v>
      </c>
      <c r="D57" s="136">
        <f>ROUNDUP('採算表(VND)'!D57/$N$1,2)</f>
        <v>1026.01</v>
      </c>
      <c r="E57" s="136">
        <f>ROUNDUP('採算表(VND)'!E57/$N$1,2)</f>
        <v>1156.74</v>
      </c>
      <c r="F57" s="136">
        <f>ROUNDUP('採算表(VND)'!F57/$N$1,2)</f>
        <v>1146.6400000000001</v>
      </c>
      <c r="G57" s="136">
        <f>ROUNDUP('採算表(VND)'!G57/$N$1,2)</f>
        <v>1142.29</v>
      </c>
      <c r="H57" s="136">
        <f>ROUNDUP('採算表(VND)'!H57/$N$1,2)</f>
        <v>1130.3799999999999</v>
      </c>
      <c r="I57" s="136">
        <f>ROUNDUP('採算表(VND)'!I57/$N$1,2)</f>
        <v>1119.1600000000001</v>
      </c>
      <c r="J57" s="136">
        <f>ROUNDUP('採算表(VND)'!J57/$N$1,2)</f>
        <v>1533.87</v>
      </c>
      <c r="K57" s="136">
        <f>ROUNDUP('採算表(VND)'!K57/$N$1,2)</f>
        <v>1534.19</v>
      </c>
      <c r="L57" s="136">
        <f>ROUNDUP('採算表(VND)'!L57/$N$1,2)</f>
        <v>1532.09</v>
      </c>
      <c r="M57" s="136">
        <f>ROUNDUP('採算表(VND)'!M57/$N$1,2)</f>
        <v>1525.32</v>
      </c>
      <c r="N57" s="136">
        <f>ROUNDUP('採算表(VND)'!N57/$N$1,2)</f>
        <v>1530.67</v>
      </c>
      <c r="O57" s="136">
        <f t="shared" si="4"/>
        <v>15161.630000000001</v>
      </c>
    </row>
    <row r="58" spans="1:15" ht="11.25" customHeight="1">
      <c r="A58" s="38"/>
      <c r="B58" s="37" t="s">
        <v>122</v>
      </c>
      <c r="C58" s="136">
        <f>ROUNDUP('採算表(VND)'!C58/$N$1,2)</f>
        <v>0</v>
      </c>
      <c r="D58" s="136">
        <f>ROUNDUP('採算表(VND)'!D58/$N$1,2)</f>
        <v>0</v>
      </c>
      <c r="E58" s="136">
        <f>ROUNDUP('採算表(VND)'!E58/$N$1,2)</f>
        <v>0</v>
      </c>
      <c r="F58" s="136">
        <f>ROUNDUP('採算表(VND)'!F58/$N$1,2)</f>
        <v>0</v>
      </c>
      <c r="G58" s="136">
        <f>ROUNDUP('採算表(VND)'!G58/$N$1,2)</f>
        <v>0</v>
      </c>
      <c r="H58" s="136">
        <f>ROUNDUP('採算表(VND)'!H58/$N$1,2)</f>
        <v>0</v>
      </c>
      <c r="I58" s="136">
        <f>ROUNDUP('採算表(VND)'!I58/$N$1,2)</f>
        <v>0</v>
      </c>
      <c r="J58" s="136">
        <f>ROUNDUP('採算表(VND)'!J58/$N$1,2)</f>
        <v>0</v>
      </c>
      <c r="K58" s="136">
        <f>ROUNDUP('採算表(VND)'!K58/$N$1,2)</f>
        <v>0</v>
      </c>
      <c r="L58" s="136">
        <f>ROUNDUP('採算表(VND)'!L58/$N$1,2)</f>
        <v>0</v>
      </c>
      <c r="M58" s="136">
        <f>ROUNDUP('採算表(VND)'!M58/$N$1,2)</f>
        <v>0</v>
      </c>
      <c r="N58" s="136">
        <f>ROUNDUP('採算表(VND)'!N58/$N$1,2)</f>
        <v>0</v>
      </c>
      <c r="O58" s="136">
        <f t="shared" si="4"/>
        <v>0</v>
      </c>
    </row>
    <row r="59" spans="1:15" ht="11.25" customHeight="1">
      <c r="A59" s="38"/>
      <c r="B59" s="37" t="s">
        <v>121</v>
      </c>
      <c r="C59" s="136">
        <f>ROUNDUP('採算表(VND)'!C59/$N$1,2)</f>
        <v>0</v>
      </c>
      <c r="D59" s="136">
        <f>ROUNDUP('採算表(VND)'!D59/$N$1,2)</f>
        <v>0</v>
      </c>
      <c r="E59" s="136">
        <f>ROUNDUP('採算表(VND)'!E59/$N$1,2)</f>
        <v>0</v>
      </c>
      <c r="F59" s="136">
        <f>ROUNDUP('採算表(VND)'!F59/$N$1,2)</f>
        <v>0</v>
      </c>
      <c r="G59" s="136">
        <f>ROUNDUP('採算表(VND)'!G59/$N$1,2)</f>
        <v>0</v>
      </c>
      <c r="H59" s="136">
        <f>ROUNDUP('採算表(VND)'!H59/$N$1,2)</f>
        <v>0</v>
      </c>
      <c r="I59" s="136">
        <f>ROUNDUP('採算表(VND)'!I59/$N$1,2)</f>
        <v>0</v>
      </c>
      <c r="J59" s="136">
        <f>ROUNDUP('採算表(VND)'!J59/$N$1,2)</f>
        <v>0</v>
      </c>
      <c r="K59" s="136">
        <f>ROUNDUP('採算表(VND)'!K59/$N$1,2)</f>
        <v>0</v>
      </c>
      <c r="L59" s="136">
        <f>ROUNDUP('採算表(VND)'!L59/$N$1,2)</f>
        <v>0</v>
      </c>
      <c r="M59" s="136">
        <f>ROUNDUP('採算表(VND)'!M59/$N$1,2)</f>
        <v>0</v>
      </c>
      <c r="N59" s="136">
        <f>ROUNDUP('採算表(VND)'!N59/$N$1,2)</f>
        <v>0</v>
      </c>
      <c r="O59" s="136">
        <f t="shared" si="4"/>
        <v>0</v>
      </c>
    </row>
    <row r="60" spans="1:15" ht="11.25" customHeight="1">
      <c r="A60" s="38"/>
      <c r="B60" s="37" t="s">
        <v>123</v>
      </c>
      <c r="C60" s="136">
        <f>ROUNDUP('採算表(VND)'!C60/$N$1,2)</f>
        <v>0</v>
      </c>
      <c r="D60" s="136">
        <f>ROUNDUP('採算表(VND)'!D60/$N$1,2)</f>
        <v>0</v>
      </c>
      <c r="E60" s="136">
        <f>ROUNDUP('採算表(VND)'!E60/$N$1,2)</f>
        <v>0</v>
      </c>
      <c r="F60" s="136">
        <f>ROUNDUP('採算表(VND)'!F60/$N$1,2)</f>
        <v>0</v>
      </c>
      <c r="G60" s="136">
        <f>ROUNDUP('採算表(VND)'!G60/$N$1,2)</f>
        <v>0</v>
      </c>
      <c r="H60" s="136">
        <f>ROUNDUP('採算表(VND)'!H60/$N$1,2)</f>
        <v>0</v>
      </c>
      <c r="I60" s="136">
        <f>ROUNDUP('採算表(VND)'!I60/$N$1,2)</f>
        <v>0</v>
      </c>
      <c r="J60" s="136">
        <f>ROUNDUP('採算表(VND)'!J60/$N$1,2)</f>
        <v>0</v>
      </c>
      <c r="K60" s="136">
        <f>ROUNDUP('採算表(VND)'!K60/$N$1,2)</f>
        <v>0</v>
      </c>
      <c r="L60" s="136">
        <f>ROUNDUP('採算表(VND)'!L60/$N$1,2)</f>
        <v>0</v>
      </c>
      <c r="M60" s="136">
        <f>ROUNDUP('採算表(VND)'!M60/$N$1,2)</f>
        <v>0</v>
      </c>
      <c r="N60" s="136">
        <f>ROUNDUP('採算表(VND)'!N60/$N$1,2)</f>
        <v>0</v>
      </c>
      <c r="O60" s="136">
        <f t="shared" si="4"/>
        <v>0</v>
      </c>
    </row>
    <row r="61" spans="1:15" ht="11.25" customHeight="1">
      <c r="A61" s="38"/>
      <c r="B61" s="37" t="s">
        <v>106</v>
      </c>
      <c r="C61" s="136">
        <f>ROUNDUP('採算表(VND)'!C61/$N$1,2)</f>
        <v>-95280.069999999992</v>
      </c>
      <c r="D61" s="136">
        <f>ROUNDUP('採算表(VND)'!D61/$N$1,2)</f>
        <v>-15435.61</v>
      </c>
      <c r="E61" s="136">
        <f>ROUNDUP('採算表(VND)'!E61/$N$1,2)</f>
        <v>-13510.02</v>
      </c>
      <c r="F61" s="136">
        <f>ROUNDUP('採算表(VND)'!F61/$N$1,2)</f>
        <v>-12862.4</v>
      </c>
      <c r="G61" s="136">
        <f>ROUNDUP('採算表(VND)'!G61/$N$1,2)</f>
        <v>-12070.460000000001</v>
      </c>
      <c r="H61" s="136">
        <f>ROUNDUP('採算表(VND)'!H61/$N$1,2)</f>
        <v>-12249.18</v>
      </c>
      <c r="I61" s="136">
        <f>ROUNDUP('採算表(VND)'!I61/$N$1,2)</f>
        <v>-13111.34</v>
      </c>
      <c r="J61" s="136">
        <f>ROUNDUP('採算表(VND)'!J61/$N$1,2)</f>
        <v>-11490.380000000001</v>
      </c>
      <c r="K61" s="136">
        <f>ROUNDUP('採算表(VND)'!K61/$N$1,2)</f>
        <v>-13831.58</v>
      </c>
      <c r="L61" s="136">
        <f>ROUNDUP('採算表(VND)'!L61/$N$1,2)</f>
        <v>-10526.51</v>
      </c>
      <c r="M61" s="136">
        <f>ROUNDUP('採算表(VND)'!M61/$N$1,2)</f>
        <v>-9548.56</v>
      </c>
      <c r="N61" s="136">
        <f>ROUNDUP('採算表(VND)'!N61/$N$1,2)</f>
        <v>-10170.219999999999</v>
      </c>
      <c r="O61" s="136">
        <f t="shared" si="4"/>
        <v>-230086.33</v>
      </c>
    </row>
    <row r="62" spans="1:15" ht="11.25" customHeight="1">
      <c r="A62" s="38"/>
      <c r="B62" s="37" t="s">
        <v>418</v>
      </c>
      <c r="C62" s="136">
        <f>ROUNDUP('採算表(VND)'!C62/$N$1,2)</f>
        <v>0</v>
      </c>
      <c r="D62" s="136">
        <f>ROUNDUP('採算表(VND)'!D62/$N$1,2)</f>
        <v>0</v>
      </c>
      <c r="E62" s="136">
        <f>ROUNDUP('採算表(VND)'!E62/$N$1,2)</f>
        <v>0</v>
      </c>
      <c r="F62" s="136">
        <f>ROUNDUP('採算表(VND)'!F62/$N$1,2)</f>
        <v>0</v>
      </c>
      <c r="G62" s="136">
        <f>ROUNDUP('採算表(VND)'!G62/$N$1,2)</f>
        <v>0</v>
      </c>
      <c r="H62" s="136">
        <f>ROUNDUP('採算表(VND)'!H62/$N$1,2)</f>
        <v>0</v>
      </c>
      <c r="I62" s="136">
        <f>ROUNDUP('採算表(VND)'!I62/$N$1,2)</f>
        <v>0</v>
      </c>
      <c r="J62" s="136">
        <f>ROUNDUP('採算表(VND)'!J62/$N$1,2)</f>
        <v>0</v>
      </c>
      <c r="K62" s="136">
        <f>ROUNDUP('採算表(VND)'!K62/$N$1,2)</f>
        <v>0</v>
      </c>
      <c r="L62" s="136">
        <f>ROUNDUP('採算表(VND)'!L62/$N$1,2)</f>
        <v>0</v>
      </c>
      <c r="M62" s="136">
        <f>ROUNDUP('採算表(VND)'!M62/$N$1,2)</f>
        <v>0</v>
      </c>
      <c r="N62" s="136">
        <f>ROUNDUP('採算表(VND)'!N62/$N$1,2)</f>
        <v>0</v>
      </c>
      <c r="O62" s="136">
        <f t="shared" si="4"/>
        <v>0</v>
      </c>
    </row>
    <row r="63" spans="1:15" ht="11.25" customHeight="1">
      <c r="A63" s="38"/>
      <c r="B63" s="37" t="s">
        <v>419</v>
      </c>
      <c r="C63" s="136">
        <f>ROUNDUP('採算表(VND)'!C63/$N$1,2)</f>
        <v>0</v>
      </c>
      <c r="D63" s="136">
        <f>ROUNDUP('採算表(VND)'!D63/$N$1,2)</f>
        <v>0</v>
      </c>
      <c r="E63" s="136">
        <f>ROUNDUP('採算表(VND)'!E63/$N$1,2)</f>
        <v>0</v>
      </c>
      <c r="F63" s="136">
        <f>ROUNDUP('採算表(VND)'!F63/$N$1,2)</f>
        <v>0</v>
      </c>
      <c r="G63" s="136">
        <f>ROUNDUP('採算表(VND)'!G63/$N$1,2)</f>
        <v>0</v>
      </c>
      <c r="H63" s="136">
        <f>ROUNDUP('採算表(VND)'!H63/$N$1,2)</f>
        <v>0</v>
      </c>
      <c r="I63" s="136">
        <f>ROUNDUP('採算表(VND)'!I63/$N$1,2)</f>
        <v>0</v>
      </c>
      <c r="J63" s="136">
        <f>ROUNDUP('採算表(VND)'!J63/$N$1,2)</f>
        <v>0</v>
      </c>
      <c r="K63" s="136">
        <f>ROUNDUP('採算表(VND)'!K63/$N$1,2)</f>
        <v>0</v>
      </c>
      <c r="L63" s="136">
        <f>ROUNDUP('採算表(VND)'!L63/$N$1,2)</f>
        <v>0</v>
      </c>
      <c r="M63" s="136">
        <f>ROUNDUP('採算表(VND)'!M63/$N$1,2)</f>
        <v>0</v>
      </c>
      <c r="N63" s="136">
        <f>ROUNDUP('採算表(VND)'!N63/$N$1,2)</f>
        <v>0</v>
      </c>
      <c r="O63" s="136">
        <f t="shared" si="4"/>
        <v>0</v>
      </c>
    </row>
    <row r="64" spans="1:15" ht="11.25" customHeight="1">
      <c r="A64" s="38"/>
      <c r="B64" s="37" t="s">
        <v>143</v>
      </c>
      <c r="C64" s="136">
        <f>ROUNDUP('採算表(VND)'!C64/$N$1,2)</f>
        <v>0</v>
      </c>
      <c r="D64" s="136">
        <f>ROUNDUP('採算表(VND)'!D64/$N$1,2)</f>
        <v>0</v>
      </c>
      <c r="E64" s="136">
        <f>ROUNDUP('採算表(VND)'!E64/$N$1,2)</f>
        <v>0</v>
      </c>
      <c r="F64" s="136">
        <f>ROUNDUP('採算表(VND)'!F64/$N$1,2)</f>
        <v>0</v>
      </c>
      <c r="G64" s="136">
        <f>ROUNDUP('採算表(VND)'!G64/$N$1,2)</f>
        <v>0</v>
      </c>
      <c r="H64" s="136">
        <f>ROUNDUP('採算表(VND)'!H64/$N$1,2)</f>
        <v>0</v>
      </c>
      <c r="I64" s="136">
        <f>ROUNDUP('採算表(VND)'!I64/$N$1,2)</f>
        <v>0</v>
      </c>
      <c r="J64" s="136">
        <f>ROUNDUP('採算表(VND)'!J64/$N$1,2)</f>
        <v>0</v>
      </c>
      <c r="K64" s="136">
        <f>ROUNDUP('採算表(VND)'!K64/$N$1,2)</f>
        <v>0</v>
      </c>
      <c r="L64" s="136">
        <f>ROUNDUP('採算表(VND)'!L64/$N$1,2)</f>
        <v>0</v>
      </c>
      <c r="M64" s="136">
        <f>ROUNDUP('採算表(VND)'!M64/$N$1,2)</f>
        <v>0</v>
      </c>
      <c r="N64" s="136">
        <f>ROUNDUP('採算表(VND)'!N64/$N$1,2)</f>
        <v>0</v>
      </c>
      <c r="O64" s="136">
        <f t="shared" si="4"/>
        <v>0</v>
      </c>
    </row>
    <row r="65" spans="1:15" ht="11.25" customHeight="1">
      <c r="A65" s="38"/>
      <c r="B65" s="37" t="s">
        <v>111</v>
      </c>
      <c r="C65" s="133">
        <f>ROUNDUP('採算表(VND)'!C65/$N$1,2)</f>
        <v>0</v>
      </c>
      <c r="D65" s="133">
        <f>ROUNDUP('採算表(VND)'!D65/$N$1,2)</f>
        <v>0</v>
      </c>
      <c r="E65" s="133">
        <f>ROUNDUP('採算表(VND)'!E65/$N$1,2)</f>
        <v>0</v>
      </c>
      <c r="F65" s="133">
        <f>ROUNDUP('採算表(VND)'!F65/$N$1,2)</f>
        <v>0</v>
      </c>
      <c r="G65" s="133">
        <f>ROUNDUP('採算表(VND)'!G65/$N$1,2)</f>
        <v>0</v>
      </c>
      <c r="H65" s="133">
        <f>ROUNDUP('採算表(VND)'!H65/$N$1,2)</f>
        <v>0</v>
      </c>
      <c r="I65" s="133">
        <f>ROUNDUP('採算表(VND)'!I65/$N$1,2)</f>
        <v>0</v>
      </c>
      <c r="J65" s="133">
        <f>ROUNDUP('採算表(VND)'!J65/$N$1,2)</f>
        <v>0</v>
      </c>
      <c r="K65" s="133">
        <f>ROUNDUP('採算表(VND)'!K65/$N$1,2)</f>
        <v>0</v>
      </c>
      <c r="L65" s="133">
        <f>ROUNDUP('採算表(VND)'!L65/$N$1,2)</f>
        <v>0</v>
      </c>
      <c r="M65" s="133">
        <f>ROUNDUP('採算表(VND)'!M65/$N$1,2)</f>
        <v>0</v>
      </c>
      <c r="N65" s="133">
        <f>ROUNDUP('採算表(VND)'!N65/$N$1,2)</f>
        <v>0</v>
      </c>
      <c r="O65" s="133">
        <f t="shared" si="4"/>
        <v>0</v>
      </c>
    </row>
    <row r="66" spans="1:15" ht="11.25" customHeight="1">
      <c r="A66" s="26"/>
      <c r="B66" s="32" t="s">
        <v>77</v>
      </c>
      <c r="C66" s="131">
        <f>C12-C13</f>
        <v>-5.0000000032014214E-2</v>
      </c>
      <c r="D66" s="131">
        <f t="shared" ref="D66:O66" si="5">IF(ISBLANK(D4),"",D12-D13)</f>
        <v>-4.9999999999272404E-2</v>
      </c>
      <c r="E66" s="131">
        <f t="shared" si="5"/>
        <v>-5.0000000002910383E-2</v>
      </c>
      <c r="F66" s="131">
        <f t="shared" si="5"/>
        <v>-4.0000000000873115E-2</v>
      </c>
      <c r="G66" s="131">
        <f t="shared" si="5"/>
        <v>-3.9999999999054126E-2</v>
      </c>
      <c r="H66" s="131">
        <f t="shared" si="5"/>
        <v>-3.9999999997235136E-2</v>
      </c>
      <c r="I66" s="131">
        <f t="shared" si="5"/>
        <v>-4.9999999999272404E-2</v>
      </c>
      <c r="J66" s="131">
        <f t="shared" si="5"/>
        <v>-4.0000000000873115E-2</v>
      </c>
      <c r="K66" s="131">
        <f t="shared" si="5"/>
        <v>-3.9999999999054126E-2</v>
      </c>
      <c r="L66" s="131">
        <f t="shared" si="5"/>
        <v>-4.0000000000873115E-2</v>
      </c>
      <c r="M66" s="131">
        <f t="shared" si="5"/>
        <v>-3.0000000000654836E-2</v>
      </c>
      <c r="N66" s="131">
        <f t="shared" si="5"/>
        <v>-1.9999999998617568E-2</v>
      </c>
      <c r="O66" s="131">
        <f t="shared" si="5"/>
        <v>-0.4900000000197906</v>
      </c>
    </row>
    <row r="67" spans="1:15" ht="11.25" customHeight="1">
      <c r="A67" s="26"/>
      <c r="B67" s="28" t="s">
        <v>78</v>
      </c>
      <c r="C67" s="130">
        <f>C73+C79</f>
        <v>0</v>
      </c>
      <c r="D67" s="130">
        <f t="shared" ref="D67:O67" si="6">IF(ISBLANK(D4),"",D73+D79)</f>
        <v>0</v>
      </c>
      <c r="E67" s="130">
        <f t="shared" si="6"/>
        <v>0</v>
      </c>
      <c r="F67" s="130">
        <f t="shared" si="6"/>
        <v>0</v>
      </c>
      <c r="G67" s="130">
        <f t="shared" si="6"/>
        <v>0</v>
      </c>
      <c r="H67" s="130">
        <f t="shared" si="6"/>
        <v>0</v>
      </c>
      <c r="I67" s="130">
        <f t="shared" si="6"/>
        <v>0</v>
      </c>
      <c r="J67" s="130">
        <f t="shared" si="6"/>
        <v>0</v>
      </c>
      <c r="K67" s="130">
        <f t="shared" si="6"/>
        <v>0</v>
      </c>
      <c r="L67" s="130">
        <f t="shared" si="6"/>
        <v>0</v>
      </c>
      <c r="M67" s="130">
        <f t="shared" si="6"/>
        <v>0</v>
      </c>
      <c r="N67" s="130">
        <f t="shared" si="6"/>
        <v>0</v>
      </c>
      <c r="O67" s="130">
        <f t="shared" si="6"/>
        <v>0</v>
      </c>
    </row>
    <row r="68" spans="1:15" ht="11.25" customHeight="1">
      <c r="A68" s="38"/>
      <c r="B68" s="46" t="s">
        <v>144</v>
      </c>
      <c r="C68" s="132">
        <f>'採算表(VND)'!C68</f>
        <v>7267.5</v>
      </c>
      <c r="D68" s="132">
        <f>'採算表(VND)'!D68</f>
        <v>6885</v>
      </c>
      <c r="E68" s="132">
        <f>'採算表(VND)'!E68</f>
        <v>7990</v>
      </c>
      <c r="F68" s="132">
        <f>'採算表(VND)'!F68</f>
        <v>8789</v>
      </c>
      <c r="G68" s="132">
        <f>'採算表(VND)'!G68</f>
        <v>7590.5</v>
      </c>
      <c r="H68" s="132">
        <f>'採算表(VND)'!H68</f>
        <v>7191</v>
      </c>
      <c r="I68" s="132">
        <f>'採算表(VND)'!I68</f>
        <v>8789</v>
      </c>
      <c r="J68" s="132">
        <f>'採算表(VND)'!J68</f>
        <v>7590.5</v>
      </c>
      <c r="K68" s="132">
        <f>'採算表(VND)'!K68</f>
        <v>8389.5</v>
      </c>
      <c r="L68" s="132">
        <f>'採算表(VND)'!L68</f>
        <v>7590.5</v>
      </c>
      <c r="M68" s="132">
        <f>'採算表(VND)'!M68</f>
        <v>5593</v>
      </c>
      <c r="N68" s="132">
        <f>'採算表(VND)'!N68</f>
        <v>7590.5</v>
      </c>
      <c r="O68" s="132">
        <f>SUM(C68:N68)</f>
        <v>91256</v>
      </c>
    </row>
    <row r="69" spans="1:15" ht="11.25" customHeight="1">
      <c r="A69" s="38"/>
      <c r="B69" s="46" t="s">
        <v>88</v>
      </c>
      <c r="C69" s="133">
        <f>'採算表(VND)'!C69</f>
        <v>-7267.5</v>
      </c>
      <c r="D69" s="133">
        <f>'採算表(VND)'!D69</f>
        <v>-6885</v>
      </c>
      <c r="E69" s="133">
        <f>'採算表(VND)'!E69</f>
        <v>-7990</v>
      </c>
      <c r="F69" s="133">
        <f>'採算表(VND)'!F69</f>
        <v>-8789</v>
      </c>
      <c r="G69" s="133">
        <f>'採算表(VND)'!G69</f>
        <v>-7590.5</v>
      </c>
      <c r="H69" s="133">
        <f>'採算表(VND)'!H69</f>
        <v>-7191</v>
      </c>
      <c r="I69" s="133">
        <f>'採算表(VND)'!I69</f>
        <v>-8789</v>
      </c>
      <c r="J69" s="133">
        <f>'採算表(VND)'!J69</f>
        <v>-7590.5</v>
      </c>
      <c r="K69" s="133">
        <f>'採算表(VND)'!K69</f>
        <v>-8389.5</v>
      </c>
      <c r="L69" s="133">
        <f>'採算表(VND)'!L69</f>
        <v>-7590.5</v>
      </c>
      <c r="M69" s="133">
        <f>'採算表(VND)'!M69</f>
        <v>-5593</v>
      </c>
      <c r="N69" s="133">
        <f>'採算表(VND)'!N69</f>
        <v>-7590.5</v>
      </c>
      <c r="O69" s="133">
        <f>SUM(C69:N69)</f>
        <v>-91256</v>
      </c>
    </row>
    <row r="70" spans="1:15" ht="11.25" customHeight="1">
      <c r="A70" s="38"/>
      <c r="B70" s="47" t="s">
        <v>126</v>
      </c>
      <c r="C70" s="137">
        <f>'採算表(VND)'!C70</f>
        <v>0</v>
      </c>
      <c r="D70" s="137">
        <f>'採算表(VND)'!D70</f>
        <v>0</v>
      </c>
      <c r="E70" s="137">
        <f>'採算表(VND)'!E70</f>
        <v>0</v>
      </c>
      <c r="F70" s="137">
        <f>'採算表(VND)'!F70</f>
        <v>0</v>
      </c>
      <c r="G70" s="137">
        <f>'採算表(VND)'!G70</f>
        <v>0</v>
      </c>
      <c r="H70" s="137">
        <f>'採算表(VND)'!H70</f>
        <v>0</v>
      </c>
      <c r="I70" s="137">
        <f>'採算表(VND)'!I70</f>
        <v>0</v>
      </c>
      <c r="J70" s="137">
        <f>'採算表(VND)'!J70</f>
        <v>0</v>
      </c>
      <c r="K70" s="137">
        <f>'採算表(VND)'!K70</f>
        <v>0</v>
      </c>
      <c r="L70" s="137">
        <f>'採算表(VND)'!L70</f>
        <v>0</v>
      </c>
      <c r="M70" s="137">
        <f>'採算表(VND)'!M70</f>
        <v>0</v>
      </c>
      <c r="N70" s="137">
        <f>'採算表(VND)'!N70</f>
        <v>0</v>
      </c>
      <c r="O70" s="137">
        <f>SUM(C70:N70)</f>
        <v>0</v>
      </c>
    </row>
    <row r="71" spans="1:15" ht="11.25" customHeight="1">
      <c r="A71" s="38"/>
      <c r="B71" s="47" t="s">
        <v>127</v>
      </c>
      <c r="C71" s="137">
        <f>'採算表(VND)'!C71</f>
        <v>0</v>
      </c>
      <c r="D71" s="137">
        <f>'採算表(VND)'!D71</f>
        <v>0</v>
      </c>
      <c r="E71" s="137">
        <f>'採算表(VND)'!E71</f>
        <v>0</v>
      </c>
      <c r="F71" s="137">
        <f>'採算表(VND)'!F71</f>
        <v>0</v>
      </c>
      <c r="G71" s="137">
        <f>'採算表(VND)'!G71</f>
        <v>0</v>
      </c>
      <c r="H71" s="137">
        <f>'採算表(VND)'!H71</f>
        <v>0</v>
      </c>
      <c r="I71" s="137">
        <f>'採算表(VND)'!I71</f>
        <v>0</v>
      </c>
      <c r="J71" s="137">
        <f>'採算表(VND)'!J71</f>
        <v>0</v>
      </c>
      <c r="K71" s="137">
        <f>'採算表(VND)'!K71</f>
        <v>0</v>
      </c>
      <c r="L71" s="137">
        <f>'採算表(VND)'!L71</f>
        <v>0</v>
      </c>
      <c r="M71" s="137">
        <f>'採算表(VND)'!M71</f>
        <v>0</v>
      </c>
      <c r="N71" s="137">
        <f>'採算表(VND)'!N71</f>
        <v>0</v>
      </c>
      <c r="O71" s="137">
        <f>SUM(C71:N71)</f>
        <v>0</v>
      </c>
    </row>
    <row r="72" spans="1:15" ht="11.25" customHeight="1">
      <c r="A72" s="38"/>
      <c r="B72" s="40" t="s">
        <v>89</v>
      </c>
      <c r="C72" s="138">
        <f>'採算表(VND)'!C72</f>
        <v>0</v>
      </c>
      <c r="D72" s="138">
        <f>'採算表(VND)'!D72</f>
        <v>0</v>
      </c>
      <c r="E72" s="138">
        <f>'採算表(VND)'!E72</f>
        <v>0</v>
      </c>
      <c r="F72" s="138">
        <f>'採算表(VND)'!F72</f>
        <v>0</v>
      </c>
      <c r="G72" s="138">
        <f>'採算表(VND)'!G72</f>
        <v>0</v>
      </c>
      <c r="H72" s="138">
        <f>'採算表(VND)'!H72</f>
        <v>0</v>
      </c>
      <c r="I72" s="138">
        <f>'採算表(VND)'!I72</f>
        <v>0</v>
      </c>
      <c r="J72" s="138">
        <f>'採算表(VND)'!J72</f>
        <v>0</v>
      </c>
      <c r="K72" s="138">
        <f>'採算表(VND)'!K72</f>
        <v>0</v>
      </c>
      <c r="L72" s="138">
        <f>'採算表(VND)'!L72</f>
        <v>0</v>
      </c>
      <c r="M72" s="138">
        <f>'採算表(VND)'!M72</f>
        <v>0</v>
      </c>
      <c r="N72" s="138">
        <f>'採算表(VND)'!N72</f>
        <v>0</v>
      </c>
      <c r="O72" s="138">
        <f>SUM(C72:N72)</f>
        <v>0</v>
      </c>
    </row>
    <row r="73" spans="1:15" ht="11.25" customHeight="1">
      <c r="A73" s="38"/>
      <c r="B73" s="41" t="s">
        <v>145</v>
      </c>
      <c r="C73" s="139">
        <f>SUM(C68:C72)</f>
        <v>0</v>
      </c>
      <c r="D73" s="139">
        <f t="shared" ref="D73:O73" si="7">IF(ISBLANK(D4),"",SUM(D68:D72))</f>
        <v>0</v>
      </c>
      <c r="E73" s="139">
        <f t="shared" si="7"/>
        <v>0</v>
      </c>
      <c r="F73" s="139">
        <f t="shared" si="7"/>
        <v>0</v>
      </c>
      <c r="G73" s="139">
        <f t="shared" si="7"/>
        <v>0</v>
      </c>
      <c r="H73" s="139">
        <f t="shared" si="7"/>
        <v>0</v>
      </c>
      <c r="I73" s="139">
        <f t="shared" si="7"/>
        <v>0</v>
      </c>
      <c r="J73" s="139">
        <f t="shared" si="7"/>
        <v>0</v>
      </c>
      <c r="K73" s="139">
        <f t="shared" si="7"/>
        <v>0</v>
      </c>
      <c r="L73" s="139">
        <f t="shared" si="7"/>
        <v>0</v>
      </c>
      <c r="M73" s="139">
        <f t="shared" si="7"/>
        <v>0</v>
      </c>
      <c r="N73" s="139">
        <f t="shared" si="7"/>
        <v>0</v>
      </c>
      <c r="O73" s="139">
        <f t="shared" si="7"/>
        <v>0</v>
      </c>
    </row>
    <row r="74" spans="1:15" ht="11.25" customHeight="1">
      <c r="A74" s="38"/>
      <c r="B74" s="39" t="s">
        <v>86</v>
      </c>
      <c r="C74" s="132">
        <f>'採算表(VND)'!C74</f>
        <v>920</v>
      </c>
      <c r="D74" s="132">
        <f>'採算表(VND)'!D74</f>
        <v>918</v>
      </c>
      <c r="E74" s="132">
        <f>'採算表(VND)'!E74</f>
        <v>962</v>
      </c>
      <c r="F74" s="132">
        <f>'採算表(VND)'!F74</f>
        <v>966</v>
      </c>
      <c r="G74" s="132">
        <f>'採算表(VND)'!G74</f>
        <v>960</v>
      </c>
      <c r="H74" s="132">
        <f>'採算表(VND)'!H74</f>
        <v>958</v>
      </c>
      <c r="I74" s="132">
        <f>'採算表(VND)'!I74</f>
        <v>966</v>
      </c>
      <c r="J74" s="132">
        <f>'採算表(VND)'!J74</f>
        <v>960</v>
      </c>
      <c r="K74" s="132">
        <f>'採算表(VND)'!K74</f>
        <v>964</v>
      </c>
      <c r="L74" s="132">
        <f>'採算表(VND)'!L74</f>
        <v>960</v>
      </c>
      <c r="M74" s="132">
        <f>'採算表(VND)'!M74</f>
        <v>950</v>
      </c>
      <c r="N74" s="132">
        <f>'採算表(VND)'!N74</f>
        <v>960</v>
      </c>
      <c r="O74" s="132">
        <f>SUM(C74:N74)</f>
        <v>11444</v>
      </c>
    </row>
    <row r="75" spans="1:15">
      <c r="A75" s="38"/>
      <c r="B75" s="37" t="s">
        <v>88</v>
      </c>
      <c r="C75" s="133">
        <f>'採算表(VND)'!C75</f>
        <v>-920</v>
      </c>
      <c r="D75" s="133">
        <f>'採算表(VND)'!D75</f>
        <v>-918</v>
      </c>
      <c r="E75" s="133">
        <f>'採算表(VND)'!E75</f>
        <v>-962</v>
      </c>
      <c r="F75" s="133">
        <f>'採算表(VND)'!F75</f>
        <v>-966</v>
      </c>
      <c r="G75" s="133">
        <f>'採算表(VND)'!G75</f>
        <v>-960</v>
      </c>
      <c r="H75" s="133">
        <f>'採算表(VND)'!H75</f>
        <v>-958</v>
      </c>
      <c r="I75" s="133">
        <f>'採算表(VND)'!I75</f>
        <v>-966</v>
      </c>
      <c r="J75" s="133">
        <f>'採算表(VND)'!J75</f>
        <v>-960</v>
      </c>
      <c r="K75" s="133">
        <f>'採算表(VND)'!K75</f>
        <v>-964</v>
      </c>
      <c r="L75" s="133">
        <f>'採算表(VND)'!L75</f>
        <v>-960</v>
      </c>
      <c r="M75" s="133">
        <f>'採算表(VND)'!M75</f>
        <v>-950</v>
      </c>
      <c r="N75" s="133">
        <f>'採算表(VND)'!N75</f>
        <v>-960</v>
      </c>
      <c r="O75" s="133">
        <f>SUM(C75:N75)</f>
        <v>-11444</v>
      </c>
    </row>
    <row r="76" spans="1:15">
      <c r="A76" s="38"/>
      <c r="B76" s="37" t="s">
        <v>126</v>
      </c>
      <c r="C76" s="137">
        <f>'採算表(VND)'!C76</f>
        <v>0</v>
      </c>
      <c r="D76" s="137">
        <f>'採算表(VND)'!D76</f>
        <v>0</v>
      </c>
      <c r="E76" s="137">
        <f>'採算表(VND)'!E76</f>
        <v>0</v>
      </c>
      <c r="F76" s="137">
        <f>'採算表(VND)'!F76</f>
        <v>0</v>
      </c>
      <c r="G76" s="137">
        <f>'採算表(VND)'!G76</f>
        <v>0</v>
      </c>
      <c r="H76" s="137">
        <f>'採算表(VND)'!H76</f>
        <v>0</v>
      </c>
      <c r="I76" s="137">
        <f>'採算表(VND)'!I76</f>
        <v>0</v>
      </c>
      <c r="J76" s="137">
        <f>'採算表(VND)'!J76</f>
        <v>0</v>
      </c>
      <c r="K76" s="137">
        <f>'採算表(VND)'!K76</f>
        <v>0</v>
      </c>
      <c r="L76" s="137">
        <f>'採算表(VND)'!L76</f>
        <v>0</v>
      </c>
      <c r="M76" s="137">
        <f>'採算表(VND)'!M76</f>
        <v>0</v>
      </c>
      <c r="N76" s="137">
        <f>'採算表(VND)'!N76</f>
        <v>0</v>
      </c>
      <c r="O76" s="137">
        <f>SUM(C76:N76)</f>
        <v>0</v>
      </c>
    </row>
    <row r="77" spans="1:15">
      <c r="A77" s="38"/>
      <c r="B77" s="37" t="s">
        <v>127</v>
      </c>
      <c r="C77" s="137">
        <f>'採算表(VND)'!C77</f>
        <v>0</v>
      </c>
      <c r="D77" s="137">
        <f>'採算表(VND)'!D77</f>
        <v>0</v>
      </c>
      <c r="E77" s="137">
        <f>'採算表(VND)'!E77</f>
        <v>0</v>
      </c>
      <c r="F77" s="137">
        <f>'採算表(VND)'!F77</f>
        <v>0</v>
      </c>
      <c r="G77" s="137">
        <f>'採算表(VND)'!G77</f>
        <v>0</v>
      </c>
      <c r="H77" s="137">
        <f>'採算表(VND)'!H77</f>
        <v>0</v>
      </c>
      <c r="I77" s="137">
        <f>'採算表(VND)'!I77</f>
        <v>0</v>
      </c>
      <c r="J77" s="137">
        <f>'採算表(VND)'!J77</f>
        <v>0</v>
      </c>
      <c r="K77" s="137">
        <f>'採算表(VND)'!K77</f>
        <v>0</v>
      </c>
      <c r="L77" s="137">
        <f>'採算表(VND)'!L77</f>
        <v>0</v>
      </c>
      <c r="M77" s="137">
        <f>'採算表(VND)'!M77</f>
        <v>0</v>
      </c>
      <c r="N77" s="137">
        <f>'採算表(VND)'!N77</f>
        <v>0</v>
      </c>
      <c r="O77" s="137">
        <f>SUM(C77:N77)</f>
        <v>0</v>
      </c>
    </row>
    <row r="78" spans="1:15">
      <c r="A78" s="38"/>
      <c r="B78" s="40" t="s">
        <v>89</v>
      </c>
      <c r="C78" s="138">
        <f>'採算表(VND)'!C78</f>
        <v>0</v>
      </c>
      <c r="D78" s="138">
        <f>'採算表(VND)'!D78</f>
        <v>0</v>
      </c>
      <c r="E78" s="138">
        <f>'採算表(VND)'!E78</f>
        <v>0</v>
      </c>
      <c r="F78" s="138">
        <f>'採算表(VND)'!F78</f>
        <v>0</v>
      </c>
      <c r="G78" s="138">
        <f>'採算表(VND)'!G78</f>
        <v>0</v>
      </c>
      <c r="H78" s="138">
        <f>'採算表(VND)'!H78</f>
        <v>0</v>
      </c>
      <c r="I78" s="138">
        <f>'採算表(VND)'!I78</f>
        <v>0</v>
      </c>
      <c r="J78" s="138">
        <f>'採算表(VND)'!J78</f>
        <v>0</v>
      </c>
      <c r="K78" s="138">
        <f>'採算表(VND)'!K78</f>
        <v>0</v>
      </c>
      <c r="L78" s="138">
        <f>'採算表(VND)'!L78</f>
        <v>0</v>
      </c>
      <c r="M78" s="138">
        <f>'採算表(VND)'!M78</f>
        <v>0</v>
      </c>
      <c r="N78" s="138">
        <f>'採算表(VND)'!N78</f>
        <v>0</v>
      </c>
      <c r="O78" s="138">
        <f>SUM(C78:N78)</f>
        <v>0</v>
      </c>
    </row>
    <row r="79" spans="1:15" ht="14.25" customHeight="1">
      <c r="A79" s="38"/>
      <c r="B79" s="41" t="s">
        <v>156</v>
      </c>
      <c r="C79" s="139">
        <f>SUM(C74:C78)</f>
        <v>0</v>
      </c>
      <c r="D79" s="139">
        <f t="shared" ref="D79:O79" si="8">IF(ISBLANK(D4),"",SUM(D74:D78))</f>
        <v>0</v>
      </c>
      <c r="E79" s="139">
        <f t="shared" si="8"/>
        <v>0</v>
      </c>
      <c r="F79" s="139">
        <f t="shared" si="8"/>
        <v>0</v>
      </c>
      <c r="G79" s="139">
        <f t="shared" si="8"/>
        <v>0</v>
      </c>
      <c r="H79" s="139">
        <f t="shared" si="8"/>
        <v>0</v>
      </c>
      <c r="I79" s="139">
        <f t="shared" si="8"/>
        <v>0</v>
      </c>
      <c r="J79" s="139">
        <f t="shared" si="8"/>
        <v>0</v>
      </c>
      <c r="K79" s="139">
        <f t="shared" si="8"/>
        <v>0</v>
      </c>
      <c r="L79" s="139">
        <f t="shared" si="8"/>
        <v>0</v>
      </c>
      <c r="M79" s="139">
        <f t="shared" si="8"/>
        <v>0</v>
      </c>
      <c r="N79" s="139">
        <f t="shared" si="8"/>
        <v>0</v>
      </c>
      <c r="O79" s="139">
        <f t="shared" si="8"/>
        <v>0</v>
      </c>
    </row>
    <row r="80" spans="1:15" ht="14.25" customHeight="1">
      <c r="A80" s="26"/>
      <c r="B80" s="32" t="s">
        <v>79</v>
      </c>
      <c r="C80" s="140">
        <f>IFERROR(ROUNDDOWN(C66/C67,0),0)</f>
        <v>0</v>
      </c>
      <c r="D80" s="141">
        <f t="shared" ref="D80:O80" si="9">IFERROR(ROUNDDOWN(D66/D67,0),0)</f>
        <v>0</v>
      </c>
      <c r="E80" s="141">
        <f t="shared" si="9"/>
        <v>0</v>
      </c>
      <c r="F80" s="141">
        <f t="shared" si="9"/>
        <v>0</v>
      </c>
      <c r="G80" s="141">
        <f t="shared" si="9"/>
        <v>0</v>
      </c>
      <c r="H80" s="141">
        <f t="shared" si="9"/>
        <v>0</v>
      </c>
      <c r="I80" s="141">
        <f t="shared" si="9"/>
        <v>0</v>
      </c>
      <c r="J80" s="141">
        <f t="shared" si="9"/>
        <v>0</v>
      </c>
      <c r="K80" s="141">
        <f t="shared" si="9"/>
        <v>0</v>
      </c>
      <c r="L80" s="141">
        <f t="shared" si="9"/>
        <v>0</v>
      </c>
      <c r="M80" s="141">
        <f t="shared" si="9"/>
        <v>0</v>
      </c>
      <c r="N80" s="141">
        <f t="shared" si="9"/>
        <v>0</v>
      </c>
      <c r="O80" s="141">
        <f t="shared" si="9"/>
        <v>0</v>
      </c>
    </row>
    <row r="81" spans="1:15" ht="14.25" customHeight="1">
      <c r="A81" s="26"/>
      <c r="B81" s="42" t="s">
        <v>80</v>
      </c>
      <c r="C81" s="142">
        <f>IFERROR(ROUNDDOWN(C12/C67,0),0)</f>
        <v>0</v>
      </c>
      <c r="D81" s="143">
        <f t="shared" ref="D81:O81" si="10">IFERROR(ROUNDDOWN(D12/D67,0),0)</f>
        <v>0</v>
      </c>
      <c r="E81" s="143">
        <f t="shared" si="10"/>
        <v>0</v>
      </c>
      <c r="F81" s="143">
        <f t="shared" si="10"/>
        <v>0</v>
      </c>
      <c r="G81" s="143">
        <f t="shared" si="10"/>
        <v>0</v>
      </c>
      <c r="H81" s="143">
        <f t="shared" si="10"/>
        <v>0</v>
      </c>
      <c r="I81" s="143">
        <f t="shared" si="10"/>
        <v>0</v>
      </c>
      <c r="J81" s="143">
        <f t="shared" si="10"/>
        <v>0</v>
      </c>
      <c r="K81" s="143">
        <f t="shared" si="10"/>
        <v>0</v>
      </c>
      <c r="L81" s="143">
        <f t="shared" si="10"/>
        <v>0</v>
      </c>
      <c r="M81" s="143">
        <f t="shared" si="10"/>
        <v>0</v>
      </c>
      <c r="N81" s="143">
        <f t="shared" si="10"/>
        <v>0</v>
      </c>
      <c r="O81" s="143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</row>
    <row r="87" spans="1:15">
      <c r="A87" s="43"/>
      <c r="B87" s="59" t="s">
        <v>343</v>
      </c>
      <c r="C87" s="147">
        <f>'採算表(VND)'!C87</f>
        <v>0</v>
      </c>
      <c r="D87" s="147">
        <f>'採算表(VND)'!D87</f>
        <v>0</v>
      </c>
      <c r="E87" s="147">
        <f>'採算表(VND)'!E87</f>
        <v>0</v>
      </c>
      <c r="F87" s="147">
        <f>'採算表(VND)'!F87</f>
        <v>0</v>
      </c>
      <c r="G87" s="147">
        <f>'採算表(VND)'!G87</f>
        <v>0</v>
      </c>
      <c r="H87" s="147">
        <f>'採算表(VND)'!H87</f>
        <v>0</v>
      </c>
      <c r="I87" s="147">
        <f>'採算表(VND)'!I87</f>
        <v>0</v>
      </c>
      <c r="J87" s="147">
        <f>'採算表(VND)'!J87</f>
        <v>0</v>
      </c>
      <c r="K87" s="147">
        <f>'採算表(VND)'!K87</f>
        <v>0</v>
      </c>
      <c r="L87" s="147">
        <f>'採算表(VND)'!L87</f>
        <v>0</v>
      </c>
      <c r="M87" s="147">
        <f>'採算表(VND)'!M87</f>
        <v>0</v>
      </c>
      <c r="N87" s="147">
        <f>'採算表(VND)'!N87</f>
        <v>0</v>
      </c>
      <c r="O87" s="147">
        <f>SUM(C87:N87)</f>
        <v>0</v>
      </c>
    </row>
    <row r="88" spans="1:15">
      <c r="A88" s="43"/>
      <c r="B88" s="59" t="s">
        <v>344</v>
      </c>
      <c r="C88" s="147">
        <f>'採算表(VND)'!C88</f>
        <v>45</v>
      </c>
      <c r="D88" s="147">
        <f>'採算表(VND)'!D88</f>
        <v>45</v>
      </c>
      <c r="E88" s="147">
        <f>'採算表(VND)'!E88</f>
        <v>47</v>
      </c>
      <c r="F88" s="147">
        <f>'採算表(VND)'!F88</f>
        <v>47</v>
      </c>
      <c r="G88" s="147">
        <f>'採算表(VND)'!G88</f>
        <v>47</v>
      </c>
      <c r="H88" s="147">
        <f>'採算表(VND)'!H88</f>
        <v>47</v>
      </c>
      <c r="I88" s="147">
        <f>'採算表(VND)'!I88</f>
        <v>47</v>
      </c>
      <c r="J88" s="147">
        <f>'採算表(VND)'!J88</f>
        <v>47</v>
      </c>
      <c r="K88" s="147">
        <f>'採算表(VND)'!K88</f>
        <v>47</v>
      </c>
      <c r="L88" s="147">
        <f>'採算表(VND)'!L88</f>
        <v>47</v>
      </c>
      <c r="M88" s="147">
        <f>'採算表(VND)'!M88</f>
        <v>47</v>
      </c>
      <c r="N88" s="147">
        <f>'採算表(VND)'!N88</f>
        <v>47</v>
      </c>
      <c r="O88" s="147">
        <f>SUM(C88:N88)</f>
        <v>560</v>
      </c>
    </row>
    <row r="89" spans="1:15">
      <c r="A89" s="44"/>
      <c r="B89" s="60" t="s">
        <v>18</v>
      </c>
      <c r="C89" s="148">
        <f t="shared" ref="C89:O89" si="11">C87+C88</f>
        <v>45</v>
      </c>
      <c r="D89" s="148">
        <f t="shared" si="11"/>
        <v>45</v>
      </c>
      <c r="E89" s="148">
        <f t="shared" si="11"/>
        <v>47</v>
      </c>
      <c r="F89" s="148">
        <f t="shared" si="11"/>
        <v>47</v>
      </c>
      <c r="G89" s="148">
        <f t="shared" si="11"/>
        <v>47</v>
      </c>
      <c r="H89" s="148">
        <f t="shared" si="11"/>
        <v>47</v>
      </c>
      <c r="I89" s="148">
        <f t="shared" si="11"/>
        <v>47</v>
      </c>
      <c r="J89" s="148">
        <f t="shared" si="11"/>
        <v>47</v>
      </c>
      <c r="K89" s="148">
        <f t="shared" si="11"/>
        <v>47</v>
      </c>
      <c r="L89" s="148">
        <f t="shared" si="11"/>
        <v>47</v>
      </c>
      <c r="M89" s="148">
        <f t="shared" si="11"/>
        <v>47</v>
      </c>
      <c r="N89" s="148">
        <f t="shared" si="11"/>
        <v>47</v>
      </c>
      <c r="O89" s="148">
        <f t="shared" si="11"/>
        <v>560</v>
      </c>
    </row>
    <row r="91" spans="1:15">
      <c r="B91" s="58" t="s">
        <v>19</v>
      </c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</row>
    <row r="92" spans="1:15">
      <c r="B92" s="59" t="s">
        <v>324</v>
      </c>
      <c r="C92" s="130">
        <f>'採算表(VND)'!C92</f>
        <v>0</v>
      </c>
      <c r="D92" s="130">
        <f>'採算表(VND)'!D92</f>
        <v>0</v>
      </c>
      <c r="E92" s="130">
        <f>'採算表(VND)'!E92</f>
        <v>0</v>
      </c>
      <c r="F92" s="130">
        <f>'採算表(VND)'!F92</f>
        <v>0</v>
      </c>
      <c r="G92" s="130">
        <f>'採算表(VND)'!G92</f>
        <v>0</v>
      </c>
      <c r="H92" s="130">
        <f>'採算表(VND)'!H92</f>
        <v>0</v>
      </c>
      <c r="I92" s="130">
        <f>'採算表(VND)'!I92</f>
        <v>0</v>
      </c>
      <c r="J92" s="130">
        <f>'採算表(VND)'!J92</f>
        <v>0</v>
      </c>
      <c r="K92" s="130">
        <f>'採算表(VND)'!K92</f>
        <v>0</v>
      </c>
      <c r="L92" s="130">
        <f>'採算表(VND)'!L92</f>
        <v>0</v>
      </c>
      <c r="M92" s="130">
        <f>'採算表(VND)'!M92</f>
        <v>0</v>
      </c>
      <c r="N92" s="130">
        <f>'採算表(VND)'!N92</f>
        <v>0</v>
      </c>
      <c r="O92" s="130">
        <f>SUM(C92:N92)</f>
        <v>0</v>
      </c>
    </row>
    <row r="93" spans="1:15">
      <c r="B93" s="59" t="s">
        <v>325</v>
      </c>
      <c r="C93" s="130">
        <f>'採算表(VND)'!C93</f>
        <v>7267.5</v>
      </c>
      <c r="D93" s="130">
        <f>'採算表(VND)'!D93</f>
        <v>6885</v>
      </c>
      <c r="E93" s="130">
        <f>'採算表(VND)'!E93</f>
        <v>7990</v>
      </c>
      <c r="F93" s="130">
        <f>'採算表(VND)'!F93</f>
        <v>8789</v>
      </c>
      <c r="G93" s="130">
        <f>'採算表(VND)'!G93</f>
        <v>7590.5</v>
      </c>
      <c r="H93" s="130">
        <f>'採算表(VND)'!H93</f>
        <v>7191</v>
      </c>
      <c r="I93" s="130">
        <f>'採算表(VND)'!I93</f>
        <v>8789</v>
      </c>
      <c r="J93" s="130">
        <f>'採算表(VND)'!J93</f>
        <v>7590.5</v>
      </c>
      <c r="K93" s="130">
        <f>'採算表(VND)'!K93</f>
        <v>8389.5</v>
      </c>
      <c r="L93" s="130">
        <f>'採算表(VND)'!L93</f>
        <v>7590.5</v>
      </c>
      <c r="M93" s="130">
        <f>'採算表(VND)'!M93</f>
        <v>5593</v>
      </c>
      <c r="N93" s="130">
        <f>'採算表(VND)'!N93</f>
        <v>7590.5</v>
      </c>
      <c r="O93" s="130">
        <f>SUM(C93:N93)</f>
        <v>91256</v>
      </c>
    </row>
    <row r="94" spans="1:15">
      <c r="B94" s="61" t="s">
        <v>18</v>
      </c>
      <c r="C94" s="144">
        <f t="shared" ref="C94:O94" si="12">C92+C93</f>
        <v>7267.5</v>
      </c>
      <c r="D94" s="144">
        <f t="shared" si="12"/>
        <v>6885</v>
      </c>
      <c r="E94" s="144">
        <f t="shared" si="12"/>
        <v>7990</v>
      </c>
      <c r="F94" s="144">
        <f t="shared" si="12"/>
        <v>8789</v>
      </c>
      <c r="G94" s="144">
        <f t="shared" si="12"/>
        <v>7590.5</v>
      </c>
      <c r="H94" s="144">
        <f t="shared" si="12"/>
        <v>7191</v>
      </c>
      <c r="I94" s="144">
        <f t="shared" si="12"/>
        <v>8789</v>
      </c>
      <c r="J94" s="144">
        <f t="shared" si="12"/>
        <v>7590.5</v>
      </c>
      <c r="K94" s="144">
        <f t="shared" si="12"/>
        <v>8389.5</v>
      </c>
      <c r="L94" s="144">
        <f t="shared" si="12"/>
        <v>7590.5</v>
      </c>
      <c r="M94" s="144">
        <f t="shared" si="12"/>
        <v>5593</v>
      </c>
      <c r="N94" s="144">
        <f t="shared" si="12"/>
        <v>7590.5</v>
      </c>
      <c r="O94" s="144">
        <f t="shared" si="12"/>
        <v>91256</v>
      </c>
    </row>
    <row r="95" spans="1:15"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</row>
    <row r="96" spans="1:15">
      <c r="B96" s="58" t="s">
        <v>20</v>
      </c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</row>
    <row r="97" spans="2:15">
      <c r="B97" s="59" t="s">
        <v>326</v>
      </c>
      <c r="C97" s="130">
        <f>'採算表(VND)'!C97</f>
        <v>0</v>
      </c>
      <c r="D97" s="130">
        <f>'採算表(VND)'!D97</f>
        <v>0</v>
      </c>
      <c r="E97" s="130">
        <f>'採算表(VND)'!E97</f>
        <v>0</v>
      </c>
      <c r="F97" s="130">
        <f>'採算表(VND)'!F97</f>
        <v>0</v>
      </c>
      <c r="G97" s="130">
        <f>'採算表(VND)'!G97</f>
        <v>0</v>
      </c>
      <c r="H97" s="130">
        <f>'採算表(VND)'!H97</f>
        <v>0</v>
      </c>
      <c r="I97" s="130">
        <f>'採算表(VND)'!I97</f>
        <v>0</v>
      </c>
      <c r="J97" s="130">
        <f>'採算表(VND)'!J97</f>
        <v>0</v>
      </c>
      <c r="K97" s="130">
        <f>'採算表(VND)'!K97</f>
        <v>0</v>
      </c>
      <c r="L97" s="130">
        <f>'採算表(VND)'!L97</f>
        <v>0</v>
      </c>
      <c r="M97" s="130">
        <f>'採算表(VND)'!M97</f>
        <v>0</v>
      </c>
      <c r="N97" s="130">
        <f>'採算表(VND)'!N97</f>
        <v>0</v>
      </c>
      <c r="O97" s="130">
        <f>SUM(C97:N97)</f>
        <v>0</v>
      </c>
    </row>
    <row r="98" spans="2:15">
      <c r="B98" s="59" t="s">
        <v>327</v>
      </c>
      <c r="C98" s="130">
        <f>'採算表(VND)'!C98</f>
        <v>920</v>
      </c>
      <c r="D98" s="130">
        <f>'採算表(VND)'!D98</f>
        <v>918</v>
      </c>
      <c r="E98" s="130">
        <f>'採算表(VND)'!E98</f>
        <v>962</v>
      </c>
      <c r="F98" s="130">
        <f>'採算表(VND)'!F98</f>
        <v>966</v>
      </c>
      <c r="G98" s="130">
        <f>'採算表(VND)'!G98</f>
        <v>960</v>
      </c>
      <c r="H98" s="130">
        <f>'採算表(VND)'!H98</f>
        <v>958</v>
      </c>
      <c r="I98" s="130">
        <f>'採算表(VND)'!I98</f>
        <v>966</v>
      </c>
      <c r="J98" s="130">
        <f>'採算表(VND)'!J98</f>
        <v>960</v>
      </c>
      <c r="K98" s="130">
        <f>'採算表(VND)'!K98</f>
        <v>964</v>
      </c>
      <c r="L98" s="130">
        <f>'採算表(VND)'!L98</f>
        <v>960</v>
      </c>
      <c r="M98" s="130">
        <f>'採算表(VND)'!M98</f>
        <v>950</v>
      </c>
      <c r="N98" s="130">
        <f>'採算表(VND)'!N98</f>
        <v>960</v>
      </c>
      <c r="O98" s="130">
        <f>SUM(C98:N98)</f>
        <v>11444</v>
      </c>
    </row>
    <row r="99" spans="2:15">
      <c r="B99" s="61" t="s">
        <v>18</v>
      </c>
      <c r="C99" s="144">
        <f t="shared" ref="C99:O99" si="13">C97+C98</f>
        <v>920</v>
      </c>
      <c r="D99" s="144">
        <f t="shared" si="13"/>
        <v>918</v>
      </c>
      <c r="E99" s="144">
        <f t="shared" si="13"/>
        <v>962</v>
      </c>
      <c r="F99" s="144">
        <f t="shared" si="13"/>
        <v>966</v>
      </c>
      <c r="G99" s="144">
        <f t="shared" si="13"/>
        <v>960</v>
      </c>
      <c r="H99" s="144">
        <f t="shared" si="13"/>
        <v>958</v>
      </c>
      <c r="I99" s="144">
        <f t="shared" si="13"/>
        <v>966</v>
      </c>
      <c r="J99" s="144">
        <f t="shared" si="13"/>
        <v>960</v>
      </c>
      <c r="K99" s="144">
        <f t="shared" si="13"/>
        <v>964</v>
      </c>
      <c r="L99" s="144">
        <f t="shared" si="13"/>
        <v>960</v>
      </c>
      <c r="M99" s="144">
        <f t="shared" si="13"/>
        <v>950</v>
      </c>
      <c r="N99" s="144">
        <f t="shared" si="13"/>
        <v>960</v>
      </c>
      <c r="O99" s="144">
        <f t="shared" si="13"/>
        <v>11444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486C-1AF2-41B2-9365-D50F45444DA8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5" t="str">
        <f>'内訳ﾘｽﾄ(4～3月)'!A1</f>
        <v>MP FY2026_各予定</v>
      </c>
      <c r="D1" s="96"/>
      <c r="E1" s="96"/>
      <c r="F1" s="97"/>
      <c r="G1" s="97"/>
      <c r="H1" s="97"/>
      <c r="I1" s="96"/>
      <c r="J1" s="97"/>
      <c r="K1" s="96"/>
      <c r="L1" s="98"/>
      <c r="M1" s="96"/>
      <c r="N1" s="94"/>
      <c r="O1" s="93"/>
    </row>
    <row r="2" spans="1:61" ht="14.25" customHeight="1" thickBot="1">
      <c r="B2" s="21" t="str">
        <f>'内訳ﾘｽﾄ(4～3月)'!C5</f>
        <v>部品検査2課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2"/>
      <c r="O2" s="92"/>
    </row>
    <row r="3" spans="1:61" ht="11.25" customHeight="1">
      <c r="C3" s="254">
        <v>2</v>
      </c>
      <c r="D3" s="254">
        <v>3</v>
      </c>
      <c r="E3" s="254">
        <v>4</v>
      </c>
      <c r="F3" s="254">
        <v>5</v>
      </c>
      <c r="G3" s="254">
        <v>6</v>
      </c>
      <c r="H3" s="254">
        <v>7</v>
      </c>
      <c r="I3" s="254">
        <v>8</v>
      </c>
      <c r="J3" s="254">
        <v>9</v>
      </c>
      <c r="K3" s="254">
        <v>10</v>
      </c>
      <c r="L3" s="254">
        <v>11</v>
      </c>
      <c r="M3" s="254">
        <v>12</v>
      </c>
      <c r="N3" s="254">
        <v>13</v>
      </c>
      <c r="O3" s="68"/>
    </row>
    <row r="4" spans="1:61">
      <c r="A4" s="24"/>
      <c r="B4" s="25" t="s">
        <v>71</v>
      </c>
      <c r="C4" s="67">
        <f>'内訳ﾘｽﾄ(4～3月)'!F4</f>
        <v>4</v>
      </c>
      <c r="D4" s="67">
        <v>5</v>
      </c>
      <c r="E4" s="67">
        <v>6</v>
      </c>
      <c r="F4" s="67">
        <v>7</v>
      </c>
      <c r="G4" s="67">
        <v>8</v>
      </c>
      <c r="H4" s="67">
        <v>9</v>
      </c>
      <c r="I4" s="67">
        <v>10</v>
      </c>
      <c r="J4" s="67">
        <v>11</v>
      </c>
      <c r="K4" s="67">
        <v>12</v>
      </c>
      <c r="L4" s="67">
        <v>1</v>
      </c>
      <c r="M4" s="67">
        <v>2</v>
      </c>
      <c r="N4" s="67">
        <v>3</v>
      </c>
      <c r="O4" s="51" t="s">
        <v>155</v>
      </c>
      <c r="AV4" s="70"/>
    </row>
    <row r="5" spans="1:61" ht="11.25" customHeight="1">
      <c r="A5" s="26"/>
      <c r="B5" s="27" t="s">
        <v>72</v>
      </c>
      <c r="C5" s="149">
        <f>C8+C9</f>
        <v>0</v>
      </c>
      <c r="D5" s="149">
        <f t="shared" ref="D5:N5" si="0">D8+D9</f>
        <v>0</v>
      </c>
      <c r="E5" s="149">
        <f t="shared" si="0"/>
        <v>0</v>
      </c>
      <c r="F5" s="149">
        <f t="shared" si="0"/>
        <v>0</v>
      </c>
      <c r="G5" s="149">
        <f t="shared" si="0"/>
        <v>0</v>
      </c>
      <c r="H5" s="149">
        <f t="shared" si="0"/>
        <v>0</v>
      </c>
      <c r="I5" s="149">
        <f t="shared" si="0"/>
        <v>0</v>
      </c>
      <c r="J5" s="149">
        <f t="shared" si="0"/>
        <v>0</v>
      </c>
      <c r="K5" s="149">
        <f t="shared" si="0"/>
        <v>0</v>
      </c>
      <c r="L5" s="149">
        <f t="shared" si="0"/>
        <v>0</v>
      </c>
      <c r="M5" s="149">
        <f t="shared" si="0"/>
        <v>0</v>
      </c>
      <c r="N5" s="149">
        <f t="shared" si="0"/>
        <v>0</v>
      </c>
      <c r="O5" s="149">
        <f>O8+O9</f>
        <v>0</v>
      </c>
      <c r="AD5" s="70"/>
      <c r="AE5" s="70"/>
      <c r="AQ5" s="72"/>
      <c r="AR5" s="72"/>
      <c r="AS5" s="72"/>
      <c r="AT5" s="72"/>
      <c r="AV5" s="71"/>
      <c r="AW5" s="71"/>
      <c r="AX5" s="71"/>
      <c r="AY5" s="71"/>
      <c r="BA5" s="73"/>
      <c r="BB5" s="73"/>
      <c r="BC5" s="73"/>
      <c r="BD5" s="73"/>
      <c r="BF5" s="70"/>
      <c r="BG5" s="70"/>
      <c r="BH5" s="70"/>
      <c r="BI5" s="70"/>
    </row>
    <row r="6" spans="1:61" ht="11.25" customHeight="1">
      <c r="A6" s="26"/>
      <c r="B6" s="29" t="s">
        <v>141</v>
      </c>
      <c r="C6" s="150">
        <f>SUMIF('内訳ﾘｽﾄ(4～3月)'!$D$26:$D$998,'採算表(VND)'!$B6,'内訳ﾘｽﾄ(4～3月)'!F$26:F$998)</f>
        <v>0</v>
      </c>
      <c r="D6" s="150">
        <f>SUMIF('内訳ﾘｽﾄ(4～3月)'!$D$26:$D$998,'採算表(VND)'!$B6,'内訳ﾘｽﾄ(4～3月)'!G$26:G$998)</f>
        <v>0</v>
      </c>
      <c r="E6" s="150">
        <f>SUMIF('内訳ﾘｽﾄ(4～3月)'!$D$26:$D$998,'採算表(VND)'!$B6,'内訳ﾘｽﾄ(4～3月)'!H$26:H$998)</f>
        <v>0</v>
      </c>
      <c r="F6" s="150">
        <f>SUMIF('内訳ﾘｽﾄ(4～3月)'!$D$26:$D$998,'採算表(VND)'!$B6,'内訳ﾘｽﾄ(4～3月)'!I$26:I$998)</f>
        <v>0</v>
      </c>
      <c r="G6" s="150">
        <f>SUMIF('内訳ﾘｽﾄ(4～3月)'!$D$26:$D$998,'採算表(VND)'!$B6,'内訳ﾘｽﾄ(4～3月)'!J$26:J$998)</f>
        <v>0</v>
      </c>
      <c r="H6" s="150">
        <f>SUMIF('内訳ﾘｽﾄ(4～3月)'!$D$26:$D$998,'採算表(VND)'!$B6,'内訳ﾘｽﾄ(4～3月)'!K$26:K$998)</f>
        <v>0</v>
      </c>
      <c r="I6" s="150">
        <f>SUMIF('内訳ﾘｽﾄ(4～3月)'!$D$26:$D$998,'採算表(VND)'!$B6,'内訳ﾘｽﾄ(4～3月)'!L$26:L$998)</f>
        <v>0</v>
      </c>
      <c r="J6" s="150">
        <f>SUMIF('内訳ﾘｽﾄ(4～3月)'!$D$26:$D$998,'採算表(VND)'!$B6,'内訳ﾘｽﾄ(4～3月)'!M$26:M$998)</f>
        <v>0</v>
      </c>
      <c r="K6" s="150">
        <f>SUMIF('内訳ﾘｽﾄ(4～3月)'!$D$26:$D$998,'採算表(VND)'!$B6,'内訳ﾘｽﾄ(4～3月)'!N$26:N$998)</f>
        <v>0</v>
      </c>
      <c r="L6" s="150">
        <f>SUMIF('内訳ﾘｽﾄ(4～3月)'!$D$26:$D$998,'採算表(VND)'!$B6,'内訳ﾘｽﾄ(4～3月)'!O$26:O$998)</f>
        <v>0</v>
      </c>
      <c r="M6" s="150">
        <f>SUMIF('内訳ﾘｽﾄ(4～3月)'!$D$26:$D$998,'採算表(VND)'!$B6,'内訳ﾘｽﾄ(4～3月)'!P$26:P$998)</f>
        <v>0</v>
      </c>
      <c r="N6" s="150">
        <f>SUMIF('内訳ﾘｽﾄ(4～3月)'!$D$26:$D$998,'採算表(VND)'!$B6,'内訳ﾘｽﾄ(4～3月)'!Q$26:Q$998)</f>
        <v>0</v>
      </c>
      <c r="O6" s="150">
        <f>SUMIF('内訳ﾘｽﾄ(4～3月)'!$D$26:$D$797,'採算表(VND)'!$B6,'内訳ﾘｽﾄ(4～3月)'!R$26:R$797)</f>
        <v>0</v>
      </c>
      <c r="AQ6" s="72"/>
      <c r="AR6" s="72"/>
      <c r="AS6" s="72"/>
      <c r="AT6" s="72"/>
      <c r="AV6" s="71"/>
      <c r="AW6" s="71"/>
      <c r="AX6" s="71"/>
      <c r="AY6" s="71"/>
      <c r="BA6" s="73"/>
      <c r="BB6" s="73"/>
      <c r="BC6" s="73"/>
      <c r="BD6" s="73"/>
      <c r="BF6" s="70"/>
      <c r="BG6" s="70"/>
      <c r="BH6" s="70"/>
      <c r="BI6" s="70"/>
    </row>
    <row r="7" spans="1:61" ht="11.25" customHeight="1">
      <c r="A7" s="26"/>
      <c r="B7" s="30" t="s">
        <v>112</v>
      </c>
      <c r="C7" s="151">
        <f>SUMIF('内訳ﾘｽﾄ(4～3月)'!$D$26:$D$998,'採算表(VND)'!$B7,'内訳ﾘｽﾄ(4～3月)'!F$26:F$998)</f>
        <v>0</v>
      </c>
      <c r="D7" s="151">
        <f>SUMIF('内訳ﾘｽﾄ(4～3月)'!$D$26:$D$998,'採算表(VND)'!$B7,'内訳ﾘｽﾄ(4～3月)'!G$26:G$998)</f>
        <v>0</v>
      </c>
      <c r="E7" s="151">
        <f>SUMIF('内訳ﾘｽﾄ(4～3月)'!$D$26:$D$998,'採算表(VND)'!$B7,'内訳ﾘｽﾄ(4～3月)'!H$26:H$998)</f>
        <v>0</v>
      </c>
      <c r="F7" s="151">
        <f>SUMIF('内訳ﾘｽﾄ(4～3月)'!$D$26:$D$998,'採算表(VND)'!$B7,'内訳ﾘｽﾄ(4～3月)'!I$26:I$998)</f>
        <v>0</v>
      </c>
      <c r="G7" s="151">
        <f>SUMIF('内訳ﾘｽﾄ(4～3月)'!$D$26:$D$998,'採算表(VND)'!$B7,'内訳ﾘｽﾄ(4～3月)'!J$26:J$998)</f>
        <v>0</v>
      </c>
      <c r="H7" s="151">
        <f>SUMIF('内訳ﾘｽﾄ(4～3月)'!$D$26:$D$998,'採算表(VND)'!$B7,'内訳ﾘｽﾄ(4～3月)'!K$26:K$998)</f>
        <v>0</v>
      </c>
      <c r="I7" s="151">
        <f>SUMIF('内訳ﾘｽﾄ(4～3月)'!$D$26:$D$998,'採算表(VND)'!$B7,'内訳ﾘｽﾄ(4～3月)'!L$26:L$998)</f>
        <v>0</v>
      </c>
      <c r="J7" s="151">
        <f>SUMIF('内訳ﾘｽﾄ(4～3月)'!$D$26:$D$998,'採算表(VND)'!$B7,'内訳ﾘｽﾄ(4～3月)'!M$26:M$998)</f>
        <v>0</v>
      </c>
      <c r="K7" s="151">
        <f>SUMIF('内訳ﾘｽﾄ(4～3月)'!$D$26:$D$998,'採算表(VND)'!$B7,'内訳ﾘｽﾄ(4～3月)'!N$26:N$998)</f>
        <v>0</v>
      </c>
      <c r="L7" s="151">
        <f>SUMIF('内訳ﾘｽﾄ(4～3月)'!$D$26:$D$998,'採算表(VND)'!$B7,'内訳ﾘｽﾄ(4～3月)'!O$26:O$998)</f>
        <v>0</v>
      </c>
      <c r="M7" s="151">
        <f>SUMIF('内訳ﾘｽﾄ(4～3月)'!$D$26:$D$998,'採算表(VND)'!$B7,'内訳ﾘｽﾄ(4～3月)'!P$26:P$998)</f>
        <v>0</v>
      </c>
      <c r="N7" s="151">
        <f>SUMIF('内訳ﾘｽﾄ(4～3月)'!$D$26:$D$998,'採算表(VND)'!$B7,'内訳ﾘｽﾄ(4～3月)'!Q$26:Q$998)</f>
        <v>0</v>
      </c>
      <c r="O7" s="151">
        <f>SUMIF('内訳ﾘｽﾄ(4～3月)'!$D$26:$D$797,'採算表(VND)'!$B7,'内訳ﾘｽﾄ(4～3月)'!R$26:R$797)</f>
        <v>0</v>
      </c>
      <c r="AQ7" s="72"/>
      <c r="AR7" s="72"/>
      <c r="AS7" s="72"/>
      <c r="AT7" s="72"/>
      <c r="AV7" s="71"/>
      <c r="AW7" s="71"/>
      <c r="AX7" s="71"/>
      <c r="AY7" s="71"/>
      <c r="BA7" s="73"/>
      <c r="BB7" s="73"/>
      <c r="BC7" s="73"/>
      <c r="BD7" s="73"/>
      <c r="BF7" s="70"/>
      <c r="BG7" s="70"/>
      <c r="BH7" s="70"/>
      <c r="BI7" s="70"/>
    </row>
    <row r="8" spans="1:61" ht="11.25" customHeight="1">
      <c r="A8" s="26"/>
      <c r="B8" s="31" t="s">
        <v>85</v>
      </c>
      <c r="C8" s="152">
        <f t="shared" ref="C8:N8" si="1">C6+C7</f>
        <v>0</v>
      </c>
      <c r="D8" s="152">
        <f t="shared" si="1"/>
        <v>0</v>
      </c>
      <c r="E8" s="152">
        <f t="shared" si="1"/>
        <v>0</v>
      </c>
      <c r="F8" s="152">
        <f t="shared" si="1"/>
        <v>0</v>
      </c>
      <c r="G8" s="152">
        <f t="shared" si="1"/>
        <v>0</v>
      </c>
      <c r="H8" s="152">
        <f t="shared" si="1"/>
        <v>0</v>
      </c>
      <c r="I8" s="152">
        <f t="shared" si="1"/>
        <v>0</v>
      </c>
      <c r="J8" s="152">
        <f t="shared" si="1"/>
        <v>0</v>
      </c>
      <c r="K8" s="152">
        <f t="shared" si="1"/>
        <v>0</v>
      </c>
      <c r="L8" s="152">
        <f t="shared" si="1"/>
        <v>0</v>
      </c>
      <c r="M8" s="152">
        <f t="shared" si="1"/>
        <v>0</v>
      </c>
      <c r="N8" s="152">
        <f t="shared" si="1"/>
        <v>0</v>
      </c>
      <c r="O8" s="152">
        <f>O6+O7</f>
        <v>0</v>
      </c>
      <c r="AQ8" s="72"/>
      <c r="AR8" s="72"/>
      <c r="AS8" s="72"/>
      <c r="AT8" s="72"/>
      <c r="AV8" s="71"/>
      <c r="AW8" s="71"/>
      <c r="AX8" s="71"/>
      <c r="AY8" s="71"/>
      <c r="BA8" s="73"/>
      <c r="BB8" s="73"/>
      <c r="BC8" s="73"/>
      <c r="BD8" s="73"/>
      <c r="BF8" s="70"/>
      <c r="BG8" s="70"/>
      <c r="BH8" s="70"/>
      <c r="BI8" s="70"/>
    </row>
    <row r="9" spans="1:61" ht="11.25" customHeight="1">
      <c r="A9" s="26"/>
      <c r="B9" s="28" t="s">
        <v>73</v>
      </c>
      <c r="C9" s="147">
        <f>SUMIF('内訳ﾘｽﾄ(4～3月)'!$D$26:$D$998,'採算表(VND)'!$B9,'内訳ﾘｽﾄ(4～3月)'!F$26:F$998)</f>
        <v>0</v>
      </c>
      <c r="D9" s="147">
        <f>SUMIF('内訳ﾘｽﾄ(4～3月)'!$D$26:$D$998,'採算表(VND)'!$B9,'内訳ﾘｽﾄ(4～3月)'!G$26:G$998)</f>
        <v>0</v>
      </c>
      <c r="E9" s="147">
        <f>SUMIF('内訳ﾘｽﾄ(4～3月)'!$D$26:$D$998,'採算表(VND)'!$B9,'内訳ﾘｽﾄ(4～3月)'!H$26:H$998)</f>
        <v>0</v>
      </c>
      <c r="F9" s="147">
        <f>SUMIF('内訳ﾘｽﾄ(4～3月)'!$D$26:$D$998,'採算表(VND)'!$B9,'内訳ﾘｽﾄ(4～3月)'!I$26:I$998)</f>
        <v>0</v>
      </c>
      <c r="G9" s="147">
        <f>SUMIF('内訳ﾘｽﾄ(4～3月)'!$D$26:$D$998,'採算表(VND)'!$B9,'内訳ﾘｽﾄ(4～3月)'!J$26:J$998)</f>
        <v>0</v>
      </c>
      <c r="H9" s="147">
        <f>SUMIF('内訳ﾘｽﾄ(4～3月)'!$D$26:$D$998,'採算表(VND)'!$B9,'内訳ﾘｽﾄ(4～3月)'!K$26:K$998)</f>
        <v>0</v>
      </c>
      <c r="I9" s="147">
        <f>SUMIF('内訳ﾘｽﾄ(4～3月)'!$D$26:$D$998,'採算表(VND)'!$B9,'内訳ﾘｽﾄ(4～3月)'!L$26:L$998)</f>
        <v>0</v>
      </c>
      <c r="J9" s="147">
        <f>SUMIF('内訳ﾘｽﾄ(4～3月)'!$D$26:$D$998,'採算表(VND)'!$B9,'内訳ﾘｽﾄ(4～3月)'!M$26:M$998)</f>
        <v>0</v>
      </c>
      <c r="K9" s="147">
        <f>SUMIF('内訳ﾘｽﾄ(4～3月)'!$D$26:$D$998,'採算表(VND)'!$B9,'内訳ﾘｽﾄ(4～3月)'!N$26:N$998)</f>
        <v>0</v>
      </c>
      <c r="L9" s="147">
        <f>SUMIF('内訳ﾘｽﾄ(4～3月)'!$D$26:$D$998,'採算表(VND)'!$B9,'内訳ﾘｽﾄ(4～3月)'!O$26:O$998)</f>
        <v>0</v>
      </c>
      <c r="M9" s="147">
        <f>SUMIF('内訳ﾘｽﾄ(4～3月)'!$D$26:$D$998,'採算表(VND)'!$B9,'内訳ﾘｽﾄ(4～3月)'!P$26:P$998)</f>
        <v>0</v>
      </c>
      <c r="N9" s="147">
        <f>SUMIF('内訳ﾘｽﾄ(4～3月)'!$D$26:$D$998,'採算表(VND)'!$B9,'内訳ﾘｽﾄ(4～3月)'!Q$26:Q$998)</f>
        <v>0</v>
      </c>
      <c r="O9" s="147">
        <f>SUMIF('内訳ﾘｽﾄ(4～3月)'!$D$26:$D$797,'採算表(VND)'!$B9,'内訳ﾘｽﾄ(4～3月)'!R$26:R$797)</f>
        <v>0</v>
      </c>
      <c r="AQ9" s="72"/>
      <c r="AR9" s="72"/>
      <c r="AS9" s="72"/>
      <c r="AT9" s="72"/>
      <c r="AV9" s="71"/>
      <c r="AW9" s="71"/>
      <c r="AX9" s="71"/>
      <c r="AY9" s="71"/>
      <c r="BA9" s="73"/>
      <c r="BB9" s="73"/>
      <c r="BC9" s="73"/>
      <c r="BD9" s="73"/>
      <c r="BF9" s="70"/>
      <c r="BG9" s="70"/>
      <c r="BH9" s="70"/>
      <c r="BI9" s="70"/>
    </row>
    <row r="10" spans="1:61" ht="11.25" customHeight="1">
      <c r="A10" s="26"/>
      <c r="B10" s="28" t="s">
        <v>74</v>
      </c>
      <c r="C10" s="147">
        <f>SUMIF('内訳ﾘｽﾄ(4～3月)'!$D$26:$D$998,'採算表(VND)'!$B10,'内訳ﾘｽﾄ(4～3月)'!F$26:F$998)</f>
        <v>0</v>
      </c>
      <c r="D10" s="147">
        <f>SUMIF('内訳ﾘｽﾄ(4～3月)'!$D$26:$D$998,'採算表(VND)'!$B10,'内訳ﾘｽﾄ(4～3月)'!G$26:G$998)</f>
        <v>0</v>
      </c>
      <c r="E10" s="147">
        <f>SUMIF('内訳ﾘｽﾄ(4～3月)'!$D$26:$D$998,'採算表(VND)'!$B10,'内訳ﾘｽﾄ(4～3月)'!H$26:H$998)</f>
        <v>0</v>
      </c>
      <c r="F10" s="147">
        <f>SUMIF('内訳ﾘｽﾄ(4～3月)'!$D$26:$D$998,'採算表(VND)'!$B10,'内訳ﾘｽﾄ(4～3月)'!I$26:I$998)</f>
        <v>0</v>
      </c>
      <c r="G10" s="147">
        <f>SUMIF('内訳ﾘｽﾄ(4～3月)'!$D$26:$D$998,'採算表(VND)'!$B10,'内訳ﾘｽﾄ(4～3月)'!J$26:J$998)</f>
        <v>0</v>
      </c>
      <c r="H10" s="147">
        <f>SUMIF('内訳ﾘｽﾄ(4～3月)'!$D$26:$D$998,'採算表(VND)'!$B10,'内訳ﾘｽﾄ(4～3月)'!K$26:K$998)</f>
        <v>0</v>
      </c>
      <c r="I10" s="147">
        <f>SUMIF('内訳ﾘｽﾄ(4～3月)'!$D$26:$D$998,'採算表(VND)'!$B10,'内訳ﾘｽﾄ(4～3月)'!L$26:L$998)</f>
        <v>0</v>
      </c>
      <c r="J10" s="147">
        <f>SUMIF('内訳ﾘｽﾄ(4～3月)'!$D$26:$D$998,'採算表(VND)'!$B10,'内訳ﾘｽﾄ(4～3月)'!M$26:M$998)</f>
        <v>0</v>
      </c>
      <c r="K10" s="147">
        <f>SUMIF('内訳ﾘｽﾄ(4～3月)'!$D$26:$D$998,'採算表(VND)'!$B10,'内訳ﾘｽﾄ(4～3月)'!N$26:N$998)</f>
        <v>0</v>
      </c>
      <c r="L10" s="147">
        <f>SUMIF('内訳ﾘｽﾄ(4～3月)'!$D$26:$D$998,'採算表(VND)'!$B10,'内訳ﾘｽﾄ(4～3月)'!O$26:O$998)</f>
        <v>0</v>
      </c>
      <c r="M10" s="147">
        <f>SUMIF('内訳ﾘｽﾄ(4～3月)'!$D$26:$D$998,'採算表(VND)'!$B10,'内訳ﾘｽﾄ(4～3月)'!P$26:P$998)</f>
        <v>0</v>
      </c>
      <c r="N10" s="147">
        <f>SUMIF('内訳ﾘｽﾄ(4～3月)'!$D$26:$D$998,'採算表(VND)'!$B10,'内訳ﾘｽﾄ(4～3月)'!Q$26:Q$998)</f>
        <v>0</v>
      </c>
      <c r="O10" s="147">
        <f>SUMIF('内訳ﾘｽﾄ(4～3月)'!$D$26:$D$797,'採算表(VND)'!$B10,'内訳ﾘｽﾄ(4～3月)'!R$26:R$797)</f>
        <v>0</v>
      </c>
      <c r="AQ10" s="72"/>
      <c r="AR10" s="72"/>
      <c r="AS10" s="72"/>
      <c r="AT10" s="72"/>
      <c r="AV10" s="71"/>
      <c r="AW10" s="71"/>
      <c r="AX10" s="71"/>
      <c r="AY10" s="71"/>
      <c r="BA10" s="73"/>
      <c r="BB10" s="73"/>
      <c r="BC10" s="73"/>
      <c r="BD10" s="73"/>
      <c r="BF10" s="70"/>
      <c r="BG10" s="70"/>
      <c r="BH10" s="70"/>
      <c r="BI10" s="70"/>
    </row>
    <row r="11" spans="1:61" ht="2.25" customHeight="1">
      <c r="A11" s="26"/>
      <c r="B11" s="28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AQ11" s="72"/>
      <c r="AR11" s="72"/>
      <c r="AS11" s="72"/>
      <c r="AT11" s="72"/>
      <c r="AV11" s="71"/>
      <c r="AW11" s="71"/>
      <c r="AX11" s="71"/>
      <c r="AY11" s="71"/>
      <c r="BA11" s="73"/>
      <c r="BB11" s="73"/>
      <c r="BC11" s="73"/>
      <c r="BD11" s="73"/>
      <c r="BF11" s="70"/>
      <c r="BG11" s="70"/>
      <c r="BH11" s="70"/>
      <c r="BI11" s="70"/>
    </row>
    <row r="12" spans="1:61" ht="11.25" customHeight="1">
      <c r="A12" s="33"/>
      <c r="B12" s="32" t="s">
        <v>75</v>
      </c>
      <c r="C12" s="153">
        <f>C5-C10</f>
        <v>0</v>
      </c>
      <c r="D12" s="153">
        <f t="shared" ref="D12:N12" si="2">D5-D10</f>
        <v>0</v>
      </c>
      <c r="E12" s="153">
        <f t="shared" si="2"/>
        <v>0</v>
      </c>
      <c r="F12" s="153">
        <f t="shared" si="2"/>
        <v>0</v>
      </c>
      <c r="G12" s="153">
        <f t="shared" si="2"/>
        <v>0</v>
      </c>
      <c r="H12" s="153">
        <f t="shared" si="2"/>
        <v>0</v>
      </c>
      <c r="I12" s="153">
        <f t="shared" si="2"/>
        <v>0</v>
      </c>
      <c r="J12" s="153">
        <f t="shared" si="2"/>
        <v>0</v>
      </c>
      <c r="K12" s="153">
        <f t="shared" si="2"/>
        <v>0</v>
      </c>
      <c r="L12" s="153">
        <f t="shared" si="2"/>
        <v>0</v>
      </c>
      <c r="M12" s="153">
        <f t="shared" si="2"/>
        <v>0</v>
      </c>
      <c r="N12" s="153">
        <f t="shared" si="2"/>
        <v>0</v>
      </c>
      <c r="O12" s="153">
        <f>O5-O10</f>
        <v>0</v>
      </c>
      <c r="AQ12" s="72"/>
      <c r="AR12" s="72"/>
      <c r="AS12" s="72"/>
      <c r="AT12" s="72"/>
      <c r="AV12" s="71"/>
      <c r="AW12" s="71"/>
      <c r="AX12" s="71"/>
      <c r="AY12" s="71"/>
      <c r="BA12" s="73"/>
      <c r="BB12" s="73"/>
      <c r="BC12" s="73"/>
      <c r="BD12" s="73"/>
      <c r="BF12" s="70"/>
      <c r="BG12" s="70"/>
      <c r="BH12" s="70"/>
      <c r="BI12" s="70"/>
    </row>
    <row r="13" spans="1:61" ht="11.25" customHeight="1">
      <c r="A13" s="26"/>
      <c r="B13" s="28" t="s">
        <v>76</v>
      </c>
      <c r="C13" s="147">
        <f>SUM(C14:C65)</f>
        <v>0</v>
      </c>
      <c r="D13" s="147">
        <f t="shared" ref="D13:N13" si="3">SUM(D14:D65)</f>
        <v>0</v>
      </c>
      <c r="E13" s="147">
        <f t="shared" si="3"/>
        <v>0</v>
      </c>
      <c r="F13" s="147">
        <f t="shared" si="3"/>
        <v>0</v>
      </c>
      <c r="G13" s="147">
        <f t="shared" si="3"/>
        <v>0</v>
      </c>
      <c r="H13" s="147">
        <f t="shared" si="3"/>
        <v>0</v>
      </c>
      <c r="I13" s="147">
        <f t="shared" si="3"/>
        <v>0</v>
      </c>
      <c r="J13" s="147">
        <f t="shared" si="3"/>
        <v>0</v>
      </c>
      <c r="K13" s="147">
        <f t="shared" si="3"/>
        <v>0</v>
      </c>
      <c r="L13" s="147">
        <f t="shared" si="3"/>
        <v>0</v>
      </c>
      <c r="M13" s="147">
        <f t="shared" si="3"/>
        <v>0</v>
      </c>
      <c r="N13" s="147">
        <f t="shared" si="3"/>
        <v>0</v>
      </c>
      <c r="O13" s="147">
        <f>SUM(O14:O65)</f>
        <v>0</v>
      </c>
      <c r="AQ13" s="72"/>
      <c r="AR13" s="72"/>
      <c r="AS13" s="72"/>
      <c r="AT13" s="72"/>
      <c r="AV13" s="71"/>
      <c r="AW13" s="71"/>
      <c r="AX13" s="71"/>
      <c r="AY13" s="71"/>
      <c r="BA13" s="73"/>
      <c r="BB13" s="73"/>
      <c r="BC13" s="73"/>
      <c r="BD13" s="73"/>
      <c r="BF13" s="70"/>
      <c r="BG13" s="70"/>
      <c r="BH13" s="70"/>
      <c r="BI13" s="70"/>
    </row>
    <row r="14" spans="1:61" ht="11.25" customHeight="1">
      <c r="A14" s="34"/>
      <c r="B14" s="35" t="s">
        <v>101</v>
      </c>
      <c r="C14" s="154">
        <f>SUMIF('内訳ﾘｽﾄ(4～3月)'!$D$26:$D$998,$B14,'内訳ﾘｽﾄ(4～3月)'!F$26:F$998)</f>
        <v>0</v>
      </c>
      <c r="D14" s="154">
        <f>SUMIF('内訳ﾘｽﾄ(4～3月)'!$D$26:$D$998,$B14,'内訳ﾘｽﾄ(4～3月)'!G$26:G$998)</f>
        <v>0</v>
      </c>
      <c r="E14" s="154">
        <f>SUMIF('内訳ﾘｽﾄ(4～3月)'!$D$26:$D$998,$B14,'内訳ﾘｽﾄ(4～3月)'!H$26:H$998)</f>
        <v>0</v>
      </c>
      <c r="F14" s="154">
        <f>SUMIF('内訳ﾘｽﾄ(4～3月)'!$D$26:$D$998,$B14,'内訳ﾘｽﾄ(4～3月)'!I$26:I$998)</f>
        <v>0</v>
      </c>
      <c r="G14" s="154">
        <f>SUMIF('内訳ﾘｽﾄ(4～3月)'!$D$26:$D$998,$B14,'内訳ﾘｽﾄ(4～3月)'!J$26:J$998)</f>
        <v>0</v>
      </c>
      <c r="H14" s="154">
        <f>SUMIF('内訳ﾘｽﾄ(4～3月)'!$D$26:$D$998,$B14,'内訳ﾘｽﾄ(4～3月)'!K$26:K$998)</f>
        <v>0</v>
      </c>
      <c r="I14" s="154">
        <f>SUMIF('内訳ﾘｽﾄ(4～3月)'!$D$26:$D$998,$B14,'内訳ﾘｽﾄ(4～3月)'!L$26:L$998)</f>
        <v>0</v>
      </c>
      <c r="J14" s="154">
        <f>SUMIF('内訳ﾘｽﾄ(4～3月)'!$D$26:$D$998,$B14,'内訳ﾘｽﾄ(4～3月)'!M$26:M$998)</f>
        <v>0</v>
      </c>
      <c r="K14" s="154">
        <f>SUMIF('内訳ﾘｽﾄ(4～3月)'!$D$26:$D$998,$B14,'内訳ﾘｽﾄ(4～3月)'!N$26:N$998)</f>
        <v>0</v>
      </c>
      <c r="L14" s="154">
        <f>SUMIF('内訳ﾘｽﾄ(4～3月)'!$D$26:$D$998,$B14,'内訳ﾘｽﾄ(4～3月)'!O$26:O$998)</f>
        <v>0</v>
      </c>
      <c r="M14" s="154">
        <f>SUMIF('内訳ﾘｽﾄ(4～3月)'!$D$26:$D$998,$B14,'内訳ﾘｽﾄ(4～3月)'!P$26:P$998)</f>
        <v>0</v>
      </c>
      <c r="N14" s="154">
        <f>SUMIF('内訳ﾘｽﾄ(4～3月)'!$D$26:$D$998,$B14,'内訳ﾘｽﾄ(4～3月)'!Q$26:Q$998)</f>
        <v>0</v>
      </c>
      <c r="O14" s="154">
        <f>SUMIF('内訳ﾘｽﾄ(4～3月)'!$D$26:$D$797,'採算表(VND)'!$B14,'内訳ﾘｽﾄ(4～3月)'!R$26:R$797)</f>
        <v>0</v>
      </c>
      <c r="AQ14" s="72"/>
      <c r="AR14" s="72"/>
      <c r="AS14" s="72"/>
      <c r="AT14" s="72"/>
      <c r="AU14" s="70"/>
      <c r="AV14" s="71"/>
      <c r="AW14" s="71"/>
      <c r="AX14" s="71"/>
      <c r="AY14" s="71"/>
      <c r="BA14" s="73"/>
      <c r="BB14" s="73"/>
      <c r="BC14" s="73"/>
      <c r="BD14" s="73"/>
      <c r="BF14" s="70"/>
      <c r="BG14" s="70"/>
      <c r="BH14" s="70"/>
      <c r="BI14" s="70"/>
    </row>
    <row r="15" spans="1:61" ht="11.25" customHeight="1">
      <c r="A15" s="34"/>
      <c r="B15" s="35" t="s">
        <v>124</v>
      </c>
      <c r="C15" s="154">
        <f>SUMIF('内訳ﾘｽﾄ(4～3月)'!$D$26:$D$998,$B15,'内訳ﾘｽﾄ(4～3月)'!F$26:F$998)</f>
        <v>0</v>
      </c>
      <c r="D15" s="154">
        <f>SUMIF('内訳ﾘｽﾄ(4～3月)'!$D$26:$D$998,$B15,'内訳ﾘｽﾄ(4～3月)'!G$26:G$998)</f>
        <v>0</v>
      </c>
      <c r="E15" s="154">
        <f>SUMIF('内訳ﾘｽﾄ(4～3月)'!$D$26:$D$998,$B15,'内訳ﾘｽﾄ(4～3月)'!H$26:H$998)</f>
        <v>0</v>
      </c>
      <c r="F15" s="154">
        <f>SUMIF('内訳ﾘｽﾄ(4～3月)'!$D$26:$D$998,$B15,'内訳ﾘｽﾄ(4～3月)'!I$26:I$998)</f>
        <v>0</v>
      </c>
      <c r="G15" s="154">
        <f>SUMIF('内訳ﾘｽﾄ(4～3月)'!$D$26:$D$998,$B15,'内訳ﾘｽﾄ(4～3月)'!J$26:J$998)</f>
        <v>0</v>
      </c>
      <c r="H15" s="154">
        <f>SUMIF('内訳ﾘｽﾄ(4～3月)'!$D$26:$D$998,$B15,'内訳ﾘｽﾄ(4～3月)'!K$26:K$998)</f>
        <v>0</v>
      </c>
      <c r="I15" s="154">
        <f>SUMIF('内訳ﾘｽﾄ(4～3月)'!$D$26:$D$998,$B15,'内訳ﾘｽﾄ(4～3月)'!L$26:L$998)</f>
        <v>0</v>
      </c>
      <c r="J15" s="154">
        <f>SUMIF('内訳ﾘｽﾄ(4～3月)'!$D$26:$D$998,$B15,'内訳ﾘｽﾄ(4～3月)'!M$26:M$998)</f>
        <v>0</v>
      </c>
      <c r="K15" s="154">
        <f>SUMIF('内訳ﾘｽﾄ(4～3月)'!$D$26:$D$998,$B15,'内訳ﾘｽﾄ(4～3月)'!N$26:N$998)</f>
        <v>0</v>
      </c>
      <c r="L15" s="154">
        <f>SUMIF('内訳ﾘｽﾄ(4～3月)'!$D$26:$D$998,$B15,'内訳ﾘｽﾄ(4～3月)'!O$26:O$998)</f>
        <v>0</v>
      </c>
      <c r="M15" s="154">
        <f>SUMIF('内訳ﾘｽﾄ(4～3月)'!$D$26:$D$998,$B15,'内訳ﾘｽﾄ(4～3月)'!P$26:P$998)</f>
        <v>0</v>
      </c>
      <c r="N15" s="154">
        <f>SUMIF('内訳ﾘｽﾄ(4～3月)'!$D$26:$D$998,$B15,'内訳ﾘｽﾄ(4～3月)'!Q$26:Q$998)</f>
        <v>0</v>
      </c>
      <c r="O15" s="154">
        <f>SUMIF('内訳ﾘｽﾄ(4～3月)'!$D$26:$D$797,'採算表(VND)'!$B15,'内訳ﾘｽﾄ(4～3月)'!R$26:R$797)</f>
        <v>0</v>
      </c>
      <c r="AQ15" s="72"/>
      <c r="AR15" s="72"/>
      <c r="AS15" s="72"/>
      <c r="AT15" s="72"/>
      <c r="AU15" s="70"/>
      <c r="AV15" s="71"/>
      <c r="AW15" s="71"/>
      <c r="AX15" s="71"/>
      <c r="AY15" s="71"/>
      <c r="BA15" s="73"/>
      <c r="BB15" s="73"/>
      <c r="BC15" s="73"/>
      <c r="BD15" s="73"/>
      <c r="BF15" s="70"/>
      <c r="BG15" s="70"/>
      <c r="BH15" s="70"/>
      <c r="BI15" s="70"/>
    </row>
    <row r="16" spans="1:61" ht="11.25" customHeight="1">
      <c r="A16" s="34"/>
      <c r="B16" s="35" t="s">
        <v>120</v>
      </c>
      <c r="C16" s="154">
        <f>SUMIF('内訳ﾘｽﾄ(4～3月)'!$D$26:$D$998,$B16,'内訳ﾘｽﾄ(4～3月)'!F$26:F$998)</f>
        <v>0</v>
      </c>
      <c r="D16" s="154">
        <f>SUMIF('内訳ﾘｽﾄ(4～3月)'!$D$26:$D$998,$B16,'内訳ﾘｽﾄ(4～3月)'!G$26:G$998)</f>
        <v>0</v>
      </c>
      <c r="E16" s="154">
        <f>SUMIF('内訳ﾘｽﾄ(4～3月)'!$D$26:$D$998,$B16,'内訳ﾘｽﾄ(4～3月)'!H$26:H$998)</f>
        <v>0</v>
      </c>
      <c r="F16" s="154">
        <f>SUMIF('内訳ﾘｽﾄ(4～3月)'!$D$26:$D$998,$B16,'内訳ﾘｽﾄ(4～3月)'!I$26:I$998)</f>
        <v>0</v>
      </c>
      <c r="G16" s="154">
        <f>SUMIF('内訳ﾘｽﾄ(4～3月)'!$D$26:$D$998,$B16,'内訳ﾘｽﾄ(4～3月)'!J$26:J$998)</f>
        <v>0</v>
      </c>
      <c r="H16" s="154">
        <f>SUMIF('内訳ﾘｽﾄ(4～3月)'!$D$26:$D$998,$B16,'内訳ﾘｽﾄ(4～3月)'!K$26:K$998)</f>
        <v>0</v>
      </c>
      <c r="I16" s="154">
        <f>SUMIF('内訳ﾘｽﾄ(4～3月)'!$D$26:$D$998,$B16,'内訳ﾘｽﾄ(4～3月)'!L$26:L$998)</f>
        <v>0</v>
      </c>
      <c r="J16" s="154">
        <f>SUMIF('内訳ﾘｽﾄ(4～3月)'!$D$26:$D$998,$B16,'内訳ﾘｽﾄ(4～3月)'!M$26:M$998)</f>
        <v>0</v>
      </c>
      <c r="K16" s="154">
        <f>SUMIF('内訳ﾘｽﾄ(4～3月)'!$D$26:$D$998,$B16,'内訳ﾘｽﾄ(4～3月)'!N$26:N$998)</f>
        <v>0</v>
      </c>
      <c r="L16" s="154">
        <f>SUMIF('内訳ﾘｽﾄ(4～3月)'!$D$26:$D$998,$B16,'内訳ﾘｽﾄ(4～3月)'!O$26:O$998)</f>
        <v>0</v>
      </c>
      <c r="M16" s="154">
        <f>SUMIF('内訳ﾘｽﾄ(4～3月)'!$D$26:$D$998,$B16,'内訳ﾘｽﾄ(4～3月)'!P$26:P$998)</f>
        <v>0</v>
      </c>
      <c r="N16" s="154">
        <f>SUMIF('内訳ﾘｽﾄ(4～3月)'!$D$26:$D$998,$B16,'内訳ﾘｽﾄ(4～3月)'!Q$26:Q$998)</f>
        <v>0</v>
      </c>
      <c r="O16" s="154">
        <f>SUMIF('内訳ﾘｽﾄ(4～3月)'!$D$26:$D$797,'採算表(VND)'!$B16,'内訳ﾘｽﾄ(4～3月)'!R$26:R$797)</f>
        <v>0</v>
      </c>
      <c r="AQ16" s="72"/>
      <c r="AR16" s="72"/>
      <c r="AS16" s="72"/>
      <c r="AT16" s="72"/>
      <c r="AU16" s="70"/>
      <c r="AV16" s="71"/>
      <c r="AW16" s="71"/>
      <c r="AX16" s="71"/>
      <c r="AY16" s="71"/>
      <c r="BA16" s="73"/>
      <c r="BB16" s="73"/>
      <c r="BC16" s="73"/>
      <c r="BD16" s="73"/>
      <c r="BF16" s="70"/>
      <c r="BG16" s="70"/>
      <c r="BH16" s="70"/>
      <c r="BI16" s="70"/>
    </row>
    <row r="17" spans="1:61" ht="11.25" customHeight="1">
      <c r="A17" s="34"/>
      <c r="B17" s="36" t="s">
        <v>102</v>
      </c>
      <c r="C17" s="155">
        <f>SUMIF('内訳ﾘｽﾄ(4～3月)'!$D$26:$D$998,$B17,'内訳ﾘｽﾄ(4～3月)'!F$26:F$998)</f>
        <v>0</v>
      </c>
      <c r="D17" s="155">
        <f>SUMIF('内訳ﾘｽﾄ(4～3月)'!$D$26:$D$998,$B17,'内訳ﾘｽﾄ(4～3月)'!G$26:G$998)</f>
        <v>0</v>
      </c>
      <c r="E17" s="155">
        <f>SUMIF('内訳ﾘｽﾄ(4～3月)'!$D$26:$D$998,$B17,'内訳ﾘｽﾄ(4～3月)'!H$26:H$998)</f>
        <v>0</v>
      </c>
      <c r="F17" s="155">
        <f>SUMIF('内訳ﾘｽﾄ(4～3月)'!$D$26:$D$998,$B17,'内訳ﾘｽﾄ(4～3月)'!I$26:I$998)</f>
        <v>0</v>
      </c>
      <c r="G17" s="155">
        <f>SUMIF('内訳ﾘｽﾄ(4～3月)'!$D$26:$D$998,$B17,'内訳ﾘｽﾄ(4～3月)'!J$26:J$998)</f>
        <v>0</v>
      </c>
      <c r="H17" s="155">
        <f>SUMIF('内訳ﾘｽﾄ(4～3月)'!$D$26:$D$998,$B17,'内訳ﾘｽﾄ(4～3月)'!K$26:K$998)</f>
        <v>0</v>
      </c>
      <c r="I17" s="155">
        <f>SUMIF('内訳ﾘｽﾄ(4～3月)'!$D$26:$D$998,$B17,'内訳ﾘｽﾄ(4～3月)'!L$26:L$998)</f>
        <v>0</v>
      </c>
      <c r="J17" s="155">
        <f>SUMIF('内訳ﾘｽﾄ(4～3月)'!$D$26:$D$998,$B17,'内訳ﾘｽﾄ(4～3月)'!M$26:M$998)</f>
        <v>0</v>
      </c>
      <c r="K17" s="155">
        <f>SUMIF('内訳ﾘｽﾄ(4～3月)'!$D$26:$D$998,$B17,'内訳ﾘｽﾄ(4～3月)'!N$26:N$998)</f>
        <v>0</v>
      </c>
      <c r="L17" s="155">
        <f>SUMIF('内訳ﾘｽﾄ(4～3月)'!$D$26:$D$998,$B17,'内訳ﾘｽﾄ(4～3月)'!O$26:O$998)</f>
        <v>0</v>
      </c>
      <c r="M17" s="155">
        <f>SUMIF('内訳ﾘｽﾄ(4～3月)'!$D$26:$D$998,$B17,'内訳ﾘｽﾄ(4～3月)'!P$26:P$998)</f>
        <v>0</v>
      </c>
      <c r="N17" s="155">
        <f>SUMIF('内訳ﾘｽﾄ(4～3月)'!$D$26:$D$998,$B17,'内訳ﾘｽﾄ(4～3月)'!Q$26:Q$998)</f>
        <v>0</v>
      </c>
      <c r="O17" s="155">
        <f>SUMIF('内訳ﾘｽﾄ(4～3月)'!$D$26:$D$797,'採算表(VND)'!$B17,'内訳ﾘｽﾄ(4～3月)'!R$26:R$797)</f>
        <v>0</v>
      </c>
      <c r="AQ17" s="72"/>
      <c r="AR17" s="72"/>
      <c r="AS17" s="72"/>
      <c r="AT17" s="72"/>
      <c r="AU17" s="70"/>
      <c r="AV17" s="71"/>
      <c r="AW17" s="71"/>
      <c r="AX17" s="71"/>
      <c r="AY17" s="71"/>
      <c r="BA17" s="73"/>
      <c r="BB17" s="73"/>
      <c r="BC17" s="73"/>
      <c r="BD17" s="73"/>
      <c r="BF17" s="70"/>
      <c r="BG17" s="70"/>
      <c r="BH17" s="70"/>
      <c r="BI17" s="70"/>
    </row>
    <row r="18" spans="1:61" ht="11.25" customHeight="1">
      <c r="A18" s="34"/>
      <c r="B18" s="36" t="s">
        <v>37</v>
      </c>
      <c r="C18" s="155">
        <f>SUMIF('内訳ﾘｽﾄ(4～3月)'!$D$26:$D$998,$B18,'内訳ﾘｽﾄ(4～3月)'!F$26:F$998)</f>
        <v>0</v>
      </c>
      <c r="D18" s="155">
        <f>SUMIF('内訳ﾘｽﾄ(4～3月)'!$D$26:$D$998,$B18,'内訳ﾘｽﾄ(4～3月)'!G$26:G$998)</f>
        <v>0</v>
      </c>
      <c r="E18" s="155">
        <f>SUMIF('内訳ﾘｽﾄ(4～3月)'!$D$26:$D$998,$B18,'内訳ﾘｽﾄ(4～3月)'!H$26:H$998)</f>
        <v>0</v>
      </c>
      <c r="F18" s="155">
        <f>SUMIF('内訳ﾘｽﾄ(4～3月)'!$D$26:$D$998,$B18,'内訳ﾘｽﾄ(4～3月)'!I$26:I$998)</f>
        <v>0</v>
      </c>
      <c r="G18" s="155">
        <f>SUMIF('内訳ﾘｽﾄ(4～3月)'!$D$26:$D$998,$B18,'内訳ﾘｽﾄ(4～3月)'!J$26:J$998)</f>
        <v>0</v>
      </c>
      <c r="H18" s="155">
        <f>SUMIF('内訳ﾘｽﾄ(4～3月)'!$D$26:$D$998,$B18,'内訳ﾘｽﾄ(4～3月)'!K$26:K$998)</f>
        <v>0</v>
      </c>
      <c r="I18" s="155">
        <f>SUMIF('内訳ﾘｽﾄ(4～3月)'!$D$26:$D$998,$B18,'内訳ﾘｽﾄ(4～3月)'!L$26:L$998)</f>
        <v>0</v>
      </c>
      <c r="J18" s="155">
        <f>SUMIF('内訳ﾘｽﾄ(4～3月)'!$D$26:$D$998,$B18,'内訳ﾘｽﾄ(4～3月)'!M$26:M$998)</f>
        <v>0</v>
      </c>
      <c r="K18" s="155">
        <f>SUMIF('内訳ﾘｽﾄ(4～3月)'!$D$26:$D$998,$B18,'内訳ﾘｽﾄ(4～3月)'!N$26:N$998)</f>
        <v>0</v>
      </c>
      <c r="L18" s="155">
        <f>SUMIF('内訳ﾘｽﾄ(4～3月)'!$D$26:$D$998,$B18,'内訳ﾘｽﾄ(4～3月)'!O$26:O$998)</f>
        <v>0</v>
      </c>
      <c r="M18" s="155">
        <f>SUMIF('内訳ﾘｽﾄ(4～3月)'!$D$26:$D$998,$B18,'内訳ﾘｽﾄ(4～3月)'!P$26:P$998)</f>
        <v>0</v>
      </c>
      <c r="N18" s="155">
        <f>SUMIF('内訳ﾘｽﾄ(4～3月)'!$D$26:$D$998,$B18,'内訳ﾘｽﾄ(4～3月)'!Q$26:Q$998)</f>
        <v>0</v>
      </c>
      <c r="O18" s="155">
        <f>SUMIF('内訳ﾘｽﾄ(4～3月)'!$D$26:$D$797,'採算表(VND)'!$B18,'内訳ﾘｽﾄ(4～3月)'!R$26:R$797)</f>
        <v>0</v>
      </c>
      <c r="AQ18" s="72"/>
      <c r="AR18" s="72"/>
      <c r="AS18" s="72"/>
      <c r="AT18" s="72"/>
      <c r="AU18" s="70"/>
      <c r="AV18" s="71"/>
      <c r="AW18" s="71"/>
      <c r="AX18" s="71"/>
      <c r="AY18" s="71"/>
      <c r="BA18" s="73"/>
      <c r="BB18" s="73"/>
      <c r="BC18" s="73"/>
      <c r="BD18" s="73"/>
      <c r="BF18" s="70"/>
      <c r="BG18" s="70"/>
      <c r="BH18" s="70"/>
      <c r="BI18" s="70"/>
    </row>
    <row r="19" spans="1:61" ht="11.25" customHeight="1">
      <c r="A19" s="34"/>
      <c r="B19" s="36" t="s">
        <v>43</v>
      </c>
      <c r="C19" s="155">
        <f>SUMIF('内訳ﾘｽﾄ(4～3月)'!$D$26:$D$998,$B19,'内訳ﾘｽﾄ(4～3月)'!F$26:F$998)</f>
        <v>0</v>
      </c>
      <c r="D19" s="155">
        <f>SUMIF('内訳ﾘｽﾄ(4～3月)'!$D$26:$D$998,$B19,'内訳ﾘｽﾄ(4～3月)'!G$26:G$998)</f>
        <v>0</v>
      </c>
      <c r="E19" s="155">
        <f>SUMIF('内訳ﾘｽﾄ(4～3月)'!$D$26:$D$998,$B19,'内訳ﾘｽﾄ(4～3月)'!H$26:H$998)</f>
        <v>0</v>
      </c>
      <c r="F19" s="155">
        <f>SUMIF('内訳ﾘｽﾄ(4～3月)'!$D$26:$D$998,$B19,'内訳ﾘｽﾄ(4～3月)'!I$26:I$998)</f>
        <v>0</v>
      </c>
      <c r="G19" s="155">
        <f>SUMIF('内訳ﾘｽﾄ(4～3月)'!$D$26:$D$998,$B19,'内訳ﾘｽﾄ(4～3月)'!J$26:J$998)</f>
        <v>0</v>
      </c>
      <c r="H19" s="155">
        <f>SUMIF('内訳ﾘｽﾄ(4～3月)'!$D$26:$D$998,$B19,'内訳ﾘｽﾄ(4～3月)'!K$26:K$998)</f>
        <v>0</v>
      </c>
      <c r="I19" s="155">
        <f>SUMIF('内訳ﾘｽﾄ(4～3月)'!$D$26:$D$998,$B19,'内訳ﾘｽﾄ(4～3月)'!L$26:L$998)</f>
        <v>0</v>
      </c>
      <c r="J19" s="155">
        <f>SUMIF('内訳ﾘｽﾄ(4～3月)'!$D$26:$D$998,$B19,'内訳ﾘｽﾄ(4～3月)'!M$26:M$998)</f>
        <v>0</v>
      </c>
      <c r="K19" s="155">
        <f>SUMIF('内訳ﾘｽﾄ(4～3月)'!$D$26:$D$998,$B19,'内訳ﾘｽﾄ(4～3月)'!N$26:N$998)</f>
        <v>0</v>
      </c>
      <c r="L19" s="155">
        <f>SUMIF('内訳ﾘｽﾄ(4～3月)'!$D$26:$D$998,$B19,'内訳ﾘｽﾄ(4～3月)'!O$26:O$998)</f>
        <v>0</v>
      </c>
      <c r="M19" s="155">
        <f>SUMIF('内訳ﾘｽﾄ(4～3月)'!$D$26:$D$998,$B19,'内訳ﾘｽﾄ(4～3月)'!P$26:P$998)</f>
        <v>0</v>
      </c>
      <c r="N19" s="155">
        <f>SUMIF('内訳ﾘｽﾄ(4～3月)'!$D$26:$D$998,$B19,'内訳ﾘｽﾄ(4～3月)'!Q$26:Q$998)</f>
        <v>0</v>
      </c>
      <c r="O19" s="155">
        <f>SUMIF('内訳ﾘｽﾄ(4～3月)'!$D$26:$D$797,'採算表(VND)'!$B19,'内訳ﾘｽﾄ(4～3月)'!R$26:R$797)</f>
        <v>0</v>
      </c>
      <c r="AQ19" s="72"/>
      <c r="AR19" s="72"/>
      <c r="AS19" s="72"/>
      <c r="AT19" s="72"/>
      <c r="AU19" s="70"/>
      <c r="AV19" s="71"/>
      <c r="AW19" s="71"/>
      <c r="AX19" s="71"/>
      <c r="AY19" s="71"/>
      <c r="BA19" s="73"/>
      <c r="BB19" s="73"/>
      <c r="BC19" s="73"/>
      <c r="BD19" s="73"/>
      <c r="BF19" s="70"/>
      <c r="BG19" s="70"/>
      <c r="BH19" s="70"/>
      <c r="BI19" s="70"/>
    </row>
    <row r="20" spans="1:61" ht="10.5" customHeight="1">
      <c r="A20" s="34"/>
      <c r="B20" s="36" t="s">
        <v>45</v>
      </c>
      <c r="C20" s="155">
        <f>SUMIF('内訳ﾘｽﾄ(4～3月)'!$D$26:$D$998,$B20,'内訳ﾘｽﾄ(4～3月)'!F$26:F$998)</f>
        <v>68699171</v>
      </c>
      <c r="D20" s="155">
        <f>SUMIF('内訳ﾘｽﾄ(4～3月)'!$D$26:$D$998,$B20,'内訳ﾘｽﾄ(4～3月)'!G$26:G$998)</f>
        <v>86173330</v>
      </c>
      <c r="E20" s="155">
        <f>SUMIF('内訳ﾘｽﾄ(4～3月)'!$D$26:$D$998,$B20,'内訳ﾘｽﾄ(4～3月)'!H$26:H$998)</f>
        <v>86410219</v>
      </c>
      <c r="F20" s="155">
        <f>SUMIF('内訳ﾘｽﾄ(4～3月)'!$D$26:$D$998,$B20,'内訳ﾘｽﾄ(4～3月)'!I$26:I$998)</f>
        <v>86032669</v>
      </c>
      <c r="G20" s="155">
        <f>SUMIF('内訳ﾘｽﾄ(4～3月)'!$D$26:$D$998,$B20,'内訳ﾘｽﾄ(4～3月)'!J$26:J$998)</f>
        <v>85869665</v>
      </c>
      <c r="H20" s="155">
        <f>SUMIF('内訳ﾘｽﾄ(4～3月)'!$D$26:$D$998,$B20,'内訳ﾘｽﾄ(4～3月)'!K$26:K$998)</f>
        <v>85423816</v>
      </c>
      <c r="I20" s="155">
        <f>SUMIF('内訳ﾘｽﾄ(4～3月)'!$D$26:$D$998,$B20,'内訳ﾘｽﾄ(4～3月)'!L$26:L$998)</f>
        <v>126811294</v>
      </c>
      <c r="J20" s="155">
        <f>SUMIF('内訳ﾘｽﾄ(4～3月)'!$D$26:$D$998,$B20,'内訳ﾘｽﾄ(4～3月)'!M$26:M$998)</f>
        <v>126802915</v>
      </c>
      <c r="K20" s="155">
        <f>SUMIF('内訳ﾘｽﾄ(4～3月)'!$D$26:$D$998,$B20,'内訳ﾘｽﾄ(4～3月)'!N$26:N$998)</f>
        <v>126814341</v>
      </c>
      <c r="L20" s="155">
        <f>SUMIF('内訳ﾘｽﾄ(4～3月)'!$D$26:$D$998,$B20,'内訳ﾘｽﾄ(4～3月)'!O$26:O$998)</f>
        <v>126736140</v>
      </c>
      <c r="M20" s="155">
        <f>SUMIF('内訳ﾘｽﾄ(4～3月)'!$D$26:$D$998,$B20,'内訳ﾘｽﾄ(4～3月)'!P$26:P$998)</f>
        <v>126482748</v>
      </c>
      <c r="N20" s="155">
        <f>SUMIF('内訳ﾘｽﾄ(4～3月)'!$D$26:$D$998,$B20,'内訳ﾘｽﾄ(4～3月)'!Q$26:Q$998)</f>
        <v>126683075</v>
      </c>
      <c r="O20" s="155">
        <f>SUMIF('内訳ﾘｽﾄ(4～3月)'!$D$26:$D$797,'採算表(VND)'!$B20,'内訳ﾘｽﾄ(4～3月)'!R$26:R$797)</f>
        <v>1258939383</v>
      </c>
      <c r="AQ20" s="72"/>
      <c r="AR20" s="72"/>
      <c r="AS20" s="72"/>
      <c r="AT20" s="72"/>
      <c r="AU20" s="70"/>
      <c r="AV20" s="71"/>
      <c r="AW20" s="71"/>
      <c r="AX20" s="71"/>
      <c r="AY20" s="71"/>
      <c r="BA20" s="73"/>
      <c r="BB20" s="73"/>
      <c r="BC20" s="73"/>
      <c r="BD20" s="73"/>
      <c r="BF20" s="70"/>
      <c r="BG20" s="70"/>
      <c r="BH20" s="70"/>
      <c r="BI20" s="70"/>
    </row>
    <row r="21" spans="1:61" ht="11.25" customHeight="1">
      <c r="A21" s="34"/>
      <c r="B21" s="36" t="s">
        <v>46</v>
      </c>
      <c r="C21" s="155">
        <f>SUMIF('内訳ﾘｽﾄ(4～3月)'!$D$26:$D$998,$B21,'内訳ﾘｽﾄ(4～3月)'!F$26:F$998)</f>
        <v>0</v>
      </c>
      <c r="D21" s="155">
        <f>SUMIF('内訳ﾘｽﾄ(4～3月)'!$D$26:$D$998,$B21,'内訳ﾘｽﾄ(4～3月)'!G$26:G$998)</f>
        <v>0</v>
      </c>
      <c r="E21" s="155">
        <f>SUMIF('内訳ﾘｽﾄ(4～3月)'!$D$26:$D$998,$B21,'内訳ﾘｽﾄ(4～3月)'!H$26:H$998)</f>
        <v>0</v>
      </c>
      <c r="F21" s="155">
        <f>SUMIF('内訳ﾘｽﾄ(4～3月)'!$D$26:$D$998,$B21,'内訳ﾘｽﾄ(4～3月)'!I$26:I$998)</f>
        <v>0</v>
      </c>
      <c r="G21" s="155">
        <f>SUMIF('内訳ﾘｽﾄ(4～3月)'!$D$26:$D$998,$B21,'内訳ﾘｽﾄ(4～3月)'!J$26:J$998)</f>
        <v>0</v>
      </c>
      <c r="H21" s="155">
        <f>SUMIF('内訳ﾘｽﾄ(4～3月)'!$D$26:$D$998,$B21,'内訳ﾘｽﾄ(4～3月)'!K$26:K$998)</f>
        <v>0</v>
      </c>
      <c r="I21" s="155">
        <f>SUMIF('内訳ﾘｽﾄ(4～3月)'!$D$26:$D$998,$B21,'内訳ﾘｽﾄ(4～3月)'!L$26:L$998)</f>
        <v>0</v>
      </c>
      <c r="J21" s="155">
        <f>SUMIF('内訳ﾘｽﾄ(4～3月)'!$D$26:$D$998,$B21,'内訳ﾘｽﾄ(4～3月)'!M$26:M$998)</f>
        <v>0</v>
      </c>
      <c r="K21" s="155">
        <f>SUMIF('内訳ﾘｽﾄ(4～3月)'!$D$26:$D$998,$B21,'内訳ﾘｽﾄ(4～3月)'!N$26:N$998)</f>
        <v>0</v>
      </c>
      <c r="L21" s="155">
        <f>SUMIF('内訳ﾘｽﾄ(4～3月)'!$D$26:$D$998,$B21,'内訳ﾘｽﾄ(4～3月)'!O$26:O$998)</f>
        <v>0</v>
      </c>
      <c r="M21" s="155">
        <f>SUMIF('内訳ﾘｽﾄ(4～3月)'!$D$26:$D$998,$B21,'内訳ﾘｽﾄ(4～3月)'!P$26:P$998)</f>
        <v>0</v>
      </c>
      <c r="N21" s="155">
        <f>SUMIF('内訳ﾘｽﾄ(4～3月)'!$D$26:$D$998,$B21,'内訳ﾘｽﾄ(4～3月)'!Q$26:Q$998)</f>
        <v>0</v>
      </c>
      <c r="O21" s="155">
        <f>SUMIF('内訳ﾘｽﾄ(4～3月)'!$D$26:$D$797,'採算表(VND)'!$B21,'内訳ﾘｽﾄ(4～3月)'!R$26:R$797)</f>
        <v>0</v>
      </c>
      <c r="AQ21" s="72"/>
      <c r="AR21" s="72"/>
      <c r="AS21" s="72"/>
      <c r="AT21" s="72"/>
      <c r="AU21" s="70"/>
      <c r="AV21" s="71"/>
      <c r="AW21" s="71"/>
      <c r="AX21" s="71"/>
      <c r="AY21" s="71"/>
      <c r="BA21" s="73"/>
      <c r="BB21" s="73"/>
      <c r="BC21" s="73"/>
      <c r="BD21" s="73"/>
      <c r="BF21" s="70"/>
      <c r="BG21" s="70"/>
      <c r="BH21" s="70"/>
      <c r="BI21" s="70"/>
    </row>
    <row r="22" spans="1:61" ht="11.25" customHeight="1">
      <c r="A22" s="34"/>
      <c r="B22" s="36" t="s">
        <v>47</v>
      </c>
      <c r="C22" s="155">
        <f>SUMIF('内訳ﾘｽﾄ(4～3月)'!$D$26:$D$998,$B22,'内訳ﾘｽﾄ(4～3月)'!F$26:F$998)</f>
        <v>0</v>
      </c>
      <c r="D22" s="155">
        <f>SUMIF('内訳ﾘｽﾄ(4～3月)'!$D$26:$D$998,$B22,'内訳ﾘｽﾄ(4～3月)'!G$26:G$998)</f>
        <v>0</v>
      </c>
      <c r="E22" s="155">
        <f>SUMIF('内訳ﾘｽﾄ(4～3月)'!$D$26:$D$998,$B22,'内訳ﾘｽﾄ(4～3月)'!H$26:H$998)</f>
        <v>0</v>
      </c>
      <c r="F22" s="155">
        <f>SUMIF('内訳ﾘｽﾄ(4～3月)'!$D$26:$D$998,$B22,'内訳ﾘｽﾄ(4～3月)'!I$26:I$998)</f>
        <v>0</v>
      </c>
      <c r="G22" s="155">
        <f>SUMIF('内訳ﾘｽﾄ(4～3月)'!$D$26:$D$998,$B22,'内訳ﾘｽﾄ(4～3月)'!J$26:J$998)</f>
        <v>0</v>
      </c>
      <c r="H22" s="155">
        <f>SUMIF('内訳ﾘｽﾄ(4～3月)'!$D$26:$D$998,$B22,'内訳ﾘｽﾄ(4～3月)'!K$26:K$998)</f>
        <v>0</v>
      </c>
      <c r="I22" s="155">
        <f>SUMIF('内訳ﾘｽﾄ(4～3月)'!$D$26:$D$998,$B22,'内訳ﾘｽﾄ(4～3月)'!L$26:L$998)</f>
        <v>0</v>
      </c>
      <c r="J22" s="155">
        <f>SUMIF('内訳ﾘｽﾄ(4～3月)'!$D$26:$D$998,$B22,'内訳ﾘｽﾄ(4～3月)'!M$26:M$998)</f>
        <v>0</v>
      </c>
      <c r="K22" s="155">
        <f>SUMIF('内訳ﾘｽﾄ(4～3月)'!$D$26:$D$998,$B22,'内訳ﾘｽﾄ(4～3月)'!N$26:N$998)</f>
        <v>0</v>
      </c>
      <c r="L22" s="155">
        <f>SUMIF('内訳ﾘｽﾄ(4～3月)'!$D$26:$D$998,$B22,'内訳ﾘｽﾄ(4～3月)'!O$26:O$998)</f>
        <v>0</v>
      </c>
      <c r="M22" s="155">
        <f>SUMIF('内訳ﾘｽﾄ(4～3月)'!$D$26:$D$998,$B22,'内訳ﾘｽﾄ(4～3月)'!P$26:P$998)</f>
        <v>0</v>
      </c>
      <c r="N22" s="155">
        <f>SUMIF('内訳ﾘｽﾄ(4～3月)'!$D$26:$D$998,$B22,'内訳ﾘｽﾄ(4～3月)'!Q$26:Q$998)</f>
        <v>0</v>
      </c>
      <c r="O22" s="155">
        <f>SUMIF('内訳ﾘｽﾄ(4～3月)'!$D$26:$D$797,'採算表(VND)'!$B22,'内訳ﾘｽﾄ(4～3月)'!R$26:R$797)</f>
        <v>0</v>
      </c>
      <c r="AQ22" s="72"/>
      <c r="AR22" s="72"/>
      <c r="AS22" s="72"/>
      <c r="AT22" s="72"/>
      <c r="AU22" s="70"/>
      <c r="AV22" s="71"/>
      <c r="AW22" s="71"/>
      <c r="AX22" s="71"/>
      <c r="AY22" s="71"/>
      <c r="BA22" s="73"/>
      <c r="BB22" s="73"/>
      <c r="BC22" s="73"/>
      <c r="BD22" s="73"/>
      <c r="BF22" s="70"/>
      <c r="BG22" s="70"/>
      <c r="BH22" s="70"/>
      <c r="BI22" s="70"/>
    </row>
    <row r="23" spans="1:61" ht="11.25" customHeight="1">
      <c r="A23" s="34"/>
      <c r="B23" s="36" t="s">
        <v>49</v>
      </c>
      <c r="C23" s="155">
        <f>SUMIF('内訳ﾘｽﾄ(4～3月)'!$D$26:$D$998,$B23,'内訳ﾘｽﾄ(4～3月)'!F$26:F$998)</f>
        <v>0</v>
      </c>
      <c r="D23" s="155">
        <f>SUMIF('内訳ﾘｽﾄ(4～3月)'!$D$26:$D$998,$B23,'内訳ﾘｽﾄ(4～3月)'!G$26:G$998)</f>
        <v>0</v>
      </c>
      <c r="E23" s="155">
        <f>SUMIF('内訳ﾘｽﾄ(4～3月)'!$D$26:$D$998,$B23,'内訳ﾘｽﾄ(4～3月)'!H$26:H$998)</f>
        <v>0</v>
      </c>
      <c r="F23" s="155">
        <f>SUMIF('内訳ﾘｽﾄ(4～3月)'!$D$26:$D$998,$B23,'内訳ﾘｽﾄ(4～3月)'!I$26:I$998)</f>
        <v>0</v>
      </c>
      <c r="G23" s="155">
        <f>SUMIF('内訳ﾘｽﾄ(4～3月)'!$D$26:$D$998,$B23,'内訳ﾘｽﾄ(4～3月)'!J$26:J$998)</f>
        <v>0</v>
      </c>
      <c r="H23" s="155">
        <f>SUMIF('内訳ﾘｽﾄ(4～3月)'!$D$26:$D$998,$B23,'内訳ﾘｽﾄ(4～3月)'!K$26:K$998)</f>
        <v>0</v>
      </c>
      <c r="I23" s="155">
        <f>SUMIF('内訳ﾘｽﾄ(4～3月)'!$D$26:$D$998,$B23,'内訳ﾘｽﾄ(4～3月)'!L$26:L$998)</f>
        <v>0</v>
      </c>
      <c r="J23" s="155">
        <f>SUMIF('内訳ﾘｽﾄ(4～3月)'!$D$26:$D$998,$B23,'内訳ﾘｽﾄ(4～3月)'!M$26:M$998)</f>
        <v>0</v>
      </c>
      <c r="K23" s="155">
        <f>SUMIF('内訳ﾘｽﾄ(4～3月)'!$D$26:$D$998,$B23,'内訳ﾘｽﾄ(4～3月)'!N$26:N$998)</f>
        <v>0</v>
      </c>
      <c r="L23" s="155">
        <f>SUMIF('内訳ﾘｽﾄ(4～3月)'!$D$26:$D$998,$B23,'内訳ﾘｽﾄ(4～3月)'!O$26:O$998)</f>
        <v>0</v>
      </c>
      <c r="M23" s="155">
        <f>SUMIF('内訳ﾘｽﾄ(4～3月)'!$D$26:$D$998,$B23,'内訳ﾘｽﾄ(4～3月)'!P$26:P$998)</f>
        <v>0</v>
      </c>
      <c r="N23" s="155">
        <f>SUMIF('内訳ﾘｽﾄ(4～3月)'!$D$26:$D$998,$B23,'内訳ﾘｽﾄ(4～3月)'!Q$26:Q$998)</f>
        <v>0</v>
      </c>
      <c r="O23" s="155">
        <f>SUMIF('内訳ﾘｽﾄ(4～3月)'!$D$26:$D$797,'採算表(VND)'!$B23,'内訳ﾘｽﾄ(4～3月)'!R$26:R$797)</f>
        <v>0</v>
      </c>
      <c r="AQ23" s="72"/>
      <c r="AR23" s="72"/>
      <c r="AS23" s="72"/>
      <c r="AT23" s="72"/>
      <c r="AU23" s="70"/>
      <c r="AV23" s="71"/>
      <c r="AW23" s="71"/>
      <c r="AX23" s="71"/>
      <c r="AY23" s="71"/>
      <c r="BA23" s="73"/>
      <c r="BB23" s="73"/>
      <c r="BC23" s="73"/>
      <c r="BD23" s="73"/>
      <c r="BF23" s="70"/>
      <c r="BG23" s="70"/>
      <c r="BH23" s="70"/>
      <c r="BI23" s="70"/>
    </row>
    <row r="24" spans="1:61" ht="11.25" customHeight="1">
      <c r="A24" s="34"/>
      <c r="B24" s="36" t="s">
        <v>52</v>
      </c>
      <c r="C24" s="155">
        <f>SUMIF('内訳ﾘｽﾄ(4～3月)'!$D$26:$D$998,$B24,'内訳ﾘｽﾄ(4～3月)'!F$26:F$998)</f>
        <v>0</v>
      </c>
      <c r="D24" s="155">
        <f>SUMIF('内訳ﾘｽﾄ(4～3月)'!$D$26:$D$998,$B24,'内訳ﾘｽﾄ(4～3月)'!G$26:G$998)</f>
        <v>0</v>
      </c>
      <c r="E24" s="155">
        <f>SUMIF('内訳ﾘｽﾄ(4～3月)'!$D$26:$D$998,$B24,'内訳ﾘｽﾄ(4～3月)'!H$26:H$998)</f>
        <v>0</v>
      </c>
      <c r="F24" s="155">
        <f>SUMIF('内訳ﾘｽﾄ(4～3月)'!$D$26:$D$998,$B24,'内訳ﾘｽﾄ(4～3月)'!I$26:I$998)</f>
        <v>0</v>
      </c>
      <c r="G24" s="155">
        <f>SUMIF('内訳ﾘｽﾄ(4～3月)'!$D$26:$D$998,$B24,'内訳ﾘｽﾄ(4～3月)'!J$26:J$998)</f>
        <v>0</v>
      </c>
      <c r="H24" s="155">
        <f>SUMIF('内訳ﾘｽﾄ(4～3月)'!$D$26:$D$998,$B24,'内訳ﾘｽﾄ(4～3月)'!K$26:K$998)</f>
        <v>0</v>
      </c>
      <c r="I24" s="155">
        <f>SUMIF('内訳ﾘｽﾄ(4～3月)'!$D$26:$D$998,$B24,'内訳ﾘｽﾄ(4～3月)'!L$26:L$998)</f>
        <v>0</v>
      </c>
      <c r="J24" s="155">
        <f>SUMIF('内訳ﾘｽﾄ(4～3月)'!$D$26:$D$998,$B24,'内訳ﾘｽﾄ(4～3月)'!M$26:M$998)</f>
        <v>0</v>
      </c>
      <c r="K24" s="155">
        <f>SUMIF('内訳ﾘｽﾄ(4～3月)'!$D$26:$D$998,$B24,'内訳ﾘｽﾄ(4～3月)'!N$26:N$998)</f>
        <v>0</v>
      </c>
      <c r="L24" s="155">
        <f>SUMIF('内訳ﾘｽﾄ(4～3月)'!$D$26:$D$998,$B24,'内訳ﾘｽﾄ(4～3月)'!O$26:O$998)</f>
        <v>0</v>
      </c>
      <c r="M24" s="155">
        <f>SUMIF('内訳ﾘｽﾄ(4～3月)'!$D$26:$D$998,$B24,'内訳ﾘｽﾄ(4～3月)'!P$26:P$998)</f>
        <v>0</v>
      </c>
      <c r="N24" s="155">
        <f>SUMIF('内訳ﾘｽﾄ(4～3月)'!$D$26:$D$998,$B24,'内訳ﾘｽﾄ(4～3月)'!Q$26:Q$998)</f>
        <v>0</v>
      </c>
      <c r="O24" s="155">
        <f>SUMIF('内訳ﾘｽﾄ(4～3月)'!$D$26:$D$797,'採算表(VND)'!$B24,'内訳ﾘｽﾄ(4～3月)'!R$26:R$797)</f>
        <v>0</v>
      </c>
      <c r="AQ24" s="72"/>
      <c r="AR24" s="72"/>
      <c r="AS24" s="72"/>
      <c r="AT24" s="72"/>
      <c r="AU24" s="70"/>
      <c r="AV24" s="71"/>
      <c r="AW24" s="71"/>
      <c r="AX24" s="71"/>
      <c r="AY24" s="71"/>
      <c r="BA24" s="73"/>
      <c r="BB24" s="73"/>
      <c r="BC24" s="73"/>
      <c r="BD24" s="73"/>
      <c r="BF24" s="70"/>
      <c r="BG24" s="70"/>
      <c r="BH24" s="70"/>
      <c r="BI24" s="70"/>
    </row>
    <row r="25" spans="1:61" ht="11.25" customHeight="1">
      <c r="A25" s="34"/>
      <c r="B25" s="36" t="s">
        <v>55</v>
      </c>
      <c r="C25" s="155">
        <f>SUMIF('内訳ﾘｽﾄ(4～3月)'!$D$26:$D$998,$B25,'内訳ﾘｽﾄ(4～3月)'!F$26:F$998)</f>
        <v>71897932</v>
      </c>
      <c r="D25" s="155">
        <f>SUMIF('内訳ﾘｽﾄ(4～3月)'!$D$26:$D$998,$B25,'内訳ﾘｽﾄ(4～3月)'!G$26:G$998)</f>
        <v>3403970</v>
      </c>
      <c r="E25" s="155">
        <f>SUMIF('内訳ﾘｽﾄ(4～3月)'!$D$26:$D$998,$B25,'内訳ﾘｽﾄ(4～3月)'!H$26:H$998)</f>
        <v>27245150</v>
      </c>
      <c r="F25" s="155">
        <f>SUMIF('内訳ﾘｽﾄ(4～3月)'!$D$26:$D$998,$B25,'内訳ﾘｽﾄ(4～3月)'!I$26:I$998)</f>
        <v>3600797</v>
      </c>
      <c r="G25" s="155">
        <f>SUMIF('内訳ﾘｽﾄ(4～3月)'!$D$26:$D$998,$B25,'内訳ﾘｽﾄ(4～3月)'!J$26:J$998)</f>
        <v>3830748</v>
      </c>
      <c r="H25" s="155">
        <f>SUMIF('内訳ﾘｽﾄ(4～3月)'!$D$26:$D$998,$B25,'内訳ﾘｽﾄ(4～3月)'!K$26:K$998)</f>
        <v>22090871</v>
      </c>
      <c r="I25" s="155">
        <f>SUMIF('内訳ﾘｽﾄ(4～3月)'!$D$26:$D$998,$B25,'内訳ﾘｽﾄ(4～3月)'!L$26:L$998)</f>
        <v>34053367</v>
      </c>
      <c r="J25" s="155">
        <f>SUMIF('内訳ﾘｽﾄ(4～3月)'!$D$26:$D$998,$B25,'内訳ﾘｽﾄ(4～3月)'!M$26:M$998)</f>
        <v>1823145</v>
      </c>
      <c r="K25" s="155">
        <f>SUMIF('内訳ﾘｽﾄ(4～3月)'!$D$26:$D$998,$B25,'内訳ﾘｽﾄ(4～3月)'!N$26:N$998)</f>
        <v>22581766</v>
      </c>
      <c r="L25" s="155">
        <f>SUMIF('内訳ﾘｽﾄ(4～3月)'!$D$26:$D$998,$B25,'内訳ﾘｽﾄ(4～3月)'!O$26:O$998)</f>
        <v>1822769</v>
      </c>
      <c r="M25" s="155">
        <f>SUMIF('内訳ﾘｽﾄ(4～3月)'!$D$26:$D$998,$B25,'内訳ﾘｽﾄ(4～3月)'!P$26:P$998)</f>
        <v>5423463</v>
      </c>
      <c r="N25" s="155">
        <f>SUMIF('内訳ﾘｽﾄ(4～3月)'!$D$26:$D$998,$B25,'内訳ﾘｽﾄ(4～3月)'!Q$26:Q$998)</f>
        <v>22134440</v>
      </c>
      <c r="O25" s="155">
        <f>SUMIF('内訳ﾘｽﾄ(4～3月)'!$D$26:$D$797,'採算表(VND)'!$B25,'内訳ﾘｽﾄ(4～3月)'!R$26:R$797)</f>
        <v>219908418</v>
      </c>
      <c r="AQ25" s="72"/>
      <c r="AR25" s="72"/>
      <c r="AS25" s="72"/>
      <c r="AT25" s="72"/>
      <c r="AU25" s="70"/>
      <c r="AV25" s="71"/>
      <c r="AW25" s="71"/>
      <c r="AX25" s="71"/>
      <c r="AY25" s="71"/>
      <c r="BA25" s="73"/>
      <c r="BB25" s="73"/>
      <c r="BC25" s="73"/>
      <c r="BD25" s="73"/>
      <c r="BF25" s="75"/>
      <c r="BG25" s="70"/>
      <c r="BH25" s="70"/>
      <c r="BI25" s="70"/>
    </row>
    <row r="26" spans="1:61" ht="11.25" customHeight="1">
      <c r="A26" s="34"/>
      <c r="B26" s="37" t="s">
        <v>104</v>
      </c>
      <c r="C26" s="155">
        <f>SUMIF('内訳ﾘｽﾄ(4～3月)'!$D$26:$D$998,$B26,'内訳ﾘｽﾄ(4～3月)'!F$26:F$998)</f>
        <v>67220000</v>
      </c>
      <c r="D26" s="155">
        <f>SUMIF('内訳ﾘｽﾄ(4～3月)'!$D$26:$D$998,$B26,'内訳ﾘｽﾄ(4～3月)'!G$26:G$998)</f>
        <v>107905000</v>
      </c>
      <c r="E26" s="155">
        <f>SUMIF('内訳ﾘｽﾄ(4～3月)'!$D$26:$D$998,$B26,'内訳ﾘｽﾄ(4～3月)'!H$26:H$998)</f>
        <v>123605000</v>
      </c>
      <c r="F26" s="155">
        <f>SUMIF('内訳ﾘｽﾄ(4～3月)'!$D$26:$D$998,$B26,'内訳ﾘｽﾄ(4～3月)'!I$26:I$998)</f>
        <v>119705000</v>
      </c>
      <c r="G26" s="155">
        <f>SUMIF('内訳ﾘｽﾄ(4～3月)'!$D$26:$D$998,$B26,'内訳ﾘｽﾄ(4～3月)'!J$26:J$998)</f>
        <v>113855000</v>
      </c>
      <c r="H26" s="155">
        <f>SUMIF('内訳ﾘｽﾄ(4～3月)'!$D$26:$D$998,$B26,'内訳ﾘｽﾄ(4～3月)'!K$26:K$998)</f>
        <v>95335000</v>
      </c>
      <c r="I26" s="155">
        <f>SUMIF('内訳ﾘｽﾄ(4～3月)'!$D$26:$D$998,$B26,'内訳ﾘｽﾄ(4～3月)'!L$26:L$998)</f>
        <v>50370000</v>
      </c>
      <c r="J26" s="155">
        <f>SUMIF('内訳ﾘｽﾄ(4～3月)'!$D$26:$D$998,$B26,'内訳ﾘｽﾄ(4～3月)'!M$26:M$998)</f>
        <v>22800000</v>
      </c>
      <c r="K26" s="155">
        <f>SUMIF('内訳ﾘｽﾄ(4～3月)'!$D$26:$D$998,$B26,'内訳ﾘｽﾄ(4～3月)'!N$26:N$998)</f>
        <v>20505000</v>
      </c>
      <c r="L26" s="155">
        <f>SUMIF('内訳ﾘｽﾄ(4～3月)'!$D$26:$D$998,$B26,'内訳ﾘｽﾄ(4～3月)'!O$26:O$998)</f>
        <v>0</v>
      </c>
      <c r="M26" s="155">
        <f>SUMIF('内訳ﾘｽﾄ(4～3月)'!$D$26:$D$998,$B26,'内訳ﾘｽﾄ(4～3月)'!P$26:P$998)</f>
        <v>0</v>
      </c>
      <c r="N26" s="155">
        <f>SUMIF('内訳ﾘｽﾄ(4～3月)'!$D$26:$D$998,$B26,'内訳ﾘｽﾄ(4～3月)'!Q$26:Q$998)</f>
        <v>0</v>
      </c>
      <c r="O26" s="155">
        <f>SUMIF('内訳ﾘｽﾄ(4～3月)'!$D$26:$D$797,'採算表(VND)'!$B26,'内訳ﾘｽﾄ(4～3月)'!R$26:R$797)</f>
        <v>721300000</v>
      </c>
      <c r="AQ26" s="72"/>
      <c r="AR26" s="72"/>
      <c r="AS26" s="72"/>
      <c r="AT26" s="72"/>
      <c r="AU26" s="70"/>
      <c r="AV26" s="71"/>
      <c r="AW26" s="71"/>
      <c r="AX26" s="71"/>
      <c r="AY26" s="71"/>
      <c r="BA26" s="73"/>
      <c r="BB26" s="73"/>
      <c r="BC26" s="73"/>
      <c r="BD26" s="73"/>
      <c r="BF26" s="70"/>
      <c r="BG26" s="70"/>
      <c r="BH26" s="70"/>
      <c r="BI26" s="70"/>
    </row>
    <row r="27" spans="1:61" ht="11.25" customHeight="1">
      <c r="A27" s="34"/>
      <c r="B27" s="37" t="s">
        <v>54</v>
      </c>
      <c r="C27" s="155">
        <f>SUMIF('内訳ﾘｽﾄ(4～3月)'!$D$26:$D$998,$B27,'内訳ﾘｽﾄ(4～3月)'!F$26:F$998)</f>
        <v>0</v>
      </c>
      <c r="D27" s="155">
        <f>SUMIF('内訳ﾘｽﾄ(4～3月)'!$D$26:$D$998,$B27,'内訳ﾘｽﾄ(4～3月)'!G$26:G$998)</f>
        <v>0</v>
      </c>
      <c r="E27" s="155">
        <f>SUMIF('内訳ﾘｽﾄ(4～3月)'!$D$26:$D$998,$B27,'内訳ﾘｽﾄ(4～3月)'!H$26:H$998)</f>
        <v>0</v>
      </c>
      <c r="F27" s="155">
        <f>SUMIF('内訳ﾘｽﾄ(4～3月)'!$D$26:$D$998,$B27,'内訳ﾘｽﾄ(4～3月)'!I$26:I$998)</f>
        <v>0</v>
      </c>
      <c r="G27" s="155">
        <f>SUMIF('内訳ﾘｽﾄ(4～3月)'!$D$26:$D$998,$B27,'内訳ﾘｽﾄ(4～3月)'!J$26:J$998)</f>
        <v>0</v>
      </c>
      <c r="H27" s="155">
        <f>SUMIF('内訳ﾘｽﾄ(4～3月)'!$D$26:$D$998,$B27,'内訳ﾘｽﾄ(4～3月)'!K$26:K$998)</f>
        <v>0</v>
      </c>
      <c r="I27" s="155">
        <f>SUMIF('内訳ﾘｽﾄ(4～3月)'!$D$26:$D$998,$B27,'内訳ﾘｽﾄ(4～3月)'!L$26:L$998)</f>
        <v>0</v>
      </c>
      <c r="J27" s="155">
        <f>SUMIF('内訳ﾘｽﾄ(4～3月)'!$D$26:$D$998,$B27,'内訳ﾘｽﾄ(4～3月)'!M$26:M$998)</f>
        <v>0</v>
      </c>
      <c r="K27" s="155">
        <f>SUMIF('内訳ﾘｽﾄ(4～3月)'!$D$26:$D$998,$B27,'内訳ﾘｽﾄ(4～3月)'!N$26:N$998)</f>
        <v>0</v>
      </c>
      <c r="L27" s="155">
        <f>SUMIF('内訳ﾘｽﾄ(4～3月)'!$D$26:$D$998,$B27,'内訳ﾘｽﾄ(4～3月)'!O$26:O$998)</f>
        <v>0</v>
      </c>
      <c r="M27" s="155">
        <f>SUMIF('内訳ﾘｽﾄ(4～3月)'!$D$26:$D$998,$B27,'内訳ﾘｽﾄ(4～3月)'!P$26:P$998)</f>
        <v>0</v>
      </c>
      <c r="N27" s="155">
        <f>SUMIF('内訳ﾘｽﾄ(4～3月)'!$D$26:$D$998,$B27,'内訳ﾘｽﾄ(4～3月)'!Q$26:Q$998)</f>
        <v>0</v>
      </c>
      <c r="O27" s="155">
        <f>SUMIF('内訳ﾘｽﾄ(4～3月)'!$D$26:$D$797,'採算表(VND)'!$B27,'内訳ﾘｽﾄ(4～3月)'!R$26:R$797)</f>
        <v>0</v>
      </c>
      <c r="AQ27" s="72"/>
      <c r="AR27" s="72"/>
      <c r="AS27" s="72"/>
      <c r="AT27" s="72"/>
      <c r="AU27" s="70"/>
      <c r="AV27" s="71"/>
      <c r="AW27" s="71"/>
      <c r="AX27" s="71"/>
      <c r="AY27" s="71"/>
      <c r="BA27" s="73"/>
      <c r="BB27" s="73"/>
      <c r="BC27" s="73"/>
      <c r="BD27" s="73"/>
      <c r="BF27" s="70"/>
      <c r="BG27" s="70"/>
      <c r="BH27" s="70"/>
      <c r="BI27" s="70"/>
    </row>
    <row r="28" spans="1:61" ht="11.25" customHeight="1">
      <c r="A28" s="34"/>
      <c r="B28" s="37" t="s">
        <v>56</v>
      </c>
      <c r="C28" s="155">
        <f>SUMIF('内訳ﾘｽﾄ(4～3月)'!$D$26:$D$998,$B28,'内訳ﾘｽﾄ(4～3月)'!F$26:F$998)</f>
        <v>2780000</v>
      </c>
      <c r="D28" s="155">
        <f>SUMIF('内訳ﾘｽﾄ(4～3月)'!$D$26:$D$998,$B28,'内訳ﾘｽﾄ(4～3月)'!G$26:G$998)</f>
        <v>350000</v>
      </c>
      <c r="E28" s="155">
        <f>SUMIF('内訳ﾘｽﾄ(4～3月)'!$D$26:$D$998,$B28,'内訳ﾘｽﾄ(4～3月)'!H$26:H$998)</f>
        <v>280000</v>
      </c>
      <c r="F28" s="155">
        <f>SUMIF('内訳ﾘｽﾄ(4～3月)'!$D$26:$D$998,$B28,'内訳ﾘｽﾄ(4～3月)'!I$26:I$998)</f>
        <v>6090000</v>
      </c>
      <c r="G28" s="155">
        <f>SUMIF('内訳ﾘｽﾄ(4～3月)'!$D$26:$D$998,$B28,'内訳ﾘｽﾄ(4～3月)'!J$26:J$998)</f>
        <v>2220000</v>
      </c>
      <c r="H28" s="155">
        <f>SUMIF('内訳ﾘｽﾄ(4～3月)'!$D$26:$D$998,$B28,'内訳ﾘｽﾄ(4～3月)'!K$26:K$998)</f>
        <v>2420000</v>
      </c>
      <c r="I28" s="155">
        <f>SUMIF('内訳ﾘｽﾄ(4～3月)'!$D$26:$D$998,$B28,'内訳ﾘｽﾄ(4～3月)'!L$26:L$998)</f>
        <v>4920000</v>
      </c>
      <c r="J28" s="155">
        <f>SUMIF('内訳ﾘｽﾄ(4～3月)'!$D$26:$D$998,$B28,'内訳ﾘｽﾄ(4～3月)'!M$26:M$998)</f>
        <v>280000</v>
      </c>
      <c r="K28" s="155">
        <f>SUMIF('内訳ﾘｽﾄ(4～3月)'!$D$26:$D$998,$B28,'内訳ﾘｽﾄ(4～3月)'!N$26:N$998)</f>
        <v>7090000</v>
      </c>
      <c r="L28" s="155">
        <f>SUMIF('内訳ﾘｽﾄ(4～3月)'!$D$26:$D$998,$B28,'内訳ﾘｽﾄ(4～3月)'!O$26:O$998)</f>
        <v>2490000</v>
      </c>
      <c r="M28" s="155">
        <f>SUMIF('内訳ﾘｽﾄ(4～3月)'!$D$26:$D$998,$B28,'内訳ﾘｽﾄ(4～3月)'!P$26:P$998)</f>
        <v>280000</v>
      </c>
      <c r="N28" s="155">
        <f>SUMIF('内訳ﾘｽﾄ(4～3月)'!$D$26:$D$998,$B28,'内訳ﾘｽﾄ(4～3月)'!Q$26:Q$998)</f>
        <v>3590000</v>
      </c>
      <c r="O28" s="155">
        <f>SUMIF('内訳ﾘｽﾄ(4～3月)'!$D$26:$D$797,'採算表(VND)'!$B28,'内訳ﾘｽﾄ(4～3月)'!R$26:R$797)</f>
        <v>32790000</v>
      </c>
      <c r="AQ28" s="72"/>
      <c r="AR28" s="72"/>
      <c r="AS28" s="72"/>
      <c r="AT28" s="72"/>
      <c r="AU28" s="70"/>
      <c r="AV28" s="71"/>
      <c r="AW28" s="71"/>
      <c r="AX28" s="71"/>
      <c r="AY28" s="71"/>
      <c r="BA28" s="73"/>
      <c r="BB28" s="73"/>
      <c r="BC28" s="73"/>
      <c r="BD28" s="73"/>
      <c r="BF28" s="75"/>
      <c r="BG28" s="70"/>
      <c r="BH28" s="70"/>
      <c r="BI28" s="70"/>
    </row>
    <row r="29" spans="1:61" ht="11.25" customHeight="1">
      <c r="A29" s="34"/>
      <c r="B29" s="37" t="s">
        <v>57</v>
      </c>
      <c r="C29" s="155">
        <f>SUMIF('内訳ﾘｽﾄ(4～3月)'!$D$26:$D$998,$B29,'内訳ﾘｽﾄ(4～3月)'!F$26:F$998)</f>
        <v>0</v>
      </c>
      <c r="D29" s="155">
        <f>SUMIF('内訳ﾘｽﾄ(4～3月)'!$D$26:$D$998,$B29,'内訳ﾘｽﾄ(4～3月)'!G$26:G$998)</f>
        <v>0</v>
      </c>
      <c r="E29" s="155">
        <f>SUMIF('内訳ﾘｽﾄ(4～3月)'!$D$26:$D$998,$B29,'内訳ﾘｽﾄ(4～3月)'!H$26:H$998)</f>
        <v>0</v>
      </c>
      <c r="F29" s="155">
        <f>SUMIF('内訳ﾘｽﾄ(4～3月)'!$D$26:$D$998,$B29,'内訳ﾘｽﾄ(4～3月)'!I$26:I$998)</f>
        <v>0</v>
      </c>
      <c r="G29" s="155">
        <f>SUMIF('内訳ﾘｽﾄ(4～3月)'!$D$26:$D$998,$B29,'内訳ﾘｽﾄ(4～3月)'!J$26:J$998)</f>
        <v>0</v>
      </c>
      <c r="H29" s="155">
        <f>SUMIF('内訳ﾘｽﾄ(4～3月)'!$D$26:$D$998,$B29,'内訳ﾘｽﾄ(4～3月)'!K$26:K$998)</f>
        <v>0</v>
      </c>
      <c r="I29" s="155">
        <f>SUMIF('内訳ﾘｽﾄ(4～3月)'!$D$26:$D$998,$B29,'内訳ﾘｽﾄ(4～3月)'!L$26:L$998)</f>
        <v>0</v>
      </c>
      <c r="J29" s="155">
        <f>SUMIF('内訳ﾘｽﾄ(4～3月)'!$D$26:$D$998,$B29,'内訳ﾘｽﾄ(4～3月)'!M$26:M$998)</f>
        <v>0</v>
      </c>
      <c r="K29" s="155">
        <f>SUMIF('内訳ﾘｽﾄ(4～3月)'!$D$26:$D$998,$B29,'内訳ﾘｽﾄ(4～3月)'!N$26:N$998)</f>
        <v>0</v>
      </c>
      <c r="L29" s="155">
        <f>SUMIF('内訳ﾘｽﾄ(4～3月)'!$D$26:$D$998,$B29,'内訳ﾘｽﾄ(4～3月)'!O$26:O$998)</f>
        <v>0</v>
      </c>
      <c r="M29" s="155">
        <f>SUMIF('内訳ﾘｽﾄ(4～3月)'!$D$26:$D$998,$B29,'内訳ﾘｽﾄ(4～3月)'!P$26:P$998)</f>
        <v>0</v>
      </c>
      <c r="N29" s="155">
        <f>SUMIF('内訳ﾘｽﾄ(4～3月)'!$D$26:$D$998,$B29,'内訳ﾘｽﾄ(4～3月)'!Q$26:Q$998)</f>
        <v>0</v>
      </c>
      <c r="O29" s="155">
        <f>SUMIF('内訳ﾘｽﾄ(4～3月)'!$D$26:$D$797,'採算表(VND)'!$B29,'内訳ﾘｽﾄ(4～3月)'!R$26:R$797)</f>
        <v>0</v>
      </c>
      <c r="AQ29" s="72"/>
      <c r="AR29" s="72"/>
      <c r="AS29" s="72"/>
      <c r="AT29" s="72"/>
      <c r="AU29" s="70"/>
      <c r="AV29" s="71"/>
      <c r="AW29" s="71"/>
      <c r="AX29" s="71"/>
      <c r="AY29" s="71"/>
      <c r="BA29" s="73"/>
      <c r="BB29" s="73"/>
      <c r="BC29" s="73"/>
      <c r="BD29" s="73"/>
      <c r="BF29" s="70"/>
      <c r="BG29" s="70"/>
      <c r="BH29" s="70"/>
      <c r="BI29" s="70"/>
    </row>
    <row r="30" spans="1:61" ht="11.25" customHeight="1">
      <c r="A30" s="34"/>
      <c r="B30" s="37" t="s">
        <v>97</v>
      </c>
      <c r="C30" s="155">
        <f>SUMIF('内訳ﾘｽﾄ(4～3月)'!$D$26:$D$998,$B30,'内訳ﾘｽﾄ(4～3月)'!F$26:F$998)</f>
        <v>8353943</v>
      </c>
      <c r="D30" s="155">
        <f>SUMIF('内訳ﾘｽﾄ(4～3月)'!$D$26:$D$998,$B30,'内訳ﾘｽﾄ(4～3月)'!G$26:G$998)</f>
        <v>8686628</v>
      </c>
      <c r="E30" s="155">
        <f>SUMIF('内訳ﾘｽﾄ(4～3月)'!$D$26:$D$998,$B30,'内訳ﾘｽﾄ(4～3月)'!H$26:H$998)</f>
        <v>10594653</v>
      </c>
      <c r="F30" s="155">
        <f>SUMIF('内訳ﾘｽﾄ(4～3月)'!$D$26:$D$998,$B30,'内訳ﾘｽﾄ(4～3月)'!I$26:I$998)</f>
        <v>12040216</v>
      </c>
      <c r="G30" s="155">
        <f>SUMIF('内訳ﾘｽﾄ(4～3月)'!$D$26:$D$998,$B30,'内訳ﾘｽﾄ(4～3月)'!J$26:J$998)</f>
        <v>11851057</v>
      </c>
      <c r="H30" s="155">
        <f>SUMIF('内訳ﾘｽﾄ(4～3月)'!$D$26:$D$998,$B30,'内訳ﾘｽﾄ(4～3月)'!K$26:K$998)</f>
        <v>10731008</v>
      </c>
      <c r="I30" s="155">
        <f>SUMIF('内訳ﾘｽﾄ(4～3月)'!$D$26:$D$998,$B30,'内訳ﾘｽﾄ(4～3月)'!L$26:L$998)</f>
        <v>10639550</v>
      </c>
      <c r="J30" s="155">
        <f>SUMIF('内訳ﾘｽﾄ(4～3月)'!$D$26:$D$998,$B30,'内訳ﾘｽﾄ(4～3月)'!M$26:M$998)</f>
        <v>10081003</v>
      </c>
      <c r="K30" s="155">
        <f>SUMIF('内訳ﾘｽﾄ(4～3月)'!$D$26:$D$998,$B30,'内訳ﾘｽﾄ(4～3月)'!N$26:N$998)</f>
        <v>9953577</v>
      </c>
      <c r="L30" s="155">
        <f>SUMIF('内訳ﾘｽﾄ(4～3月)'!$D$26:$D$998,$B30,'内訳ﾘｽﾄ(4～3月)'!O$26:O$998)</f>
        <v>8503813</v>
      </c>
      <c r="M30" s="155">
        <f>SUMIF('内訳ﾘｽﾄ(4～3月)'!$D$26:$D$998,$B30,'内訳ﾘｽﾄ(4～3月)'!P$26:P$998)</f>
        <v>7748399</v>
      </c>
      <c r="N30" s="155">
        <f>SUMIF('内訳ﾘｽﾄ(4～3月)'!$D$26:$D$998,$B30,'内訳ﾘｽﾄ(4～3月)'!Q$26:Q$998)</f>
        <v>7293198</v>
      </c>
      <c r="O30" s="155">
        <f>SUMIF('内訳ﾘｽﾄ(4～3月)'!$D$26:$D$797,'採算表(VND)'!$B30,'内訳ﾘｽﾄ(4～3月)'!R$26:R$797)</f>
        <v>116477045</v>
      </c>
      <c r="AQ30" s="72"/>
      <c r="AR30" s="72"/>
      <c r="AS30" s="72"/>
      <c r="AT30" s="72"/>
      <c r="AU30" s="70"/>
      <c r="AV30" s="71"/>
      <c r="AW30" s="71"/>
      <c r="AX30" s="71"/>
      <c r="AY30" s="71"/>
      <c r="BA30" s="73"/>
      <c r="BB30" s="73"/>
      <c r="BC30" s="73"/>
      <c r="BD30" s="73"/>
      <c r="BF30" s="70"/>
      <c r="BG30" s="70"/>
      <c r="BH30" s="70"/>
      <c r="BI30" s="70"/>
    </row>
    <row r="31" spans="1:61" ht="11.25" customHeight="1">
      <c r="A31" s="34"/>
      <c r="B31" s="37" t="s">
        <v>59</v>
      </c>
      <c r="C31" s="155">
        <f>SUMIF('内訳ﾘｽﾄ(4～3月)'!$D$26:$D$998,$B31,'内訳ﾘｽﾄ(4～3月)'!F$26:F$998)</f>
        <v>2072338890</v>
      </c>
      <c r="D31" s="155">
        <f>SUMIF('内訳ﾘｽﾄ(4～3月)'!$D$26:$D$998,$B31,'内訳ﾘｽﾄ(4～3月)'!G$26:G$998)</f>
        <v>12150000</v>
      </c>
      <c r="E31" s="155">
        <f>SUMIF('内訳ﾘｽﾄ(4～3月)'!$D$26:$D$998,$B31,'内訳ﾘｽﾄ(4～3月)'!H$26:H$998)</f>
        <v>0</v>
      </c>
      <c r="F31" s="155">
        <f>SUMIF('内訳ﾘｽﾄ(4～3月)'!$D$26:$D$998,$B31,'内訳ﾘｽﾄ(4～3月)'!I$26:I$998)</f>
        <v>0</v>
      </c>
      <c r="G31" s="155">
        <f>SUMIF('内訳ﾘｽﾄ(4～3月)'!$D$26:$D$998,$B31,'内訳ﾘｽﾄ(4～3月)'!J$26:J$998)</f>
        <v>0</v>
      </c>
      <c r="H31" s="155">
        <f>SUMIF('内訳ﾘｽﾄ(4～3月)'!$D$26:$D$998,$B31,'内訳ﾘｽﾄ(4～3月)'!K$26:K$998)</f>
        <v>0</v>
      </c>
      <c r="I31" s="155">
        <f>SUMIF('内訳ﾘｽﾄ(4～3月)'!$D$26:$D$998,$B31,'内訳ﾘｽﾄ(4～3月)'!L$26:L$998)</f>
        <v>11700000</v>
      </c>
      <c r="J31" s="155">
        <f>SUMIF('内訳ﾘｽﾄ(4～3月)'!$D$26:$D$998,$B31,'内訳ﾘｽﾄ(4～3月)'!M$26:M$998)</f>
        <v>26500000</v>
      </c>
      <c r="K31" s="155">
        <f>SUMIF('内訳ﾘｽﾄ(4～3月)'!$D$26:$D$998,$B31,'内訳ﾘｽﾄ(4～3月)'!N$26:N$998)</f>
        <v>54300000</v>
      </c>
      <c r="L31" s="155">
        <f>SUMIF('内訳ﾘｽﾄ(4～3月)'!$D$26:$D$998,$B31,'内訳ﾘｽﾄ(4～3月)'!O$26:O$998)</f>
        <v>0</v>
      </c>
      <c r="M31" s="155">
        <f>SUMIF('内訳ﾘｽﾄ(4～3月)'!$D$26:$D$998,$B31,'内訳ﾘｽﾄ(4～3月)'!P$26:P$998)</f>
        <v>0</v>
      </c>
      <c r="N31" s="155">
        <f>SUMIF('内訳ﾘｽﾄ(4～3月)'!$D$26:$D$998,$B31,'内訳ﾘｽﾄ(4～3月)'!Q$26:Q$998)</f>
        <v>0</v>
      </c>
      <c r="O31" s="155">
        <f>SUMIF('内訳ﾘｽﾄ(4～3月)'!$D$26:$D$797,'採算表(VND)'!$B31,'内訳ﾘｽﾄ(4～3月)'!R$26:R$797)</f>
        <v>2176988890</v>
      </c>
      <c r="AQ31" s="72"/>
      <c r="AR31" s="72"/>
      <c r="AS31" s="72"/>
      <c r="AT31" s="72"/>
      <c r="AU31" s="70"/>
      <c r="AV31" s="71"/>
      <c r="AW31" s="71"/>
      <c r="AX31" s="71"/>
      <c r="AY31" s="71"/>
      <c r="BA31" s="73"/>
      <c r="BB31" s="73"/>
      <c r="BC31" s="73"/>
      <c r="BD31" s="73"/>
      <c r="BF31" s="74"/>
      <c r="BG31" s="70"/>
      <c r="BH31" s="70"/>
      <c r="BI31" s="70"/>
    </row>
    <row r="32" spans="1:61" ht="11.25" customHeight="1">
      <c r="A32" s="38"/>
      <c r="B32" s="37" t="s">
        <v>61</v>
      </c>
      <c r="C32" s="155">
        <f>SUMIF('内訳ﾘｽﾄ(4～3月)'!$D$26:$D$998,$B32,'内訳ﾘｽﾄ(4～3月)'!F$26:F$998)</f>
        <v>3500000</v>
      </c>
      <c r="D32" s="155">
        <f>SUMIF('内訳ﾘｽﾄ(4～3月)'!$D$26:$D$998,$B32,'内訳ﾘｽﾄ(4～3月)'!G$26:G$998)</f>
        <v>3500000</v>
      </c>
      <c r="E32" s="155">
        <f>SUMIF('内訳ﾘｽﾄ(4～3月)'!$D$26:$D$998,$B32,'内訳ﾘｽﾄ(4～3月)'!H$26:H$998)</f>
        <v>3500000</v>
      </c>
      <c r="F32" s="155">
        <f>SUMIF('内訳ﾘｽﾄ(4～3月)'!$D$26:$D$998,$B32,'内訳ﾘｽﾄ(4～3月)'!I$26:I$998)</f>
        <v>3500000</v>
      </c>
      <c r="G32" s="155">
        <f>SUMIF('内訳ﾘｽﾄ(4～3月)'!$D$26:$D$998,$B32,'内訳ﾘｽﾄ(4～3月)'!J$26:J$998)</f>
        <v>3500000</v>
      </c>
      <c r="H32" s="155">
        <f>SUMIF('内訳ﾘｽﾄ(4～3月)'!$D$26:$D$998,$B32,'内訳ﾘｽﾄ(4～3月)'!K$26:K$998)</f>
        <v>3500000</v>
      </c>
      <c r="I32" s="155">
        <f>SUMIF('内訳ﾘｽﾄ(4～3月)'!$D$26:$D$998,$B32,'内訳ﾘｽﾄ(4～3月)'!L$26:L$998)</f>
        <v>3500000</v>
      </c>
      <c r="J32" s="155">
        <f>SUMIF('内訳ﾘｽﾄ(4～3月)'!$D$26:$D$998,$B32,'内訳ﾘｽﾄ(4～3月)'!M$26:M$998)</f>
        <v>3500000</v>
      </c>
      <c r="K32" s="155">
        <f>SUMIF('内訳ﾘｽﾄ(4～3月)'!$D$26:$D$998,$B32,'内訳ﾘｽﾄ(4～3月)'!N$26:N$998)</f>
        <v>3500000</v>
      </c>
      <c r="L32" s="155">
        <f>SUMIF('内訳ﾘｽﾄ(4～3月)'!$D$26:$D$998,$B32,'内訳ﾘｽﾄ(4～3月)'!O$26:O$998)</f>
        <v>3500000</v>
      </c>
      <c r="M32" s="155">
        <f>SUMIF('内訳ﾘｽﾄ(4～3月)'!$D$26:$D$998,$B32,'内訳ﾘｽﾄ(4～3月)'!P$26:P$998)</f>
        <v>3500000</v>
      </c>
      <c r="N32" s="155">
        <f>SUMIF('内訳ﾘｽﾄ(4～3月)'!$D$26:$D$998,$B32,'内訳ﾘｽﾄ(4～3月)'!Q$26:Q$998)</f>
        <v>3500000</v>
      </c>
      <c r="O32" s="155">
        <f>SUMIF('内訳ﾘｽﾄ(4～3月)'!$D$26:$D$797,'採算表(VND)'!$B32,'内訳ﾘｽﾄ(4～3月)'!R$26:R$797)</f>
        <v>42000000</v>
      </c>
      <c r="AQ32" s="72"/>
      <c r="AR32" s="72"/>
      <c r="AS32" s="72"/>
      <c r="AT32" s="72"/>
      <c r="AU32" s="70"/>
      <c r="AV32" s="71"/>
      <c r="AW32" s="71"/>
      <c r="AX32" s="71"/>
      <c r="AY32" s="71"/>
      <c r="BA32" s="73"/>
      <c r="BB32" s="73"/>
      <c r="BC32" s="73"/>
      <c r="BD32" s="73"/>
      <c r="BF32" s="74"/>
      <c r="BG32" s="70"/>
      <c r="BH32" s="70"/>
      <c r="BI32" s="70"/>
    </row>
    <row r="33" spans="1:61" ht="11.25" customHeight="1">
      <c r="A33" s="38"/>
      <c r="B33" s="37" t="s">
        <v>60</v>
      </c>
      <c r="C33" s="155">
        <f>SUMIF('内訳ﾘｽﾄ(4～3月)'!$D$26:$D$998,$B33,'内訳ﾘｽﾄ(4～3月)'!F$26:F$998)</f>
        <v>0</v>
      </c>
      <c r="D33" s="155">
        <f>SUMIF('内訳ﾘｽﾄ(4～3月)'!$D$26:$D$998,$B33,'内訳ﾘｽﾄ(4～3月)'!G$26:G$998)</f>
        <v>0</v>
      </c>
      <c r="E33" s="155">
        <f>SUMIF('内訳ﾘｽﾄ(4～3月)'!$D$26:$D$998,$B33,'内訳ﾘｽﾄ(4～3月)'!H$26:H$998)</f>
        <v>0</v>
      </c>
      <c r="F33" s="155">
        <f>SUMIF('内訳ﾘｽﾄ(4～3月)'!$D$26:$D$998,$B33,'内訳ﾘｽﾄ(4～3月)'!I$26:I$998)</f>
        <v>0</v>
      </c>
      <c r="G33" s="155">
        <f>SUMIF('内訳ﾘｽﾄ(4～3月)'!$D$26:$D$998,$B33,'内訳ﾘｽﾄ(4～3月)'!J$26:J$998)</f>
        <v>0</v>
      </c>
      <c r="H33" s="155">
        <f>SUMIF('内訳ﾘｽﾄ(4～3月)'!$D$26:$D$998,$B33,'内訳ﾘｽﾄ(4～3月)'!K$26:K$998)</f>
        <v>0</v>
      </c>
      <c r="I33" s="155">
        <f>SUMIF('内訳ﾘｽﾄ(4～3月)'!$D$26:$D$998,$B33,'内訳ﾘｽﾄ(4～3月)'!L$26:L$998)</f>
        <v>0</v>
      </c>
      <c r="J33" s="155">
        <f>SUMIF('内訳ﾘｽﾄ(4～3月)'!$D$26:$D$998,$B33,'内訳ﾘｽﾄ(4～3月)'!M$26:M$998)</f>
        <v>0</v>
      </c>
      <c r="K33" s="155">
        <f>SUMIF('内訳ﾘｽﾄ(4～3月)'!$D$26:$D$998,$B33,'内訳ﾘｽﾄ(4～3月)'!N$26:N$998)</f>
        <v>0</v>
      </c>
      <c r="L33" s="155">
        <f>SUMIF('内訳ﾘｽﾄ(4～3月)'!$D$26:$D$998,$B33,'内訳ﾘｽﾄ(4～3月)'!O$26:O$998)</f>
        <v>0</v>
      </c>
      <c r="M33" s="155">
        <f>SUMIF('内訳ﾘｽﾄ(4～3月)'!$D$26:$D$998,$B33,'内訳ﾘｽﾄ(4～3月)'!P$26:P$998)</f>
        <v>0</v>
      </c>
      <c r="N33" s="155">
        <f>SUMIF('内訳ﾘｽﾄ(4～3月)'!$D$26:$D$998,$B33,'内訳ﾘｽﾄ(4～3月)'!Q$26:Q$998)</f>
        <v>0</v>
      </c>
      <c r="O33" s="155">
        <f>SUMIF('内訳ﾘｽﾄ(4～3月)'!$D$26:$D$797,'採算表(VND)'!$B33,'内訳ﾘｽﾄ(4～3月)'!R$26:R$797)</f>
        <v>0</v>
      </c>
      <c r="AQ33" s="72"/>
      <c r="AR33" s="72"/>
      <c r="AS33" s="72"/>
      <c r="AT33" s="72"/>
      <c r="AU33" s="70"/>
      <c r="AV33" s="71"/>
      <c r="AW33" s="71"/>
      <c r="AX33" s="71"/>
      <c r="AY33" s="71"/>
      <c r="BA33" s="73"/>
      <c r="BB33" s="73"/>
      <c r="BC33" s="73"/>
      <c r="BD33" s="73"/>
      <c r="BF33" s="70"/>
      <c r="BG33" s="70"/>
      <c r="BH33" s="70"/>
      <c r="BI33" s="70"/>
    </row>
    <row r="34" spans="1:61" ht="11.25" customHeight="1">
      <c r="A34" s="38"/>
      <c r="B34" s="37" t="s">
        <v>65</v>
      </c>
      <c r="C34" s="155">
        <f>SUMIF('内訳ﾘｽﾄ(4～3月)'!$D$26:$D$998,$B34,'内訳ﾘｽﾄ(4～3月)'!F$26:F$998)</f>
        <v>0</v>
      </c>
      <c r="D34" s="155">
        <f>SUMIF('内訳ﾘｽﾄ(4～3月)'!$D$26:$D$998,$B34,'内訳ﾘｽﾄ(4～3月)'!G$26:G$998)</f>
        <v>0</v>
      </c>
      <c r="E34" s="155">
        <f>SUMIF('内訳ﾘｽﾄ(4～3月)'!$D$26:$D$998,$B34,'内訳ﾘｽﾄ(4～3月)'!H$26:H$998)</f>
        <v>0</v>
      </c>
      <c r="F34" s="155">
        <f>SUMIF('内訳ﾘｽﾄ(4～3月)'!$D$26:$D$998,$B34,'内訳ﾘｽﾄ(4～3月)'!I$26:I$998)</f>
        <v>0</v>
      </c>
      <c r="G34" s="155">
        <f>SUMIF('内訳ﾘｽﾄ(4～3月)'!$D$26:$D$998,$B34,'内訳ﾘｽﾄ(4～3月)'!J$26:J$998)</f>
        <v>0</v>
      </c>
      <c r="H34" s="155">
        <f>SUMIF('内訳ﾘｽﾄ(4～3月)'!$D$26:$D$998,$B34,'内訳ﾘｽﾄ(4～3月)'!K$26:K$998)</f>
        <v>0</v>
      </c>
      <c r="I34" s="155">
        <f>SUMIF('内訳ﾘｽﾄ(4～3月)'!$D$26:$D$998,$B34,'内訳ﾘｽﾄ(4～3月)'!L$26:L$998)</f>
        <v>0</v>
      </c>
      <c r="J34" s="155">
        <f>SUMIF('内訳ﾘｽﾄ(4～3月)'!$D$26:$D$998,$B34,'内訳ﾘｽﾄ(4～3月)'!M$26:M$998)</f>
        <v>0</v>
      </c>
      <c r="K34" s="155">
        <f>SUMIF('内訳ﾘｽﾄ(4～3月)'!$D$26:$D$998,$B34,'内訳ﾘｽﾄ(4～3月)'!N$26:N$998)</f>
        <v>0</v>
      </c>
      <c r="L34" s="155">
        <f>SUMIF('内訳ﾘｽﾄ(4～3月)'!$D$26:$D$998,$B34,'内訳ﾘｽﾄ(4～3月)'!O$26:O$998)</f>
        <v>0</v>
      </c>
      <c r="M34" s="155">
        <f>SUMIF('内訳ﾘｽﾄ(4～3月)'!$D$26:$D$998,$B34,'内訳ﾘｽﾄ(4～3月)'!P$26:P$998)</f>
        <v>0</v>
      </c>
      <c r="N34" s="155">
        <f>SUMIF('内訳ﾘｽﾄ(4～3月)'!$D$26:$D$998,$B34,'内訳ﾘｽﾄ(4～3月)'!Q$26:Q$998)</f>
        <v>0</v>
      </c>
      <c r="O34" s="155">
        <f>SUMIF('内訳ﾘｽﾄ(4～3月)'!$D$26:$D$797,'採算表(VND)'!$B34,'内訳ﾘｽﾄ(4～3月)'!R$26:R$797)</f>
        <v>0</v>
      </c>
      <c r="AQ34" s="72"/>
      <c r="AR34" s="72"/>
      <c r="AS34" s="72"/>
      <c r="AT34" s="72"/>
      <c r="AU34" s="70"/>
      <c r="AV34" s="71"/>
      <c r="AW34" s="71"/>
      <c r="AX34" s="71"/>
      <c r="AY34" s="71"/>
      <c r="BA34" s="73"/>
      <c r="BB34" s="73"/>
      <c r="BC34" s="73"/>
      <c r="BD34" s="73"/>
      <c r="BF34" s="70"/>
      <c r="BG34" s="70"/>
      <c r="BH34" s="70"/>
      <c r="BI34" s="70"/>
    </row>
    <row r="35" spans="1:61" ht="11.25" customHeight="1">
      <c r="A35" s="38"/>
      <c r="B35" s="37" t="s">
        <v>44</v>
      </c>
      <c r="C35" s="155">
        <f>SUMIF('内訳ﾘｽﾄ(4～3月)'!$D$26:$D$998,$B35,'内訳ﾘｽﾄ(4～3月)'!F$26:F$998)</f>
        <v>0</v>
      </c>
      <c r="D35" s="155">
        <f>SUMIF('内訳ﾘｽﾄ(4～3月)'!$D$26:$D$998,$B35,'内訳ﾘｽﾄ(4～3月)'!G$26:G$998)</f>
        <v>0</v>
      </c>
      <c r="E35" s="155">
        <f>SUMIF('内訳ﾘｽﾄ(4～3月)'!$D$26:$D$998,$B35,'内訳ﾘｽﾄ(4～3月)'!H$26:H$998)</f>
        <v>0</v>
      </c>
      <c r="F35" s="155">
        <f>SUMIF('内訳ﾘｽﾄ(4～3月)'!$D$26:$D$998,$B35,'内訳ﾘｽﾄ(4～3月)'!I$26:I$998)</f>
        <v>0</v>
      </c>
      <c r="G35" s="155">
        <f>SUMIF('内訳ﾘｽﾄ(4～3月)'!$D$26:$D$998,$B35,'内訳ﾘｽﾄ(4～3月)'!J$26:J$998)</f>
        <v>0</v>
      </c>
      <c r="H35" s="155">
        <f>SUMIF('内訳ﾘｽﾄ(4～3月)'!$D$26:$D$998,$B35,'内訳ﾘｽﾄ(4～3月)'!K$26:K$998)</f>
        <v>0</v>
      </c>
      <c r="I35" s="155">
        <f>SUMIF('内訳ﾘｽﾄ(4～3月)'!$D$26:$D$998,$B35,'内訳ﾘｽﾄ(4～3月)'!L$26:L$998)</f>
        <v>0</v>
      </c>
      <c r="J35" s="155">
        <f>SUMIF('内訳ﾘｽﾄ(4～3月)'!$D$26:$D$998,$B35,'内訳ﾘｽﾄ(4～3月)'!M$26:M$998)</f>
        <v>0</v>
      </c>
      <c r="K35" s="155">
        <f>SUMIF('内訳ﾘｽﾄ(4～3月)'!$D$26:$D$998,$B35,'内訳ﾘｽﾄ(4～3月)'!N$26:N$998)</f>
        <v>0</v>
      </c>
      <c r="L35" s="155">
        <f>SUMIF('内訳ﾘｽﾄ(4～3月)'!$D$26:$D$998,$B35,'内訳ﾘｽﾄ(4～3月)'!O$26:O$998)</f>
        <v>0</v>
      </c>
      <c r="M35" s="155">
        <f>SUMIF('内訳ﾘｽﾄ(4～3月)'!$D$26:$D$998,$B35,'内訳ﾘｽﾄ(4～3月)'!P$26:P$998)</f>
        <v>0</v>
      </c>
      <c r="N35" s="155">
        <f>SUMIF('内訳ﾘｽﾄ(4～3月)'!$D$26:$D$998,$B35,'内訳ﾘｽﾄ(4～3月)'!Q$26:Q$998)</f>
        <v>0</v>
      </c>
      <c r="O35" s="155">
        <f>SUMIF('内訳ﾘｽﾄ(4～3月)'!$D$26:$D$797,'採算表(VND)'!$B35,'内訳ﾘｽﾄ(4～3月)'!R$26:R$797)</f>
        <v>0</v>
      </c>
      <c r="AQ35" s="72"/>
      <c r="AR35" s="72"/>
      <c r="AS35" s="72"/>
      <c r="AT35" s="72"/>
      <c r="AU35" s="70"/>
      <c r="AV35" s="71"/>
      <c r="AW35" s="71"/>
      <c r="AX35" s="71"/>
      <c r="AY35" s="71"/>
      <c r="BA35" s="73"/>
      <c r="BB35" s="73"/>
      <c r="BC35" s="73"/>
      <c r="BD35" s="73"/>
      <c r="BF35" s="70"/>
      <c r="BG35" s="70"/>
      <c r="BH35" s="70"/>
      <c r="BI35" s="70"/>
    </row>
    <row r="36" spans="1:61" ht="11.25" customHeight="1">
      <c r="A36" s="38"/>
      <c r="B36" s="37" t="s">
        <v>63</v>
      </c>
      <c r="C36" s="155">
        <f>SUMIF('内訳ﾘｽﾄ(4～3月)'!$D$26:$D$998,$B36,'内訳ﾘｽﾄ(4～3月)'!F$26:F$998)</f>
        <v>0</v>
      </c>
      <c r="D36" s="155">
        <f>SUMIF('内訳ﾘｽﾄ(4～3月)'!$D$26:$D$998,$B36,'内訳ﾘｽﾄ(4～3月)'!G$26:G$998)</f>
        <v>0</v>
      </c>
      <c r="E36" s="155">
        <f>SUMIF('内訳ﾘｽﾄ(4～3月)'!$D$26:$D$998,$B36,'内訳ﾘｽﾄ(4～3月)'!H$26:H$998)</f>
        <v>0</v>
      </c>
      <c r="F36" s="155">
        <f>SUMIF('内訳ﾘｽﾄ(4～3月)'!$D$26:$D$998,$B36,'内訳ﾘｽﾄ(4～3月)'!I$26:I$998)</f>
        <v>0</v>
      </c>
      <c r="G36" s="155">
        <f>SUMIF('内訳ﾘｽﾄ(4～3月)'!$D$26:$D$998,$B36,'内訳ﾘｽﾄ(4～3月)'!J$26:J$998)</f>
        <v>0</v>
      </c>
      <c r="H36" s="155">
        <f>SUMIF('内訳ﾘｽﾄ(4～3月)'!$D$26:$D$998,$B36,'内訳ﾘｽﾄ(4～3月)'!K$26:K$998)</f>
        <v>0</v>
      </c>
      <c r="I36" s="155">
        <f>SUMIF('内訳ﾘｽﾄ(4～3月)'!$D$26:$D$998,$B36,'内訳ﾘｽﾄ(4～3月)'!L$26:L$998)</f>
        <v>0</v>
      </c>
      <c r="J36" s="155">
        <f>SUMIF('内訳ﾘｽﾄ(4～3月)'!$D$26:$D$998,$B36,'内訳ﾘｽﾄ(4～3月)'!M$26:M$998)</f>
        <v>0</v>
      </c>
      <c r="K36" s="155">
        <f>SUMIF('内訳ﾘｽﾄ(4～3月)'!$D$26:$D$998,$B36,'内訳ﾘｽﾄ(4～3月)'!N$26:N$998)</f>
        <v>0</v>
      </c>
      <c r="L36" s="155">
        <f>SUMIF('内訳ﾘｽﾄ(4～3月)'!$D$26:$D$998,$B36,'内訳ﾘｽﾄ(4～3月)'!O$26:O$998)</f>
        <v>0</v>
      </c>
      <c r="M36" s="155">
        <f>SUMIF('内訳ﾘｽﾄ(4～3月)'!$D$26:$D$998,$B36,'内訳ﾘｽﾄ(4～3月)'!P$26:P$998)</f>
        <v>0</v>
      </c>
      <c r="N36" s="155">
        <f>SUMIF('内訳ﾘｽﾄ(4～3月)'!$D$26:$D$998,$B36,'内訳ﾘｽﾄ(4～3月)'!Q$26:Q$998)</f>
        <v>0</v>
      </c>
      <c r="O36" s="155">
        <f>SUMIF('内訳ﾘｽﾄ(4～3月)'!$D$26:$D$797,'採算表(VND)'!$B36,'内訳ﾘｽﾄ(4～3月)'!R$26:R$797)</f>
        <v>0</v>
      </c>
      <c r="AQ36" s="72"/>
      <c r="AR36" s="72"/>
      <c r="AS36" s="72"/>
      <c r="AT36" s="72"/>
      <c r="AU36" s="70"/>
      <c r="AV36" s="71"/>
      <c r="AW36" s="71"/>
      <c r="AX36" s="71"/>
      <c r="AY36" s="71"/>
      <c r="BA36" s="73"/>
      <c r="BB36" s="73"/>
      <c r="BC36" s="73"/>
      <c r="BD36" s="73"/>
      <c r="BF36" s="70"/>
      <c r="BG36" s="70"/>
      <c r="BH36" s="70"/>
      <c r="BI36" s="70"/>
    </row>
    <row r="37" spans="1:61" ht="11.25" customHeight="1">
      <c r="A37" s="38"/>
      <c r="B37" s="37" t="s">
        <v>41</v>
      </c>
      <c r="C37" s="155">
        <f>SUMIF('内訳ﾘｽﾄ(4～3月)'!$D$26:$D$998,$B37,'内訳ﾘｽﾄ(4～3月)'!F$26:F$998)</f>
        <v>0</v>
      </c>
      <c r="D37" s="155">
        <f>SUMIF('内訳ﾘｽﾄ(4～3月)'!$D$26:$D$998,$B37,'内訳ﾘｽﾄ(4～3月)'!G$26:G$998)</f>
        <v>0</v>
      </c>
      <c r="E37" s="155">
        <f>SUMIF('内訳ﾘｽﾄ(4～3月)'!$D$26:$D$998,$B37,'内訳ﾘｽﾄ(4～3月)'!H$26:H$998)</f>
        <v>0</v>
      </c>
      <c r="F37" s="155">
        <f>SUMIF('内訳ﾘｽﾄ(4～3月)'!$D$26:$D$998,$B37,'内訳ﾘｽﾄ(4～3月)'!I$26:I$998)</f>
        <v>0</v>
      </c>
      <c r="G37" s="155">
        <f>SUMIF('内訳ﾘｽﾄ(4～3月)'!$D$26:$D$998,$B37,'内訳ﾘｽﾄ(4～3月)'!J$26:J$998)</f>
        <v>0</v>
      </c>
      <c r="H37" s="155">
        <f>SUMIF('内訳ﾘｽﾄ(4～3月)'!$D$26:$D$998,$B37,'内訳ﾘｽﾄ(4～3月)'!K$26:K$998)</f>
        <v>0</v>
      </c>
      <c r="I37" s="155">
        <f>SUMIF('内訳ﾘｽﾄ(4～3月)'!$D$26:$D$998,$B37,'内訳ﾘｽﾄ(4～3月)'!L$26:L$998)</f>
        <v>0</v>
      </c>
      <c r="J37" s="155">
        <f>SUMIF('内訳ﾘｽﾄ(4～3月)'!$D$26:$D$998,$B37,'内訳ﾘｽﾄ(4～3月)'!M$26:M$998)</f>
        <v>0</v>
      </c>
      <c r="K37" s="155">
        <f>SUMIF('内訳ﾘｽﾄ(4～3月)'!$D$26:$D$998,$B37,'内訳ﾘｽﾄ(4～3月)'!N$26:N$998)</f>
        <v>0</v>
      </c>
      <c r="L37" s="155">
        <f>SUMIF('内訳ﾘｽﾄ(4～3月)'!$D$26:$D$998,$B37,'内訳ﾘｽﾄ(4～3月)'!O$26:O$998)</f>
        <v>0</v>
      </c>
      <c r="M37" s="155">
        <f>SUMIF('内訳ﾘｽﾄ(4～3月)'!$D$26:$D$998,$B37,'内訳ﾘｽﾄ(4～3月)'!P$26:P$998)</f>
        <v>0</v>
      </c>
      <c r="N37" s="155">
        <f>SUMIF('内訳ﾘｽﾄ(4～3月)'!$D$26:$D$998,$B37,'内訳ﾘｽﾄ(4～3月)'!Q$26:Q$998)</f>
        <v>0</v>
      </c>
      <c r="O37" s="155">
        <f>SUMIF('内訳ﾘｽﾄ(4～3月)'!$D$26:$D$797,'採算表(VND)'!$B37,'内訳ﾘｽﾄ(4～3月)'!R$26:R$797)</f>
        <v>0</v>
      </c>
      <c r="AQ37" s="72"/>
      <c r="AR37" s="72"/>
      <c r="AS37" s="72"/>
      <c r="AT37" s="72"/>
      <c r="AU37" s="70"/>
      <c r="AV37" s="71"/>
      <c r="AW37" s="71"/>
      <c r="AX37" s="71"/>
      <c r="AY37" s="71"/>
      <c r="BA37" s="73"/>
      <c r="BB37" s="73"/>
      <c r="BC37" s="73"/>
      <c r="BD37" s="73"/>
      <c r="BF37" s="70"/>
      <c r="BG37" s="70"/>
      <c r="BH37" s="70"/>
      <c r="BI37" s="70"/>
    </row>
    <row r="38" spans="1:61" ht="11.25" customHeight="1">
      <c r="A38" s="38"/>
      <c r="B38" s="37" t="s">
        <v>48</v>
      </c>
      <c r="C38" s="155">
        <f>SUMIF('内訳ﾘｽﾄ(4～3月)'!$D$26:$D$998,$B38,'内訳ﾘｽﾄ(4～3月)'!F$26:F$998)</f>
        <v>0</v>
      </c>
      <c r="D38" s="155">
        <f>SUMIF('内訳ﾘｽﾄ(4～3月)'!$D$26:$D$998,$B38,'内訳ﾘｽﾄ(4～3月)'!G$26:G$998)</f>
        <v>0</v>
      </c>
      <c r="E38" s="155">
        <f>SUMIF('内訳ﾘｽﾄ(4～3月)'!$D$26:$D$998,$B38,'内訳ﾘｽﾄ(4～3月)'!H$26:H$998)</f>
        <v>0</v>
      </c>
      <c r="F38" s="155">
        <f>SUMIF('内訳ﾘｽﾄ(4～3月)'!$D$26:$D$998,$B38,'内訳ﾘｽﾄ(4～3月)'!I$26:I$998)</f>
        <v>0</v>
      </c>
      <c r="G38" s="155">
        <f>SUMIF('内訳ﾘｽﾄ(4～3月)'!$D$26:$D$998,$B38,'内訳ﾘｽﾄ(4～3月)'!J$26:J$998)</f>
        <v>0</v>
      </c>
      <c r="H38" s="155">
        <f>SUMIF('内訳ﾘｽﾄ(4～3月)'!$D$26:$D$998,$B38,'内訳ﾘｽﾄ(4～3月)'!K$26:K$998)</f>
        <v>0</v>
      </c>
      <c r="I38" s="155">
        <f>SUMIF('内訳ﾘｽﾄ(4～3月)'!$D$26:$D$998,$B38,'内訳ﾘｽﾄ(4～3月)'!L$26:L$998)</f>
        <v>0</v>
      </c>
      <c r="J38" s="155">
        <f>SUMIF('内訳ﾘｽﾄ(4～3月)'!$D$26:$D$998,$B38,'内訳ﾘｽﾄ(4～3月)'!M$26:M$998)</f>
        <v>0</v>
      </c>
      <c r="K38" s="155">
        <f>SUMIF('内訳ﾘｽﾄ(4～3月)'!$D$26:$D$998,$B38,'内訳ﾘｽﾄ(4～3月)'!N$26:N$998)</f>
        <v>0</v>
      </c>
      <c r="L38" s="155">
        <f>SUMIF('内訳ﾘｽﾄ(4～3月)'!$D$26:$D$998,$B38,'内訳ﾘｽﾄ(4～3月)'!O$26:O$998)</f>
        <v>0</v>
      </c>
      <c r="M38" s="155">
        <f>SUMIF('内訳ﾘｽﾄ(4～3月)'!$D$26:$D$998,$B38,'内訳ﾘｽﾄ(4～3月)'!P$26:P$998)</f>
        <v>0</v>
      </c>
      <c r="N38" s="155">
        <f>SUMIF('内訳ﾘｽﾄ(4～3月)'!$D$26:$D$998,$B38,'内訳ﾘｽﾄ(4～3月)'!Q$26:Q$998)</f>
        <v>0</v>
      </c>
      <c r="O38" s="155">
        <f>SUMIF('内訳ﾘｽﾄ(4～3月)'!$D$26:$D$797,'採算表(VND)'!$B38,'内訳ﾘｽﾄ(4～3月)'!R$26:R$797)</f>
        <v>0</v>
      </c>
      <c r="AQ38" s="72"/>
      <c r="AR38" s="72"/>
      <c r="AS38" s="72"/>
      <c r="AT38" s="72"/>
      <c r="AU38" s="70"/>
      <c r="AV38" s="71"/>
      <c r="AW38" s="71"/>
      <c r="AX38" s="71"/>
      <c r="AY38" s="71"/>
      <c r="BA38" s="73"/>
      <c r="BB38" s="73"/>
      <c r="BC38" s="73"/>
      <c r="BD38" s="73"/>
      <c r="BF38" s="70"/>
      <c r="BG38" s="70"/>
      <c r="BH38" s="70"/>
      <c r="BI38" s="70"/>
    </row>
    <row r="39" spans="1:61" ht="11.25" customHeight="1">
      <c r="A39" s="38"/>
      <c r="B39" s="37" t="s">
        <v>50</v>
      </c>
      <c r="C39" s="155">
        <f>SUMIF('内訳ﾘｽﾄ(4～3月)'!$D$26:$D$998,$B39,'内訳ﾘｽﾄ(4～3月)'!F$26:F$998)</f>
        <v>7562374</v>
      </c>
      <c r="D39" s="155">
        <f>SUMIF('内訳ﾘｽﾄ(4～3月)'!$D$26:$D$998,$B39,'内訳ﾘｽﾄ(4～3月)'!G$26:G$998)</f>
        <v>2540790</v>
      </c>
      <c r="E39" s="155">
        <f>SUMIF('内訳ﾘｽﾄ(4～3月)'!$D$26:$D$998,$B39,'内訳ﾘｽﾄ(4～3月)'!H$26:H$998)</f>
        <v>2619045</v>
      </c>
      <c r="F39" s="155">
        <f>SUMIF('内訳ﾘｽﾄ(4～3月)'!$D$26:$D$998,$B39,'内訳ﾘｽﾄ(4～3月)'!I$26:I$998)</f>
        <v>7505382</v>
      </c>
      <c r="G39" s="155">
        <f>SUMIF('内訳ﾘｽﾄ(4～3月)'!$D$26:$D$998,$B39,'内訳ﾘｽﾄ(4～3月)'!J$26:J$998)</f>
        <v>2438877</v>
      </c>
      <c r="H39" s="155">
        <f>SUMIF('内訳ﾘｽﾄ(4～3月)'!$D$26:$D$998,$B39,'内訳ﾘｽﾄ(4～3月)'!K$26:K$998)</f>
        <v>2330730</v>
      </c>
      <c r="I39" s="155">
        <f>SUMIF('内訳ﾘｽﾄ(4～3月)'!$D$26:$D$998,$B39,'内訳ﾘｽﾄ(4～3月)'!L$26:L$998)</f>
        <v>3929304</v>
      </c>
      <c r="J39" s="155">
        <f>SUMIF('内訳ﾘｽﾄ(4～3月)'!$D$26:$D$998,$B39,'内訳ﾘｽﾄ(4～3月)'!M$26:M$998)</f>
        <v>2201668</v>
      </c>
      <c r="K39" s="155">
        <f>SUMIF('内訳ﾘｽﾄ(4～3月)'!$D$26:$D$998,$B39,'内訳ﾘｽﾄ(4～3月)'!N$26:N$998)</f>
        <v>2207919</v>
      </c>
      <c r="L39" s="155">
        <f>SUMIF('内訳ﾘｽﾄ(4～3月)'!$D$26:$D$998,$B39,'内訳ﾘｽﾄ(4～3月)'!O$26:O$998)</f>
        <v>16613496</v>
      </c>
      <c r="M39" s="155">
        <f>SUMIF('内訳ﾘｽﾄ(4～3月)'!$D$26:$D$998,$B39,'内訳ﾘｽﾄ(4～3月)'!P$26:P$998)</f>
        <v>2000414</v>
      </c>
      <c r="N39" s="155">
        <f>SUMIF('内訳ﾘｽﾄ(4～3月)'!$D$26:$D$998,$B39,'内訳ﾘｽﾄ(4～3月)'!Q$26:Q$998)</f>
        <v>2093380</v>
      </c>
      <c r="O39" s="155">
        <f>SUMIF('内訳ﾘｽﾄ(4～3月)'!$D$26:$D$797,'採算表(VND)'!$B39,'内訳ﾘｽﾄ(4～3月)'!R$26:R$797)</f>
        <v>54043379</v>
      </c>
      <c r="AQ39" s="72"/>
      <c r="AR39" s="72"/>
      <c r="AS39" s="72"/>
      <c r="AT39" s="72"/>
      <c r="AU39" s="70"/>
      <c r="AV39" s="71"/>
      <c r="AW39" s="71"/>
      <c r="AX39" s="71"/>
      <c r="AY39" s="71"/>
      <c r="BA39" s="73"/>
      <c r="BB39" s="73"/>
      <c r="BC39" s="73"/>
      <c r="BD39" s="73"/>
      <c r="BF39" s="70"/>
      <c r="BG39" s="70"/>
      <c r="BH39" s="70"/>
      <c r="BI39" s="70"/>
    </row>
    <row r="40" spans="1:61" ht="11.25" customHeight="1">
      <c r="A40" s="38"/>
      <c r="B40" s="37" t="s">
        <v>51</v>
      </c>
      <c r="C40" s="155">
        <f>SUMIF('内訳ﾘｽﾄ(4～3月)'!$D$26:$D$998,$B40,'内訳ﾘｽﾄ(4～3月)'!F$26:F$998)</f>
        <v>0</v>
      </c>
      <c r="D40" s="155">
        <f>SUMIF('内訳ﾘｽﾄ(4～3月)'!$D$26:$D$998,$B40,'内訳ﾘｽﾄ(4～3月)'!G$26:G$998)</f>
        <v>0</v>
      </c>
      <c r="E40" s="155">
        <f>SUMIF('内訳ﾘｽﾄ(4～3月)'!$D$26:$D$998,$B40,'内訳ﾘｽﾄ(4～3月)'!H$26:H$998)</f>
        <v>0</v>
      </c>
      <c r="F40" s="155">
        <f>SUMIF('内訳ﾘｽﾄ(4～3月)'!$D$26:$D$998,$B40,'内訳ﾘｽﾄ(4～3月)'!I$26:I$998)</f>
        <v>0</v>
      </c>
      <c r="G40" s="155">
        <f>SUMIF('内訳ﾘｽﾄ(4～3月)'!$D$26:$D$998,$B40,'内訳ﾘｽﾄ(4～3月)'!J$26:J$998)</f>
        <v>0</v>
      </c>
      <c r="H40" s="155">
        <f>SUMIF('内訳ﾘｽﾄ(4～3月)'!$D$26:$D$998,$B40,'内訳ﾘｽﾄ(4～3月)'!K$26:K$998)</f>
        <v>0</v>
      </c>
      <c r="I40" s="155">
        <f>SUMIF('内訳ﾘｽﾄ(4～3月)'!$D$26:$D$998,$B40,'内訳ﾘｽﾄ(4～3月)'!L$26:L$998)</f>
        <v>0</v>
      </c>
      <c r="J40" s="155">
        <f>SUMIF('内訳ﾘｽﾄ(4～3月)'!$D$26:$D$998,$B40,'内訳ﾘｽﾄ(4～3月)'!M$26:M$998)</f>
        <v>0</v>
      </c>
      <c r="K40" s="155">
        <f>SUMIF('内訳ﾘｽﾄ(4～3月)'!$D$26:$D$998,$B40,'内訳ﾘｽﾄ(4～3月)'!N$26:N$998)</f>
        <v>0</v>
      </c>
      <c r="L40" s="155">
        <f>SUMIF('内訳ﾘｽﾄ(4～3月)'!$D$26:$D$998,$B40,'内訳ﾘｽﾄ(4～3月)'!O$26:O$998)</f>
        <v>0</v>
      </c>
      <c r="M40" s="155">
        <f>SUMIF('内訳ﾘｽﾄ(4～3月)'!$D$26:$D$998,$B40,'内訳ﾘｽﾄ(4～3月)'!P$26:P$998)</f>
        <v>0</v>
      </c>
      <c r="N40" s="155">
        <f>SUMIF('内訳ﾘｽﾄ(4～3月)'!$D$26:$D$998,$B40,'内訳ﾘｽﾄ(4～3月)'!Q$26:Q$998)</f>
        <v>0</v>
      </c>
      <c r="O40" s="155">
        <f>SUMIF('内訳ﾘｽﾄ(4～3月)'!$D$26:$D$797,'採算表(VND)'!$B40,'内訳ﾘｽﾄ(4～3月)'!R$26:R$797)</f>
        <v>0</v>
      </c>
      <c r="AQ40" s="72"/>
      <c r="AR40" s="72"/>
      <c r="AS40" s="72"/>
      <c r="AT40" s="72"/>
      <c r="AU40" s="70"/>
      <c r="AV40" s="71"/>
      <c r="AW40" s="71"/>
      <c r="AX40" s="71"/>
      <c r="AY40" s="71"/>
      <c r="BA40" s="73"/>
      <c r="BB40" s="73"/>
      <c r="BC40" s="73"/>
      <c r="BD40" s="73"/>
      <c r="BF40" s="70"/>
      <c r="BG40" s="70"/>
      <c r="BH40" s="70"/>
      <c r="BI40" s="70"/>
    </row>
    <row r="41" spans="1:61" ht="11.25" customHeight="1">
      <c r="A41" s="38"/>
      <c r="B41" s="37" t="s">
        <v>58</v>
      </c>
      <c r="C41" s="155">
        <f>SUMIF('内訳ﾘｽﾄ(4～3月)'!$D$26:$D$998,$B41,'内訳ﾘｽﾄ(4～3月)'!F$26:F$998)</f>
        <v>300000</v>
      </c>
      <c r="D41" s="155">
        <f>SUMIF('内訳ﾘｽﾄ(4～3月)'!$D$26:$D$998,$B41,'内訳ﾘｽﾄ(4～3月)'!G$26:G$998)</f>
        <v>300000</v>
      </c>
      <c r="E41" s="155">
        <f>SUMIF('内訳ﾘｽﾄ(4～3月)'!$D$26:$D$998,$B41,'内訳ﾘｽﾄ(4～3月)'!H$26:H$998)</f>
        <v>300000</v>
      </c>
      <c r="F41" s="155">
        <f>SUMIF('内訳ﾘｽﾄ(4～3月)'!$D$26:$D$998,$B41,'内訳ﾘｽﾄ(4～3月)'!I$26:I$998)</f>
        <v>300000</v>
      </c>
      <c r="G41" s="155">
        <f>SUMIF('内訳ﾘｽﾄ(4～3月)'!$D$26:$D$998,$B41,'内訳ﾘｽﾄ(4～3月)'!J$26:J$998)</f>
        <v>300000</v>
      </c>
      <c r="H41" s="155">
        <f>SUMIF('内訳ﾘｽﾄ(4～3月)'!$D$26:$D$998,$B41,'内訳ﾘｽﾄ(4～3月)'!K$26:K$998)</f>
        <v>300000</v>
      </c>
      <c r="I41" s="155">
        <f>SUMIF('内訳ﾘｽﾄ(4～3月)'!$D$26:$D$998,$B41,'内訳ﾘｽﾄ(4～3月)'!L$26:L$998)</f>
        <v>300000</v>
      </c>
      <c r="J41" s="155">
        <f>SUMIF('内訳ﾘｽﾄ(4～3月)'!$D$26:$D$998,$B41,'内訳ﾘｽﾄ(4～3月)'!M$26:M$998)</f>
        <v>300000</v>
      </c>
      <c r="K41" s="155">
        <f>SUMIF('内訳ﾘｽﾄ(4～3月)'!$D$26:$D$998,$B41,'内訳ﾘｽﾄ(4～3月)'!N$26:N$998)</f>
        <v>300000</v>
      </c>
      <c r="L41" s="155">
        <f>SUMIF('内訳ﾘｽﾄ(4～3月)'!$D$26:$D$998,$B41,'内訳ﾘｽﾄ(4～3月)'!O$26:O$998)</f>
        <v>300000</v>
      </c>
      <c r="M41" s="155">
        <f>SUMIF('内訳ﾘｽﾄ(4～3月)'!$D$26:$D$998,$B41,'内訳ﾘｽﾄ(4～3月)'!P$26:P$998)</f>
        <v>300000</v>
      </c>
      <c r="N41" s="155">
        <f>SUMIF('内訳ﾘｽﾄ(4～3月)'!$D$26:$D$998,$B41,'内訳ﾘｽﾄ(4～3月)'!Q$26:Q$998)</f>
        <v>300000</v>
      </c>
      <c r="O41" s="155">
        <f>SUMIF('内訳ﾘｽﾄ(4～3月)'!$D$26:$D$797,'採算表(VND)'!$B41,'内訳ﾘｽﾄ(4～3月)'!R$26:R$797)</f>
        <v>3600000</v>
      </c>
      <c r="AQ41" s="72"/>
      <c r="AR41" s="72"/>
      <c r="AS41" s="72"/>
      <c r="AT41" s="72"/>
      <c r="AU41" s="70"/>
      <c r="AV41" s="71"/>
      <c r="AW41" s="71"/>
      <c r="AX41" s="71"/>
      <c r="AY41" s="71"/>
      <c r="BA41" s="73"/>
      <c r="BB41" s="73"/>
      <c r="BC41" s="73"/>
      <c r="BD41" s="73"/>
      <c r="BF41" s="70"/>
      <c r="BG41" s="70"/>
      <c r="BH41" s="70"/>
      <c r="BI41" s="70"/>
    </row>
    <row r="42" spans="1:61" ht="11.25" customHeight="1">
      <c r="A42" s="38"/>
      <c r="B42" s="37" t="s">
        <v>98</v>
      </c>
      <c r="C42" s="155">
        <f>SUMIF('内訳ﾘｽﾄ(4～3月)'!$D$26:$D$998,$B42,'内訳ﾘｽﾄ(4～3月)'!F$26:F$998)</f>
        <v>49649206</v>
      </c>
      <c r="D42" s="155">
        <f>SUMIF('内訳ﾘｽﾄ(4～3月)'!$D$26:$D$998,$B42,'内訳ﾘｽﾄ(4～3月)'!G$26:G$998)</f>
        <v>49334506</v>
      </c>
      <c r="E42" s="155">
        <f>SUMIF('内訳ﾘｽﾄ(4～3月)'!$D$26:$D$998,$B42,'内訳ﾘｽﾄ(4～3月)'!H$26:H$998)</f>
        <v>49544306</v>
      </c>
      <c r="F42" s="155">
        <f>SUMIF('内訳ﾘｽﾄ(4～3月)'!$D$26:$D$998,$B42,'内訳ﾘｽﾄ(4～3月)'!I$26:I$998)</f>
        <v>49334506</v>
      </c>
      <c r="G42" s="155">
        <f>SUMIF('内訳ﾘｽﾄ(4～3月)'!$D$26:$D$998,$B42,'内訳ﾘｽﾄ(4～3月)'!J$26:J$998)</f>
        <v>49334506</v>
      </c>
      <c r="H42" s="155">
        <f>SUMIF('内訳ﾘｽﾄ(4～3月)'!$D$26:$D$998,$B42,'内訳ﾘｽﾄ(4～3月)'!K$26:K$998)</f>
        <v>49334506</v>
      </c>
      <c r="I42" s="155">
        <f>SUMIF('内訳ﾘｽﾄ(4～3月)'!$D$26:$D$998,$B42,'内訳ﾘｽﾄ(4～3月)'!L$26:L$998)</f>
        <v>49334506</v>
      </c>
      <c r="J42" s="155">
        <f>SUMIF('内訳ﾘｽﾄ(4～3月)'!$D$26:$D$998,$B42,'内訳ﾘｽﾄ(4～3月)'!M$26:M$998)</f>
        <v>49374506</v>
      </c>
      <c r="K42" s="155">
        <f>SUMIF('内訳ﾘｽﾄ(4～3月)'!$D$26:$D$998,$B42,'内訳ﾘｽﾄ(4～3月)'!N$26:N$998)</f>
        <v>49334506</v>
      </c>
      <c r="L42" s="155">
        <f>SUMIF('内訳ﾘｽﾄ(4～3月)'!$D$26:$D$998,$B42,'内訳ﾘｽﾄ(4～3月)'!O$26:O$998)</f>
        <v>49334506</v>
      </c>
      <c r="M42" s="155">
        <f>SUMIF('内訳ﾘｽﾄ(4～3月)'!$D$26:$D$998,$B42,'内訳ﾘｽﾄ(4～3月)'!P$26:P$998)</f>
        <v>49334506</v>
      </c>
      <c r="N42" s="155">
        <f>SUMIF('内訳ﾘｽﾄ(4～3月)'!$D$26:$D$998,$B42,'内訳ﾘｽﾄ(4～3月)'!Q$26:Q$998)</f>
        <v>49334506</v>
      </c>
      <c r="O42" s="155">
        <f>SUMIF('内訳ﾘｽﾄ(4～3月)'!$D$26:$D$797,'採算表(VND)'!$B42,'内訳ﾘｽﾄ(4～3月)'!R$26:R$797)</f>
        <v>592578572</v>
      </c>
      <c r="AQ42" s="72"/>
      <c r="AR42" s="72"/>
      <c r="AS42" s="72"/>
      <c r="AT42" s="72"/>
      <c r="AU42" s="70"/>
      <c r="AV42" s="71"/>
      <c r="AW42" s="71"/>
      <c r="AX42" s="71"/>
      <c r="AY42" s="71"/>
      <c r="BA42" s="73"/>
      <c r="BB42" s="73"/>
      <c r="BC42" s="73"/>
      <c r="BD42" s="73"/>
      <c r="BF42" s="74"/>
      <c r="BG42" s="70"/>
      <c r="BH42" s="70"/>
      <c r="BI42" s="70"/>
    </row>
    <row r="43" spans="1:61" ht="11.25" customHeight="1">
      <c r="A43" s="38"/>
      <c r="B43" s="37" t="s">
        <v>99</v>
      </c>
      <c r="C43" s="155">
        <f>SUMIF('内訳ﾘｽﾄ(4～3月)'!$D$26:$D$998,$B43,'内訳ﾘｽﾄ(4～3月)'!F$26:F$998)</f>
        <v>0</v>
      </c>
      <c r="D43" s="155">
        <f>SUMIF('内訳ﾘｽﾄ(4～3月)'!$D$26:$D$998,$B43,'内訳ﾘｽﾄ(4～3月)'!G$26:G$998)</f>
        <v>0</v>
      </c>
      <c r="E43" s="155">
        <f>SUMIF('内訳ﾘｽﾄ(4～3月)'!$D$26:$D$998,$B43,'内訳ﾘｽﾄ(4～3月)'!H$26:H$998)</f>
        <v>0</v>
      </c>
      <c r="F43" s="155">
        <f>SUMIF('内訳ﾘｽﾄ(4～3月)'!$D$26:$D$998,$B43,'内訳ﾘｽﾄ(4～3月)'!I$26:I$998)</f>
        <v>0</v>
      </c>
      <c r="G43" s="155">
        <f>SUMIF('内訳ﾘｽﾄ(4～3月)'!$D$26:$D$998,$B43,'内訳ﾘｽﾄ(4～3月)'!J$26:J$998)</f>
        <v>0</v>
      </c>
      <c r="H43" s="155">
        <f>SUMIF('内訳ﾘｽﾄ(4～3月)'!$D$26:$D$998,$B43,'内訳ﾘｽﾄ(4～3月)'!K$26:K$998)</f>
        <v>0</v>
      </c>
      <c r="I43" s="155">
        <f>SUMIF('内訳ﾘｽﾄ(4～3月)'!$D$26:$D$998,$B43,'内訳ﾘｽﾄ(4～3月)'!L$26:L$998)</f>
        <v>0</v>
      </c>
      <c r="J43" s="155">
        <f>SUMIF('内訳ﾘｽﾄ(4～3月)'!$D$26:$D$998,$B43,'内訳ﾘｽﾄ(4～3月)'!M$26:M$998)</f>
        <v>0</v>
      </c>
      <c r="K43" s="155">
        <f>SUMIF('内訳ﾘｽﾄ(4～3月)'!$D$26:$D$998,$B43,'内訳ﾘｽﾄ(4～3月)'!N$26:N$998)</f>
        <v>0</v>
      </c>
      <c r="L43" s="155">
        <f>SUMIF('内訳ﾘｽﾄ(4～3月)'!$D$26:$D$998,$B43,'内訳ﾘｽﾄ(4～3月)'!O$26:O$998)</f>
        <v>0</v>
      </c>
      <c r="M43" s="155">
        <f>SUMIF('内訳ﾘｽﾄ(4～3月)'!$D$26:$D$998,$B43,'内訳ﾘｽﾄ(4～3月)'!P$26:P$998)</f>
        <v>0</v>
      </c>
      <c r="N43" s="155">
        <f>SUMIF('内訳ﾘｽﾄ(4～3月)'!$D$26:$D$998,$B43,'内訳ﾘｽﾄ(4～3月)'!Q$26:Q$998)</f>
        <v>0</v>
      </c>
      <c r="O43" s="155">
        <f>SUMIF('内訳ﾘｽﾄ(4～3月)'!$D$26:$D$797,'採算表(VND)'!$B43,'内訳ﾘｽﾄ(4～3月)'!R$26:R$797)</f>
        <v>0</v>
      </c>
      <c r="AQ43" s="72"/>
      <c r="AR43" s="72"/>
      <c r="AS43" s="72"/>
      <c r="AT43" s="72"/>
      <c r="AU43" s="70"/>
      <c r="AV43" s="71"/>
      <c r="AW43" s="71"/>
      <c r="AX43" s="71"/>
      <c r="AY43" s="71"/>
      <c r="BA43" s="73"/>
      <c r="BB43" s="73"/>
      <c r="BC43" s="73"/>
      <c r="BD43" s="73"/>
      <c r="BF43" s="70"/>
      <c r="BG43" s="70"/>
      <c r="BH43" s="70"/>
      <c r="BI43" s="70"/>
    </row>
    <row r="44" spans="1:61" ht="11.25" customHeight="1">
      <c r="A44" s="38"/>
      <c r="B44" s="37" t="s">
        <v>42</v>
      </c>
      <c r="C44" s="155">
        <f>SUMIF('内訳ﾘｽﾄ(4～3月)'!$D$26:$D$998,$B44,'内訳ﾘｽﾄ(4～3月)'!F$26:F$998)</f>
        <v>46946932</v>
      </c>
      <c r="D44" s="155">
        <f>SUMIF('内訳ﾘｽﾄ(4～3月)'!$D$26:$D$998,$B44,'内訳ﾘｽﾄ(4～3月)'!G$26:G$998)</f>
        <v>91515500</v>
      </c>
      <c r="E44" s="155">
        <f>SUMIF('内訳ﾘｽﾄ(4～3月)'!$D$26:$D$998,$B44,'内訳ﾘｽﾄ(4～3月)'!H$26:H$998)</f>
        <v>9551500</v>
      </c>
      <c r="F44" s="155">
        <f>SUMIF('内訳ﾘｽﾄ(4～3月)'!$D$26:$D$998,$B44,'内訳ﾘｽﾄ(4～3月)'!I$26:I$998)</f>
        <v>9354500</v>
      </c>
      <c r="G44" s="155">
        <f>SUMIF('内訳ﾘｽﾄ(4～3月)'!$D$26:$D$998,$B44,'内訳ﾘｽﾄ(4～3月)'!J$26:J$998)</f>
        <v>4266500</v>
      </c>
      <c r="H44" s="155">
        <f>SUMIF('内訳ﾘｽﾄ(4～3月)'!$D$26:$D$998,$B44,'内訳ﾘｽﾄ(4～3月)'!K$26:K$998)</f>
        <v>10840500</v>
      </c>
      <c r="I44" s="155">
        <f>SUMIF('内訳ﾘｽﾄ(4～3月)'!$D$26:$D$998,$B44,'内訳ﾘｽﾄ(4～3月)'!L$26:L$998)</f>
        <v>8923500</v>
      </c>
      <c r="J44" s="155">
        <f>SUMIF('内訳ﾘｽﾄ(4～3月)'!$D$26:$D$998,$B44,'内訳ﾘｽﾄ(4～3月)'!M$26:M$998)</f>
        <v>9132500</v>
      </c>
      <c r="K44" s="155">
        <f>SUMIF('内訳ﾘｽﾄ(4～3月)'!$D$26:$D$998,$B44,'内訳ﾘｽﾄ(4～3月)'!N$26:N$998)</f>
        <v>15643500</v>
      </c>
      <c r="L44" s="155">
        <f>SUMIF('内訳ﾘｽﾄ(4～3月)'!$D$26:$D$998,$B44,'内訳ﾘｽﾄ(4～3月)'!O$26:O$998)</f>
        <v>19067500</v>
      </c>
      <c r="M44" s="155">
        <f>SUMIF('内訳ﾘｽﾄ(4～3月)'!$D$26:$D$998,$B44,'内訳ﾘｽﾄ(4～3月)'!P$26:P$998)</f>
        <v>8640500</v>
      </c>
      <c r="N44" s="155">
        <f>SUMIF('内訳ﾘｽﾄ(4～3月)'!$D$26:$D$998,$B44,'内訳ﾘｽﾄ(4～3月)'!Q$26:Q$998)</f>
        <v>4429500</v>
      </c>
      <c r="O44" s="155">
        <f>SUMIF('内訳ﾘｽﾄ(4～3月)'!$D$26:$D$797,'採算表(VND)'!$B44,'内訳ﾘｽﾄ(4～3月)'!R$26:R$797)</f>
        <v>238312432</v>
      </c>
      <c r="AQ44" s="72"/>
      <c r="AR44" s="72"/>
      <c r="AS44" s="72"/>
      <c r="AT44" s="72"/>
      <c r="AU44" s="70"/>
      <c r="AV44" s="71"/>
      <c r="AW44" s="71"/>
      <c r="AX44" s="71"/>
      <c r="AY44" s="71"/>
      <c r="BA44" s="73"/>
      <c r="BB44" s="73"/>
      <c r="BC44" s="73"/>
      <c r="BD44" s="73"/>
      <c r="BF44" s="70"/>
      <c r="BG44" s="70"/>
      <c r="BH44" s="70"/>
      <c r="BI44" s="70"/>
    </row>
    <row r="45" spans="1:61" ht="11.25" customHeight="1">
      <c r="A45" s="38"/>
      <c r="B45" s="37" t="s">
        <v>115</v>
      </c>
      <c r="C45" s="155">
        <f>SUMIF('内訳ﾘｽﾄ(4～3月)'!$D$26:$D$998,$B45,'内訳ﾘｽﾄ(4～3月)'!F$26:F$998)</f>
        <v>0</v>
      </c>
      <c r="D45" s="155">
        <f>SUMIF('内訳ﾘｽﾄ(4～3月)'!$D$26:$D$998,$B45,'内訳ﾘｽﾄ(4～3月)'!G$26:G$998)</f>
        <v>0</v>
      </c>
      <c r="E45" s="155">
        <f>SUMIF('内訳ﾘｽﾄ(4～3月)'!$D$26:$D$998,$B45,'内訳ﾘｽﾄ(4～3月)'!H$26:H$998)</f>
        <v>0</v>
      </c>
      <c r="F45" s="155">
        <f>SUMIF('内訳ﾘｽﾄ(4～3月)'!$D$26:$D$998,$B45,'内訳ﾘｽﾄ(4～3月)'!I$26:I$998)</f>
        <v>0</v>
      </c>
      <c r="G45" s="155">
        <f>SUMIF('内訳ﾘｽﾄ(4～3月)'!$D$26:$D$998,$B45,'内訳ﾘｽﾄ(4～3月)'!J$26:J$998)</f>
        <v>0</v>
      </c>
      <c r="H45" s="155">
        <f>SUMIF('内訳ﾘｽﾄ(4～3月)'!$D$26:$D$998,$B45,'内訳ﾘｽﾄ(4～3月)'!K$26:K$998)</f>
        <v>0</v>
      </c>
      <c r="I45" s="155">
        <f>SUMIF('内訳ﾘｽﾄ(4～3月)'!$D$26:$D$998,$B45,'内訳ﾘｽﾄ(4～3月)'!L$26:L$998)</f>
        <v>0</v>
      </c>
      <c r="J45" s="155">
        <f>SUMIF('内訳ﾘｽﾄ(4～3月)'!$D$26:$D$998,$B45,'内訳ﾘｽﾄ(4～3月)'!M$26:M$998)</f>
        <v>0</v>
      </c>
      <c r="K45" s="155">
        <f>SUMIF('内訳ﾘｽﾄ(4～3月)'!$D$26:$D$998,$B45,'内訳ﾘｽﾄ(4～3月)'!N$26:N$998)</f>
        <v>0</v>
      </c>
      <c r="L45" s="155">
        <f>SUMIF('内訳ﾘｽﾄ(4～3月)'!$D$26:$D$998,$B45,'内訳ﾘｽﾄ(4～3月)'!O$26:O$998)</f>
        <v>0</v>
      </c>
      <c r="M45" s="155">
        <f>SUMIF('内訳ﾘｽﾄ(4～3月)'!$D$26:$D$998,$B45,'内訳ﾘｽﾄ(4～3月)'!P$26:P$998)</f>
        <v>0</v>
      </c>
      <c r="N45" s="155">
        <f>SUMIF('内訳ﾘｽﾄ(4～3月)'!$D$26:$D$998,$B45,'内訳ﾘｽﾄ(4～3月)'!Q$26:Q$998)</f>
        <v>0</v>
      </c>
      <c r="O45" s="155">
        <f>SUMIF('内訳ﾘｽﾄ(4～3月)'!$D$26:$D$797,'採算表(VND)'!$B45,'内訳ﾘｽﾄ(4～3月)'!R$26:R$797)</f>
        <v>0</v>
      </c>
      <c r="AQ45" s="72"/>
      <c r="AR45" s="72"/>
      <c r="AS45" s="72"/>
      <c r="AT45" s="72"/>
      <c r="AU45" s="70"/>
      <c r="AV45" s="71"/>
      <c r="AW45" s="71"/>
      <c r="AX45" s="71"/>
      <c r="AY45" s="71"/>
      <c r="BA45" s="73"/>
      <c r="BB45" s="73"/>
      <c r="BC45" s="73"/>
      <c r="BD45" s="73"/>
      <c r="BF45" s="70"/>
      <c r="BG45" s="70"/>
      <c r="BH45" s="70"/>
      <c r="BI45" s="70"/>
    </row>
    <row r="46" spans="1:61" ht="11.25" customHeight="1">
      <c r="A46" s="38"/>
      <c r="B46" s="37" t="s">
        <v>116</v>
      </c>
      <c r="C46" s="155">
        <f>SUMIF('内訳ﾘｽﾄ(4～3月)'!$D$26:$D$998,$B46,'内訳ﾘｽﾄ(4～3月)'!F$26:F$998)</f>
        <v>0</v>
      </c>
      <c r="D46" s="155">
        <f>SUMIF('内訳ﾘｽﾄ(4～3月)'!$D$26:$D$998,$B46,'内訳ﾘｽﾄ(4～3月)'!G$26:G$998)</f>
        <v>0</v>
      </c>
      <c r="E46" s="155">
        <f>SUMIF('内訳ﾘｽﾄ(4～3月)'!$D$26:$D$998,$B46,'内訳ﾘｽﾄ(4～3月)'!H$26:H$998)</f>
        <v>0</v>
      </c>
      <c r="F46" s="155">
        <f>SUMIF('内訳ﾘｽﾄ(4～3月)'!$D$26:$D$998,$B46,'内訳ﾘｽﾄ(4～3月)'!I$26:I$998)</f>
        <v>0</v>
      </c>
      <c r="G46" s="155">
        <f>SUMIF('内訳ﾘｽﾄ(4～3月)'!$D$26:$D$998,$B46,'内訳ﾘｽﾄ(4～3月)'!J$26:J$998)</f>
        <v>0</v>
      </c>
      <c r="H46" s="155">
        <f>SUMIF('内訳ﾘｽﾄ(4～3月)'!$D$26:$D$998,$B46,'内訳ﾘｽﾄ(4～3月)'!K$26:K$998)</f>
        <v>0</v>
      </c>
      <c r="I46" s="155">
        <f>SUMIF('内訳ﾘｽﾄ(4～3月)'!$D$26:$D$998,$B46,'内訳ﾘｽﾄ(4～3月)'!L$26:L$998)</f>
        <v>0</v>
      </c>
      <c r="J46" s="155">
        <f>SUMIF('内訳ﾘｽﾄ(4～3月)'!$D$26:$D$998,$B46,'内訳ﾘｽﾄ(4～3月)'!M$26:M$998)</f>
        <v>0</v>
      </c>
      <c r="K46" s="155">
        <f>SUMIF('内訳ﾘｽﾄ(4～3月)'!$D$26:$D$998,$B46,'内訳ﾘｽﾄ(4～3月)'!N$26:N$998)</f>
        <v>0</v>
      </c>
      <c r="L46" s="155">
        <f>SUMIF('内訳ﾘｽﾄ(4～3月)'!$D$26:$D$998,$B46,'内訳ﾘｽﾄ(4～3月)'!O$26:O$998)</f>
        <v>0</v>
      </c>
      <c r="M46" s="155">
        <f>SUMIF('内訳ﾘｽﾄ(4～3月)'!$D$26:$D$998,$B46,'内訳ﾘｽﾄ(4～3月)'!P$26:P$998)</f>
        <v>0</v>
      </c>
      <c r="N46" s="155">
        <f>SUMIF('内訳ﾘｽﾄ(4～3月)'!$D$26:$D$998,$B46,'内訳ﾘｽﾄ(4～3月)'!Q$26:Q$998)</f>
        <v>0</v>
      </c>
      <c r="O46" s="155">
        <f>SUMIF('内訳ﾘｽﾄ(4～3月)'!$D$26:$D$797,'採算表(VND)'!$B46,'内訳ﾘｽﾄ(4～3月)'!R$26:R$797)</f>
        <v>0</v>
      </c>
      <c r="AQ46" s="72"/>
      <c r="AR46" s="72"/>
      <c r="AS46" s="72"/>
      <c r="AT46" s="72"/>
      <c r="AU46" s="70"/>
      <c r="AV46" s="71"/>
      <c r="AW46" s="71"/>
      <c r="AX46" s="71"/>
      <c r="AY46" s="71"/>
      <c r="BA46" s="73"/>
      <c r="BB46" s="73"/>
      <c r="BC46" s="73"/>
      <c r="BD46" s="73"/>
      <c r="BF46" s="70"/>
      <c r="BG46" s="70"/>
      <c r="BH46" s="70"/>
      <c r="BI46" s="70"/>
    </row>
    <row r="47" spans="1:61" ht="11.25" customHeight="1">
      <c r="A47" s="38"/>
      <c r="B47" s="37" t="s">
        <v>117</v>
      </c>
      <c r="C47" s="155">
        <f>SUMIF('内訳ﾘｽﾄ(4～3月)'!$D$26:$D$998,$B47,'内訳ﾘｽﾄ(4～3月)'!F$26:F$998)</f>
        <v>0</v>
      </c>
      <c r="D47" s="155">
        <f>SUMIF('内訳ﾘｽﾄ(4～3月)'!$D$26:$D$998,$B47,'内訳ﾘｽﾄ(4～3月)'!G$26:G$998)</f>
        <v>0</v>
      </c>
      <c r="E47" s="155">
        <f>SUMIF('内訳ﾘｽﾄ(4～3月)'!$D$26:$D$998,$B47,'内訳ﾘｽﾄ(4～3月)'!H$26:H$998)</f>
        <v>0</v>
      </c>
      <c r="F47" s="155">
        <f>SUMIF('内訳ﾘｽﾄ(4～3月)'!$D$26:$D$998,$B47,'内訳ﾘｽﾄ(4～3月)'!I$26:I$998)</f>
        <v>0</v>
      </c>
      <c r="G47" s="155">
        <f>SUMIF('内訳ﾘｽﾄ(4～3月)'!$D$26:$D$998,$B47,'内訳ﾘｽﾄ(4～3月)'!J$26:J$998)</f>
        <v>0</v>
      </c>
      <c r="H47" s="155">
        <f>SUMIF('内訳ﾘｽﾄ(4～3月)'!$D$26:$D$998,$B47,'内訳ﾘｽﾄ(4～3月)'!K$26:K$998)</f>
        <v>0</v>
      </c>
      <c r="I47" s="155">
        <f>SUMIF('内訳ﾘｽﾄ(4～3月)'!$D$26:$D$998,$B47,'内訳ﾘｽﾄ(4～3月)'!L$26:L$998)</f>
        <v>0</v>
      </c>
      <c r="J47" s="155">
        <f>SUMIF('内訳ﾘｽﾄ(4～3月)'!$D$26:$D$998,$B47,'内訳ﾘｽﾄ(4～3月)'!M$26:M$998)</f>
        <v>0</v>
      </c>
      <c r="K47" s="155">
        <f>SUMIF('内訳ﾘｽﾄ(4～3月)'!$D$26:$D$998,$B47,'内訳ﾘｽﾄ(4～3月)'!N$26:N$998)</f>
        <v>0</v>
      </c>
      <c r="L47" s="155">
        <f>SUMIF('内訳ﾘｽﾄ(4～3月)'!$D$26:$D$998,$B47,'内訳ﾘｽﾄ(4～3月)'!O$26:O$998)</f>
        <v>0</v>
      </c>
      <c r="M47" s="155">
        <f>SUMIF('内訳ﾘｽﾄ(4～3月)'!$D$26:$D$998,$B47,'内訳ﾘｽﾄ(4～3月)'!P$26:P$998)</f>
        <v>0</v>
      </c>
      <c r="N47" s="155">
        <f>SUMIF('内訳ﾘｽﾄ(4～3月)'!$D$26:$D$998,$B47,'内訳ﾘｽﾄ(4～3月)'!Q$26:Q$998)</f>
        <v>0</v>
      </c>
      <c r="O47" s="155">
        <f>SUMIF('内訳ﾘｽﾄ(4～3月)'!$D$26:$D$797,'採算表(VND)'!$B47,'内訳ﾘｽﾄ(4～3月)'!R$26:R$797)</f>
        <v>0</v>
      </c>
      <c r="AQ47" s="72"/>
      <c r="AR47" s="72"/>
      <c r="AS47" s="72"/>
      <c r="AT47" s="72"/>
      <c r="AU47" s="70"/>
      <c r="AV47" s="71"/>
      <c r="AW47" s="71"/>
      <c r="AX47" s="71"/>
      <c r="AY47" s="71"/>
      <c r="BA47" s="73"/>
      <c r="BB47" s="73"/>
      <c r="BC47" s="73"/>
      <c r="BD47" s="73"/>
      <c r="BF47" s="70"/>
      <c r="BG47" s="70"/>
      <c r="BH47" s="70"/>
      <c r="BI47" s="70"/>
    </row>
    <row r="48" spans="1:61" ht="11.25" customHeight="1">
      <c r="A48" s="38"/>
      <c r="B48" s="37" t="s">
        <v>53</v>
      </c>
      <c r="C48" s="155">
        <f>SUMIF('内訳ﾘｽﾄ(4～3月)'!$D$26:$D$998,$B48,'内訳ﾘｽﾄ(4～3月)'!F$26:F$998)</f>
        <v>0</v>
      </c>
      <c r="D48" s="155">
        <f>SUMIF('内訳ﾘｽﾄ(4～3月)'!$D$26:$D$998,$B48,'内訳ﾘｽﾄ(4～3月)'!G$26:G$998)</f>
        <v>0</v>
      </c>
      <c r="E48" s="155">
        <f>SUMIF('内訳ﾘｽﾄ(4～3月)'!$D$26:$D$998,$B48,'内訳ﾘｽﾄ(4～3月)'!H$26:H$998)</f>
        <v>0</v>
      </c>
      <c r="F48" s="155">
        <f>SUMIF('内訳ﾘｽﾄ(4～3月)'!$D$26:$D$998,$B48,'内訳ﾘｽﾄ(4～3月)'!I$26:I$998)</f>
        <v>0</v>
      </c>
      <c r="G48" s="155">
        <f>SUMIF('内訳ﾘｽﾄ(4～3月)'!$D$26:$D$998,$B48,'内訳ﾘｽﾄ(4～3月)'!J$26:J$998)</f>
        <v>0</v>
      </c>
      <c r="H48" s="155">
        <f>SUMIF('内訳ﾘｽﾄ(4～3月)'!$D$26:$D$998,$B48,'内訳ﾘｽﾄ(4～3月)'!K$26:K$998)</f>
        <v>0</v>
      </c>
      <c r="I48" s="155">
        <f>SUMIF('内訳ﾘｽﾄ(4～3月)'!$D$26:$D$998,$B48,'内訳ﾘｽﾄ(4～3月)'!L$26:L$998)</f>
        <v>0</v>
      </c>
      <c r="J48" s="155">
        <f>SUMIF('内訳ﾘｽﾄ(4～3月)'!$D$26:$D$998,$B48,'内訳ﾘｽﾄ(4～3月)'!M$26:M$998)</f>
        <v>0</v>
      </c>
      <c r="K48" s="155">
        <f>SUMIF('内訳ﾘｽﾄ(4～3月)'!$D$26:$D$998,$B48,'内訳ﾘｽﾄ(4～3月)'!N$26:N$998)</f>
        <v>0</v>
      </c>
      <c r="L48" s="155">
        <f>SUMIF('内訳ﾘｽﾄ(4～3月)'!$D$26:$D$998,$B48,'内訳ﾘｽﾄ(4～3月)'!O$26:O$998)</f>
        <v>0</v>
      </c>
      <c r="M48" s="155">
        <f>SUMIF('内訳ﾘｽﾄ(4～3月)'!$D$26:$D$998,$B48,'内訳ﾘｽﾄ(4～3月)'!P$26:P$998)</f>
        <v>0</v>
      </c>
      <c r="N48" s="155">
        <f>SUMIF('内訳ﾘｽﾄ(4～3月)'!$D$26:$D$998,$B48,'内訳ﾘｽﾄ(4～3月)'!Q$26:Q$998)</f>
        <v>0</v>
      </c>
      <c r="O48" s="155">
        <f>SUMIF('内訳ﾘｽﾄ(4～3月)'!$D$26:$D$797,'採算表(VND)'!$B48,'内訳ﾘｽﾄ(4～3月)'!R$26:R$797)</f>
        <v>0</v>
      </c>
      <c r="AQ48" s="72"/>
      <c r="AR48" s="72"/>
      <c r="AS48" s="72"/>
      <c r="AT48" s="72"/>
      <c r="AU48" s="70"/>
      <c r="AV48" s="71"/>
      <c r="AW48" s="71"/>
      <c r="AX48" s="71"/>
      <c r="AY48" s="71"/>
      <c r="BA48" s="73"/>
      <c r="BB48" s="73"/>
      <c r="BC48" s="73"/>
      <c r="BD48" s="73"/>
      <c r="BF48" s="70"/>
      <c r="BG48" s="70"/>
      <c r="BH48" s="70"/>
      <c r="BI48" s="70"/>
    </row>
    <row r="49" spans="1:61" ht="11.25" customHeight="1">
      <c r="A49" s="38"/>
      <c r="B49" s="37" t="s">
        <v>64</v>
      </c>
      <c r="C49" s="155">
        <f>SUMIF('内訳ﾘｽﾄ(4～3月)'!$D$26:$D$998,$B49,'内訳ﾘｽﾄ(4～3月)'!F$26:F$998)</f>
        <v>0</v>
      </c>
      <c r="D49" s="155">
        <f>SUMIF('内訳ﾘｽﾄ(4～3月)'!$D$26:$D$998,$B49,'内訳ﾘｽﾄ(4～3月)'!G$26:G$998)</f>
        <v>0</v>
      </c>
      <c r="E49" s="155">
        <f>SUMIF('内訳ﾘｽﾄ(4～3月)'!$D$26:$D$998,$B49,'内訳ﾘｽﾄ(4～3月)'!H$26:H$998)</f>
        <v>0</v>
      </c>
      <c r="F49" s="155">
        <f>SUMIF('内訳ﾘｽﾄ(4～3月)'!$D$26:$D$998,$B49,'内訳ﾘｽﾄ(4～3月)'!I$26:I$998)</f>
        <v>0</v>
      </c>
      <c r="G49" s="155">
        <f>SUMIF('内訳ﾘｽﾄ(4～3月)'!$D$26:$D$998,$B49,'内訳ﾘｽﾄ(4～3月)'!J$26:J$998)</f>
        <v>0</v>
      </c>
      <c r="H49" s="155">
        <f>SUMIF('内訳ﾘｽﾄ(4～3月)'!$D$26:$D$998,$B49,'内訳ﾘｽﾄ(4～3月)'!K$26:K$998)</f>
        <v>0</v>
      </c>
      <c r="I49" s="155">
        <f>SUMIF('内訳ﾘｽﾄ(4～3月)'!$D$26:$D$998,$B49,'内訳ﾘｽﾄ(4～3月)'!L$26:L$998)</f>
        <v>0</v>
      </c>
      <c r="J49" s="155">
        <f>SUMIF('内訳ﾘｽﾄ(4～3月)'!$D$26:$D$998,$B49,'内訳ﾘｽﾄ(4～3月)'!M$26:M$998)</f>
        <v>0</v>
      </c>
      <c r="K49" s="155">
        <f>SUMIF('内訳ﾘｽﾄ(4～3月)'!$D$26:$D$998,$B49,'内訳ﾘｽﾄ(4～3月)'!N$26:N$998)</f>
        <v>0</v>
      </c>
      <c r="L49" s="155">
        <f>SUMIF('内訳ﾘｽﾄ(4～3月)'!$D$26:$D$998,$B49,'内訳ﾘｽﾄ(4～3月)'!O$26:O$998)</f>
        <v>0</v>
      </c>
      <c r="M49" s="155">
        <f>SUMIF('内訳ﾘｽﾄ(4～3月)'!$D$26:$D$998,$B49,'内訳ﾘｽﾄ(4～3月)'!P$26:P$998)</f>
        <v>0</v>
      </c>
      <c r="N49" s="155">
        <f>SUMIF('内訳ﾘｽﾄ(4～3月)'!$D$26:$D$998,$B49,'内訳ﾘｽﾄ(4～3月)'!Q$26:Q$998)</f>
        <v>0</v>
      </c>
      <c r="O49" s="155">
        <f>SUMIF('内訳ﾘｽﾄ(4～3月)'!$D$26:$D$797,'採算表(VND)'!$B49,'内訳ﾘｽﾄ(4～3月)'!R$26:R$797)</f>
        <v>0</v>
      </c>
      <c r="AQ49" s="72"/>
      <c r="AR49" s="72"/>
      <c r="AS49" s="72"/>
      <c r="AT49" s="72"/>
      <c r="AU49" s="70"/>
      <c r="AV49" s="71"/>
      <c r="AW49" s="71"/>
      <c r="AX49" s="71"/>
      <c r="AY49" s="71"/>
      <c r="BA49" s="73"/>
      <c r="BB49" s="73"/>
      <c r="BC49" s="73"/>
      <c r="BD49" s="73"/>
      <c r="BF49" s="70"/>
      <c r="BG49" s="70"/>
      <c r="BH49" s="70"/>
      <c r="BI49" s="70"/>
    </row>
    <row r="50" spans="1:61" ht="11.25" customHeight="1">
      <c r="A50" s="38"/>
      <c r="B50" s="37" t="s">
        <v>62</v>
      </c>
      <c r="C50" s="155">
        <f>SUMIF('内訳ﾘｽﾄ(4～3月)'!$D$26:$D$998,$B50,'内訳ﾘｽﾄ(4～3月)'!F$26:F$998)</f>
        <v>0</v>
      </c>
      <c r="D50" s="155">
        <f>SUMIF('内訳ﾘｽﾄ(4～3月)'!$D$26:$D$998,$B50,'内訳ﾘｽﾄ(4～3月)'!G$26:G$998)</f>
        <v>0</v>
      </c>
      <c r="E50" s="155">
        <f>SUMIF('内訳ﾘｽﾄ(4～3月)'!$D$26:$D$998,$B50,'内訳ﾘｽﾄ(4～3月)'!H$26:H$998)</f>
        <v>0</v>
      </c>
      <c r="F50" s="155">
        <f>SUMIF('内訳ﾘｽﾄ(4～3月)'!$D$26:$D$998,$B50,'内訳ﾘｽﾄ(4～3月)'!I$26:I$998)</f>
        <v>0</v>
      </c>
      <c r="G50" s="155">
        <f>SUMIF('内訳ﾘｽﾄ(4～3月)'!$D$26:$D$998,$B50,'内訳ﾘｽﾄ(4～3月)'!J$26:J$998)</f>
        <v>0</v>
      </c>
      <c r="H50" s="155">
        <f>SUMIF('内訳ﾘｽﾄ(4～3月)'!$D$26:$D$998,$B50,'内訳ﾘｽﾄ(4～3月)'!K$26:K$998)</f>
        <v>0</v>
      </c>
      <c r="I50" s="155">
        <f>SUMIF('内訳ﾘｽﾄ(4～3月)'!$D$26:$D$998,$B50,'内訳ﾘｽﾄ(4～3月)'!L$26:L$998)</f>
        <v>0</v>
      </c>
      <c r="J50" s="155">
        <f>SUMIF('内訳ﾘｽﾄ(4～3月)'!$D$26:$D$998,$B50,'内訳ﾘｽﾄ(4～3月)'!M$26:M$998)</f>
        <v>0</v>
      </c>
      <c r="K50" s="155">
        <f>SUMIF('内訳ﾘｽﾄ(4～3月)'!$D$26:$D$998,$B50,'内訳ﾘｽﾄ(4～3月)'!N$26:N$998)</f>
        <v>0</v>
      </c>
      <c r="L50" s="155">
        <f>SUMIF('内訳ﾘｽﾄ(4～3月)'!$D$26:$D$998,$B50,'内訳ﾘｽﾄ(4～3月)'!O$26:O$998)</f>
        <v>0</v>
      </c>
      <c r="M50" s="155">
        <f>SUMIF('内訳ﾘｽﾄ(4～3月)'!$D$26:$D$998,$B50,'内訳ﾘｽﾄ(4～3月)'!P$26:P$998)</f>
        <v>0</v>
      </c>
      <c r="N50" s="155">
        <f>SUMIF('内訳ﾘｽﾄ(4～3月)'!$D$26:$D$998,$B50,'内訳ﾘｽﾄ(4～3月)'!Q$26:Q$998)</f>
        <v>0</v>
      </c>
      <c r="O50" s="155">
        <f>SUMIF('内訳ﾘｽﾄ(4～3月)'!$D$26:$D$797,'採算表(VND)'!$B50,'内訳ﾘｽﾄ(4～3月)'!R$26:R$797)</f>
        <v>0</v>
      </c>
      <c r="AQ50" s="72"/>
      <c r="AR50" s="72"/>
      <c r="AS50" s="72"/>
      <c r="AT50" s="72"/>
      <c r="AU50" s="70"/>
      <c r="AV50" s="71"/>
      <c r="AW50" s="71"/>
      <c r="AX50" s="71"/>
      <c r="AY50" s="71"/>
      <c r="BA50" s="73"/>
      <c r="BB50" s="73"/>
      <c r="BC50" s="73"/>
      <c r="BD50" s="73"/>
      <c r="BF50" s="70"/>
      <c r="BG50" s="70"/>
      <c r="BH50" s="70"/>
      <c r="BI50" s="70"/>
    </row>
    <row r="51" spans="1:61" ht="11.25" customHeight="1">
      <c r="A51" s="38"/>
      <c r="B51" s="39" t="s">
        <v>105</v>
      </c>
      <c r="C51" s="156">
        <f>SUMIF('内訳ﾘｽﾄ(4～3月)'!$D$26:$D$998,$B51,'内訳ﾘｽﾄ(4～3月)'!F$26:F$998)</f>
        <v>0</v>
      </c>
      <c r="D51" s="156">
        <f>SUMIF('内訳ﾘｽﾄ(4～3月)'!$D$26:$D$998,$B51,'内訳ﾘｽﾄ(4～3月)'!G$26:G$998)</f>
        <v>0</v>
      </c>
      <c r="E51" s="156">
        <f>SUMIF('内訳ﾘｽﾄ(4～3月)'!$D$26:$D$998,$B51,'内訳ﾘｽﾄ(4～3月)'!H$26:H$998)</f>
        <v>0</v>
      </c>
      <c r="F51" s="156">
        <f>SUMIF('内訳ﾘｽﾄ(4～3月)'!$D$26:$D$998,$B51,'内訳ﾘｽﾄ(4～3月)'!I$26:I$998)</f>
        <v>0</v>
      </c>
      <c r="G51" s="156">
        <f>SUMIF('内訳ﾘｽﾄ(4～3月)'!$D$26:$D$998,$B51,'内訳ﾘｽﾄ(4～3月)'!J$26:J$998)</f>
        <v>0</v>
      </c>
      <c r="H51" s="156">
        <f>SUMIF('内訳ﾘｽﾄ(4～3月)'!$D$26:$D$998,$B51,'内訳ﾘｽﾄ(4～3月)'!K$26:K$998)</f>
        <v>0</v>
      </c>
      <c r="I51" s="156">
        <f>SUMIF('内訳ﾘｽﾄ(4～3月)'!$D$26:$D$998,$B51,'内訳ﾘｽﾄ(4～3月)'!L$26:L$998)</f>
        <v>0</v>
      </c>
      <c r="J51" s="156">
        <f>SUMIF('内訳ﾘｽﾄ(4～3月)'!$D$26:$D$998,$B51,'内訳ﾘｽﾄ(4～3月)'!M$26:M$998)</f>
        <v>0</v>
      </c>
      <c r="K51" s="156">
        <f>SUMIF('内訳ﾘｽﾄ(4～3月)'!$D$26:$D$998,$B51,'内訳ﾘｽﾄ(4～3月)'!N$26:N$998)</f>
        <v>0</v>
      </c>
      <c r="L51" s="156">
        <f>SUMIF('内訳ﾘｽﾄ(4～3月)'!$D$26:$D$998,$B51,'内訳ﾘｽﾄ(4～3月)'!O$26:O$998)</f>
        <v>0</v>
      </c>
      <c r="M51" s="156">
        <f>SUMIF('内訳ﾘｽﾄ(4～3月)'!$D$26:$D$998,$B51,'内訳ﾘｽﾄ(4～3月)'!P$26:P$998)</f>
        <v>0</v>
      </c>
      <c r="N51" s="156">
        <f>SUMIF('内訳ﾘｽﾄ(4～3月)'!$D$26:$D$998,$B51,'内訳ﾘｽﾄ(4～3月)'!Q$26:Q$998)</f>
        <v>0</v>
      </c>
      <c r="O51" s="156">
        <f>SUMIF('内訳ﾘｽﾄ(4～3月)'!$D$26:$D$797,'採算表(VND)'!$B51,'内訳ﾘｽﾄ(4～3月)'!R$26:R$797)</f>
        <v>0</v>
      </c>
      <c r="AQ51" s="72"/>
      <c r="AR51" s="72"/>
      <c r="AS51" s="72"/>
      <c r="AT51" s="72"/>
      <c r="AU51" s="70"/>
      <c r="AV51" s="71"/>
      <c r="AW51" s="71"/>
      <c r="AX51" s="71"/>
      <c r="AY51" s="71"/>
      <c r="BA51" s="73"/>
      <c r="BB51" s="73"/>
      <c r="BC51" s="73"/>
      <c r="BD51" s="73"/>
      <c r="BF51" s="70"/>
      <c r="BG51" s="70"/>
      <c r="BH51" s="70"/>
      <c r="BI51" s="70"/>
    </row>
    <row r="52" spans="1:61" ht="11.25" customHeight="1">
      <c r="A52" s="38"/>
      <c r="B52" s="37" t="s">
        <v>118</v>
      </c>
      <c r="C52" s="157">
        <f>SUMIF('内訳ﾘｽﾄ(4～3月)'!$D$26:$D$998,$B52,'内訳ﾘｽﾄ(4～3月)'!F$26:F$998)</f>
        <v>0</v>
      </c>
      <c r="D52" s="157">
        <f>SUMIF('内訳ﾘｽﾄ(4～3月)'!$D$26:$D$998,$B52,'内訳ﾘｽﾄ(4～3月)'!G$26:G$998)</f>
        <v>0</v>
      </c>
      <c r="E52" s="157">
        <f>SUMIF('内訳ﾘｽﾄ(4～3月)'!$D$26:$D$998,$B52,'内訳ﾘｽﾄ(4～3月)'!H$26:H$998)</f>
        <v>0</v>
      </c>
      <c r="F52" s="157">
        <f>SUMIF('内訳ﾘｽﾄ(4～3月)'!$D$26:$D$998,$B52,'内訳ﾘｽﾄ(4～3月)'!I$26:I$998)</f>
        <v>0</v>
      </c>
      <c r="G52" s="157">
        <f>SUMIF('内訳ﾘｽﾄ(4～3月)'!$D$26:$D$998,$B52,'内訳ﾘｽﾄ(4～3月)'!J$26:J$998)</f>
        <v>0</v>
      </c>
      <c r="H52" s="157">
        <f>SUMIF('内訳ﾘｽﾄ(4～3月)'!$D$26:$D$998,$B52,'内訳ﾘｽﾄ(4～3月)'!K$26:K$998)</f>
        <v>0</v>
      </c>
      <c r="I52" s="157">
        <f>SUMIF('内訳ﾘｽﾄ(4～3月)'!$D$26:$D$998,$B52,'内訳ﾘｽﾄ(4～3月)'!L$26:L$998)</f>
        <v>0</v>
      </c>
      <c r="J52" s="157">
        <f>SUMIF('内訳ﾘｽﾄ(4～3月)'!$D$26:$D$998,$B52,'内訳ﾘｽﾄ(4～3月)'!M$26:M$998)</f>
        <v>0</v>
      </c>
      <c r="K52" s="157">
        <f>SUMIF('内訳ﾘｽﾄ(4～3月)'!$D$26:$D$998,$B52,'内訳ﾘｽﾄ(4～3月)'!N$26:N$998)</f>
        <v>0</v>
      </c>
      <c r="L52" s="157">
        <f>SUMIF('内訳ﾘｽﾄ(4～3月)'!$D$26:$D$998,$B52,'内訳ﾘｽﾄ(4～3月)'!O$26:O$998)</f>
        <v>0</v>
      </c>
      <c r="M52" s="157">
        <f>SUMIF('内訳ﾘｽﾄ(4～3月)'!$D$26:$D$998,$B52,'内訳ﾘｽﾄ(4～3月)'!P$26:P$998)</f>
        <v>0</v>
      </c>
      <c r="N52" s="157">
        <f>SUMIF('内訳ﾘｽﾄ(4～3月)'!$D$26:$D$998,$B52,'内訳ﾘｽﾄ(4～3月)'!Q$26:Q$998)</f>
        <v>0</v>
      </c>
      <c r="O52" s="157">
        <f>SUMIF('内訳ﾘｽﾄ(4～3月)'!$D$26:$D$797,'採算表(VND)'!$B52,'内訳ﾘｽﾄ(4～3月)'!R$26:R$797)</f>
        <v>0</v>
      </c>
      <c r="AQ52" s="72"/>
      <c r="AR52" s="72"/>
      <c r="AS52" s="72"/>
      <c r="AT52" s="72"/>
      <c r="AU52" s="70"/>
      <c r="AV52" s="71"/>
      <c r="AW52" s="71"/>
      <c r="AX52" s="71"/>
      <c r="AY52" s="71"/>
      <c r="BA52" s="73"/>
      <c r="BB52" s="73"/>
      <c r="BC52" s="73"/>
      <c r="BD52" s="73"/>
      <c r="BF52" s="70"/>
      <c r="BG52" s="70"/>
      <c r="BH52" s="70"/>
      <c r="BI52" s="70"/>
    </row>
    <row r="53" spans="1:61" ht="11.25" customHeight="1">
      <c r="A53" s="38"/>
      <c r="B53" s="37" t="s">
        <v>119</v>
      </c>
      <c r="C53" s="157">
        <f>SUMIF('内訳ﾘｽﾄ(4～3月)'!$D$26:$D$998,$B53,'内訳ﾘｽﾄ(4～3月)'!F$26:F$998)</f>
        <v>0</v>
      </c>
      <c r="D53" s="157">
        <f>SUMIF('内訳ﾘｽﾄ(4～3月)'!$D$26:$D$998,$B53,'内訳ﾘｽﾄ(4～3月)'!G$26:G$998)</f>
        <v>0</v>
      </c>
      <c r="E53" s="157">
        <f>SUMIF('内訳ﾘｽﾄ(4～3月)'!$D$26:$D$998,$B53,'内訳ﾘｽﾄ(4～3月)'!H$26:H$998)</f>
        <v>0</v>
      </c>
      <c r="F53" s="157">
        <f>SUMIF('内訳ﾘｽﾄ(4～3月)'!$D$26:$D$998,$B53,'内訳ﾘｽﾄ(4～3月)'!I$26:I$998)</f>
        <v>0</v>
      </c>
      <c r="G53" s="157">
        <f>SUMIF('内訳ﾘｽﾄ(4～3月)'!$D$26:$D$998,$B53,'内訳ﾘｽﾄ(4～3月)'!J$26:J$998)</f>
        <v>0</v>
      </c>
      <c r="H53" s="157">
        <f>SUMIF('内訳ﾘｽﾄ(4～3月)'!$D$26:$D$998,$B53,'内訳ﾘｽﾄ(4～3月)'!K$26:K$998)</f>
        <v>0</v>
      </c>
      <c r="I53" s="157">
        <f>SUMIF('内訳ﾘｽﾄ(4～3月)'!$D$26:$D$998,$B53,'内訳ﾘｽﾄ(4～3月)'!L$26:L$998)</f>
        <v>0</v>
      </c>
      <c r="J53" s="157">
        <f>SUMIF('内訳ﾘｽﾄ(4～3月)'!$D$26:$D$998,$B53,'内訳ﾘｽﾄ(4～3月)'!M$26:M$998)</f>
        <v>0</v>
      </c>
      <c r="K53" s="157">
        <f>SUMIF('内訳ﾘｽﾄ(4～3月)'!$D$26:$D$998,$B53,'内訳ﾘｽﾄ(4～3月)'!N$26:N$998)</f>
        <v>0</v>
      </c>
      <c r="L53" s="157">
        <f>SUMIF('内訳ﾘｽﾄ(4～3月)'!$D$26:$D$998,$B53,'内訳ﾘｽﾄ(4～3月)'!O$26:O$998)</f>
        <v>0</v>
      </c>
      <c r="M53" s="157">
        <f>SUMIF('内訳ﾘｽﾄ(4～3月)'!$D$26:$D$998,$B53,'内訳ﾘｽﾄ(4～3月)'!P$26:P$998)</f>
        <v>0</v>
      </c>
      <c r="N53" s="157">
        <f>SUMIF('内訳ﾘｽﾄ(4～3月)'!$D$26:$D$998,$B53,'内訳ﾘｽﾄ(4～3月)'!Q$26:Q$998)</f>
        <v>0</v>
      </c>
      <c r="O53" s="157">
        <f>SUMIF('内訳ﾘｽﾄ(4～3月)'!$D$26:$D$797,'採算表(VND)'!$B53,'内訳ﾘｽﾄ(4～3月)'!R$26:R$797)</f>
        <v>0</v>
      </c>
      <c r="AQ53" s="72"/>
      <c r="AR53" s="72"/>
      <c r="AS53" s="72"/>
      <c r="AT53" s="72"/>
      <c r="AU53" s="70"/>
      <c r="AV53" s="71"/>
      <c r="AW53" s="71"/>
      <c r="AX53" s="71"/>
      <c r="AY53" s="71"/>
      <c r="BA53" s="73"/>
      <c r="BB53" s="73"/>
      <c r="BC53" s="73"/>
      <c r="BD53" s="73"/>
      <c r="BF53" s="70"/>
      <c r="BG53" s="70"/>
      <c r="BH53" s="70"/>
      <c r="BI53" s="70"/>
    </row>
    <row r="54" spans="1:61" ht="11.25" customHeight="1">
      <c r="A54" s="38"/>
      <c r="B54" s="37" t="s">
        <v>100</v>
      </c>
      <c r="C54" s="157">
        <f>SUMIF('内訳ﾘｽﾄ(4～3月)'!$D$26:$D$998,$B54,'内訳ﾘｽﾄ(4～3月)'!F$26:F$998)</f>
        <v>0</v>
      </c>
      <c r="D54" s="157">
        <f>SUMIF('内訳ﾘｽﾄ(4～3月)'!$D$26:$D$998,$B54,'内訳ﾘｽﾄ(4～3月)'!G$26:G$998)</f>
        <v>0</v>
      </c>
      <c r="E54" s="157">
        <f>SUMIF('内訳ﾘｽﾄ(4～3月)'!$D$26:$D$998,$B54,'内訳ﾘｽﾄ(4～3月)'!H$26:H$998)</f>
        <v>0</v>
      </c>
      <c r="F54" s="157">
        <f>SUMIF('内訳ﾘｽﾄ(4～3月)'!$D$26:$D$998,$B54,'内訳ﾘｽﾄ(4～3月)'!I$26:I$998)</f>
        <v>0</v>
      </c>
      <c r="G54" s="157">
        <f>SUMIF('内訳ﾘｽﾄ(4～3月)'!$D$26:$D$998,$B54,'内訳ﾘｽﾄ(4～3月)'!J$26:J$998)</f>
        <v>0</v>
      </c>
      <c r="H54" s="157">
        <f>SUMIF('内訳ﾘｽﾄ(4～3月)'!$D$26:$D$998,$B54,'内訳ﾘｽﾄ(4～3月)'!K$26:K$998)</f>
        <v>0</v>
      </c>
      <c r="I54" s="157">
        <f>SUMIF('内訳ﾘｽﾄ(4～3月)'!$D$26:$D$998,$B54,'内訳ﾘｽﾄ(4～3月)'!L$26:L$998)</f>
        <v>0</v>
      </c>
      <c r="J54" s="157">
        <f>SUMIF('内訳ﾘｽﾄ(4～3月)'!$D$26:$D$998,$B54,'内訳ﾘｽﾄ(4～3月)'!M$26:M$998)</f>
        <v>0</v>
      </c>
      <c r="K54" s="157">
        <f>SUMIF('内訳ﾘｽﾄ(4～3月)'!$D$26:$D$998,$B54,'内訳ﾘｽﾄ(4～3月)'!N$26:N$998)</f>
        <v>0</v>
      </c>
      <c r="L54" s="157">
        <f>SUMIF('内訳ﾘｽﾄ(4～3月)'!$D$26:$D$998,$B54,'内訳ﾘｽﾄ(4～3月)'!O$26:O$998)</f>
        <v>0</v>
      </c>
      <c r="M54" s="157">
        <f>SUMIF('内訳ﾘｽﾄ(4～3月)'!$D$26:$D$998,$B54,'内訳ﾘｽﾄ(4～3月)'!P$26:P$998)</f>
        <v>0</v>
      </c>
      <c r="N54" s="157">
        <f>SUMIF('内訳ﾘｽﾄ(4～3月)'!$D$26:$D$998,$B54,'内訳ﾘｽﾄ(4～3月)'!Q$26:Q$998)</f>
        <v>0</v>
      </c>
      <c r="O54" s="157">
        <f>SUMIF('内訳ﾘｽﾄ(4～3月)'!$D$26:$D$797,'採算表(VND)'!$B54,'内訳ﾘｽﾄ(4～3月)'!R$26:R$797)</f>
        <v>0</v>
      </c>
      <c r="AQ54" s="72"/>
      <c r="AR54" s="72"/>
      <c r="AS54" s="72"/>
      <c r="AT54" s="72"/>
      <c r="AU54" s="70"/>
      <c r="AV54" s="71"/>
      <c r="AW54" s="71"/>
      <c r="AX54" s="71"/>
      <c r="AY54" s="71"/>
      <c r="BA54" s="73"/>
      <c r="BB54" s="73"/>
      <c r="BC54" s="73"/>
      <c r="BD54" s="73"/>
      <c r="BF54" s="70"/>
      <c r="BG54" s="70"/>
      <c r="BH54" s="70"/>
      <c r="BI54" s="70"/>
    </row>
    <row r="55" spans="1:61" ht="11.25" customHeight="1">
      <c r="A55" s="38"/>
      <c r="B55" s="37" t="s">
        <v>110</v>
      </c>
      <c r="C55" s="157">
        <f>SUMIF('内訳ﾘｽﾄ(4～3月)'!$D$26:$D$998,$B55,'内訳ﾘｽﾄ(4～3月)'!F$26:F$998)</f>
        <v>0</v>
      </c>
      <c r="D55" s="157">
        <f>SUMIF('内訳ﾘｽﾄ(4～3月)'!$D$26:$D$998,$B55,'内訳ﾘｽﾄ(4～3月)'!G$26:G$998)</f>
        <v>0</v>
      </c>
      <c r="E55" s="157">
        <f>SUMIF('内訳ﾘｽﾄ(4～3月)'!$D$26:$D$998,$B55,'内訳ﾘｽﾄ(4～3月)'!H$26:H$998)</f>
        <v>0</v>
      </c>
      <c r="F55" s="157">
        <f>SUMIF('内訳ﾘｽﾄ(4～3月)'!$D$26:$D$998,$B55,'内訳ﾘｽﾄ(4～3月)'!I$26:I$998)</f>
        <v>0</v>
      </c>
      <c r="G55" s="157">
        <f>SUMIF('内訳ﾘｽﾄ(4～3月)'!$D$26:$D$998,$B55,'内訳ﾘｽﾄ(4～3月)'!J$26:J$998)</f>
        <v>0</v>
      </c>
      <c r="H55" s="157">
        <f>SUMIF('内訳ﾘｽﾄ(4～3月)'!$D$26:$D$998,$B55,'内訳ﾘｽﾄ(4～3月)'!K$26:K$998)</f>
        <v>0</v>
      </c>
      <c r="I55" s="157">
        <f>SUMIF('内訳ﾘｽﾄ(4～3月)'!$D$26:$D$998,$B55,'内訳ﾘｽﾄ(4～3月)'!L$26:L$998)</f>
        <v>0</v>
      </c>
      <c r="J55" s="157">
        <f>SUMIF('内訳ﾘｽﾄ(4～3月)'!$D$26:$D$998,$B55,'内訳ﾘｽﾄ(4～3月)'!M$26:M$998)</f>
        <v>0</v>
      </c>
      <c r="K55" s="157">
        <f>SUMIF('内訳ﾘｽﾄ(4～3月)'!$D$26:$D$998,$B55,'内訳ﾘｽﾄ(4～3月)'!N$26:N$998)</f>
        <v>0</v>
      </c>
      <c r="L55" s="157">
        <f>SUMIF('内訳ﾘｽﾄ(4～3月)'!$D$26:$D$998,$B55,'内訳ﾘｽﾄ(4～3月)'!O$26:O$998)</f>
        <v>0</v>
      </c>
      <c r="M55" s="157">
        <f>SUMIF('内訳ﾘｽﾄ(4～3月)'!$D$26:$D$998,$B55,'内訳ﾘｽﾄ(4～3月)'!P$26:P$998)</f>
        <v>0</v>
      </c>
      <c r="N55" s="157">
        <f>SUMIF('内訳ﾘｽﾄ(4～3月)'!$D$26:$D$998,$B55,'内訳ﾘｽﾄ(4～3月)'!Q$26:Q$998)</f>
        <v>0</v>
      </c>
      <c r="O55" s="157">
        <f>SUMIF('内訳ﾘｽﾄ(4～3月)'!$D$26:$D$797,'採算表(VND)'!$B55,'内訳ﾘｽﾄ(4～3月)'!R$26:R$797)</f>
        <v>0</v>
      </c>
      <c r="AQ55" s="72"/>
      <c r="AR55" s="72"/>
      <c r="AS55" s="72"/>
      <c r="AT55" s="72"/>
      <c r="AU55" s="70"/>
      <c r="AV55" s="71"/>
      <c r="AW55" s="71"/>
      <c r="AX55" s="71"/>
      <c r="AY55" s="71"/>
      <c r="BA55" s="73"/>
      <c r="BB55" s="73"/>
      <c r="BC55" s="73"/>
      <c r="BD55" s="73"/>
      <c r="BF55" s="70"/>
      <c r="BG55" s="70"/>
      <c r="BH55" s="70"/>
      <c r="BI55" s="70"/>
    </row>
    <row r="56" spans="1:61" ht="11.25" customHeight="1">
      <c r="A56" s="38"/>
      <c r="B56" s="37" t="s">
        <v>113</v>
      </c>
      <c r="C56" s="157">
        <f>SUMIF('内訳ﾘｽﾄ(4～3月)'!$D$26:$D$998,$B56,'内訳ﾘｽﾄ(4～3月)'!F$26:F$998)</f>
        <v>0</v>
      </c>
      <c r="D56" s="157">
        <f>SUMIF('内訳ﾘｽﾄ(4～3月)'!$D$26:$D$998,$B56,'内訳ﾘｽﾄ(4～3月)'!G$26:G$998)</f>
        <v>0</v>
      </c>
      <c r="E56" s="157">
        <f>SUMIF('内訳ﾘｽﾄ(4～3月)'!$D$26:$D$998,$B56,'内訳ﾘｽﾄ(4～3月)'!H$26:H$998)</f>
        <v>0</v>
      </c>
      <c r="F56" s="157">
        <f>SUMIF('内訳ﾘｽﾄ(4～3月)'!$D$26:$D$998,$B56,'内訳ﾘｽﾄ(4～3月)'!I$26:I$998)</f>
        <v>0</v>
      </c>
      <c r="G56" s="157">
        <f>SUMIF('内訳ﾘｽﾄ(4～3月)'!$D$26:$D$998,$B56,'内訳ﾘｽﾄ(4～3月)'!J$26:J$998)</f>
        <v>0</v>
      </c>
      <c r="H56" s="157">
        <f>SUMIF('内訳ﾘｽﾄ(4～3月)'!$D$26:$D$998,$B56,'内訳ﾘｽﾄ(4～3月)'!K$26:K$998)</f>
        <v>0</v>
      </c>
      <c r="I56" s="157">
        <f>SUMIF('内訳ﾘｽﾄ(4～3月)'!$D$26:$D$998,$B56,'内訳ﾘｽﾄ(4～3月)'!L$26:L$998)</f>
        <v>0</v>
      </c>
      <c r="J56" s="157">
        <f>SUMIF('内訳ﾘｽﾄ(4～3月)'!$D$26:$D$998,$B56,'内訳ﾘｽﾄ(4～3月)'!M$26:M$998)</f>
        <v>0</v>
      </c>
      <c r="K56" s="157">
        <f>SUMIF('内訳ﾘｽﾄ(4～3月)'!$D$26:$D$998,$B56,'内訳ﾘｽﾄ(4～3月)'!N$26:N$998)</f>
        <v>0</v>
      </c>
      <c r="L56" s="157">
        <f>SUMIF('内訳ﾘｽﾄ(4～3月)'!$D$26:$D$998,$B56,'内訳ﾘｽﾄ(4～3月)'!O$26:O$998)</f>
        <v>0</v>
      </c>
      <c r="M56" s="157">
        <f>SUMIF('内訳ﾘｽﾄ(4～3月)'!$D$26:$D$998,$B56,'内訳ﾘｽﾄ(4～3月)'!P$26:P$998)</f>
        <v>0</v>
      </c>
      <c r="N56" s="157">
        <f>SUMIF('内訳ﾘｽﾄ(4～3月)'!$D$26:$D$998,$B56,'内訳ﾘｽﾄ(4～3月)'!Q$26:Q$998)</f>
        <v>0</v>
      </c>
      <c r="O56" s="157">
        <f>SUMIF('内訳ﾘｽﾄ(4～3月)'!$D$26:$D$797,'採算表(VND)'!$B56,'内訳ﾘｽﾄ(4～3月)'!R$26:R$797)</f>
        <v>0</v>
      </c>
      <c r="AQ56" s="72"/>
      <c r="AR56" s="72"/>
      <c r="AS56" s="72"/>
      <c r="AT56" s="72"/>
      <c r="AU56" s="70"/>
      <c r="AV56" s="71"/>
      <c r="AW56" s="71"/>
      <c r="AX56" s="71"/>
      <c r="AY56" s="71"/>
      <c r="BA56" s="73"/>
      <c r="BB56" s="73"/>
      <c r="BC56" s="73"/>
      <c r="BD56" s="73"/>
      <c r="BF56" s="70"/>
      <c r="BG56" s="70"/>
      <c r="BH56" s="70"/>
      <c r="BI56" s="70"/>
    </row>
    <row r="57" spans="1:61" ht="11.25" customHeight="1">
      <c r="A57" s="38"/>
      <c r="B57" s="37" t="s">
        <v>114</v>
      </c>
      <c r="C57" s="157">
        <f>SUMIF('内訳ﾘｽﾄ(4～3月)'!$D$26:$D$998,$B57,'内訳ﾘｽﾄ(4～3月)'!F$26:F$998)</f>
        <v>19912362</v>
      </c>
      <c r="D57" s="157">
        <f>SUMIF('内訳ﾘｽﾄ(4～3月)'!$D$26:$D$998,$B57,'内訳ﾘｽﾄ(4～3月)'!G$26:G$998)</f>
        <v>26050292</v>
      </c>
      <c r="E57" s="157">
        <f>SUMIF('内訳ﾘｽﾄ(4～3月)'!$D$26:$D$998,$B57,'内訳ﾘｽﾄ(4～3月)'!H$26:H$998)</f>
        <v>29369502</v>
      </c>
      <c r="F57" s="157">
        <f>SUMIF('内訳ﾘｽﾄ(4～3月)'!$D$26:$D$998,$B57,'内訳ﾘｽﾄ(4～3月)'!I$26:I$998)</f>
        <v>29113063</v>
      </c>
      <c r="G57" s="157">
        <f>SUMIF('内訳ﾘｽﾄ(4～3月)'!$D$26:$D$998,$B57,'内訳ﾘｽﾄ(4～3月)'!J$26:J$998)</f>
        <v>29002616</v>
      </c>
      <c r="H57" s="157">
        <f>SUMIF('内訳ﾘｽﾄ(4～3月)'!$D$26:$D$998,$B57,'内訳ﾘｽﾄ(4～3月)'!K$26:K$998)</f>
        <v>28700221</v>
      </c>
      <c r="I57" s="157">
        <f>SUMIF('内訳ﾘｽﾄ(4～3月)'!$D$26:$D$998,$B57,'内訳ﾘｽﾄ(4～3月)'!L$26:L$998)</f>
        <v>28415346</v>
      </c>
      <c r="J57" s="157">
        <f>SUMIF('内訳ﾘｽﾄ(4～3月)'!$D$26:$D$998,$B57,'内訳ﾘｽﾄ(4～3月)'!M$26:M$998)</f>
        <v>38944868</v>
      </c>
      <c r="K57" s="157">
        <f>SUMIF('内訳ﾘｽﾄ(4～3月)'!$D$26:$D$998,$B57,'内訳ﾘｽﾄ(4～3月)'!N$26:N$998)</f>
        <v>38952993</v>
      </c>
      <c r="L57" s="157">
        <f>SUMIF('内訳ﾘｽﾄ(4～3月)'!$D$26:$D$998,$B57,'内訳ﾘｽﾄ(4～3月)'!O$26:O$998)</f>
        <v>38899674</v>
      </c>
      <c r="M57" s="157">
        <f>SUMIF('内訳ﾘｽﾄ(4～3月)'!$D$26:$D$998,$B57,'内訳ﾘｽﾄ(4～3月)'!P$26:P$998)</f>
        <v>38727784</v>
      </c>
      <c r="N57" s="157">
        <f>SUMIF('内訳ﾘｽﾄ(4～3月)'!$D$26:$D$998,$B57,'内訳ﾘｽﾄ(4～3月)'!Q$26:Q$998)</f>
        <v>38863620</v>
      </c>
      <c r="O57" s="157">
        <f>SUMIF('内訳ﾘｽﾄ(4～3月)'!$D$26:$D$797,'採算表(VND)'!$B57,'内訳ﾘｽﾄ(4～3月)'!R$26:R$797)</f>
        <v>384952341</v>
      </c>
      <c r="AQ57" s="72"/>
      <c r="AR57" s="72"/>
      <c r="AS57" s="72"/>
      <c r="AT57" s="72"/>
      <c r="AU57" s="70"/>
      <c r="AV57" s="71"/>
      <c r="AW57" s="71"/>
      <c r="AX57" s="71"/>
      <c r="AY57" s="71"/>
      <c r="BA57" s="73"/>
      <c r="BB57" s="73"/>
      <c r="BC57" s="73"/>
      <c r="BD57" s="73"/>
      <c r="BF57" s="70"/>
      <c r="BG57" s="70"/>
      <c r="BH57" s="70"/>
      <c r="BI57" s="70"/>
    </row>
    <row r="58" spans="1:61" ht="11.25" customHeight="1">
      <c r="A58" s="38"/>
      <c r="B58" s="37" t="s">
        <v>122</v>
      </c>
      <c r="C58" s="157">
        <f>SUMIF('内訳ﾘｽﾄ(4～3月)'!$D$26:$D$998,$B58,'内訳ﾘｽﾄ(4～3月)'!F$26:F$998)</f>
        <v>0</v>
      </c>
      <c r="D58" s="157">
        <f>SUMIF('内訳ﾘｽﾄ(4～3月)'!$D$26:$D$998,$B58,'内訳ﾘｽﾄ(4～3月)'!G$26:G$998)</f>
        <v>0</v>
      </c>
      <c r="E58" s="157">
        <f>SUMIF('内訳ﾘｽﾄ(4～3月)'!$D$26:$D$998,$B58,'内訳ﾘｽﾄ(4～3月)'!H$26:H$998)</f>
        <v>0</v>
      </c>
      <c r="F58" s="157">
        <f>SUMIF('内訳ﾘｽﾄ(4～3月)'!$D$26:$D$998,$B58,'内訳ﾘｽﾄ(4～3月)'!I$26:I$998)</f>
        <v>0</v>
      </c>
      <c r="G58" s="157">
        <f>SUMIF('内訳ﾘｽﾄ(4～3月)'!$D$26:$D$998,$B58,'内訳ﾘｽﾄ(4～3月)'!J$26:J$998)</f>
        <v>0</v>
      </c>
      <c r="H58" s="157">
        <f>SUMIF('内訳ﾘｽﾄ(4～3月)'!$D$26:$D$998,$B58,'内訳ﾘｽﾄ(4～3月)'!K$26:K$998)</f>
        <v>0</v>
      </c>
      <c r="I58" s="157">
        <f>SUMIF('内訳ﾘｽﾄ(4～3月)'!$D$26:$D$998,$B58,'内訳ﾘｽﾄ(4～3月)'!L$26:L$998)</f>
        <v>0</v>
      </c>
      <c r="J58" s="157">
        <f>SUMIF('内訳ﾘｽﾄ(4～3月)'!$D$26:$D$998,$B58,'内訳ﾘｽﾄ(4～3月)'!M$26:M$998)</f>
        <v>0</v>
      </c>
      <c r="K58" s="157">
        <f>SUMIF('内訳ﾘｽﾄ(4～3月)'!$D$26:$D$998,$B58,'内訳ﾘｽﾄ(4～3月)'!N$26:N$998)</f>
        <v>0</v>
      </c>
      <c r="L58" s="157">
        <f>SUMIF('内訳ﾘｽﾄ(4～3月)'!$D$26:$D$998,$B58,'内訳ﾘｽﾄ(4～3月)'!O$26:O$998)</f>
        <v>0</v>
      </c>
      <c r="M58" s="157">
        <f>SUMIF('内訳ﾘｽﾄ(4～3月)'!$D$26:$D$998,$B58,'内訳ﾘｽﾄ(4～3月)'!P$26:P$998)</f>
        <v>0</v>
      </c>
      <c r="N58" s="157">
        <f>SUMIF('内訳ﾘｽﾄ(4～3月)'!$D$26:$D$998,$B58,'内訳ﾘｽﾄ(4～3月)'!Q$26:Q$998)</f>
        <v>0</v>
      </c>
      <c r="O58" s="157">
        <f>SUMIF('内訳ﾘｽﾄ(4～3月)'!$D$26:$D$797,'採算表(VND)'!$B58,'内訳ﾘｽﾄ(4～3月)'!R$26:R$797)</f>
        <v>0</v>
      </c>
      <c r="AQ58" s="72"/>
      <c r="AR58" s="72"/>
      <c r="AS58" s="72"/>
      <c r="AT58" s="72"/>
      <c r="AU58" s="70"/>
      <c r="AV58" s="71"/>
      <c r="AW58" s="71"/>
      <c r="AX58" s="71"/>
      <c r="AY58" s="71"/>
      <c r="BA58" s="73"/>
      <c r="BB58" s="73"/>
      <c r="BC58" s="73"/>
      <c r="BD58" s="73"/>
      <c r="BF58" s="70"/>
      <c r="BG58" s="70"/>
      <c r="BH58" s="70"/>
      <c r="BI58" s="70"/>
    </row>
    <row r="59" spans="1:61" ht="11.25" customHeight="1">
      <c r="A59" s="38"/>
      <c r="B59" s="37" t="s">
        <v>121</v>
      </c>
      <c r="C59" s="157">
        <f>SUMIF('内訳ﾘｽﾄ(4～3月)'!$D$26:$D$998,$B59,'内訳ﾘｽﾄ(4～3月)'!F$26:F$998)</f>
        <v>0</v>
      </c>
      <c r="D59" s="157">
        <f>SUMIF('内訳ﾘｽﾄ(4～3月)'!$D$26:$D$998,$B59,'内訳ﾘｽﾄ(4～3月)'!G$26:G$998)</f>
        <v>0</v>
      </c>
      <c r="E59" s="157">
        <f>SUMIF('内訳ﾘｽﾄ(4～3月)'!$D$26:$D$998,$B59,'内訳ﾘｽﾄ(4～3月)'!H$26:H$998)</f>
        <v>0</v>
      </c>
      <c r="F59" s="157">
        <f>SUMIF('内訳ﾘｽﾄ(4～3月)'!$D$26:$D$998,$B59,'内訳ﾘｽﾄ(4～3月)'!I$26:I$998)</f>
        <v>0</v>
      </c>
      <c r="G59" s="157">
        <f>SUMIF('内訳ﾘｽﾄ(4～3月)'!$D$26:$D$998,$B59,'内訳ﾘｽﾄ(4～3月)'!J$26:J$998)</f>
        <v>0</v>
      </c>
      <c r="H59" s="157">
        <f>SUMIF('内訳ﾘｽﾄ(4～3月)'!$D$26:$D$998,$B59,'内訳ﾘｽﾄ(4～3月)'!K$26:K$998)</f>
        <v>0</v>
      </c>
      <c r="I59" s="157">
        <f>SUMIF('内訳ﾘｽﾄ(4～3月)'!$D$26:$D$998,$B59,'内訳ﾘｽﾄ(4～3月)'!L$26:L$998)</f>
        <v>0</v>
      </c>
      <c r="J59" s="157">
        <f>SUMIF('内訳ﾘｽﾄ(4～3月)'!$D$26:$D$998,$B59,'内訳ﾘｽﾄ(4～3月)'!M$26:M$998)</f>
        <v>0</v>
      </c>
      <c r="K59" s="157">
        <f>SUMIF('内訳ﾘｽﾄ(4～3月)'!$D$26:$D$998,$B59,'内訳ﾘｽﾄ(4～3月)'!N$26:N$998)</f>
        <v>0</v>
      </c>
      <c r="L59" s="157">
        <f>SUMIF('内訳ﾘｽﾄ(4～3月)'!$D$26:$D$998,$B59,'内訳ﾘｽﾄ(4～3月)'!O$26:O$998)</f>
        <v>0</v>
      </c>
      <c r="M59" s="157">
        <f>SUMIF('内訳ﾘｽﾄ(4～3月)'!$D$26:$D$998,$B59,'内訳ﾘｽﾄ(4～3月)'!P$26:P$998)</f>
        <v>0</v>
      </c>
      <c r="N59" s="157">
        <f>SUMIF('内訳ﾘｽﾄ(4～3月)'!$D$26:$D$998,$B59,'内訳ﾘｽﾄ(4～3月)'!Q$26:Q$998)</f>
        <v>0</v>
      </c>
      <c r="O59" s="157">
        <f>SUMIF('内訳ﾘｽﾄ(4～3月)'!$D$26:$D$797,'採算表(VND)'!$B59,'内訳ﾘｽﾄ(4～3月)'!R$26:R$797)</f>
        <v>0</v>
      </c>
      <c r="AQ59" s="72"/>
      <c r="AR59" s="72"/>
      <c r="AS59" s="72"/>
      <c r="AT59" s="72"/>
      <c r="AU59" s="70"/>
      <c r="AV59" s="71"/>
      <c r="AW59" s="71"/>
      <c r="AX59" s="71"/>
      <c r="AY59" s="71"/>
      <c r="BA59" s="73"/>
      <c r="BB59" s="73"/>
      <c r="BC59" s="73"/>
      <c r="BD59" s="73"/>
      <c r="BF59" s="70"/>
      <c r="BG59" s="70"/>
      <c r="BH59" s="70"/>
      <c r="BI59" s="70"/>
    </row>
    <row r="60" spans="1:61" ht="11.25" customHeight="1">
      <c r="A60" s="38"/>
      <c r="B60" s="37" t="s">
        <v>123</v>
      </c>
      <c r="C60" s="157">
        <f>SUMIF('内訳ﾘｽﾄ(4～3月)'!$D$26:$D$998,$B60,'内訳ﾘｽﾄ(4～3月)'!F$26:F$998)</f>
        <v>0</v>
      </c>
      <c r="D60" s="157">
        <f>SUMIF('内訳ﾘｽﾄ(4～3月)'!$D$26:$D$998,$B60,'内訳ﾘｽﾄ(4～3月)'!G$26:G$998)</f>
        <v>0</v>
      </c>
      <c r="E60" s="157">
        <f>SUMIF('内訳ﾘｽﾄ(4～3月)'!$D$26:$D$998,$B60,'内訳ﾘｽﾄ(4～3月)'!H$26:H$998)</f>
        <v>0</v>
      </c>
      <c r="F60" s="157">
        <f>SUMIF('内訳ﾘｽﾄ(4～3月)'!$D$26:$D$998,$B60,'内訳ﾘｽﾄ(4～3月)'!I$26:I$998)</f>
        <v>0</v>
      </c>
      <c r="G60" s="157">
        <f>SUMIF('内訳ﾘｽﾄ(4～3月)'!$D$26:$D$998,$B60,'内訳ﾘｽﾄ(4～3月)'!J$26:J$998)</f>
        <v>0</v>
      </c>
      <c r="H60" s="157">
        <f>SUMIF('内訳ﾘｽﾄ(4～3月)'!$D$26:$D$998,$B60,'内訳ﾘｽﾄ(4～3月)'!K$26:K$998)</f>
        <v>0</v>
      </c>
      <c r="I60" s="157">
        <f>SUMIF('内訳ﾘｽﾄ(4～3月)'!$D$26:$D$998,$B60,'内訳ﾘｽﾄ(4～3月)'!L$26:L$998)</f>
        <v>0</v>
      </c>
      <c r="J60" s="157">
        <f>SUMIF('内訳ﾘｽﾄ(4～3月)'!$D$26:$D$998,$B60,'内訳ﾘｽﾄ(4～3月)'!M$26:M$998)</f>
        <v>0</v>
      </c>
      <c r="K60" s="157">
        <f>SUMIF('内訳ﾘｽﾄ(4～3月)'!$D$26:$D$998,$B60,'内訳ﾘｽﾄ(4～3月)'!N$26:N$998)</f>
        <v>0</v>
      </c>
      <c r="L60" s="157">
        <f>SUMIF('内訳ﾘｽﾄ(4～3月)'!$D$26:$D$998,$B60,'内訳ﾘｽﾄ(4～3月)'!O$26:O$998)</f>
        <v>0</v>
      </c>
      <c r="M60" s="157">
        <f>SUMIF('内訳ﾘｽﾄ(4～3月)'!$D$26:$D$998,$B60,'内訳ﾘｽﾄ(4～3月)'!P$26:P$998)</f>
        <v>0</v>
      </c>
      <c r="N60" s="157">
        <f>SUMIF('内訳ﾘｽﾄ(4～3月)'!$D$26:$D$998,$B60,'内訳ﾘｽﾄ(4～3月)'!Q$26:Q$998)</f>
        <v>0</v>
      </c>
      <c r="O60" s="157">
        <f>SUMIF('内訳ﾘｽﾄ(4～3月)'!$D$26:$D$797,'採算表(VND)'!$B60,'内訳ﾘｽﾄ(4～3月)'!R$26:R$797)</f>
        <v>0</v>
      </c>
      <c r="AQ60" s="72"/>
      <c r="AR60" s="72"/>
      <c r="AS60" s="72"/>
      <c r="AT60" s="72"/>
      <c r="AU60" s="70"/>
      <c r="AV60" s="71"/>
      <c r="AW60" s="71"/>
      <c r="AX60" s="71"/>
      <c r="AY60" s="71"/>
      <c r="BA60" s="73"/>
      <c r="BB60" s="73"/>
      <c r="BC60" s="73"/>
      <c r="BD60" s="73"/>
      <c r="BF60" s="70"/>
      <c r="BG60" s="70"/>
      <c r="BH60" s="70"/>
      <c r="BI60" s="70"/>
    </row>
    <row r="61" spans="1:61" ht="11.25" customHeight="1">
      <c r="A61" s="38"/>
      <c r="B61" s="37" t="s">
        <v>106</v>
      </c>
      <c r="C61" s="157">
        <f>IF('内訳ﾘｽﾄ(4～3月)'!$D$5="製造",SUMIF('内訳ﾘｽﾄ(4～3月)'!$D$26:$D$998,$B61,'内訳ﾘｽﾄ(4～3月)'!F$26:F$998),IF('内訳ﾘｽﾄ(4～3月)'!$D$5="部内間接",-SUM(C$14:C$60,C$65),0))</f>
        <v>-2419160810</v>
      </c>
      <c r="D61" s="157">
        <f>IF('内訳ﾘｽﾄ(4～3月)'!$D$5="製造",SUMIF('内訳ﾘｽﾄ(4～3月)'!$D$26:$D$998,$B61,'内訳ﾘｽﾄ(4～3月)'!G$26:G$998),IF('内訳ﾘｽﾄ(4～3月)'!$D$5="部内間接",-SUM(D$14:D$60,D$65),0))</f>
        <v>-391910016</v>
      </c>
      <c r="E61" s="157">
        <f>IF('内訳ﾘｽﾄ(4～3月)'!$D$5="製造",SUMIF('内訳ﾘｽﾄ(4～3月)'!$D$26:$D$998,$B61,'内訳ﾘｽﾄ(4～3月)'!H$26:H$998),IF('内訳ﾘｽﾄ(4～3月)'!$D$5="部内間接",-SUM(E$14:E$60,E$65),0))</f>
        <v>-343019375</v>
      </c>
      <c r="F61" s="157">
        <f>IF('内訳ﾘｽﾄ(4～3月)'!$D$5="製造",SUMIF('内訳ﾘｽﾄ(4～3月)'!$D$26:$D$998,$B61,'内訳ﾘｽﾄ(4～3月)'!I$26:I$998),IF('内訳ﾘｽﾄ(4～3月)'!$D$5="部内間接",-SUM(F$14:F$60,F$65),0))</f>
        <v>-326576133</v>
      </c>
      <c r="G61" s="157">
        <f>IF('内訳ﾘｽﾄ(4～3月)'!$D$5="製造",SUMIF('内訳ﾘｽﾄ(4～3月)'!$D$26:$D$998,$B61,'内訳ﾘｽﾄ(4～3月)'!J$26:J$998),IF('内訳ﾘｽﾄ(4～3月)'!$D$5="部内間接",-SUM(G$14:G$60,G$65),0))</f>
        <v>-306468969</v>
      </c>
      <c r="H61" s="157">
        <f>IF('内訳ﾘｽﾄ(4～3月)'!$D$5="製造",SUMIF('内訳ﾘｽﾄ(4～3月)'!$D$26:$D$998,$B61,'内訳ﾘｽﾄ(4～3月)'!K$26:K$998),IF('内訳ﾘｽﾄ(4～3月)'!$D$5="部内間接",-SUM(H$14:H$60,H$65),0))</f>
        <v>-311006652</v>
      </c>
      <c r="I61" s="157">
        <f>IF('内訳ﾘｽﾄ(4～3月)'!$D$5="製造",SUMIF('内訳ﾘｽﾄ(4～3月)'!$D$26:$D$998,$B61,'内訳ﾘｽﾄ(4～3月)'!L$26:L$998),IF('内訳ﾘｽﾄ(4～3月)'!$D$5="部内間接",-SUM(I$14:I$60,I$65),0))</f>
        <v>-332896867</v>
      </c>
      <c r="J61" s="157">
        <f>IF('内訳ﾘｽﾄ(4～3月)'!$D$5="製造",SUMIF('内訳ﾘｽﾄ(4～3月)'!$D$26:$D$998,$B61,'内訳ﾘｽﾄ(4～3月)'!M$26:M$998),IF('内訳ﾘｽﾄ(4～3月)'!$D$5="部内間接",-SUM(J$14:J$60,J$65),0))</f>
        <v>-291740605</v>
      </c>
      <c r="K61" s="157">
        <f>IF('内訳ﾘｽﾄ(4～3月)'!$D$5="製造",SUMIF('内訳ﾘｽﾄ(4～3月)'!$D$26:$D$998,$B61,'内訳ﾘｽﾄ(4～3月)'!N$26:N$998),IF('内訳ﾘｽﾄ(4～3月)'!$D$5="部内間接",-SUM(K$14:K$60,K$65),0))</f>
        <v>-351183602</v>
      </c>
      <c r="L61" s="157">
        <f>IF('内訳ﾘｽﾄ(4～3月)'!$D$5="製造",SUMIF('内訳ﾘｽﾄ(4～3月)'!$D$26:$D$998,$B61,'内訳ﾘｽﾄ(4～3月)'!O$26:O$998),IF('内訳ﾘｽﾄ(4～3月)'!$D$5="部内間接",-SUM(L$14:L$60,L$65),0))</f>
        <v>-267267898</v>
      </c>
      <c r="M61" s="157">
        <f>IF('内訳ﾘｽﾄ(4～3月)'!$D$5="製造",SUMIF('内訳ﾘｽﾄ(4～3月)'!$D$26:$D$998,$B61,'内訳ﾘｽﾄ(4～3月)'!P$26:P$998),IF('内訳ﾘｽﾄ(4～3月)'!$D$5="部内間接",-SUM(M$14:M$60,M$65),0))</f>
        <v>-242437814</v>
      </c>
      <c r="N61" s="157">
        <f>IF('内訳ﾘｽﾄ(4～3月)'!$D$5="製造",SUMIF('内訳ﾘｽﾄ(4～3月)'!$D$26:$D$998,$B61,'内訳ﾘｽﾄ(4～3月)'!Q$26:Q$998),IF('内訳ﾘｽﾄ(4～3月)'!$D$5="部内間接",-SUM(N$14:N$60,N$65),0))</f>
        <v>-258221719</v>
      </c>
      <c r="O61" s="157">
        <f>IF('内訳ﾘｽﾄ(4～3月)'!$D$5="部内間接",-SUM(O$65,O$14:O$60),IF('内訳ﾘｽﾄ(4～3月)'!$D$5="製造",SUMIF('内訳ﾘｽﾄ(4～3月)'!$D$26:$D$797,'採算表(VND)'!$B61,'内訳ﾘｽﾄ(4～3月)'!R$26:R$797),0))</f>
        <v>-5841890460</v>
      </c>
      <c r="AQ61" s="72"/>
      <c r="AR61" s="72"/>
      <c r="AS61" s="72"/>
      <c r="AT61" s="72"/>
      <c r="AU61" s="70"/>
      <c r="AV61" s="71"/>
      <c r="AW61" s="71"/>
      <c r="AX61" s="71"/>
      <c r="AY61" s="71"/>
      <c r="BA61" s="73"/>
      <c r="BB61" s="73"/>
      <c r="BC61" s="73"/>
      <c r="BD61" s="73"/>
      <c r="BF61" s="70"/>
      <c r="BG61" s="70"/>
      <c r="BH61" s="70"/>
      <c r="BI61" s="70"/>
    </row>
    <row r="62" spans="1:61" ht="11.25" customHeight="1">
      <c r="A62" s="38"/>
      <c r="B62" s="37" t="s">
        <v>418</v>
      </c>
      <c r="C62" s="157">
        <f>IF('内訳ﾘｽﾄ(4～3月)'!$D$5="製造",SUMIF('内訳ﾘｽﾄ(4～3月)'!$D$26:$D$998,$B62,'内訳ﾘｽﾄ(4～3月)'!F$26:F$998),IF('内訳ﾘｽﾄ(4～3月)'!$D$5="部外間接1",-SUM(C$14:C$60,C$65),0))</f>
        <v>0</v>
      </c>
      <c r="D62" s="157">
        <f>IF('内訳ﾘｽﾄ(4～3月)'!$D$5="製造",SUMIF('内訳ﾘｽﾄ(4～3月)'!$D$26:$D$998,$B62,'内訳ﾘｽﾄ(4～3月)'!G$26:G$998),IF('内訳ﾘｽﾄ(4～3月)'!$D$5="部外間接1",-SUM(D$14:D$60,D$65),0))</f>
        <v>0</v>
      </c>
      <c r="E62" s="157">
        <f>IF('内訳ﾘｽﾄ(4～3月)'!$D$5="製造",SUMIF('内訳ﾘｽﾄ(4～3月)'!$D$26:$D$998,$B62,'内訳ﾘｽﾄ(4～3月)'!H$26:H$998),IF('内訳ﾘｽﾄ(4～3月)'!$D$5="部外間接1",-SUM(E$14:E$60,E$65),0))</f>
        <v>0</v>
      </c>
      <c r="F62" s="157">
        <f>IF('内訳ﾘｽﾄ(4～3月)'!$D$5="製造",SUMIF('内訳ﾘｽﾄ(4～3月)'!$D$26:$D$998,$B62,'内訳ﾘｽﾄ(4～3月)'!I$26:I$998),IF('内訳ﾘｽﾄ(4～3月)'!$D$5="部外間接1",-SUM(F$14:F$60,F$65),0))</f>
        <v>0</v>
      </c>
      <c r="G62" s="157">
        <f>IF('内訳ﾘｽﾄ(4～3月)'!$D$5="製造",SUMIF('内訳ﾘｽﾄ(4～3月)'!$D$26:$D$998,$B62,'内訳ﾘｽﾄ(4～3月)'!J$26:J$998),IF('内訳ﾘｽﾄ(4～3月)'!$D$5="部外間接1",-SUM(G$14:G$60,G$65),0))</f>
        <v>0</v>
      </c>
      <c r="H62" s="157">
        <f>IF('内訳ﾘｽﾄ(4～3月)'!$D$5="製造",SUMIF('内訳ﾘｽﾄ(4～3月)'!$D$26:$D$998,$B62,'内訳ﾘｽﾄ(4～3月)'!K$26:K$998),IF('内訳ﾘｽﾄ(4～3月)'!$D$5="部外間接1",-SUM(H$14:H$60,H$65),0))</f>
        <v>0</v>
      </c>
      <c r="I62" s="157">
        <f>IF('内訳ﾘｽﾄ(4～3月)'!$D$5="製造",SUMIF('内訳ﾘｽﾄ(4～3月)'!$D$26:$D$998,$B62,'内訳ﾘｽﾄ(4～3月)'!L$26:L$998),IF('内訳ﾘｽﾄ(4～3月)'!$D$5="部外間接1",-SUM(I$14:I$60,I$65),0))</f>
        <v>0</v>
      </c>
      <c r="J62" s="157">
        <f>IF('内訳ﾘｽﾄ(4～3月)'!$D$5="製造",SUMIF('内訳ﾘｽﾄ(4～3月)'!$D$26:$D$998,$B62,'内訳ﾘｽﾄ(4～3月)'!M$26:M$998),IF('内訳ﾘｽﾄ(4～3月)'!$D$5="部外間接1",-SUM(J$14:J$60,J$65),0))</f>
        <v>0</v>
      </c>
      <c r="K62" s="157">
        <f>IF('内訳ﾘｽﾄ(4～3月)'!$D$5="製造",SUMIF('内訳ﾘｽﾄ(4～3月)'!$D$26:$D$998,$B62,'内訳ﾘｽﾄ(4～3月)'!N$26:N$998),IF('内訳ﾘｽﾄ(4～3月)'!$D$5="部外間接1",-SUM(K$14:K$60,K$65),0))</f>
        <v>0</v>
      </c>
      <c r="L62" s="157">
        <f>IF('内訳ﾘｽﾄ(4～3月)'!$D$5="製造",SUMIF('内訳ﾘｽﾄ(4～3月)'!$D$26:$D$998,$B62,'内訳ﾘｽﾄ(4～3月)'!O$26:O$998),IF('内訳ﾘｽﾄ(4～3月)'!$D$5="部外間接1",-SUM(L$14:L$60,L$65),0))</f>
        <v>0</v>
      </c>
      <c r="M62" s="157">
        <f>IF('内訳ﾘｽﾄ(4～3月)'!$D$5="製造",SUMIF('内訳ﾘｽﾄ(4～3月)'!$D$26:$D$998,$B62,'内訳ﾘｽﾄ(4～3月)'!P$26:P$998),IF('内訳ﾘｽﾄ(4～3月)'!$D$5="部外間接1",-SUM(M$14:M$60,M$65),0))</f>
        <v>0</v>
      </c>
      <c r="N62" s="157">
        <f>IF('内訳ﾘｽﾄ(4～3月)'!$D$5="製造",SUMIF('内訳ﾘｽﾄ(4～3月)'!$D$26:$D$998,$B62,'内訳ﾘｽﾄ(4～3月)'!Q$26:Q$998),IF('内訳ﾘｽﾄ(4～3月)'!$D$5="部外間接1",-SUM(N$14:N$60,N$65),0))</f>
        <v>0</v>
      </c>
      <c r="O62" s="157">
        <f>IF('内訳ﾘｽﾄ(4～3月)'!$D$5="部外間接1",-SUM(O$65,O$14:O$60),IF('内訳ﾘｽﾄ(4～3月)'!$D$5="製造",SUMIF('内訳ﾘｽﾄ(4～3月)'!$D$26:$D$797,'採算表(VND)'!$B62,'内訳ﾘｽﾄ(4～3月)'!R$26:R$797),0))</f>
        <v>0</v>
      </c>
      <c r="AQ62" s="72"/>
      <c r="AR62" s="72"/>
      <c r="AS62" s="72"/>
      <c r="AT62" s="72"/>
      <c r="AU62" s="70"/>
      <c r="AV62" s="71"/>
      <c r="AW62" s="71"/>
      <c r="AX62" s="71"/>
      <c r="AY62" s="71"/>
      <c r="BA62" s="73"/>
      <c r="BB62" s="73"/>
      <c r="BC62" s="73"/>
      <c r="BD62" s="73"/>
      <c r="BF62" s="70"/>
      <c r="BG62" s="70"/>
      <c r="BH62" s="70"/>
      <c r="BI62" s="70"/>
    </row>
    <row r="63" spans="1:61" ht="11.25" customHeight="1">
      <c r="A63" s="38"/>
      <c r="B63" s="37" t="s">
        <v>419</v>
      </c>
      <c r="C63" s="157">
        <f>IF('内訳ﾘｽﾄ(4～3月)'!$D$5="製造",SUMIF('内訳ﾘｽﾄ(4～3月)'!$D$26:$D$998,$B63,'内訳ﾘｽﾄ(4～3月)'!F$26:F$998),IF('内訳ﾘｽﾄ(4～3月)'!$D$5="部外間接2",-SUM(C$14:C$60,C$65),0))</f>
        <v>0</v>
      </c>
      <c r="D63" s="157">
        <f>IF('内訳ﾘｽﾄ(4～3月)'!$D$5="製造",SUMIF('内訳ﾘｽﾄ(4～3月)'!$D$26:$D$998,$B63,'内訳ﾘｽﾄ(4～3月)'!G$26:G$998),IF('内訳ﾘｽﾄ(4～3月)'!$D$5="部外間接2",-SUM(D$14:D$60,D$65),0))</f>
        <v>0</v>
      </c>
      <c r="E63" s="157">
        <f>IF('内訳ﾘｽﾄ(4～3月)'!$D$5="製造",SUMIF('内訳ﾘｽﾄ(4～3月)'!$D$26:$D$998,$B63,'内訳ﾘｽﾄ(4～3月)'!H$26:H$998),IF('内訳ﾘｽﾄ(4～3月)'!$D$5="部外間接2",-SUM(E$14:E$60,E$65),0))</f>
        <v>0</v>
      </c>
      <c r="F63" s="157">
        <f>IF('内訳ﾘｽﾄ(4～3月)'!$D$5="製造",SUMIF('内訳ﾘｽﾄ(4～3月)'!$D$26:$D$998,$B63,'内訳ﾘｽﾄ(4～3月)'!I$26:I$998),IF('内訳ﾘｽﾄ(4～3月)'!$D$5="部外間接2",-SUM(F$14:F$60,F$65),0))</f>
        <v>0</v>
      </c>
      <c r="G63" s="157">
        <f>IF('内訳ﾘｽﾄ(4～3月)'!$D$5="製造",SUMIF('内訳ﾘｽﾄ(4～3月)'!$D$26:$D$998,$B63,'内訳ﾘｽﾄ(4～3月)'!J$26:J$998),IF('内訳ﾘｽﾄ(4～3月)'!$D$5="部外間接2",-SUM(G$14:G$60,G$65),0))</f>
        <v>0</v>
      </c>
      <c r="H63" s="157">
        <f>IF('内訳ﾘｽﾄ(4～3月)'!$D$5="製造",SUMIF('内訳ﾘｽﾄ(4～3月)'!$D$26:$D$998,$B63,'内訳ﾘｽﾄ(4～3月)'!K$26:K$998),IF('内訳ﾘｽﾄ(4～3月)'!$D$5="部外間接2",-SUM(H$14:H$60,H$65),0))</f>
        <v>0</v>
      </c>
      <c r="I63" s="157">
        <f>IF('内訳ﾘｽﾄ(4～3月)'!$D$5="製造",SUMIF('内訳ﾘｽﾄ(4～3月)'!$D$26:$D$998,$B63,'内訳ﾘｽﾄ(4～3月)'!L$26:L$998),IF('内訳ﾘｽﾄ(4～3月)'!$D$5="部外間接2",-SUM(I$14:I$60,I$65),0))</f>
        <v>0</v>
      </c>
      <c r="J63" s="157">
        <f>IF('内訳ﾘｽﾄ(4～3月)'!$D$5="製造",SUMIF('内訳ﾘｽﾄ(4～3月)'!$D$26:$D$998,$B63,'内訳ﾘｽﾄ(4～3月)'!M$26:M$998),IF('内訳ﾘｽﾄ(4～3月)'!$D$5="部外間接2",-SUM(J$14:J$60,J$65),0))</f>
        <v>0</v>
      </c>
      <c r="K63" s="157">
        <f>IF('内訳ﾘｽﾄ(4～3月)'!$D$5="製造",SUMIF('内訳ﾘｽﾄ(4～3月)'!$D$26:$D$998,$B63,'内訳ﾘｽﾄ(4～3月)'!N$26:N$998),IF('内訳ﾘｽﾄ(4～3月)'!$D$5="部外間接2",-SUM(K$14:K$60,K$65),0))</f>
        <v>0</v>
      </c>
      <c r="L63" s="157">
        <f>IF('内訳ﾘｽﾄ(4～3月)'!$D$5="製造",SUMIF('内訳ﾘｽﾄ(4～3月)'!$D$26:$D$998,$B63,'内訳ﾘｽﾄ(4～3月)'!O$26:O$998),IF('内訳ﾘｽﾄ(4～3月)'!$D$5="部外間接2",-SUM(L$14:L$60,L$65),0))</f>
        <v>0</v>
      </c>
      <c r="M63" s="157">
        <f>IF('内訳ﾘｽﾄ(4～3月)'!$D$5="製造",SUMIF('内訳ﾘｽﾄ(4～3月)'!$D$26:$D$998,$B63,'内訳ﾘｽﾄ(4～3月)'!P$26:P$998),IF('内訳ﾘｽﾄ(4～3月)'!$D$5="部外間接2",-SUM(M$14:M$60,M$65),0))</f>
        <v>0</v>
      </c>
      <c r="N63" s="157">
        <f>IF('内訳ﾘｽﾄ(4～3月)'!$D$5="製造",SUMIF('内訳ﾘｽﾄ(4～3月)'!$D$26:$D$998,$B63,'内訳ﾘｽﾄ(4～3月)'!Q$26:Q$998),IF('内訳ﾘｽﾄ(4～3月)'!$D$5="部外間接2",-SUM(N$14:N$60,N$65),0))</f>
        <v>0</v>
      </c>
      <c r="O63" s="157">
        <f>IF('内訳ﾘｽﾄ(4～3月)'!$D$5="部外間接2",-SUM(O$65,O$14:O$60),IF('内訳ﾘｽﾄ(4～3月)'!$D$5="製造",SUMIF('内訳ﾘｽﾄ(4～3月)'!$D$26:$D$797,'採算表(VND)'!$B63,'内訳ﾘｽﾄ(4～3月)'!R$26:R$797),0))</f>
        <v>0</v>
      </c>
      <c r="AQ63" s="72"/>
      <c r="AR63" s="72"/>
      <c r="AS63" s="72"/>
      <c r="AT63" s="72"/>
      <c r="AU63" s="70"/>
      <c r="AV63" s="71"/>
      <c r="AW63" s="71"/>
      <c r="AX63" s="71"/>
      <c r="AY63" s="71"/>
      <c r="BA63" s="73"/>
      <c r="BB63" s="73"/>
      <c r="BC63" s="73"/>
      <c r="BD63" s="73"/>
      <c r="BF63" s="70"/>
      <c r="BG63" s="70"/>
      <c r="BH63" s="70"/>
      <c r="BI63" s="70"/>
    </row>
    <row r="64" spans="1:61" ht="11.25" customHeight="1">
      <c r="A64" s="38"/>
      <c r="B64" s="37" t="s">
        <v>143</v>
      </c>
      <c r="C64" s="157">
        <f>IF('内訳ﾘｽﾄ(4～3月)'!$D$5="製造",SUMIF('内訳ﾘｽﾄ(4～3月)'!$D$26:$D$998,$B64,'内訳ﾘｽﾄ(4～3月)'!F$26:F$998),IF('内訳ﾘｽﾄ(4～3月)'!$D$5="工場間接",-SUM(C$14:C$60,C$65),0))</f>
        <v>0</v>
      </c>
      <c r="D64" s="157">
        <f>IF('内訳ﾘｽﾄ(4～3月)'!$D$5="製造",SUMIF('内訳ﾘｽﾄ(4～3月)'!$D$26:$D$998,$B64,'内訳ﾘｽﾄ(4～3月)'!G$26:G$998),IF('内訳ﾘｽﾄ(4～3月)'!$D$5="工場間接",-SUM(D$14:D$60,D$65),0))</f>
        <v>0</v>
      </c>
      <c r="E64" s="157">
        <f>IF('内訳ﾘｽﾄ(4～3月)'!$D$5="製造",SUMIF('内訳ﾘｽﾄ(4～3月)'!$D$26:$D$998,$B64,'内訳ﾘｽﾄ(4～3月)'!H$26:H$998),IF('内訳ﾘｽﾄ(4～3月)'!$D$5="工場間接",-SUM(E$14:E$60,E$65),0))</f>
        <v>0</v>
      </c>
      <c r="F64" s="157">
        <f>IF('内訳ﾘｽﾄ(4～3月)'!$D$5="製造",SUMIF('内訳ﾘｽﾄ(4～3月)'!$D$26:$D$998,$B64,'内訳ﾘｽﾄ(4～3月)'!I$26:I$998),IF('内訳ﾘｽﾄ(4～3月)'!$D$5="工場間接",-SUM(F$14:F$60,F$65),0))</f>
        <v>0</v>
      </c>
      <c r="G64" s="157">
        <f>IF('内訳ﾘｽﾄ(4～3月)'!$D$5="製造",SUMIF('内訳ﾘｽﾄ(4～3月)'!$D$26:$D$998,$B64,'内訳ﾘｽﾄ(4～3月)'!J$26:J$998),IF('内訳ﾘｽﾄ(4～3月)'!$D$5="工場間接",-SUM(G$14:G$60,G$65),0))</f>
        <v>0</v>
      </c>
      <c r="H64" s="157">
        <f>IF('内訳ﾘｽﾄ(4～3月)'!$D$5="製造",SUMIF('内訳ﾘｽﾄ(4～3月)'!$D$26:$D$998,$B64,'内訳ﾘｽﾄ(4～3月)'!K$26:K$998),IF('内訳ﾘｽﾄ(4～3月)'!$D$5="工場間接",-SUM(H$14:H$60,H$65),0))</f>
        <v>0</v>
      </c>
      <c r="I64" s="157">
        <f>IF('内訳ﾘｽﾄ(4～3月)'!$D$5="製造",SUMIF('内訳ﾘｽﾄ(4～3月)'!$D$26:$D$998,$B64,'内訳ﾘｽﾄ(4～3月)'!L$26:L$998),IF('内訳ﾘｽﾄ(4～3月)'!$D$5="工場間接",-SUM(I$14:I$60,I$65),0))</f>
        <v>0</v>
      </c>
      <c r="J64" s="157">
        <f>IF('内訳ﾘｽﾄ(4～3月)'!$D$5="製造",SUMIF('内訳ﾘｽﾄ(4～3月)'!$D$26:$D$998,$B64,'内訳ﾘｽﾄ(4～3月)'!M$26:M$998),IF('内訳ﾘｽﾄ(4～3月)'!$D$5="工場間接",-SUM(J$14:J$60,J$65),0))</f>
        <v>0</v>
      </c>
      <c r="K64" s="157">
        <f>IF('内訳ﾘｽﾄ(4～3月)'!$D$5="製造",SUMIF('内訳ﾘｽﾄ(4～3月)'!$D$26:$D$998,$B64,'内訳ﾘｽﾄ(4～3月)'!N$26:N$998),IF('内訳ﾘｽﾄ(4～3月)'!$D$5="工場間接",-SUM(K$14:K$60,K$65),0))</f>
        <v>0</v>
      </c>
      <c r="L64" s="157">
        <f>IF('内訳ﾘｽﾄ(4～3月)'!$D$5="製造",SUMIF('内訳ﾘｽﾄ(4～3月)'!$D$26:$D$998,$B64,'内訳ﾘｽﾄ(4～3月)'!O$26:O$998),IF('内訳ﾘｽﾄ(4～3月)'!$D$5="工場間接",-SUM(L$14:L$60,L$65),0))</f>
        <v>0</v>
      </c>
      <c r="M64" s="157">
        <f>IF('内訳ﾘｽﾄ(4～3月)'!$D$5="製造",SUMIF('内訳ﾘｽﾄ(4～3月)'!$D$26:$D$998,$B64,'内訳ﾘｽﾄ(4～3月)'!P$26:P$998),IF('内訳ﾘｽﾄ(4～3月)'!$D$5="工場間接",-SUM(M$14:M$60,M$65),0))</f>
        <v>0</v>
      </c>
      <c r="N64" s="157">
        <f>IF('内訳ﾘｽﾄ(4～3月)'!$D$5="製造",SUMIF('内訳ﾘｽﾄ(4～3月)'!$D$26:$D$998,$B64,'内訳ﾘｽﾄ(4～3月)'!Q$26:Q$998),IF('内訳ﾘｽﾄ(4～3月)'!$D$5="工場間接",-SUM(N$14:N$60,N$65),0))</f>
        <v>0</v>
      </c>
      <c r="O64" s="157">
        <f>IF('内訳ﾘｽﾄ(4～3月)'!$D$5="工場間接",-SUM(O$65,O$14:O$60),IF('内訳ﾘｽﾄ(4～3月)'!$D$5="製造",SUMIF('内訳ﾘｽﾄ(4～3月)'!$D$26:$D$797,'採算表(VND)'!$B64,'内訳ﾘｽﾄ(4～3月)'!R$26:R$797),0))</f>
        <v>0</v>
      </c>
      <c r="AQ64" s="72"/>
      <c r="AR64" s="72"/>
      <c r="AS64" s="72"/>
      <c r="AT64" s="72"/>
      <c r="AU64" s="70"/>
      <c r="AV64" s="71"/>
      <c r="AW64" s="71"/>
      <c r="AX64" s="71"/>
      <c r="AY64" s="71"/>
      <c r="BA64" s="73"/>
      <c r="BB64" s="73"/>
      <c r="BC64" s="73"/>
      <c r="BD64" s="73"/>
      <c r="BF64" s="70"/>
      <c r="BG64" s="70"/>
      <c r="BH64" s="70"/>
      <c r="BI64" s="70"/>
    </row>
    <row r="65" spans="1:61" ht="11.25" customHeight="1">
      <c r="A65" s="38"/>
      <c r="B65" s="37" t="s">
        <v>111</v>
      </c>
      <c r="C65" s="155">
        <f>SUMIF('内訳ﾘｽﾄ(4～3月)'!$D$26:$D$998,$B65,'内訳ﾘｽﾄ(4～3月)'!F$26:F$998)</f>
        <v>0</v>
      </c>
      <c r="D65" s="155">
        <f>SUMIF('内訳ﾘｽﾄ(4～3月)'!$D$26:$D$998,$B65,'内訳ﾘｽﾄ(4～3月)'!G$26:G$998)</f>
        <v>0</v>
      </c>
      <c r="E65" s="155">
        <f>SUMIF('内訳ﾘｽﾄ(4～3月)'!$D$26:$D$998,$B65,'内訳ﾘｽﾄ(4～3月)'!H$26:H$998)</f>
        <v>0</v>
      </c>
      <c r="F65" s="155">
        <f>SUMIF('内訳ﾘｽﾄ(4～3月)'!$D$26:$D$998,$B65,'内訳ﾘｽﾄ(4～3月)'!I$26:I$998)</f>
        <v>0</v>
      </c>
      <c r="G65" s="155">
        <f>SUMIF('内訳ﾘｽﾄ(4～3月)'!$D$26:$D$998,$B65,'内訳ﾘｽﾄ(4～3月)'!J$26:J$998)</f>
        <v>0</v>
      </c>
      <c r="H65" s="155">
        <f>SUMIF('内訳ﾘｽﾄ(4～3月)'!$D$26:$D$998,$B65,'内訳ﾘｽﾄ(4～3月)'!K$26:K$998)</f>
        <v>0</v>
      </c>
      <c r="I65" s="155">
        <f>SUMIF('内訳ﾘｽﾄ(4～3月)'!$D$26:$D$998,$B65,'内訳ﾘｽﾄ(4～3月)'!L$26:L$998)</f>
        <v>0</v>
      </c>
      <c r="J65" s="155">
        <f>SUMIF('内訳ﾘｽﾄ(4～3月)'!$D$26:$D$998,$B65,'内訳ﾘｽﾄ(4～3月)'!M$26:M$998)</f>
        <v>0</v>
      </c>
      <c r="K65" s="155">
        <f>SUMIF('内訳ﾘｽﾄ(4～3月)'!$D$26:$D$998,$B65,'内訳ﾘｽﾄ(4～3月)'!N$26:N$998)</f>
        <v>0</v>
      </c>
      <c r="L65" s="155">
        <f>SUMIF('内訳ﾘｽﾄ(4～3月)'!$D$26:$D$998,$B65,'内訳ﾘｽﾄ(4～3月)'!O$26:O$998)</f>
        <v>0</v>
      </c>
      <c r="M65" s="155">
        <f>SUMIF('内訳ﾘｽﾄ(4～3月)'!$D$26:$D$998,$B65,'内訳ﾘｽﾄ(4～3月)'!P$26:P$998)</f>
        <v>0</v>
      </c>
      <c r="N65" s="155">
        <f>SUMIF('内訳ﾘｽﾄ(4～3月)'!$D$26:$D$998,$B65,'内訳ﾘｽﾄ(4～3月)'!Q$26:Q$998)</f>
        <v>0</v>
      </c>
      <c r="O65" s="155">
        <f>SUMIF('内訳ﾘｽﾄ(4～3月)'!$D$26:$D$797,'採算表(VND)'!$B65,'内訳ﾘｽﾄ(4～3月)'!R$26:R$797)</f>
        <v>0</v>
      </c>
      <c r="AQ65" s="72"/>
      <c r="AR65" s="72"/>
      <c r="AS65" s="72"/>
      <c r="AT65" s="72"/>
      <c r="AU65" s="70"/>
      <c r="AV65" s="71"/>
      <c r="AW65" s="71"/>
      <c r="AX65" s="71"/>
      <c r="AY65" s="71"/>
      <c r="BA65" s="73"/>
      <c r="BB65" s="73"/>
      <c r="BC65" s="73"/>
      <c r="BD65" s="73"/>
      <c r="BF65" s="70"/>
      <c r="BG65" s="70"/>
      <c r="BH65" s="70"/>
      <c r="BI65" s="70"/>
    </row>
    <row r="66" spans="1:61" ht="11.25" customHeight="1">
      <c r="A66" s="26"/>
      <c r="B66" s="32" t="s">
        <v>77</v>
      </c>
      <c r="C66" s="153">
        <f>C12-C13</f>
        <v>0</v>
      </c>
      <c r="D66" s="153">
        <f t="shared" ref="D66:N66" si="4">D12-D13</f>
        <v>0</v>
      </c>
      <c r="E66" s="153">
        <f t="shared" si="4"/>
        <v>0</v>
      </c>
      <c r="F66" s="153">
        <f t="shared" si="4"/>
        <v>0</v>
      </c>
      <c r="G66" s="153">
        <f t="shared" si="4"/>
        <v>0</v>
      </c>
      <c r="H66" s="153">
        <f t="shared" si="4"/>
        <v>0</v>
      </c>
      <c r="I66" s="153">
        <f t="shared" si="4"/>
        <v>0</v>
      </c>
      <c r="J66" s="153">
        <f t="shared" si="4"/>
        <v>0</v>
      </c>
      <c r="K66" s="153">
        <f t="shared" si="4"/>
        <v>0</v>
      </c>
      <c r="L66" s="153">
        <f t="shared" si="4"/>
        <v>0</v>
      </c>
      <c r="M66" s="153">
        <f t="shared" si="4"/>
        <v>0</v>
      </c>
      <c r="N66" s="153">
        <f t="shared" si="4"/>
        <v>0</v>
      </c>
      <c r="O66" s="153">
        <f>IF(ISBLANK(O4),"",O12-O13)</f>
        <v>0</v>
      </c>
      <c r="AQ66" s="72"/>
      <c r="AR66" s="72"/>
      <c r="AS66" s="72"/>
      <c r="AT66" s="72"/>
      <c r="AU66" s="70"/>
      <c r="AV66" s="71"/>
      <c r="AW66" s="71"/>
      <c r="AX66" s="71"/>
      <c r="AY66" s="71"/>
      <c r="BA66" s="73"/>
      <c r="BB66" s="73"/>
      <c r="BC66" s="73"/>
      <c r="BD66" s="73"/>
      <c r="BF66" s="70"/>
      <c r="BG66" s="70"/>
      <c r="BH66" s="70"/>
      <c r="BI66" s="70"/>
    </row>
    <row r="67" spans="1:61" ht="11.25" customHeight="1">
      <c r="A67" s="26"/>
      <c r="B67" s="28" t="s">
        <v>78</v>
      </c>
      <c r="C67" s="158">
        <f>C73+C79</f>
        <v>0</v>
      </c>
      <c r="D67" s="158">
        <f t="shared" ref="D67:N67" si="5">D73+D79</f>
        <v>0</v>
      </c>
      <c r="E67" s="158">
        <f t="shared" si="5"/>
        <v>0</v>
      </c>
      <c r="F67" s="158">
        <f t="shared" si="5"/>
        <v>0</v>
      </c>
      <c r="G67" s="158">
        <f t="shared" si="5"/>
        <v>0</v>
      </c>
      <c r="H67" s="158">
        <f t="shared" si="5"/>
        <v>0</v>
      </c>
      <c r="I67" s="158">
        <f t="shared" si="5"/>
        <v>0</v>
      </c>
      <c r="J67" s="158">
        <f t="shared" si="5"/>
        <v>0</v>
      </c>
      <c r="K67" s="158">
        <f t="shared" si="5"/>
        <v>0</v>
      </c>
      <c r="L67" s="158">
        <f t="shared" si="5"/>
        <v>0</v>
      </c>
      <c r="M67" s="158">
        <f t="shared" si="5"/>
        <v>0</v>
      </c>
      <c r="N67" s="158">
        <f t="shared" si="5"/>
        <v>0</v>
      </c>
      <c r="O67" s="158">
        <f>IF(ISBLANK(O4),"",O73+O79)</f>
        <v>0</v>
      </c>
      <c r="AQ67" s="72"/>
      <c r="AR67" s="72"/>
      <c r="AS67" s="72"/>
      <c r="AT67" s="72"/>
      <c r="AU67" s="70"/>
      <c r="AV67" s="71"/>
      <c r="AW67" s="71"/>
      <c r="AX67" s="71"/>
      <c r="AY67" s="71"/>
      <c r="BA67" s="73"/>
      <c r="BB67" s="73"/>
      <c r="BC67" s="73"/>
      <c r="BD67" s="73"/>
      <c r="BF67" s="70"/>
      <c r="BG67" s="70"/>
      <c r="BH67" s="70"/>
      <c r="BI67" s="70"/>
    </row>
    <row r="68" spans="1:61" ht="11.25" customHeight="1">
      <c r="A68" s="38"/>
      <c r="B68" s="46" t="s">
        <v>87</v>
      </c>
      <c r="C68" s="159">
        <f>SUMIF('内訳ﾘｽﾄ(4～3月)'!$D$8:$D$15,'採算表(VND)'!$B68,'内訳ﾘｽﾄ(4～3月)'!F$8:F$15)</f>
        <v>7267.5</v>
      </c>
      <c r="D68" s="159">
        <f>SUMIF('内訳ﾘｽﾄ(4～3月)'!$D$8:$D$15,'採算表(VND)'!$B68,'内訳ﾘｽﾄ(4～3月)'!G$8:G$15)</f>
        <v>6885</v>
      </c>
      <c r="E68" s="159">
        <f>SUMIF('内訳ﾘｽﾄ(4～3月)'!$D$8:$D$15,'採算表(VND)'!$B68,'内訳ﾘｽﾄ(4～3月)'!H$8:H$15)</f>
        <v>7990</v>
      </c>
      <c r="F68" s="159">
        <f>SUMIF('内訳ﾘｽﾄ(4～3月)'!$D$8:$D$15,'採算表(VND)'!$B68,'内訳ﾘｽﾄ(4～3月)'!I$8:I$15)</f>
        <v>8789</v>
      </c>
      <c r="G68" s="159">
        <f>SUMIF('内訳ﾘｽﾄ(4～3月)'!$D$8:$D$15,'採算表(VND)'!$B68,'内訳ﾘｽﾄ(4～3月)'!J$8:J$15)</f>
        <v>7590.5</v>
      </c>
      <c r="H68" s="159">
        <f>SUMIF('内訳ﾘｽﾄ(4～3月)'!$D$8:$D$15,'採算表(VND)'!$B68,'内訳ﾘｽﾄ(4～3月)'!K$8:K$15)</f>
        <v>7191</v>
      </c>
      <c r="I68" s="159">
        <f>SUMIF('内訳ﾘｽﾄ(4～3月)'!$D$8:$D$15,'採算表(VND)'!$B68,'内訳ﾘｽﾄ(4～3月)'!L$8:L$15)</f>
        <v>8789</v>
      </c>
      <c r="J68" s="159">
        <f>SUMIF('内訳ﾘｽﾄ(4～3月)'!$D$8:$D$15,'採算表(VND)'!$B68,'内訳ﾘｽﾄ(4～3月)'!M$8:M$15)</f>
        <v>7590.5</v>
      </c>
      <c r="K68" s="159">
        <f>SUMIF('内訳ﾘｽﾄ(4～3月)'!$D$8:$D$15,'採算表(VND)'!$B68,'内訳ﾘｽﾄ(4～3月)'!N$8:N$15)</f>
        <v>8389.5</v>
      </c>
      <c r="L68" s="159">
        <f>SUMIF('内訳ﾘｽﾄ(4～3月)'!$D$8:$D$15,'採算表(VND)'!$B68,'内訳ﾘｽﾄ(4～3月)'!O$8:O$15)</f>
        <v>7590.5</v>
      </c>
      <c r="M68" s="159">
        <f>SUMIF('内訳ﾘｽﾄ(4～3月)'!$D$8:$D$15,'採算表(VND)'!$B68,'内訳ﾘｽﾄ(4～3月)'!P$8:P$15)</f>
        <v>5593</v>
      </c>
      <c r="N68" s="159">
        <f>SUMIF('内訳ﾘｽﾄ(4～3月)'!$D$8:$D$15,'採算表(VND)'!$B68,'内訳ﾘｽﾄ(4～3月)'!Q$8:Q$15)</f>
        <v>7590.5</v>
      </c>
      <c r="O68" s="159">
        <f>SUMIF('内訳ﾘｽﾄ(4～3月)'!$D$8:$D$15,'採算表(VND)'!$B68,'内訳ﾘｽﾄ(4～3月)'!$R$8:$R$15)</f>
        <v>91256</v>
      </c>
      <c r="AQ68" s="72"/>
      <c r="AR68" s="72"/>
      <c r="AS68" s="72"/>
      <c r="AT68" s="72"/>
      <c r="AU68" s="70"/>
      <c r="AV68" s="71"/>
      <c r="AW68" s="71"/>
      <c r="AX68" s="71"/>
      <c r="AY68" s="71"/>
      <c r="BA68" s="73"/>
      <c r="BB68" s="73"/>
      <c r="BC68" s="73"/>
      <c r="BD68" s="73"/>
      <c r="BF68" s="70"/>
      <c r="BG68" s="70"/>
      <c r="BH68" s="70"/>
      <c r="BI68" s="70"/>
    </row>
    <row r="69" spans="1:61" ht="11.25" customHeight="1">
      <c r="A69" s="38"/>
      <c r="B69" s="46" t="s">
        <v>88</v>
      </c>
      <c r="C69" s="160">
        <f>IF('内訳ﾘｽﾄ(4～3月)'!$D$5="製造",SUMIF('内訳ﾘｽﾄ(4～3月)'!$D$8:$D$15,$B69,'内訳ﾘｽﾄ(4～3月)'!F$8:F$15),IF('内訳ﾘｽﾄ(4～3月)'!$D$5="部内間接",-C$68,0))</f>
        <v>-7267.5</v>
      </c>
      <c r="D69" s="160">
        <f>IF('内訳ﾘｽﾄ(4～3月)'!$D$5="製造",SUMIF('内訳ﾘｽﾄ(4～3月)'!$D$8:$D$15,$B69,'内訳ﾘｽﾄ(4～3月)'!G$8:G$15),IF('内訳ﾘｽﾄ(4～3月)'!$D$5="部内間接",-D$68,0))</f>
        <v>-6885</v>
      </c>
      <c r="E69" s="160">
        <f>IF('内訳ﾘｽﾄ(4～3月)'!$D$5="製造",SUMIF('内訳ﾘｽﾄ(4～3月)'!$D$8:$D$15,$B69,'内訳ﾘｽﾄ(4～3月)'!H$8:H$15),IF('内訳ﾘｽﾄ(4～3月)'!$D$5="部内間接",-E$68,0))</f>
        <v>-7990</v>
      </c>
      <c r="F69" s="160">
        <f>IF('内訳ﾘｽﾄ(4～3月)'!$D$5="製造",SUMIF('内訳ﾘｽﾄ(4～3月)'!$D$8:$D$15,$B69,'内訳ﾘｽﾄ(4～3月)'!I$8:I$15),IF('内訳ﾘｽﾄ(4～3月)'!$D$5="部内間接",-F$68,0))</f>
        <v>-8789</v>
      </c>
      <c r="G69" s="160">
        <f>IF('内訳ﾘｽﾄ(4～3月)'!$D$5="製造",SUMIF('内訳ﾘｽﾄ(4～3月)'!$D$8:$D$15,$B69,'内訳ﾘｽﾄ(4～3月)'!J$8:J$15),IF('内訳ﾘｽﾄ(4～3月)'!$D$5="部内間接",-G$68,0))</f>
        <v>-7590.5</v>
      </c>
      <c r="H69" s="160">
        <f>IF('内訳ﾘｽﾄ(4～3月)'!$D$5="製造",SUMIF('内訳ﾘｽﾄ(4～3月)'!$D$8:$D$15,$B69,'内訳ﾘｽﾄ(4～3月)'!K$8:K$15),IF('内訳ﾘｽﾄ(4～3月)'!$D$5="部内間接",-H$68,0))</f>
        <v>-7191</v>
      </c>
      <c r="I69" s="160">
        <f>IF('内訳ﾘｽﾄ(4～3月)'!$D$5="製造",SUMIF('内訳ﾘｽﾄ(4～3月)'!$D$8:$D$15,$B69,'内訳ﾘｽﾄ(4～3月)'!L$8:L$15),IF('内訳ﾘｽﾄ(4～3月)'!$D$5="部内間接",-I$68,0))</f>
        <v>-8789</v>
      </c>
      <c r="J69" s="160">
        <f>IF('内訳ﾘｽﾄ(4～3月)'!$D$5="製造",SUMIF('内訳ﾘｽﾄ(4～3月)'!$D$8:$D$15,$B69,'内訳ﾘｽﾄ(4～3月)'!M$8:M$15),IF('内訳ﾘｽﾄ(4～3月)'!$D$5="部内間接",-J$68,0))</f>
        <v>-7590.5</v>
      </c>
      <c r="K69" s="160">
        <f>IF('内訳ﾘｽﾄ(4～3月)'!$D$5="製造",SUMIF('内訳ﾘｽﾄ(4～3月)'!$D$8:$D$15,$B69,'内訳ﾘｽﾄ(4～3月)'!N$8:N$15),IF('内訳ﾘｽﾄ(4～3月)'!$D$5="部内間接",-K$68,0))</f>
        <v>-8389.5</v>
      </c>
      <c r="L69" s="160">
        <f>IF('内訳ﾘｽﾄ(4～3月)'!$D$5="製造",SUMIF('内訳ﾘｽﾄ(4～3月)'!$D$8:$D$15,$B69,'内訳ﾘｽﾄ(4～3月)'!O$8:O$15),IF('内訳ﾘｽﾄ(4～3月)'!$D$5="部内間接",-L$68,0))</f>
        <v>-7590.5</v>
      </c>
      <c r="M69" s="160">
        <f>IF('内訳ﾘｽﾄ(4～3月)'!$D$5="製造",SUMIF('内訳ﾘｽﾄ(4～3月)'!$D$8:$D$15,$B69,'内訳ﾘｽﾄ(4～3月)'!P$8:P$15),IF('内訳ﾘｽﾄ(4～3月)'!$D$5="部内間接",-M$68,0))</f>
        <v>-5593</v>
      </c>
      <c r="N69" s="160">
        <f>IF('内訳ﾘｽﾄ(4～3月)'!$D$5="製造",SUMIF('内訳ﾘｽﾄ(4～3月)'!$D$8:$D$15,$B69,'内訳ﾘｽﾄ(4～3月)'!Q$8:Q$15),IF('内訳ﾘｽﾄ(4～3月)'!$D$5="部内間接",-N$68,0))</f>
        <v>-7590.5</v>
      </c>
      <c r="O69" s="160">
        <f>IF('内訳ﾘｽﾄ(4～3月)'!$D$5="部内間接",-SUM(O$68),IF('内訳ﾘｽﾄ(4～3月)'!$D$5="製造",SUMIF('内訳ﾘｽﾄ(4～3月)'!$D$8:$D$15,'採算表(VND)'!$B69,'内訳ﾘｽﾄ(4～3月)'!$R$8:$R$15),0))</f>
        <v>-91256</v>
      </c>
      <c r="AQ69" s="72"/>
      <c r="AR69" s="72"/>
      <c r="AS69" s="72"/>
      <c r="AT69" s="72"/>
      <c r="AU69" s="70"/>
      <c r="AV69" s="71"/>
      <c r="AW69" s="71"/>
      <c r="AX69" s="71"/>
      <c r="AY69" s="71"/>
      <c r="BA69" s="73"/>
      <c r="BB69" s="73"/>
      <c r="BC69" s="73"/>
      <c r="BD69" s="73"/>
      <c r="BF69" s="70"/>
      <c r="BG69" s="70"/>
      <c r="BH69" s="70"/>
      <c r="BI69" s="70"/>
    </row>
    <row r="70" spans="1:61" ht="11.25" customHeight="1">
      <c r="A70" s="38"/>
      <c r="B70" s="47" t="s">
        <v>126</v>
      </c>
      <c r="C70" s="161">
        <f>IF('内訳ﾘｽﾄ(4～3月)'!$D$5="製造",SUMIF('内訳ﾘｽﾄ(4～3月)'!$D$8:$D$15,$B70,'内訳ﾘｽﾄ(4～3月)'!F$8:F$15),IF('内訳ﾘｽﾄ(4～3月)'!$D$5="部外間接1",-C$68,0))</f>
        <v>0</v>
      </c>
      <c r="D70" s="161">
        <f>IF('内訳ﾘｽﾄ(4～3月)'!$D$5="製造",SUMIF('内訳ﾘｽﾄ(4～3月)'!$D$8:$D$15,$B70,'内訳ﾘｽﾄ(4～3月)'!G$8:G$15),IF('内訳ﾘｽﾄ(4～3月)'!$D$5="部外間接1",-D$68,0))</f>
        <v>0</v>
      </c>
      <c r="E70" s="161">
        <f>IF('内訳ﾘｽﾄ(4～3月)'!$D$5="製造",SUMIF('内訳ﾘｽﾄ(4～3月)'!$D$8:$D$15,$B70,'内訳ﾘｽﾄ(4～3月)'!H$8:H$15),IF('内訳ﾘｽﾄ(4～3月)'!$D$5="部外間接1",-E$68,0))</f>
        <v>0</v>
      </c>
      <c r="F70" s="161">
        <f>IF('内訳ﾘｽﾄ(4～3月)'!$D$5="製造",SUMIF('内訳ﾘｽﾄ(4～3月)'!$D$8:$D$15,$B70,'内訳ﾘｽﾄ(4～3月)'!I$8:I$15),IF('内訳ﾘｽﾄ(4～3月)'!$D$5="部外間接1",-F$68,0))</f>
        <v>0</v>
      </c>
      <c r="G70" s="161">
        <f>IF('内訳ﾘｽﾄ(4～3月)'!$D$5="製造",SUMIF('内訳ﾘｽﾄ(4～3月)'!$D$8:$D$15,$B70,'内訳ﾘｽﾄ(4～3月)'!J$8:J$15),IF('内訳ﾘｽﾄ(4～3月)'!$D$5="部外間接1",-G$68,0))</f>
        <v>0</v>
      </c>
      <c r="H70" s="161">
        <f>IF('内訳ﾘｽﾄ(4～3月)'!$D$5="製造",SUMIF('内訳ﾘｽﾄ(4～3月)'!$D$8:$D$15,$B70,'内訳ﾘｽﾄ(4～3月)'!K$8:K$15),IF('内訳ﾘｽﾄ(4～3月)'!$D$5="部外間接1",-H$68,0))</f>
        <v>0</v>
      </c>
      <c r="I70" s="161">
        <f>IF('内訳ﾘｽﾄ(4～3月)'!$D$5="製造",SUMIF('内訳ﾘｽﾄ(4～3月)'!$D$8:$D$15,$B70,'内訳ﾘｽﾄ(4～3月)'!L$8:L$15),IF('内訳ﾘｽﾄ(4～3月)'!$D$5="部外間接1",-I$68,0))</f>
        <v>0</v>
      </c>
      <c r="J70" s="161">
        <f>IF('内訳ﾘｽﾄ(4～3月)'!$D$5="製造",SUMIF('内訳ﾘｽﾄ(4～3月)'!$D$8:$D$15,$B70,'内訳ﾘｽﾄ(4～3月)'!M$8:M$15),IF('内訳ﾘｽﾄ(4～3月)'!$D$5="部外間接1",-J$68,0))</f>
        <v>0</v>
      </c>
      <c r="K70" s="161">
        <f>IF('内訳ﾘｽﾄ(4～3月)'!$D$5="製造",SUMIF('内訳ﾘｽﾄ(4～3月)'!$D$8:$D$15,$B70,'内訳ﾘｽﾄ(4～3月)'!N$8:N$15),IF('内訳ﾘｽﾄ(4～3月)'!$D$5="部外間接1",-K$68,0))</f>
        <v>0</v>
      </c>
      <c r="L70" s="161">
        <f>IF('内訳ﾘｽﾄ(4～3月)'!$D$5="製造",SUMIF('内訳ﾘｽﾄ(4～3月)'!$D$8:$D$15,$B70,'内訳ﾘｽﾄ(4～3月)'!O$8:O$15),IF('内訳ﾘｽﾄ(4～3月)'!$D$5="部外間接1",-L$68,0))</f>
        <v>0</v>
      </c>
      <c r="M70" s="161">
        <f>IF('内訳ﾘｽﾄ(4～3月)'!$D$5="製造",SUMIF('内訳ﾘｽﾄ(4～3月)'!$D$8:$D$15,$B70,'内訳ﾘｽﾄ(4～3月)'!P$8:P$15),IF('内訳ﾘｽﾄ(4～3月)'!$D$5="部外間接1",-M$68,0))</f>
        <v>0</v>
      </c>
      <c r="N70" s="161">
        <f>IF('内訳ﾘｽﾄ(4～3月)'!$D$5="製造",SUMIF('内訳ﾘｽﾄ(4～3月)'!$D$8:$D$15,$B70,'内訳ﾘｽﾄ(4～3月)'!Q$8:Q$15),IF('内訳ﾘｽﾄ(4～3月)'!$D$5="部外間接1",-N$68,0))</f>
        <v>0</v>
      </c>
      <c r="O70" s="161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2"/>
      <c r="AR70" s="72"/>
      <c r="AS70" s="72"/>
      <c r="AT70" s="72"/>
      <c r="AU70" s="70"/>
      <c r="AV70" s="71"/>
      <c r="AW70" s="71"/>
      <c r="AX70" s="71"/>
      <c r="AY70" s="71"/>
      <c r="BA70" s="73"/>
      <c r="BB70" s="73"/>
      <c r="BC70" s="73"/>
      <c r="BD70" s="73"/>
      <c r="BF70" s="70"/>
      <c r="BG70" s="70"/>
      <c r="BH70" s="70"/>
      <c r="BI70" s="70"/>
    </row>
    <row r="71" spans="1:61" ht="11.25" customHeight="1">
      <c r="A71" s="38"/>
      <c r="B71" s="47" t="s">
        <v>127</v>
      </c>
      <c r="C71" s="161">
        <f>IF('内訳ﾘｽﾄ(4～3月)'!$D$5="製造",SUMIF('内訳ﾘｽﾄ(4～3月)'!$D$8:$D$15,$B71,'内訳ﾘｽﾄ(4～3月)'!F$8:F$15),IF('内訳ﾘｽﾄ(4～3月)'!$D$5="部外間接2",-C$68,0))</f>
        <v>0</v>
      </c>
      <c r="D71" s="161">
        <f>IF('内訳ﾘｽﾄ(4～3月)'!$D$5="製造",SUMIF('内訳ﾘｽﾄ(4～3月)'!$D$8:$D$15,$B71,'内訳ﾘｽﾄ(4～3月)'!G$8:G$15),IF('内訳ﾘｽﾄ(4～3月)'!$D$5="部外間接2",-D$68,0))</f>
        <v>0</v>
      </c>
      <c r="E71" s="161">
        <f>IF('内訳ﾘｽﾄ(4～3月)'!$D$5="製造",SUMIF('内訳ﾘｽﾄ(4～3月)'!$D$8:$D$15,$B71,'内訳ﾘｽﾄ(4～3月)'!H$8:H$15),IF('内訳ﾘｽﾄ(4～3月)'!$D$5="部外間接2",-E$68,0))</f>
        <v>0</v>
      </c>
      <c r="F71" s="161">
        <f>IF('内訳ﾘｽﾄ(4～3月)'!$D$5="製造",SUMIF('内訳ﾘｽﾄ(4～3月)'!$D$8:$D$15,$B71,'内訳ﾘｽﾄ(4～3月)'!I$8:I$15),IF('内訳ﾘｽﾄ(4～3月)'!$D$5="部外間接2",-F$68,0))</f>
        <v>0</v>
      </c>
      <c r="G71" s="161">
        <f>IF('内訳ﾘｽﾄ(4～3月)'!$D$5="製造",SUMIF('内訳ﾘｽﾄ(4～3月)'!$D$8:$D$15,$B71,'内訳ﾘｽﾄ(4～3月)'!J$8:J$15),IF('内訳ﾘｽﾄ(4～3月)'!$D$5="部外間接2",-G$68,0))</f>
        <v>0</v>
      </c>
      <c r="H71" s="161">
        <f>IF('内訳ﾘｽﾄ(4～3月)'!$D$5="製造",SUMIF('内訳ﾘｽﾄ(4～3月)'!$D$8:$D$15,$B71,'内訳ﾘｽﾄ(4～3月)'!K$8:K$15),IF('内訳ﾘｽﾄ(4～3月)'!$D$5="部外間接2",-H$68,0))</f>
        <v>0</v>
      </c>
      <c r="I71" s="161">
        <f>IF('内訳ﾘｽﾄ(4～3月)'!$D$5="製造",SUMIF('内訳ﾘｽﾄ(4～3月)'!$D$8:$D$15,$B71,'内訳ﾘｽﾄ(4～3月)'!L$8:L$15),IF('内訳ﾘｽﾄ(4～3月)'!$D$5="部外間接2",-I$68,0))</f>
        <v>0</v>
      </c>
      <c r="J71" s="161">
        <f>IF('内訳ﾘｽﾄ(4～3月)'!$D$5="製造",SUMIF('内訳ﾘｽﾄ(4～3月)'!$D$8:$D$15,$B71,'内訳ﾘｽﾄ(4～3月)'!M$8:M$15),IF('内訳ﾘｽﾄ(4～3月)'!$D$5="部外間接2",-J$68,0))</f>
        <v>0</v>
      </c>
      <c r="K71" s="161">
        <f>IF('内訳ﾘｽﾄ(4～3月)'!$D$5="製造",SUMIF('内訳ﾘｽﾄ(4～3月)'!$D$8:$D$15,$B71,'内訳ﾘｽﾄ(4～3月)'!N$8:N$15),IF('内訳ﾘｽﾄ(4～3月)'!$D$5="部外間接2",-K$68,0))</f>
        <v>0</v>
      </c>
      <c r="L71" s="161">
        <f>IF('内訳ﾘｽﾄ(4～3月)'!$D$5="製造",SUMIF('内訳ﾘｽﾄ(4～3月)'!$D$8:$D$15,$B71,'内訳ﾘｽﾄ(4～3月)'!O$8:O$15),IF('内訳ﾘｽﾄ(4～3月)'!$D$5="部外間接2",-L$68,0))</f>
        <v>0</v>
      </c>
      <c r="M71" s="161">
        <f>IF('内訳ﾘｽﾄ(4～3月)'!$D$5="製造",SUMIF('内訳ﾘｽﾄ(4～3月)'!$D$8:$D$15,$B71,'内訳ﾘｽﾄ(4～3月)'!P$8:P$15),IF('内訳ﾘｽﾄ(4～3月)'!$D$5="部外間接2",-M$68,0))</f>
        <v>0</v>
      </c>
      <c r="N71" s="161">
        <f>IF('内訳ﾘｽﾄ(4～3月)'!$D$5="製造",SUMIF('内訳ﾘｽﾄ(4～3月)'!$D$8:$D$15,$B71,'内訳ﾘｽﾄ(4～3月)'!Q$8:Q$15),IF('内訳ﾘｽﾄ(4～3月)'!$D$5="部外間接2",-N$68,0))</f>
        <v>0</v>
      </c>
      <c r="O71" s="161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2"/>
      <c r="AR71" s="72"/>
      <c r="AS71" s="72"/>
      <c r="AT71" s="72"/>
      <c r="AU71" s="70"/>
      <c r="AV71" s="71"/>
      <c r="AW71" s="71"/>
      <c r="AX71" s="71"/>
      <c r="AY71" s="71"/>
      <c r="BA71" s="73"/>
      <c r="BB71" s="73"/>
      <c r="BC71" s="73"/>
      <c r="BD71" s="73"/>
      <c r="BF71" s="70"/>
      <c r="BG71" s="70"/>
      <c r="BH71" s="70"/>
      <c r="BI71" s="70"/>
    </row>
    <row r="72" spans="1:61" ht="11.25" customHeight="1">
      <c r="A72" s="38"/>
      <c r="B72" s="40" t="s">
        <v>89</v>
      </c>
      <c r="C72" s="162">
        <f>IF('内訳ﾘｽﾄ(4～3月)'!$D$5="製造",SUMIF('内訳ﾘｽﾄ(4～3月)'!$D$8:$D$15,$B72,'内訳ﾘｽﾄ(4～3月)'!F$8:F$15),IF('内訳ﾘｽﾄ(4～3月)'!$D$5="工場間接",-C$68,0))</f>
        <v>0</v>
      </c>
      <c r="D72" s="162">
        <f>IF('内訳ﾘｽﾄ(4～3月)'!$D$5="製造",SUMIF('内訳ﾘｽﾄ(4～3月)'!$D$8:$D$15,$B72,'内訳ﾘｽﾄ(4～3月)'!G$8:G$15),IF('内訳ﾘｽﾄ(4～3月)'!$D$5="工場間接",-D$68,0))</f>
        <v>0</v>
      </c>
      <c r="E72" s="162">
        <f>IF('内訳ﾘｽﾄ(4～3月)'!$D$5="製造",SUMIF('内訳ﾘｽﾄ(4～3月)'!$D$8:$D$15,$B72,'内訳ﾘｽﾄ(4～3月)'!H$8:H$15),IF('内訳ﾘｽﾄ(4～3月)'!$D$5="工場間接",-E$68,0))</f>
        <v>0</v>
      </c>
      <c r="F72" s="162">
        <f>IF('内訳ﾘｽﾄ(4～3月)'!$D$5="製造",SUMIF('内訳ﾘｽﾄ(4～3月)'!$D$8:$D$15,$B72,'内訳ﾘｽﾄ(4～3月)'!I$8:I$15),IF('内訳ﾘｽﾄ(4～3月)'!$D$5="工場間接",-F$68,0))</f>
        <v>0</v>
      </c>
      <c r="G72" s="162">
        <f>IF('内訳ﾘｽﾄ(4～3月)'!$D$5="製造",SUMIF('内訳ﾘｽﾄ(4～3月)'!$D$8:$D$15,$B72,'内訳ﾘｽﾄ(4～3月)'!J$8:J$15),IF('内訳ﾘｽﾄ(4～3月)'!$D$5="工場間接",-G$68,0))</f>
        <v>0</v>
      </c>
      <c r="H72" s="162">
        <f>IF('内訳ﾘｽﾄ(4～3月)'!$D$5="製造",SUMIF('内訳ﾘｽﾄ(4～3月)'!$D$8:$D$15,$B72,'内訳ﾘｽﾄ(4～3月)'!K$8:K$15),IF('内訳ﾘｽﾄ(4～3月)'!$D$5="工場間接",-H$68,0))</f>
        <v>0</v>
      </c>
      <c r="I72" s="162">
        <f>IF('内訳ﾘｽﾄ(4～3月)'!$D$5="製造",SUMIF('内訳ﾘｽﾄ(4～3月)'!$D$8:$D$15,$B72,'内訳ﾘｽﾄ(4～3月)'!L$8:L$15),IF('内訳ﾘｽﾄ(4～3月)'!$D$5="工場間接",-I$68,0))</f>
        <v>0</v>
      </c>
      <c r="J72" s="162">
        <f>IF('内訳ﾘｽﾄ(4～3月)'!$D$5="製造",SUMIF('内訳ﾘｽﾄ(4～3月)'!$D$8:$D$15,$B72,'内訳ﾘｽﾄ(4～3月)'!M$8:M$15),IF('内訳ﾘｽﾄ(4～3月)'!$D$5="工場間接",-J$68,0))</f>
        <v>0</v>
      </c>
      <c r="K72" s="162">
        <f>IF('内訳ﾘｽﾄ(4～3月)'!$D$5="製造",SUMIF('内訳ﾘｽﾄ(4～3月)'!$D$8:$D$15,$B72,'内訳ﾘｽﾄ(4～3月)'!N$8:N$15),IF('内訳ﾘｽﾄ(4～3月)'!$D$5="工場間接",-K$68,0))</f>
        <v>0</v>
      </c>
      <c r="L72" s="162">
        <f>IF('内訳ﾘｽﾄ(4～3月)'!$D$5="製造",SUMIF('内訳ﾘｽﾄ(4～3月)'!$D$8:$D$15,$B72,'内訳ﾘｽﾄ(4～3月)'!O$8:O$15),IF('内訳ﾘｽﾄ(4～3月)'!$D$5="工場間接",-L$68,0))</f>
        <v>0</v>
      </c>
      <c r="M72" s="162">
        <f>IF('内訳ﾘｽﾄ(4～3月)'!$D$5="製造",SUMIF('内訳ﾘｽﾄ(4～3月)'!$D$8:$D$15,$B72,'内訳ﾘｽﾄ(4～3月)'!P$8:P$15),IF('内訳ﾘｽﾄ(4～3月)'!$D$5="工場間接",-M$68,0))</f>
        <v>0</v>
      </c>
      <c r="N72" s="162">
        <f>IF('内訳ﾘｽﾄ(4～3月)'!$D$5="製造",SUMIF('内訳ﾘｽﾄ(4～3月)'!$D$8:$D$15,$B72,'内訳ﾘｽﾄ(4～3月)'!Q$8:Q$15),IF('内訳ﾘｽﾄ(4～3月)'!$D$5="工場間接",-N$68,0))</f>
        <v>0</v>
      </c>
      <c r="O72" s="162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2"/>
      <c r="AR72" s="72"/>
      <c r="AS72" s="72"/>
      <c r="AT72" s="72"/>
      <c r="AU72" s="70"/>
      <c r="AV72" s="71"/>
      <c r="AW72" s="71"/>
      <c r="AX72" s="71"/>
      <c r="AY72" s="71"/>
      <c r="BA72" s="73"/>
      <c r="BB72" s="73"/>
      <c r="BC72" s="73"/>
      <c r="BD72" s="73"/>
      <c r="BF72" s="70"/>
      <c r="BG72" s="70"/>
      <c r="BH72" s="70"/>
      <c r="BI72" s="70"/>
    </row>
    <row r="73" spans="1:61" ht="11.25" customHeight="1">
      <c r="A73" s="38"/>
      <c r="B73" s="41" t="s">
        <v>90</v>
      </c>
      <c r="C73" s="163">
        <f>SUM(C68:C72)</f>
        <v>0</v>
      </c>
      <c r="D73" s="163">
        <f t="shared" ref="D73:N73" si="6">SUM(D68:D72)</f>
        <v>0</v>
      </c>
      <c r="E73" s="163">
        <f t="shared" si="6"/>
        <v>0</v>
      </c>
      <c r="F73" s="163">
        <f t="shared" si="6"/>
        <v>0</v>
      </c>
      <c r="G73" s="163">
        <f t="shared" si="6"/>
        <v>0</v>
      </c>
      <c r="H73" s="163">
        <f t="shared" si="6"/>
        <v>0</v>
      </c>
      <c r="I73" s="163">
        <f t="shared" si="6"/>
        <v>0</v>
      </c>
      <c r="J73" s="163">
        <f t="shared" si="6"/>
        <v>0</v>
      </c>
      <c r="K73" s="163">
        <f t="shared" si="6"/>
        <v>0</v>
      </c>
      <c r="L73" s="163">
        <f t="shared" si="6"/>
        <v>0</v>
      </c>
      <c r="M73" s="163">
        <f t="shared" si="6"/>
        <v>0</v>
      </c>
      <c r="N73" s="163">
        <f t="shared" si="6"/>
        <v>0</v>
      </c>
      <c r="O73" s="163">
        <f>IF(ISBLANK(O4),"",SUM(O68:O72))</f>
        <v>0</v>
      </c>
      <c r="AQ73" s="72"/>
      <c r="AR73" s="72"/>
      <c r="AS73" s="72"/>
      <c r="AT73" s="72"/>
      <c r="AU73" s="70"/>
      <c r="AV73" s="71"/>
      <c r="AW73" s="71"/>
      <c r="AX73" s="71"/>
      <c r="AY73" s="71"/>
      <c r="BA73" s="73"/>
      <c r="BB73" s="73"/>
      <c r="BC73" s="73"/>
      <c r="BD73" s="73"/>
      <c r="BF73" s="70"/>
      <c r="BG73" s="70"/>
      <c r="BH73" s="70"/>
      <c r="BI73" s="70"/>
    </row>
    <row r="74" spans="1:61" ht="11.25" customHeight="1">
      <c r="A74" s="38"/>
      <c r="B74" s="39" t="s">
        <v>86</v>
      </c>
      <c r="C74" s="159">
        <f>SUMIF('内訳ﾘｽﾄ(4～3月)'!$D$16:$D$23,'採算表(VND)'!$B74,'内訳ﾘｽﾄ(4～3月)'!F$16:F$23)</f>
        <v>920</v>
      </c>
      <c r="D74" s="159">
        <f>SUMIF('内訳ﾘｽﾄ(4～3月)'!$D$16:$D$23,'採算表(VND)'!$B74,'内訳ﾘｽﾄ(4～3月)'!G$16:G$23)</f>
        <v>918</v>
      </c>
      <c r="E74" s="159">
        <f>SUMIF('内訳ﾘｽﾄ(4～3月)'!$D$16:$D$23,'採算表(VND)'!$B74,'内訳ﾘｽﾄ(4～3月)'!H$16:H$23)</f>
        <v>962</v>
      </c>
      <c r="F74" s="159">
        <f>SUMIF('内訳ﾘｽﾄ(4～3月)'!$D$16:$D$23,'採算表(VND)'!$B74,'内訳ﾘｽﾄ(4～3月)'!I$16:I$23)</f>
        <v>966</v>
      </c>
      <c r="G74" s="159">
        <f>SUMIF('内訳ﾘｽﾄ(4～3月)'!$D$16:$D$23,'採算表(VND)'!$B74,'内訳ﾘｽﾄ(4～3月)'!J$16:J$23)</f>
        <v>960</v>
      </c>
      <c r="H74" s="159">
        <f>SUMIF('内訳ﾘｽﾄ(4～3月)'!$D$16:$D$23,'採算表(VND)'!$B74,'内訳ﾘｽﾄ(4～3月)'!K$16:K$23)</f>
        <v>958</v>
      </c>
      <c r="I74" s="159">
        <f>SUMIF('内訳ﾘｽﾄ(4～3月)'!$D$16:$D$23,'採算表(VND)'!$B74,'内訳ﾘｽﾄ(4～3月)'!L$16:L$23)</f>
        <v>966</v>
      </c>
      <c r="J74" s="159">
        <f>SUMIF('内訳ﾘｽﾄ(4～3月)'!$D$16:$D$23,'採算表(VND)'!$B74,'内訳ﾘｽﾄ(4～3月)'!M$16:M$23)</f>
        <v>960</v>
      </c>
      <c r="K74" s="159">
        <f>SUMIF('内訳ﾘｽﾄ(4～3月)'!$D$16:$D$23,'採算表(VND)'!$B74,'内訳ﾘｽﾄ(4～3月)'!N$16:N$23)</f>
        <v>964</v>
      </c>
      <c r="L74" s="159">
        <f>SUMIF('内訳ﾘｽﾄ(4～3月)'!$D$16:$D$23,'採算表(VND)'!$B74,'内訳ﾘｽﾄ(4～3月)'!O$16:O$23)</f>
        <v>960</v>
      </c>
      <c r="M74" s="159">
        <f>SUMIF('内訳ﾘｽﾄ(4～3月)'!$D$16:$D$23,'採算表(VND)'!$B74,'内訳ﾘｽﾄ(4～3月)'!P$16:P$23)</f>
        <v>950</v>
      </c>
      <c r="N74" s="159">
        <f>SUMIF('内訳ﾘｽﾄ(4～3月)'!$D$16:$D$23,'採算表(VND)'!$B74,'内訳ﾘｽﾄ(4～3月)'!Q$16:Q$23)</f>
        <v>960</v>
      </c>
      <c r="O74" s="159">
        <f>SUMIF('内訳ﾘｽﾄ(4～3月)'!$D$16:$D$23,'採算表(VND)'!$B74,'内訳ﾘｽﾄ(4～3月)'!$R$16:$R$23)</f>
        <v>11444</v>
      </c>
      <c r="AQ74" s="72"/>
      <c r="AR74" s="72"/>
      <c r="AS74" s="72"/>
      <c r="AT74" s="72"/>
      <c r="AU74" s="70"/>
      <c r="AV74" s="71"/>
      <c r="AW74" s="71"/>
      <c r="AX74" s="71"/>
      <c r="AY74" s="71"/>
      <c r="BA74" s="73"/>
      <c r="BB74" s="73"/>
      <c r="BC74" s="73"/>
      <c r="BD74" s="73"/>
      <c r="BF74" s="70"/>
      <c r="BG74" s="70"/>
      <c r="BH74" s="70"/>
      <c r="BI74" s="70"/>
    </row>
    <row r="75" spans="1:61">
      <c r="A75" s="38"/>
      <c r="B75" s="37" t="s">
        <v>88</v>
      </c>
      <c r="C75" s="160">
        <f>IF('内訳ﾘｽﾄ(4～3月)'!$D$5="製造",SUMIF('内訳ﾘｽﾄ(4～3月)'!$D$16:$D$23,$B75,'内訳ﾘｽﾄ(4～3月)'!F$16:F$23),IF('内訳ﾘｽﾄ(4～3月)'!$D$5="部内間接",-C$74,0))</f>
        <v>-920</v>
      </c>
      <c r="D75" s="160">
        <f>IF('内訳ﾘｽﾄ(4～3月)'!$D$5="製造",SUMIF('内訳ﾘｽﾄ(4～3月)'!$D$16:$D$23,$B75,'内訳ﾘｽﾄ(4～3月)'!G$16:G$23),IF('内訳ﾘｽﾄ(4～3月)'!$D$5="部内間接",-D$74,0))</f>
        <v>-918</v>
      </c>
      <c r="E75" s="160">
        <f>IF('内訳ﾘｽﾄ(4～3月)'!$D$5="製造",SUMIF('内訳ﾘｽﾄ(4～3月)'!$D$16:$D$23,$B75,'内訳ﾘｽﾄ(4～3月)'!H$16:H$23),IF('内訳ﾘｽﾄ(4～3月)'!$D$5="部内間接",-E$74,0))</f>
        <v>-962</v>
      </c>
      <c r="F75" s="160">
        <f>IF('内訳ﾘｽﾄ(4～3月)'!$D$5="製造",SUMIF('内訳ﾘｽﾄ(4～3月)'!$D$16:$D$23,$B75,'内訳ﾘｽﾄ(4～3月)'!I$16:I$23),IF('内訳ﾘｽﾄ(4～3月)'!$D$5="部内間接",-F$74,0))</f>
        <v>-966</v>
      </c>
      <c r="G75" s="160">
        <f>IF('内訳ﾘｽﾄ(4～3月)'!$D$5="製造",SUMIF('内訳ﾘｽﾄ(4～3月)'!$D$16:$D$23,$B75,'内訳ﾘｽﾄ(4～3月)'!J$16:J$23),IF('内訳ﾘｽﾄ(4～3月)'!$D$5="部内間接",-G$74,0))</f>
        <v>-960</v>
      </c>
      <c r="H75" s="160">
        <f>IF('内訳ﾘｽﾄ(4～3月)'!$D$5="製造",SUMIF('内訳ﾘｽﾄ(4～3月)'!$D$16:$D$23,$B75,'内訳ﾘｽﾄ(4～3月)'!K$16:K$23),IF('内訳ﾘｽﾄ(4～3月)'!$D$5="部内間接",-H$74,0))</f>
        <v>-958</v>
      </c>
      <c r="I75" s="160">
        <f>IF('内訳ﾘｽﾄ(4～3月)'!$D$5="製造",SUMIF('内訳ﾘｽﾄ(4～3月)'!$D$16:$D$23,$B75,'内訳ﾘｽﾄ(4～3月)'!L$16:L$23),IF('内訳ﾘｽﾄ(4～3月)'!$D$5="部内間接",-I$74,0))</f>
        <v>-966</v>
      </c>
      <c r="J75" s="160">
        <f>IF('内訳ﾘｽﾄ(4～3月)'!$D$5="製造",SUMIF('内訳ﾘｽﾄ(4～3月)'!$D$16:$D$23,$B75,'内訳ﾘｽﾄ(4～3月)'!M$16:M$23),IF('内訳ﾘｽﾄ(4～3月)'!$D$5="部内間接",-J$74,0))</f>
        <v>-960</v>
      </c>
      <c r="K75" s="160">
        <f>IF('内訳ﾘｽﾄ(4～3月)'!$D$5="製造",SUMIF('内訳ﾘｽﾄ(4～3月)'!$D$16:$D$23,$B75,'内訳ﾘｽﾄ(4～3月)'!N$16:N$23),IF('内訳ﾘｽﾄ(4～3月)'!$D$5="部内間接",-K$74,0))</f>
        <v>-964</v>
      </c>
      <c r="L75" s="160">
        <f>IF('内訳ﾘｽﾄ(4～3月)'!$D$5="製造",SUMIF('内訳ﾘｽﾄ(4～3月)'!$D$16:$D$23,$B75,'内訳ﾘｽﾄ(4～3月)'!O$16:O$23),IF('内訳ﾘｽﾄ(4～3月)'!$D$5="部内間接",-L$74,0))</f>
        <v>-960</v>
      </c>
      <c r="M75" s="160">
        <f>IF('内訳ﾘｽﾄ(4～3月)'!$D$5="製造",SUMIF('内訳ﾘｽﾄ(4～3月)'!$D$16:$D$23,$B75,'内訳ﾘｽﾄ(4～3月)'!P$16:P$23),IF('内訳ﾘｽﾄ(4～3月)'!$D$5="部内間接",-M$74,0))</f>
        <v>-950</v>
      </c>
      <c r="N75" s="160">
        <f>IF('内訳ﾘｽﾄ(4～3月)'!$D$5="製造",SUMIF('内訳ﾘｽﾄ(4～3月)'!$D$16:$D$23,$B75,'内訳ﾘｽﾄ(4～3月)'!Q$16:Q$23),IF('内訳ﾘｽﾄ(4～3月)'!$D$5="部内間接",-N$74,0))</f>
        <v>-960</v>
      </c>
      <c r="O75" s="160">
        <f>IF('内訳ﾘｽﾄ(4～3月)'!$D$5="部内間接",-SUM(O$74),IF('内訳ﾘｽﾄ(4～3月)'!$D$5="製造",SUMIF('内訳ﾘｽﾄ(4～3月)'!$D$16:$D$23,'採算表(VND)'!$B75,'内訳ﾘｽﾄ(4～3月)'!$R$16:$R$23),0))</f>
        <v>-11444</v>
      </c>
      <c r="AQ75" s="72"/>
      <c r="AR75" s="72"/>
      <c r="AS75" s="72"/>
      <c r="AT75" s="72"/>
      <c r="AU75" s="70"/>
      <c r="AV75" s="71"/>
      <c r="AW75" s="71"/>
      <c r="AX75" s="71"/>
      <c r="AY75" s="71"/>
      <c r="BA75" s="73"/>
      <c r="BB75" s="73"/>
      <c r="BC75" s="73"/>
      <c r="BD75" s="73"/>
      <c r="BF75" s="70"/>
      <c r="BG75" s="70"/>
      <c r="BH75" s="70"/>
      <c r="BI75" s="70"/>
    </row>
    <row r="76" spans="1:61">
      <c r="A76" s="38"/>
      <c r="B76" s="37" t="s">
        <v>126</v>
      </c>
      <c r="C76" s="161">
        <f>IF('内訳ﾘｽﾄ(4～3月)'!$D$5="製造",SUMIF('内訳ﾘｽﾄ(4～3月)'!$D$16:$D$23,$B76,'内訳ﾘｽﾄ(4～3月)'!F$16:F$23),IF('内訳ﾘｽﾄ(4～3月)'!$D$5="部外間接1",-C$74,0))</f>
        <v>0</v>
      </c>
      <c r="D76" s="161">
        <f>IF('内訳ﾘｽﾄ(4～3月)'!$D$5="製造",SUMIF('内訳ﾘｽﾄ(4～3月)'!$D$16:$D$23,$B76,'内訳ﾘｽﾄ(4～3月)'!G$16:G$23),IF('内訳ﾘｽﾄ(4～3月)'!$D$5="部外間接1",-D$74,0))</f>
        <v>0</v>
      </c>
      <c r="E76" s="161">
        <f>IF('内訳ﾘｽﾄ(4～3月)'!$D$5="製造",SUMIF('内訳ﾘｽﾄ(4～3月)'!$D$16:$D$23,$B76,'内訳ﾘｽﾄ(4～3月)'!H$16:H$23),IF('内訳ﾘｽﾄ(4～3月)'!$D$5="部外間接1",-E$74,0))</f>
        <v>0</v>
      </c>
      <c r="F76" s="161">
        <f>IF('内訳ﾘｽﾄ(4～3月)'!$D$5="製造",SUMIF('内訳ﾘｽﾄ(4～3月)'!$D$16:$D$23,$B76,'内訳ﾘｽﾄ(4～3月)'!I$16:I$23),IF('内訳ﾘｽﾄ(4～3月)'!$D$5="部外間接1",-F$74,0))</f>
        <v>0</v>
      </c>
      <c r="G76" s="161">
        <f>IF('内訳ﾘｽﾄ(4～3月)'!$D$5="製造",SUMIF('内訳ﾘｽﾄ(4～3月)'!$D$16:$D$23,$B76,'内訳ﾘｽﾄ(4～3月)'!J$16:J$23),IF('内訳ﾘｽﾄ(4～3月)'!$D$5="部外間接1",-G$74,0))</f>
        <v>0</v>
      </c>
      <c r="H76" s="161">
        <f>IF('内訳ﾘｽﾄ(4～3月)'!$D$5="製造",SUMIF('内訳ﾘｽﾄ(4～3月)'!$D$16:$D$23,$B76,'内訳ﾘｽﾄ(4～3月)'!K$16:K$23),IF('内訳ﾘｽﾄ(4～3月)'!$D$5="部外間接1",-H$74,0))</f>
        <v>0</v>
      </c>
      <c r="I76" s="161">
        <f>IF('内訳ﾘｽﾄ(4～3月)'!$D$5="製造",SUMIF('内訳ﾘｽﾄ(4～3月)'!$D$16:$D$23,$B76,'内訳ﾘｽﾄ(4～3月)'!L$16:L$23),IF('内訳ﾘｽﾄ(4～3月)'!$D$5="部外間接1",-I$74,0))</f>
        <v>0</v>
      </c>
      <c r="J76" s="161">
        <f>IF('内訳ﾘｽﾄ(4～3月)'!$D$5="製造",SUMIF('内訳ﾘｽﾄ(4～3月)'!$D$16:$D$23,$B76,'内訳ﾘｽﾄ(4～3月)'!M$16:M$23),IF('内訳ﾘｽﾄ(4～3月)'!$D$5="部外間接1",-J$74,0))</f>
        <v>0</v>
      </c>
      <c r="K76" s="161">
        <f>IF('内訳ﾘｽﾄ(4～3月)'!$D$5="製造",SUMIF('内訳ﾘｽﾄ(4～3月)'!$D$16:$D$23,$B76,'内訳ﾘｽﾄ(4～3月)'!N$16:N$23),IF('内訳ﾘｽﾄ(4～3月)'!$D$5="部外間接1",-K$74,0))</f>
        <v>0</v>
      </c>
      <c r="L76" s="161">
        <f>IF('内訳ﾘｽﾄ(4～3月)'!$D$5="製造",SUMIF('内訳ﾘｽﾄ(4～3月)'!$D$16:$D$23,$B76,'内訳ﾘｽﾄ(4～3月)'!O$16:O$23),IF('内訳ﾘｽﾄ(4～3月)'!$D$5="部外間接1",-L$74,0))</f>
        <v>0</v>
      </c>
      <c r="M76" s="161">
        <f>IF('内訳ﾘｽﾄ(4～3月)'!$D$5="製造",SUMIF('内訳ﾘｽﾄ(4～3月)'!$D$16:$D$23,$B76,'内訳ﾘｽﾄ(4～3月)'!P$16:P$23),IF('内訳ﾘｽﾄ(4～3月)'!$D$5="部外間接1",-M$74,0))</f>
        <v>0</v>
      </c>
      <c r="N76" s="161">
        <f>IF('内訳ﾘｽﾄ(4～3月)'!$D$5="製造",SUMIF('内訳ﾘｽﾄ(4～3月)'!$D$16:$D$23,$B76,'内訳ﾘｽﾄ(4～3月)'!Q$16:Q$23),IF('内訳ﾘｽﾄ(4～3月)'!$D$5="部外間接1",-N$74,0))</f>
        <v>0</v>
      </c>
      <c r="O76" s="161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2"/>
      <c r="AR76" s="72"/>
      <c r="AS76" s="72"/>
      <c r="AT76" s="72"/>
      <c r="AU76" s="70"/>
      <c r="AV76" s="71"/>
      <c r="AW76" s="71"/>
      <c r="AX76" s="71"/>
      <c r="AY76" s="71"/>
      <c r="BA76" s="73"/>
      <c r="BB76" s="73"/>
      <c r="BC76" s="73"/>
      <c r="BD76" s="73"/>
      <c r="BF76" s="70"/>
      <c r="BG76" s="70"/>
      <c r="BH76" s="70"/>
      <c r="BI76" s="70"/>
    </row>
    <row r="77" spans="1:61">
      <c r="A77" s="38"/>
      <c r="B77" s="37" t="s">
        <v>127</v>
      </c>
      <c r="C77" s="161">
        <f>IF('内訳ﾘｽﾄ(4～3月)'!$D$5="製造",SUMIF('内訳ﾘｽﾄ(4～3月)'!$D$16:$D$23,$B77,'内訳ﾘｽﾄ(4～3月)'!F$16:F$23),IF('内訳ﾘｽﾄ(4～3月)'!$D$5="部外間接2",-C$74,0))</f>
        <v>0</v>
      </c>
      <c r="D77" s="161">
        <f>IF('内訳ﾘｽﾄ(4～3月)'!$D$5="製造",SUMIF('内訳ﾘｽﾄ(4～3月)'!$D$16:$D$23,$B77,'内訳ﾘｽﾄ(4～3月)'!G$16:G$23),IF('内訳ﾘｽﾄ(4～3月)'!$D$5="部外間接2",-D$74,0))</f>
        <v>0</v>
      </c>
      <c r="E77" s="161">
        <f>IF('内訳ﾘｽﾄ(4～3月)'!$D$5="製造",SUMIF('内訳ﾘｽﾄ(4～3月)'!$D$16:$D$23,$B77,'内訳ﾘｽﾄ(4～3月)'!H$16:H$23),IF('内訳ﾘｽﾄ(4～3月)'!$D$5="部外間接2",-E$74,0))</f>
        <v>0</v>
      </c>
      <c r="F77" s="161">
        <f>IF('内訳ﾘｽﾄ(4～3月)'!$D$5="製造",SUMIF('内訳ﾘｽﾄ(4～3月)'!$D$16:$D$23,$B77,'内訳ﾘｽﾄ(4～3月)'!I$16:I$23),IF('内訳ﾘｽﾄ(4～3月)'!$D$5="部外間接2",-F$74,0))</f>
        <v>0</v>
      </c>
      <c r="G77" s="161">
        <f>IF('内訳ﾘｽﾄ(4～3月)'!$D$5="製造",SUMIF('内訳ﾘｽﾄ(4～3月)'!$D$16:$D$23,$B77,'内訳ﾘｽﾄ(4～3月)'!J$16:J$23),IF('内訳ﾘｽﾄ(4～3月)'!$D$5="部外間接2",-G$74,0))</f>
        <v>0</v>
      </c>
      <c r="H77" s="161">
        <f>IF('内訳ﾘｽﾄ(4～3月)'!$D$5="製造",SUMIF('内訳ﾘｽﾄ(4～3月)'!$D$16:$D$23,$B77,'内訳ﾘｽﾄ(4～3月)'!K$16:K$23),IF('内訳ﾘｽﾄ(4～3月)'!$D$5="部外間接2",-H$74,0))</f>
        <v>0</v>
      </c>
      <c r="I77" s="161">
        <f>IF('内訳ﾘｽﾄ(4～3月)'!$D$5="製造",SUMIF('内訳ﾘｽﾄ(4～3月)'!$D$16:$D$23,$B77,'内訳ﾘｽﾄ(4～3月)'!L$16:L$23),IF('内訳ﾘｽﾄ(4～3月)'!$D$5="部外間接2",-I$74,0))</f>
        <v>0</v>
      </c>
      <c r="J77" s="161">
        <f>IF('内訳ﾘｽﾄ(4～3月)'!$D$5="製造",SUMIF('内訳ﾘｽﾄ(4～3月)'!$D$16:$D$23,$B77,'内訳ﾘｽﾄ(4～3月)'!M$16:M$23),IF('内訳ﾘｽﾄ(4～3月)'!$D$5="部外間接2",-J$74,0))</f>
        <v>0</v>
      </c>
      <c r="K77" s="161">
        <f>IF('内訳ﾘｽﾄ(4～3月)'!$D$5="製造",SUMIF('内訳ﾘｽﾄ(4～3月)'!$D$16:$D$23,$B77,'内訳ﾘｽﾄ(4～3月)'!N$16:N$23),IF('内訳ﾘｽﾄ(4～3月)'!$D$5="部外間接2",-K$74,0))</f>
        <v>0</v>
      </c>
      <c r="L77" s="161">
        <f>IF('内訳ﾘｽﾄ(4～3月)'!$D$5="製造",SUMIF('内訳ﾘｽﾄ(4～3月)'!$D$16:$D$23,$B77,'内訳ﾘｽﾄ(4～3月)'!O$16:O$23),IF('内訳ﾘｽﾄ(4～3月)'!$D$5="部外間接2",-L$74,0))</f>
        <v>0</v>
      </c>
      <c r="M77" s="161">
        <f>IF('内訳ﾘｽﾄ(4～3月)'!$D$5="製造",SUMIF('内訳ﾘｽﾄ(4～3月)'!$D$16:$D$23,$B77,'内訳ﾘｽﾄ(4～3月)'!P$16:P$23),IF('内訳ﾘｽﾄ(4～3月)'!$D$5="部外間接2",-M$74,0))</f>
        <v>0</v>
      </c>
      <c r="N77" s="161">
        <f>IF('内訳ﾘｽﾄ(4～3月)'!$D$5="製造",SUMIF('内訳ﾘｽﾄ(4～3月)'!$D$16:$D$23,$B77,'内訳ﾘｽﾄ(4～3月)'!Q$16:Q$23),IF('内訳ﾘｽﾄ(4～3月)'!$D$5="部外間接2",-N$74,0))</f>
        <v>0</v>
      </c>
      <c r="O77" s="161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2"/>
      <c r="AR77" s="72"/>
      <c r="AS77" s="72"/>
      <c r="AT77" s="72"/>
      <c r="AU77" s="70"/>
      <c r="AV77" s="71"/>
      <c r="AW77" s="71"/>
      <c r="AX77" s="71"/>
      <c r="AY77" s="71"/>
      <c r="BA77" s="73"/>
      <c r="BB77" s="73"/>
      <c r="BC77" s="73"/>
      <c r="BD77" s="73"/>
      <c r="BF77" s="70"/>
      <c r="BG77" s="70"/>
      <c r="BH77" s="70"/>
      <c r="BI77" s="70"/>
    </row>
    <row r="78" spans="1:61">
      <c r="A78" s="38"/>
      <c r="B78" s="40" t="s">
        <v>450</v>
      </c>
      <c r="C78" s="162">
        <f>IF('内訳ﾘｽﾄ(4～3月)'!$D$5="製造",SUMIF('内訳ﾘｽﾄ(4～3月)'!$D$16:$D$23,$B78,'内訳ﾘｽﾄ(4～3月)'!F$16:F$23),IF('内訳ﾘｽﾄ(4～3月)'!$D$5="工場間接",-C$74,0))</f>
        <v>0</v>
      </c>
      <c r="D78" s="162">
        <f>IF('内訳ﾘｽﾄ(4～3月)'!$D$5="製造",SUMIF('内訳ﾘｽﾄ(4～3月)'!$D$16:$D$23,$B78,'内訳ﾘｽﾄ(4～3月)'!G$16:G$23),IF('内訳ﾘｽﾄ(4～3月)'!$D$5="工場間接",-D$74,0))</f>
        <v>0</v>
      </c>
      <c r="E78" s="162">
        <f>IF('内訳ﾘｽﾄ(4～3月)'!$D$5="製造",SUMIF('内訳ﾘｽﾄ(4～3月)'!$D$16:$D$23,$B78,'内訳ﾘｽﾄ(4～3月)'!H$16:H$23),IF('内訳ﾘｽﾄ(4～3月)'!$D$5="工場間接",-E$74,0))</f>
        <v>0</v>
      </c>
      <c r="F78" s="162">
        <f>IF('内訳ﾘｽﾄ(4～3月)'!$D$5="製造",SUMIF('内訳ﾘｽﾄ(4～3月)'!$D$16:$D$23,$B78,'内訳ﾘｽﾄ(4～3月)'!I$16:I$23),IF('内訳ﾘｽﾄ(4～3月)'!$D$5="工場間接",-F$74,0))</f>
        <v>0</v>
      </c>
      <c r="G78" s="162">
        <f>IF('内訳ﾘｽﾄ(4～3月)'!$D$5="製造",SUMIF('内訳ﾘｽﾄ(4～3月)'!$D$16:$D$23,$B78,'内訳ﾘｽﾄ(4～3月)'!J$16:J$23),IF('内訳ﾘｽﾄ(4～3月)'!$D$5="工場間接",-G$74,0))</f>
        <v>0</v>
      </c>
      <c r="H78" s="162">
        <f>IF('内訳ﾘｽﾄ(4～3月)'!$D$5="製造",SUMIF('内訳ﾘｽﾄ(4～3月)'!$D$16:$D$23,$B78,'内訳ﾘｽﾄ(4～3月)'!K$16:K$23),IF('内訳ﾘｽﾄ(4～3月)'!$D$5="工場間接",-H$74,0))</f>
        <v>0</v>
      </c>
      <c r="I78" s="162">
        <f>IF('内訳ﾘｽﾄ(4～3月)'!$D$5="製造",SUMIF('内訳ﾘｽﾄ(4～3月)'!$D$16:$D$23,$B78,'内訳ﾘｽﾄ(4～3月)'!L$16:L$23),IF('内訳ﾘｽﾄ(4～3月)'!$D$5="工場間接",-I$74,0))</f>
        <v>0</v>
      </c>
      <c r="J78" s="162">
        <f>IF('内訳ﾘｽﾄ(4～3月)'!$D$5="製造",SUMIF('内訳ﾘｽﾄ(4～3月)'!$D$16:$D$23,$B78,'内訳ﾘｽﾄ(4～3月)'!M$16:M$23),IF('内訳ﾘｽﾄ(4～3月)'!$D$5="工場間接",-J$74,0))</f>
        <v>0</v>
      </c>
      <c r="K78" s="162">
        <f>IF('内訳ﾘｽﾄ(4～3月)'!$D$5="製造",SUMIF('内訳ﾘｽﾄ(4～3月)'!$D$16:$D$23,$B78,'内訳ﾘｽﾄ(4～3月)'!N$16:N$23),IF('内訳ﾘｽﾄ(4～3月)'!$D$5="工場間接",-K$74,0))</f>
        <v>0</v>
      </c>
      <c r="L78" s="162">
        <f>IF('内訳ﾘｽﾄ(4～3月)'!$D$5="製造",SUMIF('内訳ﾘｽﾄ(4～3月)'!$D$16:$D$23,$B78,'内訳ﾘｽﾄ(4～3月)'!O$16:O$23),IF('内訳ﾘｽﾄ(4～3月)'!$D$5="工場間接",-L$74,0))</f>
        <v>0</v>
      </c>
      <c r="M78" s="162">
        <f>IF('内訳ﾘｽﾄ(4～3月)'!$D$5="製造",SUMIF('内訳ﾘｽﾄ(4～3月)'!$D$16:$D$23,$B78,'内訳ﾘｽﾄ(4～3月)'!P$16:P$23),IF('内訳ﾘｽﾄ(4～3月)'!$D$5="工場間接",-M$74,0))</f>
        <v>0</v>
      </c>
      <c r="N78" s="162">
        <f>IF('内訳ﾘｽﾄ(4～3月)'!$D$5="製造",SUMIF('内訳ﾘｽﾄ(4～3月)'!$D$16:$D$23,$B78,'内訳ﾘｽﾄ(4～3月)'!Q$16:Q$23),IF('内訳ﾘｽﾄ(4～3月)'!$D$5="工場間接",-N$74,0))</f>
        <v>0</v>
      </c>
      <c r="O78" s="162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2"/>
      <c r="AR78" s="72"/>
      <c r="AS78" s="72"/>
      <c r="AT78" s="72"/>
      <c r="AU78" s="70"/>
      <c r="AV78" s="71"/>
      <c r="AW78" s="71"/>
      <c r="AX78" s="71"/>
      <c r="AY78" s="71"/>
      <c r="BA78" s="73"/>
      <c r="BB78" s="73"/>
      <c r="BC78" s="73"/>
      <c r="BD78" s="73"/>
      <c r="BF78" s="70"/>
      <c r="BG78" s="70"/>
      <c r="BH78" s="70"/>
      <c r="BI78" s="70"/>
    </row>
    <row r="79" spans="1:61" ht="14.25" customHeight="1">
      <c r="A79" s="38"/>
      <c r="B79" s="41" t="s">
        <v>91</v>
      </c>
      <c r="C79" s="163">
        <f>SUM(C74:C78)</f>
        <v>0</v>
      </c>
      <c r="D79" s="163">
        <f t="shared" ref="D79:N79" si="7">SUM(D74:D78)</f>
        <v>0</v>
      </c>
      <c r="E79" s="163">
        <f t="shared" si="7"/>
        <v>0</v>
      </c>
      <c r="F79" s="163">
        <f t="shared" si="7"/>
        <v>0</v>
      </c>
      <c r="G79" s="163">
        <f t="shared" si="7"/>
        <v>0</v>
      </c>
      <c r="H79" s="163">
        <f t="shared" si="7"/>
        <v>0</v>
      </c>
      <c r="I79" s="163">
        <f t="shared" si="7"/>
        <v>0</v>
      </c>
      <c r="J79" s="163">
        <f t="shared" si="7"/>
        <v>0</v>
      </c>
      <c r="K79" s="163">
        <f t="shared" si="7"/>
        <v>0</v>
      </c>
      <c r="L79" s="163">
        <f t="shared" si="7"/>
        <v>0</v>
      </c>
      <c r="M79" s="163">
        <f t="shared" si="7"/>
        <v>0</v>
      </c>
      <c r="N79" s="163">
        <f t="shared" si="7"/>
        <v>0</v>
      </c>
      <c r="O79" s="163">
        <f>IF(ISBLANK(O10),"",SUM(O74:O78))</f>
        <v>0</v>
      </c>
      <c r="AQ79" s="72"/>
      <c r="AR79" s="72"/>
      <c r="AS79" s="72"/>
      <c r="AT79" s="72"/>
      <c r="AU79" s="70"/>
      <c r="AV79" s="71"/>
      <c r="AW79" s="71"/>
      <c r="AX79" s="71"/>
      <c r="AY79" s="71"/>
      <c r="BA79" s="73"/>
      <c r="BB79" s="73"/>
      <c r="BC79" s="73"/>
      <c r="BD79" s="73"/>
      <c r="BF79" s="70"/>
      <c r="BG79" s="70"/>
      <c r="BH79" s="70"/>
      <c r="BI79" s="70"/>
    </row>
    <row r="80" spans="1:61" ht="14.25" customHeight="1">
      <c r="A80" s="26"/>
      <c r="B80" s="32" t="s">
        <v>79</v>
      </c>
      <c r="C80" s="164">
        <f>IFERROR(ROUNDDOWN(C66/C67,0),0)</f>
        <v>0</v>
      </c>
      <c r="D80" s="164">
        <f t="shared" ref="D80:N80" si="8">IFERROR(ROUNDDOWN(D66/D67,0),0)</f>
        <v>0</v>
      </c>
      <c r="E80" s="164">
        <f t="shared" si="8"/>
        <v>0</v>
      </c>
      <c r="F80" s="164">
        <f t="shared" si="8"/>
        <v>0</v>
      </c>
      <c r="G80" s="164">
        <f t="shared" si="8"/>
        <v>0</v>
      </c>
      <c r="H80" s="164">
        <f t="shared" si="8"/>
        <v>0</v>
      </c>
      <c r="I80" s="164">
        <f t="shared" si="8"/>
        <v>0</v>
      </c>
      <c r="J80" s="164">
        <f t="shared" si="8"/>
        <v>0</v>
      </c>
      <c r="K80" s="164">
        <f t="shared" si="8"/>
        <v>0</v>
      </c>
      <c r="L80" s="164">
        <f t="shared" si="8"/>
        <v>0</v>
      </c>
      <c r="M80" s="164">
        <f t="shared" si="8"/>
        <v>0</v>
      </c>
      <c r="N80" s="164">
        <f t="shared" si="8"/>
        <v>0</v>
      </c>
      <c r="O80" s="164">
        <f>IFERROR(ROUNDDOWN(O66/O67,0),0)</f>
        <v>0</v>
      </c>
      <c r="AQ80" s="72"/>
      <c r="AR80" s="72"/>
      <c r="AS80" s="72"/>
      <c r="AT80" s="72"/>
      <c r="AU80" s="70"/>
      <c r="AV80" s="71"/>
      <c r="AW80" s="71"/>
      <c r="AX80" s="71"/>
      <c r="AY80" s="71"/>
      <c r="BA80" s="73"/>
      <c r="BB80" s="73"/>
      <c r="BC80" s="73"/>
      <c r="BD80" s="73"/>
      <c r="BF80" s="70"/>
      <c r="BG80" s="70"/>
      <c r="BH80" s="70"/>
      <c r="BI80" s="70"/>
    </row>
    <row r="81" spans="1:61" ht="14.25" customHeight="1">
      <c r="A81" s="26"/>
      <c r="B81" s="42" t="s">
        <v>80</v>
      </c>
      <c r="C81" s="165">
        <f>IFERROR(ROUNDDOWN(C12/C67,0),0)</f>
        <v>0</v>
      </c>
      <c r="D81" s="165">
        <f t="shared" ref="D81:N81" si="9">IFERROR(ROUNDDOWN(D12/D67,0),0)</f>
        <v>0</v>
      </c>
      <c r="E81" s="165">
        <f t="shared" si="9"/>
        <v>0</v>
      </c>
      <c r="F81" s="165">
        <f t="shared" si="9"/>
        <v>0</v>
      </c>
      <c r="G81" s="165">
        <f t="shared" si="9"/>
        <v>0</v>
      </c>
      <c r="H81" s="165">
        <f t="shared" si="9"/>
        <v>0</v>
      </c>
      <c r="I81" s="165">
        <f t="shared" si="9"/>
        <v>0</v>
      </c>
      <c r="J81" s="165">
        <f t="shared" si="9"/>
        <v>0</v>
      </c>
      <c r="K81" s="165">
        <f t="shared" si="9"/>
        <v>0</v>
      </c>
      <c r="L81" s="165">
        <f t="shared" si="9"/>
        <v>0</v>
      </c>
      <c r="M81" s="165">
        <f t="shared" si="9"/>
        <v>0</v>
      </c>
      <c r="N81" s="165">
        <f t="shared" si="9"/>
        <v>0</v>
      </c>
      <c r="O81" s="165">
        <f>IFERROR(ROUNDDOWN(O12/O67,0),0)</f>
        <v>0</v>
      </c>
      <c r="AQ81" s="72"/>
      <c r="AR81" s="72"/>
      <c r="AS81" s="72"/>
      <c r="AT81" s="72"/>
      <c r="AU81" s="70"/>
      <c r="AV81" s="71"/>
      <c r="AW81" s="71"/>
      <c r="AX81" s="71"/>
      <c r="AY81" s="71"/>
      <c r="BA81" s="73"/>
      <c r="BB81" s="73"/>
      <c r="BC81" s="73"/>
      <c r="BD81" s="73"/>
      <c r="BF81" s="70"/>
      <c r="BG81" s="70"/>
      <c r="BH81" s="70"/>
      <c r="BI81" s="70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AQ86" s="72"/>
      <c r="AR86" s="72"/>
      <c r="AS86" s="72"/>
      <c r="AT86" s="72"/>
      <c r="AU86" s="70"/>
      <c r="AV86" s="71"/>
      <c r="AW86" s="71"/>
      <c r="AX86" s="71"/>
      <c r="AY86" s="71"/>
      <c r="BA86" s="73"/>
      <c r="BB86" s="73"/>
      <c r="BC86" s="73"/>
      <c r="BD86" s="73"/>
      <c r="BF86" s="70"/>
      <c r="BG86" s="70"/>
      <c r="BH86" s="70"/>
      <c r="BI86" s="70"/>
    </row>
    <row r="87" spans="1:61">
      <c r="A87" s="43"/>
      <c r="B87" s="59" t="s">
        <v>343</v>
      </c>
      <c r="C87" s="147">
        <f>SUMIF('内訳ﾘｽﾄ(4～3月)'!$D$24:$D$25,'採算表(VND)'!$B87,'内訳ﾘｽﾄ(4～3月)'!F$24:F$25)</f>
        <v>0</v>
      </c>
      <c r="D87" s="147">
        <f>SUMIF('内訳ﾘｽﾄ(4～3月)'!$D$24:$D$25,'採算表(VND)'!$B87,'内訳ﾘｽﾄ(4～3月)'!G$24:G$25)</f>
        <v>0</v>
      </c>
      <c r="E87" s="147">
        <f>SUMIF('内訳ﾘｽﾄ(4～3月)'!$D$24:$D$25,'採算表(VND)'!$B87,'内訳ﾘｽﾄ(4～3月)'!H$24:H$25)</f>
        <v>0</v>
      </c>
      <c r="F87" s="147">
        <f>SUMIF('内訳ﾘｽﾄ(4～3月)'!$D$24:$D$25,'採算表(VND)'!$B87,'内訳ﾘｽﾄ(4～3月)'!I$24:I$25)</f>
        <v>0</v>
      </c>
      <c r="G87" s="147">
        <f>SUMIF('内訳ﾘｽﾄ(4～3月)'!$D$24:$D$25,'採算表(VND)'!$B87,'内訳ﾘｽﾄ(4～3月)'!J$24:J$25)</f>
        <v>0</v>
      </c>
      <c r="H87" s="147">
        <f>SUMIF('内訳ﾘｽﾄ(4～3月)'!$D$24:$D$25,'採算表(VND)'!$B87,'内訳ﾘｽﾄ(4～3月)'!K$24:K$25)</f>
        <v>0</v>
      </c>
      <c r="I87" s="147">
        <f>SUMIF('内訳ﾘｽﾄ(4～3月)'!$D$24:$D$25,'採算表(VND)'!$B87,'内訳ﾘｽﾄ(4～3月)'!L$24:L$25)</f>
        <v>0</v>
      </c>
      <c r="J87" s="147">
        <f>SUMIF('内訳ﾘｽﾄ(4～3月)'!$D$24:$D$25,'採算表(VND)'!$B87,'内訳ﾘｽﾄ(4～3月)'!M$24:M$25)</f>
        <v>0</v>
      </c>
      <c r="K87" s="147">
        <f>SUMIF('内訳ﾘｽﾄ(4～3月)'!$D$24:$D$25,'採算表(VND)'!$B87,'内訳ﾘｽﾄ(4～3月)'!N$24:N$25)</f>
        <v>0</v>
      </c>
      <c r="L87" s="147">
        <f>SUMIF('内訳ﾘｽﾄ(4～3月)'!$D$24:$D$25,'採算表(VND)'!$B87,'内訳ﾘｽﾄ(4～3月)'!O$24:O$25)</f>
        <v>0</v>
      </c>
      <c r="M87" s="147">
        <f>SUMIF('内訳ﾘｽﾄ(4～3月)'!$D$24:$D$25,'採算表(VND)'!$B87,'内訳ﾘｽﾄ(4～3月)'!P$24:P$25)</f>
        <v>0</v>
      </c>
      <c r="N87" s="147">
        <f>SUMIF('内訳ﾘｽﾄ(4～3月)'!$D$24:$D$25,'採算表(VND)'!$B87,'内訳ﾘｽﾄ(4～3月)'!Q$24:Q$25)</f>
        <v>0</v>
      </c>
      <c r="O87" s="147">
        <f>SUMIF('内訳ﾘｽﾄ(4～3月)'!$D$24:$D$25,'採算表(VND)'!$B87,'内訳ﾘｽﾄ(4～3月)'!R$24:R$25)</f>
        <v>0</v>
      </c>
      <c r="AQ87" s="72"/>
      <c r="AR87" s="72"/>
      <c r="AS87" s="72"/>
      <c r="AT87" s="72"/>
      <c r="AU87" s="70"/>
      <c r="AV87" s="71"/>
      <c r="AW87" s="71"/>
      <c r="AX87" s="71"/>
      <c r="AY87" s="71"/>
      <c r="BA87" s="73"/>
      <c r="BB87" s="73"/>
      <c r="BC87" s="73"/>
      <c r="BD87" s="73"/>
      <c r="BF87" s="70"/>
      <c r="BG87" s="70"/>
      <c r="BH87" s="70"/>
      <c r="BI87" s="70"/>
    </row>
    <row r="88" spans="1:61">
      <c r="A88" s="43"/>
      <c r="B88" s="59" t="s">
        <v>344</v>
      </c>
      <c r="C88" s="147">
        <f>SUMIF('内訳ﾘｽﾄ(4～3月)'!$D$24:$D$25,'採算表(VND)'!$B88,'内訳ﾘｽﾄ(4～3月)'!F$24:F$25)</f>
        <v>45</v>
      </c>
      <c r="D88" s="147">
        <f>SUMIF('内訳ﾘｽﾄ(4～3月)'!$D$24:$D$25,'採算表(VND)'!$B88,'内訳ﾘｽﾄ(4～3月)'!G$24:G$25)</f>
        <v>45</v>
      </c>
      <c r="E88" s="147">
        <f>SUMIF('内訳ﾘｽﾄ(4～3月)'!$D$24:$D$25,'採算表(VND)'!$B88,'内訳ﾘｽﾄ(4～3月)'!H$24:H$25)</f>
        <v>47</v>
      </c>
      <c r="F88" s="147">
        <f>SUMIF('内訳ﾘｽﾄ(4～3月)'!$D$24:$D$25,'採算表(VND)'!$B88,'内訳ﾘｽﾄ(4～3月)'!I$24:I$25)</f>
        <v>47</v>
      </c>
      <c r="G88" s="147">
        <f>SUMIF('内訳ﾘｽﾄ(4～3月)'!$D$24:$D$25,'採算表(VND)'!$B88,'内訳ﾘｽﾄ(4～3月)'!J$24:J$25)</f>
        <v>47</v>
      </c>
      <c r="H88" s="147">
        <f>SUMIF('内訳ﾘｽﾄ(4～3月)'!$D$24:$D$25,'採算表(VND)'!$B88,'内訳ﾘｽﾄ(4～3月)'!K$24:K$25)</f>
        <v>47</v>
      </c>
      <c r="I88" s="147">
        <f>SUMIF('内訳ﾘｽﾄ(4～3月)'!$D$24:$D$25,'採算表(VND)'!$B88,'内訳ﾘｽﾄ(4～3月)'!L$24:L$25)</f>
        <v>47</v>
      </c>
      <c r="J88" s="147">
        <f>SUMIF('内訳ﾘｽﾄ(4～3月)'!$D$24:$D$25,'採算表(VND)'!$B88,'内訳ﾘｽﾄ(4～3月)'!M$24:M$25)</f>
        <v>47</v>
      </c>
      <c r="K88" s="147">
        <f>SUMIF('内訳ﾘｽﾄ(4～3月)'!$D$24:$D$25,'採算表(VND)'!$B88,'内訳ﾘｽﾄ(4～3月)'!N$24:N$25)</f>
        <v>47</v>
      </c>
      <c r="L88" s="147">
        <f>SUMIF('内訳ﾘｽﾄ(4～3月)'!$D$24:$D$25,'採算表(VND)'!$B88,'内訳ﾘｽﾄ(4～3月)'!O$24:O$25)</f>
        <v>47</v>
      </c>
      <c r="M88" s="147">
        <f>SUMIF('内訳ﾘｽﾄ(4～3月)'!$D$24:$D$25,'採算表(VND)'!$B88,'内訳ﾘｽﾄ(4～3月)'!P$24:P$25)</f>
        <v>47</v>
      </c>
      <c r="N88" s="147">
        <f>SUMIF('内訳ﾘｽﾄ(4～3月)'!$D$24:$D$25,'採算表(VND)'!$B88,'内訳ﾘｽﾄ(4～3月)'!Q$24:Q$25)</f>
        <v>47</v>
      </c>
      <c r="O88" s="147">
        <f>SUMIF('内訳ﾘｽﾄ(4～3月)'!$D$24:$D$25,'採算表(VND)'!$B88,'内訳ﾘｽﾄ(4～3月)'!R$24:R$25)</f>
        <v>47</v>
      </c>
      <c r="AQ88" s="72"/>
      <c r="AR88" s="72"/>
      <c r="AS88" s="72"/>
      <c r="AT88" s="72"/>
      <c r="AU88" s="70"/>
      <c r="AV88" s="71"/>
      <c r="AW88" s="71"/>
      <c r="AX88" s="71"/>
      <c r="AY88" s="71"/>
      <c r="BA88" s="73"/>
      <c r="BB88" s="73"/>
      <c r="BC88" s="73"/>
      <c r="BD88" s="73"/>
      <c r="BF88" s="70"/>
      <c r="BG88" s="70"/>
      <c r="BH88" s="70"/>
      <c r="BI88" s="70"/>
    </row>
    <row r="89" spans="1:61">
      <c r="A89" s="44"/>
      <c r="B89" s="60" t="s">
        <v>18</v>
      </c>
      <c r="C89" s="148">
        <f t="shared" ref="C89:N89" si="10">C87+C88</f>
        <v>45</v>
      </c>
      <c r="D89" s="148">
        <f t="shared" si="10"/>
        <v>45</v>
      </c>
      <c r="E89" s="148">
        <f t="shared" si="10"/>
        <v>47</v>
      </c>
      <c r="F89" s="148">
        <f t="shared" si="10"/>
        <v>47</v>
      </c>
      <c r="G89" s="148">
        <f t="shared" si="10"/>
        <v>47</v>
      </c>
      <c r="H89" s="148">
        <f t="shared" si="10"/>
        <v>47</v>
      </c>
      <c r="I89" s="148">
        <f t="shared" si="10"/>
        <v>47</v>
      </c>
      <c r="J89" s="148">
        <f t="shared" si="10"/>
        <v>47</v>
      </c>
      <c r="K89" s="148">
        <f t="shared" si="10"/>
        <v>47</v>
      </c>
      <c r="L89" s="148">
        <f t="shared" si="10"/>
        <v>47</v>
      </c>
      <c r="M89" s="148">
        <f t="shared" si="10"/>
        <v>47</v>
      </c>
      <c r="N89" s="148">
        <f t="shared" si="10"/>
        <v>47</v>
      </c>
      <c r="O89" s="148">
        <f>O87+O88</f>
        <v>47</v>
      </c>
      <c r="AQ89" s="72"/>
      <c r="AR89" s="72"/>
      <c r="AS89" s="72"/>
      <c r="AT89" s="72"/>
      <c r="AU89" s="70"/>
      <c r="AV89" s="71"/>
      <c r="AW89" s="71"/>
      <c r="AX89" s="71"/>
      <c r="AY89" s="71"/>
      <c r="BA89" s="73"/>
      <c r="BB89" s="73"/>
      <c r="BC89" s="73"/>
      <c r="BD89" s="73"/>
      <c r="BF89" s="70"/>
      <c r="BG89" s="70"/>
      <c r="BH89" s="70"/>
      <c r="BI89" s="70"/>
    </row>
    <row r="90" spans="1:61">
      <c r="AQ90" s="72"/>
      <c r="AR90" s="72"/>
      <c r="AS90" s="72"/>
      <c r="AT90" s="72"/>
      <c r="AU90" s="70"/>
      <c r="AV90" s="71"/>
      <c r="AW90" s="71"/>
      <c r="AX90" s="71"/>
      <c r="AY90" s="71"/>
      <c r="BA90" s="73"/>
      <c r="BB90" s="73"/>
      <c r="BC90" s="73"/>
      <c r="BD90" s="73"/>
      <c r="BF90" s="70"/>
      <c r="BG90" s="70"/>
      <c r="BH90" s="70"/>
      <c r="BI90" s="70"/>
    </row>
    <row r="91" spans="1:61">
      <c r="B91" s="58" t="s">
        <v>19</v>
      </c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AQ91" s="72"/>
      <c r="AR91" s="72"/>
      <c r="AS91" s="72"/>
      <c r="AT91" s="72"/>
      <c r="AU91" s="70"/>
      <c r="AV91" s="71"/>
      <c r="AW91" s="71"/>
      <c r="AX91" s="71"/>
      <c r="AY91" s="71"/>
      <c r="BA91" s="73"/>
      <c r="BB91" s="73"/>
      <c r="BC91" s="73"/>
      <c r="BD91" s="73"/>
      <c r="BF91" s="70"/>
      <c r="BG91" s="70"/>
      <c r="BH91" s="70"/>
      <c r="BI91" s="70"/>
    </row>
    <row r="92" spans="1:61">
      <c r="B92" s="59" t="s">
        <v>324</v>
      </c>
      <c r="C92" s="158">
        <f>SUMIF('内訳ﾘｽﾄ(4～3月)'!$B$8:$B$15,$B92,'内訳ﾘｽﾄ(4～3月)'!F$8:F$15)</f>
        <v>0</v>
      </c>
      <c r="D92" s="158">
        <f>SUMIF('内訳ﾘｽﾄ(4～3月)'!$B$8:$B$15,$B92,'内訳ﾘｽﾄ(4～3月)'!G$8:G$15)</f>
        <v>0</v>
      </c>
      <c r="E92" s="158">
        <f>SUMIF('内訳ﾘｽﾄ(4～3月)'!$B$8:$B$15,$B92,'内訳ﾘｽﾄ(4～3月)'!H$8:H$15)</f>
        <v>0</v>
      </c>
      <c r="F92" s="158">
        <f>SUMIF('内訳ﾘｽﾄ(4～3月)'!$B$8:$B$15,$B92,'内訳ﾘｽﾄ(4～3月)'!I$8:I$15)</f>
        <v>0</v>
      </c>
      <c r="G92" s="158">
        <f>SUMIF('内訳ﾘｽﾄ(4～3月)'!$B$8:$B$15,$B92,'内訳ﾘｽﾄ(4～3月)'!J$8:J$15)</f>
        <v>0</v>
      </c>
      <c r="H92" s="158">
        <f>SUMIF('内訳ﾘｽﾄ(4～3月)'!$B$8:$B$15,$B92,'内訳ﾘｽﾄ(4～3月)'!K$8:K$15)</f>
        <v>0</v>
      </c>
      <c r="I92" s="158">
        <f>SUMIF('内訳ﾘｽﾄ(4～3月)'!$B$8:$B$15,$B92,'内訳ﾘｽﾄ(4～3月)'!L$8:L$15)</f>
        <v>0</v>
      </c>
      <c r="J92" s="158">
        <f>SUMIF('内訳ﾘｽﾄ(4～3月)'!$B$8:$B$15,$B92,'内訳ﾘｽﾄ(4～3月)'!M$8:M$15)</f>
        <v>0</v>
      </c>
      <c r="K92" s="158">
        <f>SUMIF('内訳ﾘｽﾄ(4～3月)'!$B$8:$B$15,$B92,'内訳ﾘｽﾄ(4～3月)'!N$8:N$15)</f>
        <v>0</v>
      </c>
      <c r="L92" s="158">
        <f>SUMIF('内訳ﾘｽﾄ(4～3月)'!$B$8:$B$15,$B92,'内訳ﾘｽﾄ(4～3月)'!O$8:O$15)</f>
        <v>0</v>
      </c>
      <c r="M92" s="158">
        <f>SUMIF('内訳ﾘｽﾄ(4～3月)'!$B$8:$B$15,$B92,'内訳ﾘｽﾄ(4～3月)'!P$8:P$15)</f>
        <v>0</v>
      </c>
      <c r="N92" s="158">
        <f>SUMIF('内訳ﾘｽﾄ(4～3月)'!$B$8:$B$15,$B92,'内訳ﾘｽﾄ(4～3月)'!Q$8:Q$15)</f>
        <v>0</v>
      </c>
      <c r="O92" s="158">
        <f>SUMIF('内訳ﾘｽﾄ(4～3月)'!$B$8:$B$15,$B92,'内訳ﾘｽﾄ(4～3月)'!R$8:R$15)</f>
        <v>0</v>
      </c>
      <c r="AQ92" s="72"/>
      <c r="AR92" s="72"/>
      <c r="AS92" s="72"/>
      <c r="AT92" s="72"/>
      <c r="AU92" s="70"/>
      <c r="AV92" s="71"/>
      <c r="AW92" s="71"/>
      <c r="AX92" s="71"/>
      <c r="AY92" s="71"/>
      <c r="BA92" s="73"/>
      <c r="BB92" s="73"/>
      <c r="BC92" s="73"/>
      <c r="BD92" s="73"/>
      <c r="BF92" s="70"/>
      <c r="BG92" s="70"/>
      <c r="BH92" s="70"/>
      <c r="BI92" s="70"/>
    </row>
    <row r="93" spans="1:61">
      <c r="B93" s="59" t="s">
        <v>325</v>
      </c>
      <c r="C93" s="158">
        <f>SUMIF('内訳ﾘｽﾄ(4～3月)'!$B$8:$B$15,$B93,'内訳ﾘｽﾄ(4～3月)'!F$8:F$15)</f>
        <v>7267.5</v>
      </c>
      <c r="D93" s="158">
        <f>SUMIF('内訳ﾘｽﾄ(4～3月)'!$B$8:$B$15,$B93,'内訳ﾘｽﾄ(4～3月)'!G$8:G$15)</f>
        <v>6885</v>
      </c>
      <c r="E93" s="158">
        <f>SUMIF('内訳ﾘｽﾄ(4～3月)'!$B$8:$B$15,$B93,'内訳ﾘｽﾄ(4～3月)'!H$8:H$15)</f>
        <v>7990</v>
      </c>
      <c r="F93" s="158">
        <f>SUMIF('内訳ﾘｽﾄ(4～3月)'!$B$8:$B$15,$B93,'内訳ﾘｽﾄ(4～3月)'!I$8:I$15)</f>
        <v>8789</v>
      </c>
      <c r="G93" s="158">
        <f>SUMIF('内訳ﾘｽﾄ(4～3月)'!$B$8:$B$15,$B93,'内訳ﾘｽﾄ(4～3月)'!J$8:J$15)</f>
        <v>7590.5</v>
      </c>
      <c r="H93" s="158">
        <f>SUMIF('内訳ﾘｽﾄ(4～3月)'!$B$8:$B$15,$B93,'内訳ﾘｽﾄ(4～3月)'!K$8:K$15)</f>
        <v>7191</v>
      </c>
      <c r="I93" s="158">
        <f>SUMIF('内訳ﾘｽﾄ(4～3月)'!$B$8:$B$15,$B93,'内訳ﾘｽﾄ(4～3月)'!L$8:L$15)</f>
        <v>8789</v>
      </c>
      <c r="J93" s="158">
        <f>SUMIF('内訳ﾘｽﾄ(4～3月)'!$B$8:$B$15,$B93,'内訳ﾘｽﾄ(4～3月)'!M$8:M$15)</f>
        <v>7590.5</v>
      </c>
      <c r="K93" s="158">
        <f>SUMIF('内訳ﾘｽﾄ(4～3月)'!$B$8:$B$15,$B93,'内訳ﾘｽﾄ(4～3月)'!N$8:N$15)</f>
        <v>8389.5</v>
      </c>
      <c r="L93" s="158">
        <f>SUMIF('内訳ﾘｽﾄ(4～3月)'!$B$8:$B$15,$B93,'内訳ﾘｽﾄ(4～3月)'!O$8:O$15)</f>
        <v>7590.5</v>
      </c>
      <c r="M93" s="158">
        <f>SUMIF('内訳ﾘｽﾄ(4～3月)'!$B$8:$B$15,$B93,'内訳ﾘｽﾄ(4～3月)'!P$8:P$15)</f>
        <v>5593</v>
      </c>
      <c r="N93" s="158">
        <f>SUMIF('内訳ﾘｽﾄ(4～3月)'!$B$8:$B$15,$B93,'内訳ﾘｽﾄ(4～3月)'!Q$8:Q$15)</f>
        <v>7590.5</v>
      </c>
      <c r="O93" s="158">
        <f>SUMIF('内訳ﾘｽﾄ(4～3月)'!$B$8:$B$15,$B93,'内訳ﾘｽﾄ(4～3月)'!R$8:R$15)</f>
        <v>91256</v>
      </c>
      <c r="AQ93" s="72"/>
      <c r="AR93" s="72"/>
      <c r="AS93" s="72"/>
      <c r="AT93" s="72"/>
      <c r="AU93" s="70"/>
      <c r="AV93" s="71"/>
      <c r="AW93" s="71"/>
      <c r="AX93" s="71"/>
      <c r="AY93" s="71"/>
      <c r="BA93" s="73"/>
      <c r="BB93" s="73"/>
      <c r="BC93" s="73"/>
      <c r="BD93" s="73"/>
      <c r="BF93" s="70"/>
      <c r="BG93" s="70"/>
      <c r="BH93" s="70"/>
      <c r="BI93" s="70"/>
    </row>
    <row r="94" spans="1:61">
      <c r="B94" s="61" t="s">
        <v>18</v>
      </c>
      <c r="C94" s="166">
        <f t="shared" ref="C94:N94" si="11">C92+C93</f>
        <v>7267.5</v>
      </c>
      <c r="D94" s="166">
        <f t="shared" si="11"/>
        <v>6885</v>
      </c>
      <c r="E94" s="166">
        <f t="shared" si="11"/>
        <v>7990</v>
      </c>
      <c r="F94" s="166">
        <f t="shared" si="11"/>
        <v>8789</v>
      </c>
      <c r="G94" s="166">
        <f t="shared" si="11"/>
        <v>7590.5</v>
      </c>
      <c r="H94" s="166">
        <f t="shared" si="11"/>
        <v>7191</v>
      </c>
      <c r="I94" s="166">
        <f t="shared" si="11"/>
        <v>8789</v>
      </c>
      <c r="J94" s="166">
        <f t="shared" si="11"/>
        <v>7590.5</v>
      </c>
      <c r="K94" s="166">
        <f t="shared" si="11"/>
        <v>8389.5</v>
      </c>
      <c r="L94" s="166">
        <f t="shared" si="11"/>
        <v>7590.5</v>
      </c>
      <c r="M94" s="166">
        <f t="shared" si="11"/>
        <v>5593</v>
      </c>
      <c r="N94" s="166">
        <f t="shared" si="11"/>
        <v>7590.5</v>
      </c>
      <c r="O94" s="166">
        <f>O92+O93</f>
        <v>91256</v>
      </c>
      <c r="AQ94" s="72"/>
      <c r="AR94" s="72"/>
      <c r="AS94" s="72"/>
      <c r="AT94" s="72"/>
      <c r="AU94" s="70"/>
      <c r="AV94" s="71"/>
      <c r="AW94" s="71"/>
      <c r="AX94" s="71"/>
      <c r="AY94" s="71"/>
      <c r="BA94" s="73"/>
      <c r="BB94" s="73"/>
      <c r="BC94" s="73"/>
      <c r="BD94" s="73"/>
      <c r="BF94" s="70"/>
      <c r="BG94" s="70"/>
      <c r="BH94" s="70"/>
      <c r="BI94" s="70"/>
    </row>
    <row r="95" spans="1:61"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AQ95" s="72"/>
      <c r="AR95" s="72"/>
      <c r="AS95" s="72"/>
      <c r="AT95" s="72"/>
      <c r="AU95" s="70"/>
      <c r="AV95" s="71"/>
      <c r="AW95" s="71"/>
      <c r="AX95" s="71"/>
      <c r="AY95" s="71"/>
      <c r="BA95" s="73"/>
      <c r="BB95" s="73"/>
      <c r="BC95" s="73"/>
      <c r="BD95" s="73"/>
      <c r="BF95" s="70"/>
      <c r="BG95" s="70"/>
      <c r="BH95" s="70"/>
      <c r="BI95" s="70"/>
    </row>
    <row r="96" spans="1:61">
      <c r="B96" s="58" t="s">
        <v>20</v>
      </c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AQ96" s="72"/>
      <c r="AR96" s="72"/>
      <c r="AS96" s="72"/>
      <c r="AT96" s="72"/>
      <c r="AU96" s="70"/>
      <c r="AV96" s="71"/>
      <c r="AW96" s="71"/>
      <c r="AX96" s="71"/>
      <c r="AY96" s="71"/>
      <c r="BA96" s="73"/>
      <c r="BB96" s="73"/>
      <c r="BC96" s="73"/>
      <c r="BD96" s="73"/>
      <c r="BF96" s="70"/>
      <c r="BG96" s="70"/>
      <c r="BH96" s="70"/>
      <c r="BI96" s="70"/>
    </row>
    <row r="97" spans="2:61">
      <c r="B97" s="59" t="s">
        <v>326</v>
      </c>
      <c r="C97" s="158">
        <f>SUMIF('内訳ﾘｽﾄ(4～3月)'!$B$16:$B$23,$B97,'内訳ﾘｽﾄ(4～3月)'!F$16:F$23)</f>
        <v>0</v>
      </c>
      <c r="D97" s="158">
        <f>SUMIF('内訳ﾘｽﾄ(4～3月)'!$B$16:$B$23,$B97,'内訳ﾘｽﾄ(4～3月)'!G$16:G$23)</f>
        <v>0</v>
      </c>
      <c r="E97" s="158">
        <f>SUMIF('内訳ﾘｽﾄ(4～3月)'!$B$16:$B$23,$B97,'内訳ﾘｽﾄ(4～3月)'!H$16:H$23)</f>
        <v>0</v>
      </c>
      <c r="F97" s="158">
        <f>SUMIF('内訳ﾘｽﾄ(4～3月)'!$B$16:$B$23,$B97,'内訳ﾘｽﾄ(4～3月)'!I$16:I$23)</f>
        <v>0</v>
      </c>
      <c r="G97" s="158">
        <f>SUMIF('内訳ﾘｽﾄ(4～3月)'!$B$16:$B$23,$B97,'内訳ﾘｽﾄ(4～3月)'!J$16:J$23)</f>
        <v>0</v>
      </c>
      <c r="H97" s="158">
        <f>SUMIF('内訳ﾘｽﾄ(4～3月)'!$B$16:$B$23,$B97,'内訳ﾘｽﾄ(4～3月)'!K$16:K$23)</f>
        <v>0</v>
      </c>
      <c r="I97" s="158">
        <f>SUMIF('内訳ﾘｽﾄ(4～3月)'!$B$16:$B$23,$B97,'内訳ﾘｽﾄ(4～3月)'!L$16:L$23)</f>
        <v>0</v>
      </c>
      <c r="J97" s="158">
        <f>SUMIF('内訳ﾘｽﾄ(4～3月)'!$B$16:$B$23,$B97,'内訳ﾘｽﾄ(4～3月)'!M$16:M$23)</f>
        <v>0</v>
      </c>
      <c r="K97" s="158">
        <f>SUMIF('内訳ﾘｽﾄ(4～3月)'!$B$16:$B$23,$B97,'内訳ﾘｽﾄ(4～3月)'!N$16:N$23)</f>
        <v>0</v>
      </c>
      <c r="L97" s="158">
        <f>SUMIF('内訳ﾘｽﾄ(4～3月)'!$B$16:$B$23,$B97,'内訳ﾘｽﾄ(4～3月)'!O$16:O$23)</f>
        <v>0</v>
      </c>
      <c r="M97" s="158">
        <f>SUMIF('内訳ﾘｽﾄ(4～3月)'!$B$16:$B$23,$B97,'内訳ﾘｽﾄ(4～3月)'!P$16:P$23)</f>
        <v>0</v>
      </c>
      <c r="N97" s="158">
        <f>SUMIF('内訳ﾘｽﾄ(4～3月)'!$B$16:$B$23,$B97,'内訳ﾘｽﾄ(4～3月)'!Q$16:Q$23)</f>
        <v>0</v>
      </c>
      <c r="O97" s="158">
        <f>SUMIF('内訳ﾘｽﾄ(4～3月)'!$B$16:$B$23,$B97,'内訳ﾘｽﾄ(4～3月)'!R$16:R$23)</f>
        <v>0</v>
      </c>
      <c r="AQ97" s="72"/>
      <c r="AR97" s="72"/>
      <c r="AS97" s="72"/>
      <c r="AT97" s="72"/>
      <c r="AU97" s="70"/>
      <c r="AV97" s="71"/>
      <c r="AW97" s="71"/>
      <c r="AX97" s="71"/>
      <c r="AY97" s="71"/>
      <c r="BA97" s="73"/>
      <c r="BB97" s="73"/>
      <c r="BC97" s="73"/>
      <c r="BD97" s="73"/>
      <c r="BF97" s="70"/>
      <c r="BG97" s="70"/>
      <c r="BH97" s="70"/>
      <c r="BI97" s="70"/>
    </row>
    <row r="98" spans="2:61">
      <c r="B98" s="59" t="s">
        <v>327</v>
      </c>
      <c r="C98" s="158">
        <f>SUMIF('内訳ﾘｽﾄ(4～3月)'!$B$16:$B$23,$B98,'内訳ﾘｽﾄ(4～3月)'!F$16:F$23)</f>
        <v>920</v>
      </c>
      <c r="D98" s="158">
        <f>SUMIF('内訳ﾘｽﾄ(4～3月)'!$B$16:$B$23,$B98,'内訳ﾘｽﾄ(4～3月)'!G$16:G$23)</f>
        <v>918</v>
      </c>
      <c r="E98" s="158">
        <f>SUMIF('内訳ﾘｽﾄ(4～3月)'!$B$16:$B$23,$B98,'内訳ﾘｽﾄ(4～3月)'!H$16:H$23)</f>
        <v>962</v>
      </c>
      <c r="F98" s="158">
        <f>SUMIF('内訳ﾘｽﾄ(4～3月)'!$B$16:$B$23,$B98,'内訳ﾘｽﾄ(4～3月)'!I$16:I$23)</f>
        <v>966</v>
      </c>
      <c r="G98" s="158">
        <f>SUMIF('内訳ﾘｽﾄ(4～3月)'!$B$16:$B$23,$B98,'内訳ﾘｽﾄ(4～3月)'!J$16:J$23)</f>
        <v>960</v>
      </c>
      <c r="H98" s="158">
        <f>SUMIF('内訳ﾘｽﾄ(4～3月)'!$B$16:$B$23,$B98,'内訳ﾘｽﾄ(4～3月)'!K$16:K$23)</f>
        <v>958</v>
      </c>
      <c r="I98" s="158">
        <f>SUMIF('内訳ﾘｽﾄ(4～3月)'!$B$16:$B$23,$B98,'内訳ﾘｽﾄ(4～3月)'!L$16:L$23)</f>
        <v>966</v>
      </c>
      <c r="J98" s="158">
        <f>SUMIF('内訳ﾘｽﾄ(4～3月)'!$B$16:$B$23,$B98,'内訳ﾘｽﾄ(4～3月)'!M$16:M$23)</f>
        <v>960</v>
      </c>
      <c r="K98" s="158">
        <f>SUMIF('内訳ﾘｽﾄ(4～3月)'!$B$16:$B$23,$B98,'内訳ﾘｽﾄ(4～3月)'!N$16:N$23)</f>
        <v>964</v>
      </c>
      <c r="L98" s="158">
        <f>SUMIF('内訳ﾘｽﾄ(4～3月)'!$B$16:$B$23,$B98,'内訳ﾘｽﾄ(4～3月)'!O$16:O$23)</f>
        <v>960</v>
      </c>
      <c r="M98" s="158">
        <f>SUMIF('内訳ﾘｽﾄ(4～3月)'!$B$16:$B$23,$B98,'内訳ﾘｽﾄ(4～3月)'!P$16:P$23)</f>
        <v>950</v>
      </c>
      <c r="N98" s="158">
        <f>SUMIF('内訳ﾘｽﾄ(4～3月)'!$B$16:$B$23,$B98,'内訳ﾘｽﾄ(4～3月)'!Q$16:Q$23)</f>
        <v>960</v>
      </c>
      <c r="O98" s="158">
        <f>SUMIF('内訳ﾘｽﾄ(4～3月)'!$B$16:$B$23,$B98,'内訳ﾘｽﾄ(4～3月)'!R$16:R$23)</f>
        <v>11444</v>
      </c>
      <c r="AQ98" s="72"/>
      <c r="AR98" s="72"/>
      <c r="AS98" s="72"/>
      <c r="AT98" s="72"/>
      <c r="AU98" s="70"/>
      <c r="AV98" s="71"/>
      <c r="AW98" s="71"/>
      <c r="AX98" s="71"/>
      <c r="AY98" s="71"/>
      <c r="BA98" s="73"/>
      <c r="BB98" s="73"/>
      <c r="BC98" s="73"/>
      <c r="BD98" s="73"/>
      <c r="BF98" s="70"/>
      <c r="BG98" s="70"/>
      <c r="BH98" s="70"/>
      <c r="BI98" s="70"/>
    </row>
    <row r="99" spans="2:61">
      <c r="B99" s="61" t="s">
        <v>18</v>
      </c>
      <c r="C99" s="166">
        <f t="shared" ref="C99:N99" si="12">C97+C98</f>
        <v>920</v>
      </c>
      <c r="D99" s="166">
        <f t="shared" si="12"/>
        <v>918</v>
      </c>
      <c r="E99" s="166">
        <f t="shared" si="12"/>
        <v>962</v>
      </c>
      <c r="F99" s="166">
        <f t="shared" si="12"/>
        <v>966</v>
      </c>
      <c r="G99" s="166">
        <f t="shared" si="12"/>
        <v>960</v>
      </c>
      <c r="H99" s="166">
        <f t="shared" si="12"/>
        <v>958</v>
      </c>
      <c r="I99" s="166">
        <f t="shared" si="12"/>
        <v>966</v>
      </c>
      <c r="J99" s="166">
        <f t="shared" si="12"/>
        <v>960</v>
      </c>
      <c r="K99" s="166">
        <f t="shared" si="12"/>
        <v>964</v>
      </c>
      <c r="L99" s="166">
        <f t="shared" si="12"/>
        <v>960</v>
      </c>
      <c r="M99" s="166">
        <f t="shared" si="12"/>
        <v>950</v>
      </c>
      <c r="N99" s="166">
        <f t="shared" si="12"/>
        <v>960</v>
      </c>
      <c r="O99" s="166">
        <f>O97+O98</f>
        <v>11444</v>
      </c>
      <c r="AQ99" s="72"/>
      <c r="AR99" s="72"/>
      <c r="AS99" s="72"/>
      <c r="AT99" s="72"/>
      <c r="AU99" s="70"/>
      <c r="AV99" s="71"/>
      <c r="AW99" s="71"/>
      <c r="AX99" s="71"/>
      <c r="AY99" s="71"/>
      <c r="BA99" s="73"/>
      <c r="BB99" s="73"/>
      <c r="BC99" s="73"/>
      <c r="BD99" s="73"/>
      <c r="BF99" s="70"/>
      <c r="BG99" s="70"/>
      <c r="BH99" s="70"/>
      <c r="BI99" s="70"/>
    </row>
  </sheetData>
  <phoneticPr fontId="2"/>
  <dataValidations count="1">
    <dataValidation type="whole" allowBlank="1" showInputMessage="1" showErrorMessage="1" sqref="C5:O8 C12:O48 C65:O66" xr:uid="{8F64BBB2-C545-4606-B1A1-CF27200F1176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378B-C566-4B6B-BD0F-3EA3A85A91C7}">
  <sheetPr codeName="Sheet3">
    <tabColor indexed="13"/>
  </sheetPr>
  <dimension ref="A1:BC998"/>
  <sheetViews>
    <sheetView zoomScaleNormal="100" zoomScaleSheetLayoutView="40" workbookViewId="0">
      <pane xSplit="4" ySplit="7" topLeftCell="E38" activePane="bottomRight" state="frozen"/>
      <selection pane="topRight" activeCell="E1" sqref="E1"/>
      <selection pane="bottomLeft" activeCell="A8" sqref="A8"/>
      <selection pane="bottomRight" activeCell="E38" sqref="E38"/>
    </sheetView>
  </sheetViews>
  <sheetFormatPr defaultColWidth="9" defaultRowHeight="11.25"/>
  <cols>
    <col min="1" max="1" width="2" style="1" customWidth="1"/>
    <col min="2" max="2" width="12.375" style="178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1" customWidth="1"/>
    <col min="7" max="17" width="11.625" style="122" customWidth="1"/>
    <col min="18" max="18" width="11.875" style="123" customWidth="1"/>
    <col min="19" max="19" width="104.875" style="4" customWidth="1"/>
    <col min="20" max="20" width="25.5" style="69" customWidth="1"/>
    <col min="21" max="23" width="9" style="4" customWidth="1"/>
    <col min="24" max="16384" width="9" style="4"/>
  </cols>
  <sheetData>
    <row r="1" spans="1:55" ht="25.5">
      <c r="A1" s="251" t="s">
        <v>673</v>
      </c>
      <c r="B1" s="252"/>
      <c r="C1" s="253"/>
      <c r="D1" s="2"/>
      <c r="E1" s="49"/>
      <c r="F1" s="82"/>
      <c r="G1" s="82"/>
      <c r="H1" s="82"/>
      <c r="I1" s="82"/>
      <c r="J1" s="82"/>
      <c r="K1" s="82"/>
      <c r="L1" s="82"/>
      <c r="M1" s="82"/>
      <c r="N1" s="82"/>
      <c r="O1" s="82"/>
      <c r="P1" s="91"/>
      <c r="Q1" s="82"/>
      <c r="R1" s="66"/>
      <c r="S1" s="11"/>
      <c r="T1" s="11"/>
    </row>
    <row r="2" spans="1:55" ht="18">
      <c r="A2" s="108"/>
      <c r="B2" s="124">
        <v>25390</v>
      </c>
      <c r="C2" s="2"/>
      <c r="D2" s="2"/>
      <c r="E2" s="247" t="s">
        <v>92</v>
      </c>
      <c r="F2" s="83">
        <f ca="1">OFFSET(稼働日!$B$2,MATCH('内訳ﾘｽﾄ(4～3月)'!F4,稼働日!$A$3:$A$14,0),0)</f>
        <v>20</v>
      </c>
      <c r="G2" s="83">
        <f ca="1">OFFSET(稼働日!$B$2,MATCH('内訳ﾘｽﾄ(4～3月)'!G4,稼働日!$A$3:$A$14,0),0)</f>
        <v>19</v>
      </c>
      <c r="H2" s="83">
        <f ca="1">OFFSET(稼働日!$B$2,MATCH('内訳ﾘｽﾄ(4～3月)'!H4,稼働日!$A$3:$A$14,0),0)</f>
        <v>21</v>
      </c>
      <c r="I2" s="83">
        <f ca="1">OFFSET(稼働日!$B$2,MATCH('内訳ﾘｽﾄ(4～3月)'!I4,稼働日!$A$3:$A$14,0),0)</f>
        <v>23</v>
      </c>
      <c r="J2" s="83">
        <f ca="1">OFFSET(稼働日!$B$2,MATCH('内訳ﾘｽﾄ(4～3月)'!J4,稼働日!$A$3:$A$14,0),0)</f>
        <v>20</v>
      </c>
      <c r="K2" s="83">
        <f ca="1">OFFSET(稼働日!$B$2,MATCH('内訳ﾘｽﾄ(4～3月)'!K4,稼働日!$A$3:$A$14,0),0)</f>
        <v>19</v>
      </c>
      <c r="L2" s="83">
        <f ca="1">OFFSET(稼働日!$B$2,MATCH('内訳ﾘｽﾄ(4～3月)'!L4,稼働日!$A$3:$A$14,0),0)</f>
        <v>23</v>
      </c>
      <c r="M2" s="83">
        <f ca="1">OFFSET(稼働日!$B$2,MATCH('内訳ﾘｽﾄ(4～3月)'!M4,稼働日!$A$3:$A$14,0),0)</f>
        <v>20</v>
      </c>
      <c r="N2" s="83">
        <f ca="1">OFFSET(稼働日!$B$2,MATCH('内訳ﾘｽﾄ(4～3月)'!N4,稼働日!$A$3:$A$14,0),0)</f>
        <v>22</v>
      </c>
      <c r="O2" s="88">
        <f ca="1">OFFSET(稼働日!$B$2,MATCH('内訳ﾘｽﾄ(4～3月)'!O4,稼働日!$A$3:$A$14,0),0)</f>
        <v>20</v>
      </c>
      <c r="P2" s="88">
        <f ca="1">OFFSET(稼働日!$B$2,MATCH('内訳ﾘｽﾄ(4～3月)'!P4,稼働日!$A$3:$A$14,0),0)</f>
        <v>15</v>
      </c>
      <c r="Q2" s="88">
        <f ca="1">OFFSET(稼働日!$B$2,MATCH('内訳ﾘｽﾄ(4～3月)'!Q4,稼働日!$A$3:$A$14,0),0)</f>
        <v>20</v>
      </c>
      <c r="R2" s="50"/>
      <c r="S2" s="11"/>
      <c r="T2" s="297">
        <v>25390</v>
      </c>
    </row>
    <row r="3" spans="1:55" s="109" customFormat="1" ht="12.75" thickBot="1">
      <c r="A3" s="108"/>
      <c r="B3" s="169"/>
      <c r="D3" s="110"/>
      <c r="E3" s="255" t="s">
        <v>579</v>
      </c>
      <c r="F3" s="272" t="str">
        <f t="array" ref="F3">IF(SUM((F8:F25)-ROUNDDOWN((F8:F25)*4,0)/4)&lt;&gt;0,"時間➝0.25の倍数では無い",IF(SUM(ROUND((F26:F998),0)-ROUND((F26:F998),4))&lt;&gt;0,"経費➝小数点",IF(F5&lt;&gt;IF($D$5="製造",'採算表(VND)'!C13,-VLOOKUP($D$5&amp;"経費",'採算表(VND)'!$B:$N,'採算表(VND)'!C3,0)),"経費➝NG","OK")))</f>
        <v>OK</v>
      </c>
      <c r="G3" s="272" t="str">
        <f t="array" ref="G3">IF(SUM((G8:G25)-ROUNDDOWN((G8:G25)*4,0)/4)&lt;&gt;0,"時間➝0.25の倍数では無い",IF(SUM(ROUND((G26:G998),0)-ROUND((G26:G998),4))&lt;&gt;0,"経費➝小数点",IF(G5&lt;&gt;IF($D$5="製造",'採算表(VND)'!D13,-VLOOKUP($D$5&amp;"経費",'採算表(VND)'!$B:$N,'採算表(VND)'!D3,0)),"経費➝NG","OK")))</f>
        <v>OK</v>
      </c>
      <c r="H3" s="272" t="str">
        <f t="array" ref="H3">IF(SUM((H8:H25)-ROUNDDOWN((H8:H25)*4,0)/4)&lt;&gt;0,"時間➝0.25の倍数では無い",IF(SUM(ROUND((H26:H998),0)-ROUND((H26:H998),4))&lt;&gt;0,"経費➝小数点",IF(H5&lt;&gt;IF($D$5="製造",'採算表(VND)'!E13,-VLOOKUP($D$5&amp;"経費",'採算表(VND)'!$B:$N,'採算表(VND)'!E3,0)),"経費➝NG","OK")))</f>
        <v>OK</v>
      </c>
      <c r="I3" s="272" t="str">
        <f t="array" ref="I3">IF(SUM((I8:I25)-ROUNDDOWN((I8:I25)*4,0)/4)&lt;&gt;0,"時間➝0.25の倍数では無い",IF(SUM(ROUND((I26:I998),0)-ROUND((I26:I998),4))&lt;&gt;0,"経費➝小数点",IF(I5&lt;&gt;IF($D$5="製造",'採算表(VND)'!F13,-VLOOKUP($D$5&amp;"経費",'採算表(VND)'!$B:$N,'採算表(VND)'!F3,0)),"経費➝NG","OK")))</f>
        <v>OK</v>
      </c>
      <c r="J3" s="272" t="str">
        <f t="array" ref="J3">IF(SUM((J8:J25)-ROUNDDOWN((J8:J25)*4,0)/4)&lt;&gt;0,"時間➝0.25の倍数では無い",IF(SUM(ROUND((J26:J998),0)-ROUND((J26:J998),4))&lt;&gt;0,"経費➝小数点",IF(J5&lt;&gt;IF($D$5="製造",'採算表(VND)'!G13,-VLOOKUP($D$5&amp;"経費",'採算表(VND)'!$B:$N,'採算表(VND)'!G3,0)),"経費➝NG","OK")))</f>
        <v>OK</v>
      </c>
      <c r="K3" s="272" t="str">
        <f t="array" ref="K3">IF(SUM((K8:K25)-ROUNDDOWN((K8:K25)*4,0)/4)&lt;&gt;0,"時間➝0.25の倍数では無い",IF(SUM(ROUND((K26:K998),0)-ROUND((K26:K998),4))&lt;&gt;0,"経費➝小数点",IF(K5&lt;&gt;IF($D$5="製造",'採算表(VND)'!H13,-VLOOKUP($D$5&amp;"経費",'採算表(VND)'!$B:$N,'採算表(VND)'!H3,0)),"経費➝NG","OK")))</f>
        <v>OK</v>
      </c>
      <c r="L3" s="272" t="str">
        <f t="array" ref="L3">IF(SUM((L8:L25)-ROUNDDOWN((L8:L25)*4,0)/4)&lt;&gt;0,"時間➝0.25の倍数では無い",IF(SUM(ROUND((L26:L998),0)-ROUND((L26:L998),4))&lt;&gt;0,"経費➝小数点",IF(L5&lt;&gt;IF($D$5="製造",'採算表(VND)'!I13,-VLOOKUP($D$5&amp;"経費",'採算表(VND)'!$B:$N,'採算表(VND)'!I3,0)),"経費➝NG","OK")))</f>
        <v>OK</v>
      </c>
      <c r="M3" s="272" t="str">
        <f t="array" ref="M3">IF(SUM((M8:M25)-ROUNDDOWN((M8:M25)*4,0)/4)&lt;&gt;0,"時間➝0.25の倍数では無い",IF(SUM(ROUND((M26:M998),0)-ROUND((M26:M998),4))&lt;&gt;0,"経費➝小数点",IF(M5&lt;&gt;IF($D$5="製造",'採算表(VND)'!J13,-VLOOKUP($D$5&amp;"経費",'採算表(VND)'!$B:$N,'採算表(VND)'!J3,0)),"経費➝NG","OK")))</f>
        <v>OK</v>
      </c>
      <c r="N3" s="272" t="str">
        <f t="array" ref="N3">IF(SUM((N8:N25)-ROUNDDOWN((N8:N25)*4,0)/4)&lt;&gt;0,"時間➝0.25の倍数では無い",IF(SUM(ROUND((N26:N998),0)-ROUND((N26:N998),4))&lt;&gt;0,"経費➝小数点",IF(N5&lt;&gt;IF($D$5="製造",'採算表(VND)'!K13,-VLOOKUP($D$5&amp;"経費",'採算表(VND)'!$B:$N,'採算表(VND)'!K3,0)),"経費➝NG","OK")))</f>
        <v>OK</v>
      </c>
      <c r="O3" s="272" t="str">
        <f t="array" ref="O3">IF(SUM((O8:O25)-ROUNDDOWN((O8:O25)*4,0)/4)&lt;&gt;0,"時間➝0.25の倍数では無い",IF(SUM(ROUND((O26:O998),0)-ROUND((O26:O998),4))&lt;&gt;0,"経費➝小数点",IF(O5&lt;&gt;IF($D$5="製造",'採算表(VND)'!L13,-VLOOKUP($D$5&amp;"経費",'採算表(VND)'!$B:$N,'採算表(VND)'!L3,0)),"経費➝NG","OK")))</f>
        <v>OK</v>
      </c>
      <c r="P3" s="272" t="str">
        <f t="array" ref="P3">IF(SUM((P8:P25)-ROUNDDOWN((P8:P25)*4,0)/4)&lt;&gt;0,"時間➝0.25の倍数では無い",IF(SUM(ROUND((P26:P998),0)-ROUND((P26:P998),4))&lt;&gt;0,"経費➝小数点",IF(P5&lt;&gt;IF($D$5="製造",'採算表(VND)'!M13,-VLOOKUP($D$5&amp;"経費",'採算表(VND)'!$B:$N,'採算表(VND)'!M3,0)),"経費➝NG","OK")))</f>
        <v>OK</v>
      </c>
      <c r="Q3" s="272" t="str">
        <f t="array" ref="Q3">IF(SUM((Q8:Q25)-ROUNDDOWN((Q8:Q25)*4,0)/4)&lt;&gt;0,"時間➝0.25の倍数では無い",IF(SUM(ROUND((Q26:Q998),0)-ROUND((Q26:Q998),4))&lt;&gt;0,"経費➝小数点",IF(Q5&lt;&gt;IF($D$5="製造",'採算表(VND)'!N13,-VLOOKUP($D$5&amp;"経費",'採算表(VND)'!$B:$N,'採算表(VND)'!N3,0)),"経費➝NG","OK")))</f>
        <v>OK</v>
      </c>
      <c r="R3" s="111"/>
      <c r="S3" s="112"/>
      <c r="T3" s="113"/>
    </row>
    <row r="4" spans="1:55" s="6" customFormat="1" ht="12.75" thickBot="1">
      <c r="A4" s="5"/>
      <c r="B4" s="170" t="s">
        <v>580</v>
      </c>
      <c r="C4" s="12" t="s">
        <v>38</v>
      </c>
      <c r="D4" s="12" t="s">
        <v>82</v>
      </c>
      <c r="E4" s="12" t="s">
        <v>83</v>
      </c>
      <c r="F4" s="84">
        <v>4</v>
      </c>
      <c r="G4" s="84">
        <v>5</v>
      </c>
      <c r="H4" s="84">
        <v>6</v>
      </c>
      <c r="I4" s="84">
        <v>7</v>
      </c>
      <c r="J4" s="84">
        <v>8</v>
      </c>
      <c r="K4" s="84">
        <v>9</v>
      </c>
      <c r="L4" s="84">
        <v>10</v>
      </c>
      <c r="M4" s="84">
        <v>11</v>
      </c>
      <c r="N4" s="84">
        <v>12</v>
      </c>
      <c r="O4" s="84">
        <v>1</v>
      </c>
      <c r="P4" s="84">
        <v>2</v>
      </c>
      <c r="Q4" s="84">
        <v>3</v>
      </c>
      <c r="R4" s="14" t="s">
        <v>581</v>
      </c>
      <c r="S4" s="248" t="s">
        <v>590</v>
      </c>
      <c r="T4" s="99"/>
    </row>
    <row r="5" spans="1:55" ht="14.25" thickBot="1">
      <c r="B5" s="171">
        <v>1412000092</v>
      </c>
      <c r="C5" s="7" t="str">
        <f>VLOOKUP($B$5,原価センタ!$A:$E,2,0)</f>
        <v>部品検査2課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49">
        <f t="shared" ref="F5:R5" si="0">SUM(F29:F998)</f>
        <v>2419160810</v>
      </c>
      <c r="G5" s="249">
        <f t="shared" si="0"/>
        <v>391910016</v>
      </c>
      <c r="H5" s="249">
        <f t="shared" si="0"/>
        <v>343019375</v>
      </c>
      <c r="I5" s="249">
        <f t="shared" si="0"/>
        <v>326576133</v>
      </c>
      <c r="J5" s="249">
        <f t="shared" si="0"/>
        <v>306468969</v>
      </c>
      <c r="K5" s="249">
        <f t="shared" si="0"/>
        <v>311006652</v>
      </c>
      <c r="L5" s="249">
        <f t="shared" si="0"/>
        <v>332896867</v>
      </c>
      <c r="M5" s="249">
        <f t="shared" si="0"/>
        <v>291740605</v>
      </c>
      <c r="N5" s="249">
        <f t="shared" si="0"/>
        <v>351183602</v>
      </c>
      <c r="O5" s="249">
        <f t="shared" si="0"/>
        <v>267267898</v>
      </c>
      <c r="P5" s="249">
        <f t="shared" si="0"/>
        <v>242437814</v>
      </c>
      <c r="Q5" s="249">
        <f t="shared" si="0"/>
        <v>258221719</v>
      </c>
      <c r="R5" s="250">
        <f t="shared" si="0"/>
        <v>5841890460</v>
      </c>
      <c r="S5" s="248"/>
      <c r="T5" s="100"/>
      <c r="BA5"/>
      <c r="BB5"/>
    </row>
    <row r="6" spans="1:55" s="115" customFormat="1" ht="3" customHeight="1" thickBot="1">
      <c r="A6" s="114"/>
      <c r="B6" s="172"/>
      <c r="E6" s="49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7"/>
      <c r="T6" s="118"/>
      <c r="BA6"/>
      <c r="BB6"/>
    </row>
    <row r="7" spans="1:55" s="10" customFormat="1" ht="14.25" thickBot="1">
      <c r="A7" s="8"/>
      <c r="B7" s="173"/>
      <c r="C7" s="9" t="s">
        <v>84</v>
      </c>
      <c r="D7" s="15" t="s">
        <v>125</v>
      </c>
      <c r="E7" s="13" t="s">
        <v>39</v>
      </c>
      <c r="F7" s="85" t="s">
        <v>154</v>
      </c>
      <c r="G7" s="86" t="s">
        <v>153</v>
      </c>
      <c r="H7" s="86" t="s">
        <v>153</v>
      </c>
      <c r="I7" s="86" t="s">
        <v>153</v>
      </c>
      <c r="J7" s="86" t="s">
        <v>153</v>
      </c>
      <c r="K7" s="86" t="s">
        <v>153</v>
      </c>
      <c r="L7" s="86" t="s">
        <v>153</v>
      </c>
      <c r="M7" s="86" t="s">
        <v>153</v>
      </c>
      <c r="N7" s="86" t="s">
        <v>153</v>
      </c>
      <c r="O7" s="86" t="s">
        <v>153</v>
      </c>
      <c r="P7" s="86" t="s">
        <v>153</v>
      </c>
      <c r="Q7" s="87" t="s">
        <v>153</v>
      </c>
      <c r="R7" s="14" t="s">
        <v>153</v>
      </c>
      <c r="S7" s="12" t="s">
        <v>642</v>
      </c>
      <c r="T7" s="12" t="s">
        <v>417</v>
      </c>
      <c r="U7" s="76"/>
      <c r="V7" s="76"/>
      <c r="W7" s="76"/>
      <c r="BA7"/>
      <c r="BB7"/>
      <c r="BC7" s="10" t="s">
        <v>417</v>
      </c>
    </row>
    <row r="8" spans="1:55" s="188" customFormat="1" ht="13.5">
      <c r="A8" s="179"/>
      <c r="B8" s="256" t="s">
        <v>324</v>
      </c>
      <c r="C8" s="180" t="s">
        <v>334</v>
      </c>
      <c r="D8" s="181" t="s">
        <v>81</v>
      </c>
      <c r="E8" s="182"/>
      <c r="F8" s="183">
        <v>0</v>
      </c>
      <c r="G8" s="183">
        <v>0</v>
      </c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v>0</v>
      </c>
      <c r="P8" s="183">
        <v>0</v>
      </c>
      <c r="Q8" s="183">
        <v>0</v>
      </c>
      <c r="R8" s="184">
        <f>SUM(F8:Q8)</f>
        <v>0</v>
      </c>
      <c r="S8" s="185"/>
      <c r="T8" s="186"/>
      <c r="U8" s="187"/>
      <c r="V8" s="187"/>
      <c r="W8" s="187"/>
      <c r="BA8"/>
      <c r="BB8"/>
    </row>
    <row r="9" spans="1:55" s="188" customFormat="1" ht="13.5">
      <c r="A9" s="179"/>
      <c r="B9" s="257" t="s">
        <v>325</v>
      </c>
      <c r="C9" s="180" t="s">
        <v>335</v>
      </c>
      <c r="D9" s="189" t="s">
        <v>81</v>
      </c>
      <c r="E9" s="190"/>
      <c r="F9" s="191">
        <v>7267.5</v>
      </c>
      <c r="G9" s="191">
        <v>6885</v>
      </c>
      <c r="H9" s="191">
        <v>7990</v>
      </c>
      <c r="I9" s="191">
        <v>8789</v>
      </c>
      <c r="J9" s="191">
        <v>7590.5</v>
      </c>
      <c r="K9" s="191">
        <v>7191</v>
      </c>
      <c r="L9" s="191">
        <v>8789</v>
      </c>
      <c r="M9" s="191">
        <v>7590.5</v>
      </c>
      <c r="N9" s="191">
        <v>8389.5</v>
      </c>
      <c r="O9" s="191">
        <v>7590.5</v>
      </c>
      <c r="P9" s="191">
        <v>5593</v>
      </c>
      <c r="Q9" s="191">
        <v>7590.5</v>
      </c>
      <c r="R9" s="192">
        <f t="shared" ref="R9:R23" si="1">SUM(F9:Q9)</f>
        <v>91256</v>
      </c>
      <c r="S9" s="193"/>
      <c r="T9" s="194"/>
      <c r="U9" s="187"/>
      <c r="V9" s="187"/>
      <c r="W9" s="187"/>
      <c r="BA9"/>
      <c r="BB9"/>
    </row>
    <row r="10" spans="1:55" s="188" customFormat="1" ht="13.5">
      <c r="A10" s="179"/>
      <c r="B10" s="258" t="s">
        <v>324</v>
      </c>
      <c r="C10" s="180" t="s">
        <v>336</v>
      </c>
      <c r="D10" s="195" t="s">
        <v>86</v>
      </c>
      <c r="E10" s="196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7">
        <f t="shared" si="1"/>
        <v>0</v>
      </c>
      <c r="S10" s="198"/>
      <c r="T10" s="199"/>
      <c r="U10" s="187"/>
      <c r="V10" s="187"/>
      <c r="W10" s="187"/>
      <c r="BA10"/>
      <c r="BB10"/>
    </row>
    <row r="11" spans="1:55" s="205" customFormat="1" ht="13.5">
      <c r="A11" s="200"/>
      <c r="B11" s="259" t="s">
        <v>325</v>
      </c>
      <c r="C11" s="180" t="s">
        <v>337</v>
      </c>
      <c r="D11" s="195" t="s">
        <v>86</v>
      </c>
      <c r="E11" s="20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202">
        <f t="shared" si="1"/>
        <v>0</v>
      </c>
      <c r="S11" s="203"/>
      <c r="T11" s="204"/>
      <c r="U11" s="187"/>
      <c r="V11" s="187"/>
      <c r="W11" s="187"/>
      <c r="BA11"/>
      <c r="BB11"/>
    </row>
    <row r="12" spans="1:55" s="205" customFormat="1" ht="13.5">
      <c r="A12" s="200"/>
      <c r="B12" s="258"/>
      <c r="C12" s="206" t="s">
        <v>451</v>
      </c>
      <c r="D12" s="207" t="s">
        <v>452</v>
      </c>
      <c r="E12" s="208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10">
        <f t="shared" si="1"/>
        <v>0</v>
      </c>
      <c r="S12" s="211" t="s">
        <v>692</v>
      </c>
      <c r="T12" s="204"/>
      <c r="U12" s="187"/>
      <c r="V12" s="187"/>
      <c r="W12" s="187"/>
      <c r="BA12"/>
      <c r="BB12"/>
    </row>
    <row r="13" spans="1:55" s="205" customFormat="1" ht="13.5">
      <c r="A13" s="200"/>
      <c r="B13" s="258"/>
      <c r="C13" s="206" t="s">
        <v>453</v>
      </c>
      <c r="D13" s="207" t="s">
        <v>454</v>
      </c>
      <c r="E13" s="20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10">
        <f t="shared" si="1"/>
        <v>0</v>
      </c>
      <c r="S13" s="211" t="s">
        <v>692</v>
      </c>
      <c r="T13" s="204"/>
      <c r="U13" s="187"/>
      <c r="V13" s="187"/>
      <c r="W13" s="187"/>
      <c r="BA13"/>
      <c r="BB13"/>
    </row>
    <row r="14" spans="1:55" s="205" customFormat="1" ht="13.5">
      <c r="A14" s="200"/>
      <c r="B14" s="259"/>
      <c r="C14" s="206" t="s">
        <v>455</v>
      </c>
      <c r="D14" s="207" t="s">
        <v>456</v>
      </c>
      <c r="E14" s="208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10">
        <f t="shared" si="1"/>
        <v>0</v>
      </c>
      <c r="S14" s="211" t="s">
        <v>692</v>
      </c>
      <c r="T14" s="204"/>
      <c r="U14" s="187"/>
      <c r="V14" s="187"/>
      <c r="W14" s="187"/>
      <c r="BA14"/>
      <c r="BB14"/>
    </row>
    <row r="15" spans="1:55" s="205" customFormat="1" ht="13.5">
      <c r="A15" s="200"/>
      <c r="B15" s="259"/>
      <c r="C15" s="206" t="s">
        <v>457</v>
      </c>
      <c r="D15" s="207" t="s">
        <v>450</v>
      </c>
      <c r="E15" s="208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10">
        <f t="shared" si="1"/>
        <v>0</v>
      </c>
      <c r="S15" s="211" t="s">
        <v>692</v>
      </c>
      <c r="T15" s="204"/>
      <c r="U15" s="187"/>
      <c r="V15" s="187"/>
      <c r="W15" s="187"/>
      <c r="BA15"/>
      <c r="BB15"/>
    </row>
    <row r="16" spans="1:55" s="205" customFormat="1" ht="13.5">
      <c r="A16" s="200"/>
      <c r="B16" s="260" t="s">
        <v>326</v>
      </c>
      <c r="C16" s="180" t="s">
        <v>338</v>
      </c>
      <c r="D16" s="212" t="s">
        <v>86</v>
      </c>
      <c r="E16" s="201"/>
      <c r="F16" s="191">
        <v>0</v>
      </c>
      <c r="G16" s="191">
        <v>0</v>
      </c>
      <c r="H16" s="191">
        <v>0</v>
      </c>
      <c r="I16" s="191">
        <v>0</v>
      </c>
      <c r="J16" s="191">
        <v>0</v>
      </c>
      <c r="K16" s="191">
        <v>0</v>
      </c>
      <c r="L16" s="191">
        <v>0</v>
      </c>
      <c r="M16" s="191">
        <v>0</v>
      </c>
      <c r="N16" s="191">
        <v>0</v>
      </c>
      <c r="O16" s="191">
        <v>0</v>
      </c>
      <c r="P16" s="191">
        <v>0</v>
      </c>
      <c r="Q16" s="191">
        <v>0</v>
      </c>
      <c r="R16" s="202">
        <f t="shared" si="1"/>
        <v>0</v>
      </c>
      <c r="S16" s="203"/>
      <c r="T16" s="204"/>
      <c r="U16" s="187"/>
      <c r="V16" s="187"/>
      <c r="W16" s="187"/>
      <c r="BA16"/>
      <c r="BB16"/>
    </row>
    <row r="17" spans="1:54" s="188" customFormat="1" ht="13.5">
      <c r="A17" s="179"/>
      <c r="B17" s="260" t="s">
        <v>327</v>
      </c>
      <c r="C17" s="180" t="s">
        <v>339</v>
      </c>
      <c r="D17" s="212" t="s">
        <v>86</v>
      </c>
      <c r="E17" s="201"/>
      <c r="F17" s="191">
        <v>920</v>
      </c>
      <c r="G17" s="191">
        <v>918</v>
      </c>
      <c r="H17" s="191">
        <v>962</v>
      </c>
      <c r="I17" s="191">
        <v>966</v>
      </c>
      <c r="J17" s="191">
        <v>960</v>
      </c>
      <c r="K17" s="191">
        <v>958</v>
      </c>
      <c r="L17" s="191">
        <v>966</v>
      </c>
      <c r="M17" s="191">
        <v>960</v>
      </c>
      <c r="N17" s="191">
        <v>964</v>
      </c>
      <c r="O17" s="191">
        <v>960</v>
      </c>
      <c r="P17" s="191">
        <v>950</v>
      </c>
      <c r="Q17" s="191">
        <v>960</v>
      </c>
      <c r="R17" s="202">
        <f t="shared" si="1"/>
        <v>11444</v>
      </c>
      <c r="S17" s="203"/>
      <c r="T17" s="204"/>
      <c r="U17" s="187"/>
      <c r="V17" s="187"/>
      <c r="W17" s="187"/>
      <c r="BA17"/>
      <c r="BB17"/>
    </row>
    <row r="18" spans="1:54" s="188" customFormat="1" ht="13.5">
      <c r="A18" s="179"/>
      <c r="B18" s="258" t="s">
        <v>326</v>
      </c>
      <c r="C18" s="180" t="s">
        <v>340</v>
      </c>
      <c r="D18" s="195" t="s">
        <v>86</v>
      </c>
      <c r="E18" s="196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7">
        <f t="shared" si="1"/>
        <v>0</v>
      </c>
      <c r="S18" s="198"/>
      <c r="T18" s="199"/>
      <c r="U18" s="187"/>
      <c r="V18" s="187"/>
      <c r="W18" s="187"/>
      <c r="BA18"/>
      <c r="BB18"/>
    </row>
    <row r="19" spans="1:54" s="205" customFormat="1" ht="13.5">
      <c r="A19" s="200"/>
      <c r="B19" s="259" t="s">
        <v>327</v>
      </c>
      <c r="C19" s="180" t="s">
        <v>341</v>
      </c>
      <c r="D19" s="195" t="s">
        <v>86</v>
      </c>
      <c r="E19" s="201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>
        <f t="shared" si="1"/>
        <v>0</v>
      </c>
      <c r="S19" s="203"/>
      <c r="T19" s="204"/>
      <c r="U19" s="187"/>
      <c r="V19" s="187"/>
      <c r="W19" s="187"/>
      <c r="BA19"/>
      <c r="BB19"/>
    </row>
    <row r="20" spans="1:54" s="205" customFormat="1" ht="13.5">
      <c r="A20" s="200"/>
      <c r="B20" s="259"/>
      <c r="C20" s="206" t="s">
        <v>458</v>
      </c>
      <c r="D20" s="207" t="s">
        <v>452</v>
      </c>
      <c r="E20" s="208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10">
        <f t="shared" si="1"/>
        <v>0</v>
      </c>
      <c r="S20" s="211" t="s">
        <v>692</v>
      </c>
      <c r="T20" s="204"/>
      <c r="U20" s="187"/>
      <c r="V20" s="187"/>
      <c r="W20" s="187"/>
      <c r="BA20"/>
      <c r="BB20"/>
    </row>
    <row r="21" spans="1:54" s="205" customFormat="1" ht="13.5">
      <c r="A21" s="200"/>
      <c r="B21" s="259"/>
      <c r="C21" s="206" t="s">
        <v>342</v>
      </c>
      <c r="D21" s="207" t="s">
        <v>454</v>
      </c>
      <c r="E21" s="208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10">
        <f t="shared" si="1"/>
        <v>0</v>
      </c>
      <c r="S21" s="211" t="s">
        <v>692</v>
      </c>
      <c r="T21" s="204"/>
      <c r="U21" s="187"/>
      <c r="V21" s="187"/>
      <c r="W21" s="187"/>
      <c r="BA21"/>
      <c r="BB21"/>
    </row>
    <row r="22" spans="1:54" s="205" customFormat="1" ht="13.5">
      <c r="A22" s="200"/>
      <c r="B22" s="259"/>
      <c r="C22" s="206" t="s">
        <v>459</v>
      </c>
      <c r="D22" s="207" t="s">
        <v>456</v>
      </c>
      <c r="E22" s="208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10">
        <f t="shared" si="1"/>
        <v>0</v>
      </c>
      <c r="S22" s="211" t="s">
        <v>692</v>
      </c>
      <c r="T22" s="204"/>
      <c r="U22" s="187"/>
      <c r="V22" s="187"/>
      <c r="W22" s="187"/>
      <c r="BA22"/>
      <c r="BB22"/>
    </row>
    <row r="23" spans="1:54" s="205" customFormat="1" ht="13.5">
      <c r="A23" s="200"/>
      <c r="B23" s="259"/>
      <c r="C23" s="206" t="s">
        <v>460</v>
      </c>
      <c r="D23" s="207" t="s">
        <v>450</v>
      </c>
      <c r="E23" s="208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10">
        <f t="shared" si="1"/>
        <v>0</v>
      </c>
      <c r="S23" s="211" t="s">
        <v>692</v>
      </c>
      <c r="T23" s="204"/>
      <c r="U23" s="187"/>
      <c r="V23" s="187"/>
      <c r="W23" s="187"/>
      <c r="BA23"/>
      <c r="BB23"/>
    </row>
    <row r="24" spans="1:54" s="205" customFormat="1" ht="13.5">
      <c r="A24" s="200"/>
      <c r="B24" s="261" t="s">
        <v>343</v>
      </c>
      <c r="C24" s="262" t="s">
        <v>343</v>
      </c>
      <c r="D24" s="263" t="s">
        <v>343</v>
      </c>
      <c r="E24" s="242"/>
      <c r="F24" s="264">
        <v>0</v>
      </c>
      <c r="G24" s="264">
        <v>0</v>
      </c>
      <c r="H24" s="264">
        <v>0</v>
      </c>
      <c r="I24" s="264">
        <v>0</v>
      </c>
      <c r="J24" s="264">
        <v>0</v>
      </c>
      <c r="K24" s="264">
        <v>0</v>
      </c>
      <c r="L24" s="264">
        <v>0</v>
      </c>
      <c r="M24" s="264">
        <v>0</v>
      </c>
      <c r="N24" s="264">
        <v>0</v>
      </c>
      <c r="O24" s="264">
        <v>0</v>
      </c>
      <c r="P24" s="264">
        <v>0</v>
      </c>
      <c r="Q24" s="264">
        <v>0</v>
      </c>
      <c r="R24" s="197">
        <f>Q24</f>
        <v>0</v>
      </c>
      <c r="S24" s="198"/>
      <c r="T24" s="199"/>
      <c r="U24" s="265"/>
      <c r="V24" s="187"/>
      <c r="W24" s="187"/>
      <c r="BA24"/>
      <c r="BB24"/>
    </row>
    <row r="25" spans="1:54" s="188" customFormat="1" ht="15.75" thickBot="1">
      <c r="A25" s="179"/>
      <c r="B25" s="260" t="s">
        <v>344</v>
      </c>
      <c r="C25" s="266" t="s">
        <v>344</v>
      </c>
      <c r="D25" s="212" t="s">
        <v>344</v>
      </c>
      <c r="E25" s="267"/>
      <c r="F25" s="268">
        <v>45</v>
      </c>
      <c r="G25" s="268">
        <v>45</v>
      </c>
      <c r="H25" s="268">
        <v>47</v>
      </c>
      <c r="I25" s="268">
        <v>47</v>
      </c>
      <c r="J25" s="268">
        <v>47</v>
      </c>
      <c r="K25" s="268">
        <v>47</v>
      </c>
      <c r="L25" s="268">
        <v>47</v>
      </c>
      <c r="M25" s="268">
        <v>47</v>
      </c>
      <c r="N25" s="268">
        <v>47</v>
      </c>
      <c r="O25" s="268">
        <v>47</v>
      </c>
      <c r="P25" s="268">
        <v>47</v>
      </c>
      <c r="Q25" s="268">
        <v>47</v>
      </c>
      <c r="R25" s="269">
        <f>Q25</f>
        <v>47</v>
      </c>
      <c r="S25" s="270"/>
      <c r="T25" s="235"/>
      <c r="U25" s="265"/>
      <c r="V25" s="271">
        <v>4</v>
      </c>
      <c r="W25" s="271">
        <v>5</v>
      </c>
      <c r="X25" s="271">
        <v>6</v>
      </c>
      <c r="Y25" s="271">
        <v>7</v>
      </c>
      <c r="Z25" s="271">
        <v>8</v>
      </c>
      <c r="AA25" s="271">
        <v>9</v>
      </c>
      <c r="AB25" s="271">
        <v>10</v>
      </c>
      <c r="AC25" s="271">
        <v>11</v>
      </c>
      <c r="AD25" s="271">
        <v>12</v>
      </c>
      <c r="AE25" s="271">
        <v>1</v>
      </c>
      <c r="AF25" s="271">
        <v>2</v>
      </c>
      <c r="AG25" s="271">
        <v>3</v>
      </c>
      <c r="BA25"/>
      <c r="BB25"/>
    </row>
    <row r="26" spans="1:54" s="188" customFormat="1" ht="13.5">
      <c r="A26" s="179"/>
      <c r="B26" s="174">
        <v>9114120002</v>
      </c>
      <c r="C26" s="214" t="str">
        <f>IFERROR(IF(VLOOKUP($B26,勘定科目!$A:$H,HLOOKUP($E$5,勘定科目!$F$1:$H$2,2,0),0)="","",VLOOKUP($B26,勘定科目!$A:$E,2,0)),"")</f>
        <v>社外出荷</v>
      </c>
      <c r="D26" s="215" t="str">
        <f>IF(C26="","",VLOOKUP($B26,勘定科目!$A:$E,4,0))</f>
        <v>社外出荷</v>
      </c>
      <c r="E26" s="216"/>
      <c r="F26" s="217">
        <f t="shared" ref="F26:Q28" si="2">ROUNDDOWN(V26*$B$2,0)</f>
        <v>0</v>
      </c>
      <c r="G26" s="217">
        <f t="shared" si="2"/>
        <v>0</v>
      </c>
      <c r="H26" s="217">
        <f t="shared" si="2"/>
        <v>0</v>
      </c>
      <c r="I26" s="217">
        <f t="shared" si="2"/>
        <v>0</v>
      </c>
      <c r="J26" s="217">
        <f t="shared" si="2"/>
        <v>0</v>
      </c>
      <c r="K26" s="217">
        <f t="shared" si="2"/>
        <v>0</v>
      </c>
      <c r="L26" s="217">
        <f t="shared" si="2"/>
        <v>0</v>
      </c>
      <c r="M26" s="217">
        <f t="shared" si="2"/>
        <v>0</v>
      </c>
      <c r="N26" s="217">
        <f t="shared" si="2"/>
        <v>0</v>
      </c>
      <c r="O26" s="217">
        <f t="shared" si="2"/>
        <v>0</v>
      </c>
      <c r="P26" s="217">
        <f t="shared" si="2"/>
        <v>0</v>
      </c>
      <c r="Q26" s="217">
        <f t="shared" si="2"/>
        <v>0</v>
      </c>
      <c r="R26" s="218">
        <f t="shared" ref="R26:R116" si="3">SUM(F26:Q26)</f>
        <v>0</v>
      </c>
      <c r="S26" s="219" t="s">
        <v>75</v>
      </c>
      <c r="T26" s="220"/>
      <c r="U26" s="187"/>
      <c r="V26" s="221"/>
      <c r="W26" s="221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BA26"/>
      <c r="BB26"/>
    </row>
    <row r="27" spans="1:54" s="188" customFormat="1" ht="13.5">
      <c r="A27" s="223"/>
      <c r="B27" s="175">
        <v>9114120004</v>
      </c>
      <c r="C27" s="224" t="str">
        <f>IFERROR(IF(VLOOKUP($B27,勘定科目!$A:$H,HLOOKUP($E$5,勘定科目!$F$1:$H$2,2,0),0)="","",VLOOKUP($B27,勘定科目!$A:$E,2,0)),"")</f>
        <v>社内売</v>
      </c>
      <c r="D27" s="225" t="str">
        <f>IF(C27="","",VLOOKUP($B27,勘定科目!$A:$E,4,0))</f>
        <v>社内売</v>
      </c>
      <c r="E27" s="226"/>
      <c r="F27" s="227">
        <f t="shared" si="2"/>
        <v>0</v>
      </c>
      <c r="G27" s="227">
        <f t="shared" si="2"/>
        <v>0</v>
      </c>
      <c r="H27" s="227">
        <f t="shared" si="2"/>
        <v>0</v>
      </c>
      <c r="I27" s="227">
        <f t="shared" si="2"/>
        <v>0</v>
      </c>
      <c r="J27" s="227">
        <f t="shared" si="2"/>
        <v>0</v>
      </c>
      <c r="K27" s="227">
        <f t="shared" si="2"/>
        <v>0</v>
      </c>
      <c r="L27" s="227">
        <f t="shared" si="2"/>
        <v>0</v>
      </c>
      <c r="M27" s="227">
        <f t="shared" si="2"/>
        <v>0</v>
      </c>
      <c r="N27" s="227">
        <f t="shared" si="2"/>
        <v>0</v>
      </c>
      <c r="O27" s="227">
        <f t="shared" si="2"/>
        <v>0</v>
      </c>
      <c r="P27" s="227">
        <f t="shared" si="2"/>
        <v>0</v>
      </c>
      <c r="Q27" s="227">
        <f t="shared" si="2"/>
        <v>0</v>
      </c>
      <c r="R27" s="218">
        <f t="shared" si="3"/>
        <v>0</v>
      </c>
      <c r="S27" s="228" t="s">
        <v>75</v>
      </c>
      <c r="T27" s="199"/>
      <c r="U27" s="187"/>
      <c r="V27" s="221"/>
      <c r="W27" s="221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BA27"/>
      <c r="BB27"/>
    </row>
    <row r="28" spans="1:54" s="188" customFormat="1" ht="13.5">
      <c r="A28" s="223"/>
      <c r="B28" s="175">
        <v>9114120014</v>
      </c>
      <c r="C28" s="224" t="str">
        <f>IFERROR(IF(VLOOKUP($B28,勘定科目!$A:$H,HLOOKUP($E$5,勘定科目!$F$1:$H$2,2,0),0)="","",VLOOKUP($B28,勘定科目!$A:$E,2,0)),"")</f>
        <v>社内買</v>
      </c>
      <c r="D28" s="225" t="str">
        <f>IF(C28="","",VLOOKUP($B28,勘定科目!$A:$E,4,0))</f>
        <v>社内買</v>
      </c>
      <c r="E28" s="226"/>
      <c r="F28" s="227">
        <f t="shared" si="2"/>
        <v>0</v>
      </c>
      <c r="G28" s="227">
        <f t="shared" si="2"/>
        <v>0</v>
      </c>
      <c r="H28" s="227">
        <f t="shared" si="2"/>
        <v>0</v>
      </c>
      <c r="I28" s="227">
        <f t="shared" si="2"/>
        <v>0</v>
      </c>
      <c r="J28" s="227">
        <f t="shared" si="2"/>
        <v>0</v>
      </c>
      <c r="K28" s="227">
        <f t="shared" si="2"/>
        <v>0</v>
      </c>
      <c r="L28" s="227">
        <f t="shared" si="2"/>
        <v>0</v>
      </c>
      <c r="M28" s="227">
        <f t="shared" si="2"/>
        <v>0</v>
      </c>
      <c r="N28" s="227">
        <f t="shared" si="2"/>
        <v>0</v>
      </c>
      <c r="O28" s="227">
        <f t="shared" si="2"/>
        <v>0</v>
      </c>
      <c r="P28" s="227">
        <f t="shared" si="2"/>
        <v>0</v>
      </c>
      <c r="Q28" s="227">
        <f t="shared" si="2"/>
        <v>0</v>
      </c>
      <c r="R28" s="218">
        <f t="shared" si="3"/>
        <v>0</v>
      </c>
      <c r="S28" s="228" t="s">
        <v>75</v>
      </c>
      <c r="T28" s="199"/>
      <c r="U28" s="187"/>
      <c r="V28" s="221"/>
      <c r="W28" s="221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BA28"/>
      <c r="BB28"/>
    </row>
    <row r="29" spans="1:54" s="188" customFormat="1" ht="14.25" thickBot="1">
      <c r="A29" s="223"/>
      <c r="B29" s="176">
        <v>9114120006</v>
      </c>
      <c r="C29" s="229" t="str">
        <f>IFERROR(IF(VLOOKUP($B29,勘定科目!$A:$H,HLOOKUP($E$5,勘定科目!$F$1:$H$2,2,0),0)="","",VLOOKUP($B29,勘定科目!$A:$E,2,0)),"")</f>
        <v>材料費(指図出庫）</v>
      </c>
      <c r="D29" s="230" t="str">
        <f>IF(C29="","",VLOOKUP($B29,勘定科目!$A:$E,4,0))</f>
        <v>材料費</v>
      </c>
      <c r="E29" s="231"/>
      <c r="F29" s="232">
        <f t="shared" ref="F29:Q29" si="4">ROUNDUP(V29*$B$2,0)</f>
        <v>0</v>
      </c>
      <c r="G29" s="232">
        <f t="shared" si="4"/>
        <v>0</v>
      </c>
      <c r="H29" s="232">
        <f t="shared" si="4"/>
        <v>0</v>
      </c>
      <c r="I29" s="232">
        <f t="shared" si="4"/>
        <v>0</v>
      </c>
      <c r="J29" s="232">
        <f t="shared" si="4"/>
        <v>0</v>
      </c>
      <c r="K29" s="232">
        <f t="shared" si="4"/>
        <v>0</v>
      </c>
      <c r="L29" s="232">
        <f t="shared" si="4"/>
        <v>0</v>
      </c>
      <c r="M29" s="232">
        <f t="shared" si="4"/>
        <v>0</v>
      </c>
      <c r="N29" s="232">
        <f t="shared" si="4"/>
        <v>0</v>
      </c>
      <c r="O29" s="232">
        <f t="shared" si="4"/>
        <v>0</v>
      </c>
      <c r="P29" s="232">
        <f t="shared" si="4"/>
        <v>0</v>
      </c>
      <c r="Q29" s="232">
        <f t="shared" si="4"/>
        <v>0</v>
      </c>
      <c r="R29" s="233">
        <f t="shared" si="3"/>
        <v>0</v>
      </c>
      <c r="S29" s="234" t="s">
        <v>75</v>
      </c>
      <c r="T29" s="235"/>
      <c r="U29" s="187"/>
      <c r="V29" s="221"/>
      <c r="W29" s="221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BA29"/>
      <c r="BB29"/>
    </row>
    <row r="30" spans="1:54" s="205" customFormat="1" ht="13.5">
      <c r="B30" s="177"/>
      <c r="C30" s="239" t="str">
        <f>IFERROR(IF(VLOOKUP($B30,勘定科目!$A:$H,HLOOKUP($E$5,勘定科目!$F$1:$H$2,2,0),0)="","",VLOOKUP($B30,勘定科目!$A:$E,2,0)),"")</f>
        <v/>
      </c>
      <c r="D30" s="240" t="str">
        <f>IF(C30="","",VLOOKUP($B30,勘定科目!$A:$E,4,0))</f>
        <v/>
      </c>
      <c r="E30" s="241"/>
      <c r="F30" s="237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197">
        <f t="shared" si="3"/>
        <v>0</v>
      </c>
      <c r="S30" s="198"/>
      <c r="T30" s="199"/>
      <c r="U30" s="187"/>
      <c r="V30" s="187"/>
      <c r="W30" s="187"/>
      <c r="BA30"/>
      <c r="BB30"/>
    </row>
    <row r="31" spans="1:54" s="205" customFormat="1" ht="13.5">
      <c r="B31" s="177">
        <v>9114120018</v>
      </c>
      <c r="C31" s="239" t="str">
        <f>IFERROR(IF(VLOOKUP($B31,勘定科目!$A:$H,HLOOKUP($E$5,勘定科目!$F$1:$H$2,2,0),0)="","",VLOOKUP($B31,勘定科目!$A:$E,2,0)),"")</f>
        <v>部内間接経費</v>
      </c>
      <c r="D31" s="240" t="str">
        <f>IF(C31="","",VLOOKUP($B31,勘定科目!$A:$E,4,0))</f>
        <v>部内間接経費</v>
      </c>
      <c r="E31" s="241"/>
      <c r="F31" s="237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197">
        <f t="shared" si="3"/>
        <v>0</v>
      </c>
      <c r="S31" s="198" t="s">
        <v>692</v>
      </c>
      <c r="T31" s="199"/>
      <c r="U31" s="187"/>
      <c r="V31" s="187"/>
      <c r="W31" s="187"/>
      <c r="BA31"/>
      <c r="BB31"/>
    </row>
    <row r="32" spans="1:54" s="205" customFormat="1" ht="13.5">
      <c r="B32" s="177">
        <v>9114120029</v>
      </c>
      <c r="C32" s="239" t="str">
        <f>IFERROR(IF(VLOOKUP($B32,勘定科目!$A:$H,HLOOKUP($E$5,勘定科目!$F$1:$H$2,2,0),0)="","",VLOOKUP($B32,勘定科目!$A:$E,2,0)),"")</f>
        <v>部外間接経費1</v>
      </c>
      <c r="D32" s="240" t="str">
        <f>IF(C32="","",VLOOKUP($B32,勘定科目!$A:$E,4,0))</f>
        <v>部外間接経費1</v>
      </c>
      <c r="E32" s="241"/>
      <c r="F32" s="237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197">
        <f t="shared" si="3"/>
        <v>0</v>
      </c>
      <c r="S32" s="198" t="s">
        <v>692</v>
      </c>
      <c r="T32" s="199"/>
      <c r="U32" s="187"/>
      <c r="V32" s="187"/>
      <c r="W32" s="187"/>
      <c r="BA32"/>
      <c r="BB32"/>
    </row>
    <row r="33" spans="1:54" s="205" customFormat="1" ht="13.5">
      <c r="B33" s="177">
        <v>9114120030</v>
      </c>
      <c r="C33" s="239" t="str">
        <f>IFERROR(IF(VLOOKUP($B33,勘定科目!$A:$H,HLOOKUP($E$5,勘定科目!$F$1:$H$2,2,0),0)="","",VLOOKUP($B33,勘定科目!$A:$E,2,0)),"")</f>
        <v>部外間接経費2</v>
      </c>
      <c r="D33" s="240" t="str">
        <f>IF(C33="","",VLOOKUP($B33,勘定科目!$A:$E,4,0))</f>
        <v>部外間接経費2</v>
      </c>
      <c r="E33" s="241"/>
      <c r="F33" s="237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197">
        <f t="shared" si="3"/>
        <v>0</v>
      </c>
      <c r="S33" s="198" t="s">
        <v>692</v>
      </c>
      <c r="T33" s="199"/>
      <c r="U33" s="187"/>
      <c r="V33" s="187"/>
      <c r="W33" s="187"/>
      <c r="BA33"/>
      <c r="BB33"/>
    </row>
    <row r="34" spans="1:54" s="205" customFormat="1" ht="13.5">
      <c r="B34" s="177">
        <v>9114120021</v>
      </c>
      <c r="C34" s="239" t="str">
        <f>IFERROR(IF(VLOOKUP($B34,勘定科目!$A:$H,HLOOKUP($E$5,勘定科目!$F$1:$H$2,2,0),0)="","",VLOOKUP($B34,勘定科目!$A:$E,2,0)),"")</f>
        <v>工場間接経費</v>
      </c>
      <c r="D34" s="240" t="str">
        <f>IF(C34="","",VLOOKUP($B34,勘定科目!$A:$E,4,0))</f>
        <v>工場間接経費</v>
      </c>
      <c r="E34" s="241"/>
      <c r="F34" s="237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197">
        <f t="shared" si="3"/>
        <v>0</v>
      </c>
      <c r="S34" s="198" t="s">
        <v>692</v>
      </c>
      <c r="T34" s="199"/>
      <c r="U34" s="187"/>
      <c r="V34" s="187"/>
      <c r="W34" s="187"/>
      <c r="BA34"/>
      <c r="BB34"/>
    </row>
    <row r="35" spans="1:54" s="205" customFormat="1" ht="13.5">
      <c r="B35" s="177"/>
      <c r="C35" s="239" t="str">
        <f>IFERROR(IF(VLOOKUP($B35,勘定科目!$A:$H,HLOOKUP($E$5,勘定科目!$F$1:$H$2,2,0),0)="","",VLOOKUP($B35,勘定科目!$A:$E,2,0)),"")</f>
        <v/>
      </c>
      <c r="D35" s="240" t="str">
        <f>IF(C35="","",VLOOKUP($B35,勘定科目!$A:$E,4,0))</f>
        <v/>
      </c>
      <c r="E35" s="241"/>
      <c r="F35" s="237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197">
        <f t="shared" si="3"/>
        <v>0</v>
      </c>
      <c r="S35" s="198"/>
      <c r="T35" s="199"/>
      <c r="U35" s="187"/>
      <c r="V35" s="187"/>
      <c r="W35" s="187"/>
      <c r="BA35"/>
      <c r="BB35"/>
    </row>
    <row r="36" spans="1:54" s="188" customFormat="1" ht="13.5">
      <c r="A36" s="223"/>
      <c r="B36" s="175">
        <v>9114120009</v>
      </c>
      <c r="C36" s="180" t="str">
        <f>IFERROR(IF(VLOOKUP($B36,勘定科目!$A:$H,HLOOKUP($E$5,勘定科目!$F$1:$H$2,2,0),0)="","",VLOOKUP($B36,勘定科目!$A:$E,2,0)),"")</f>
        <v>社内金利（在庫）</v>
      </c>
      <c r="D36" s="236" t="str">
        <f>IF(C36="","",VLOOKUP($B36,勘定科目!$A:$E,4,0))</f>
        <v>在庫金利</v>
      </c>
      <c r="E36" s="242"/>
      <c r="F36" s="237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197">
        <f t="shared" si="3"/>
        <v>0</v>
      </c>
      <c r="S36" s="198"/>
      <c r="T36" s="199"/>
      <c r="U36" s="243"/>
      <c r="V36" s="243"/>
      <c r="W36" s="243"/>
      <c r="BA36"/>
      <c r="BB36"/>
    </row>
    <row r="37" spans="1:54" s="188" customFormat="1" ht="13.5">
      <c r="A37" s="223"/>
      <c r="B37" s="175"/>
      <c r="C37" s="180" t="str">
        <f>IFERROR(IF(VLOOKUP($B37,勘定科目!$A:$H,HLOOKUP($E$5,勘定科目!$F$1:$H$2,2,0),0)="","",VLOOKUP($B37,勘定科目!$A:$E,2,0)),"")</f>
        <v/>
      </c>
      <c r="D37" s="236" t="str">
        <f>IF(C37="","",VLOOKUP($B37,勘定科目!$A:$E,4,0))</f>
        <v/>
      </c>
      <c r="E37" s="242"/>
      <c r="F37" s="237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197">
        <f t="shared" si="3"/>
        <v>0</v>
      </c>
      <c r="S37" s="198"/>
      <c r="T37" s="199"/>
      <c r="U37" s="243"/>
      <c r="V37" s="243"/>
      <c r="W37" s="243"/>
      <c r="BA37"/>
      <c r="BB37"/>
    </row>
    <row r="38" spans="1:54" s="188" customFormat="1" ht="368.25" customHeight="1">
      <c r="A38" s="223"/>
      <c r="B38" s="306">
        <v>5005026371</v>
      </c>
      <c r="C38" s="180" t="str">
        <f>IFERROR(IF(VLOOKUP($B38,勘定科目!$A:$H,HLOOKUP($E$5,勘定科目!$F$1:$H$2,2,0),0)="","",VLOOKUP($B38,勘定科目!$A:$E,2,0)),"")</f>
        <v>消耗工具器具備品費（製）</v>
      </c>
      <c r="D38" s="236" t="str">
        <f>IF(C38="","",VLOOKUP($B38,勘定科目!$A:$E,4,0))</f>
        <v>消耗工具器具備品費</v>
      </c>
      <c r="E38" s="242"/>
      <c r="F38" s="191">
        <f>10*2000000+21065000+2*220000+6000000+375000*2+2500000+3*505000+5000000+400000+6000000+850000+2700000</f>
        <v>67220000</v>
      </c>
      <c r="G38" s="244">
        <f>5500000+6500000+375000*2+3*505000+21065000+2*220000+1500*25390+10*2000000+5000000+400000+6000000+450000*4+850000</f>
        <v>107905000</v>
      </c>
      <c r="H38" s="244">
        <f>6500000+350000+375000*2+950000+3*505000+10000000+9000000+21065000+2*220000+1500*25390+10*2000000+6000000+400000+5000000+450000*6+850000</f>
        <v>123605000</v>
      </c>
      <c r="I38" s="244">
        <f>7000000+2500000+375000*2+3*505000+9000000+21065000+2*220000+5000000+6000000+1500*25390+9000000+850000+10000000+8500000</f>
        <v>119705000</v>
      </c>
      <c r="J38" s="244">
        <f>4000000+3*505000+3000000+9000000+21065000+2*220000+10*2000000+6000000+1500*25390+375000*2+10000000</f>
        <v>113855000</v>
      </c>
      <c r="K38" s="244">
        <f>21065000+220000+950000+3*505000+9000000+6000000+1500*25390+10000000+8500000</f>
        <v>95335000</v>
      </c>
      <c r="L38" s="244">
        <f>3*505000+1570000+10*2000000+6000000+21065000+220000</f>
        <v>50370000</v>
      </c>
      <c r="M38" s="244">
        <f>3*505000+21065000+220000</f>
        <v>22800000</v>
      </c>
      <c r="N38" s="244">
        <f>10*2000000+505000</f>
        <v>20505000</v>
      </c>
      <c r="O38" s="244">
        <v>0</v>
      </c>
      <c r="P38" s="244">
        <v>0</v>
      </c>
      <c r="Q38" s="244">
        <v>0</v>
      </c>
      <c r="R38" s="298">
        <f>SUM(F38:Q38)</f>
        <v>721300000</v>
      </c>
      <c r="S38" s="295" t="s">
        <v>742</v>
      </c>
      <c r="T38" s="199"/>
      <c r="U38" s="243"/>
      <c r="V38" s="243"/>
      <c r="W38" s="243"/>
      <c r="BA38"/>
      <c r="BB38"/>
    </row>
    <row r="39" spans="1:54" s="188" customFormat="1" ht="13.5">
      <c r="A39" s="223"/>
      <c r="B39" s="306">
        <v>5005056281</v>
      </c>
      <c r="C39" s="180" t="str">
        <f>IFERROR(IF(VLOOKUP($B39,勘定科目!$A:$H,HLOOKUP($E$5,勘定科目!$F$1:$H$2,2,0),0)="","",VLOOKUP($B39,勘定科目!$A:$E,2,0)),"")</f>
        <v>ガス代（製）</v>
      </c>
      <c r="D39" s="236" t="str">
        <f>IF(C39="","",VLOOKUP($B39,勘定科目!$A:$E,4,0))</f>
        <v>水道光熱費</v>
      </c>
      <c r="E39" s="242"/>
      <c r="F39" s="191">
        <f>ROUND(40366*42,0)</f>
        <v>1695372</v>
      </c>
      <c r="G39" s="191">
        <f>ROUND(39111*45,0)</f>
        <v>1759995</v>
      </c>
      <c r="H39" s="191">
        <f>ROUND(44856*45,0)</f>
        <v>2018520</v>
      </c>
      <c r="I39" s="191">
        <f>ROUND(46929*47,0)</f>
        <v>2205663</v>
      </c>
      <c r="J39" s="191">
        <f>ROUND(42688*47,0)</f>
        <v>2006336</v>
      </c>
      <c r="K39" s="191">
        <f>ROUND(38491*47,0)</f>
        <v>1809077</v>
      </c>
      <c r="L39" s="191">
        <f>ROUND(46977*47,0)</f>
        <v>2207919</v>
      </c>
      <c r="M39" s="191">
        <f>ROUND(41126*47,0)</f>
        <v>1932922</v>
      </c>
      <c r="N39" s="191">
        <f>ROUND(44086*47,0)</f>
        <v>2072042</v>
      </c>
      <c r="O39" s="191">
        <f>ROUND(42459*47,0)</f>
        <v>1995573</v>
      </c>
      <c r="P39" s="191">
        <f>ROUND(32894*47,0)</f>
        <v>1546018</v>
      </c>
      <c r="Q39" s="191">
        <f>ROUND(42542*47,0)</f>
        <v>1999474</v>
      </c>
      <c r="R39" s="197">
        <f t="shared" si="3"/>
        <v>23248911</v>
      </c>
      <c r="S39" s="198" t="s">
        <v>693</v>
      </c>
      <c r="T39" s="199"/>
      <c r="U39" s="243"/>
      <c r="V39" s="243"/>
      <c r="W39" s="243"/>
      <c r="BA39"/>
      <c r="BB39"/>
    </row>
    <row r="40" spans="1:54" s="188" customFormat="1" ht="13.5">
      <c r="A40" s="223"/>
      <c r="B40" s="306">
        <v>5005016372</v>
      </c>
      <c r="C40" s="180" t="str">
        <f>IFERROR(IF(VLOOKUP($B40,勘定科目!$A:$H,HLOOKUP($E$5,勘定科目!$F$1:$H$2,2,0),0)="","",VLOOKUP($B40,勘定科目!$A:$E,2,0)),"")</f>
        <v>その他消耗品（製）</v>
      </c>
      <c r="D40" s="236" t="str">
        <f>IF(C40="","",VLOOKUP($B40,勘定科目!$A:$E,4,0))</f>
        <v>消耗品費</v>
      </c>
      <c r="E40" s="242"/>
      <c r="F40" s="191">
        <f>ROUND(18424*42,0)</f>
        <v>773808</v>
      </c>
      <c r="G40" s="244">
        <f>ROUND(17736*45,0)</f>
        <v>798120</v>
      </c>
      <c r="H40" s="244">
        <f>ROUND(19401*45,0)</f>
        <v>873045</v>
      </c>
      <c r="I40" s="244">
        <f>ROUND(21138*47,0)</f>
        <v>993486</v>
      </c>
      <c r="J40" s="244">
        <f>ROUND(18404*47,0)</f>
        <v>864988</v>
      </c>
      <c r="K40" s="244">
        <f>ROUND(17500*47,0)</f>
        <v>822500</v>
      </c>
      <c r="L40" s="244">
        <f>ROUND(21110*47,0)</f>
        <v>992170</v>
      </c>
      <c r="M40" s="244">
        <f>ROUND(18421*47,0)</f>
        <v>865787</v>
      </c>
      <c r="N40" s="244">
        <f>ROUND(20254*47,0)</f>
        <v>951938</v>
      </c>
      <c r="O40" s="244">
        <f>ROUND(18399*47,0)</f>
        <v>864753</v>
      </c>
      <c r="P40" s="244">
        <f>ROUND(13863*47,0)</f>
        <v>651561</v>
      </c>
      <c r="Q40" s="244">
        <f>ROUND(18435*47,0)</f>
        <v>866445</v>
      </c>
      <c r="R40" s="197">
        <f t="shared" si="3"/>
        <v>10318601</v>
      </c>
      <c r="S40" s="198" t="s">
        <v>694</v>
      </c>
      <c r="T40" s="199"/>
      <c r="U40" s="243"/>
      <c r="V40" s="243"/>
      <c r="W40" s="243"/>
      <c r="BA40"/>
      <c r="BB40"/>
    </row>
    <row r="41" spans="1:54" s="188" customFormat="1" ht="13.5">
      <c r="A41" s="223"/>
      <c r="B41" s="306">
        <v>5005016372</v>
      </c>
      <c r="C41" s="180" t="str">
        <f>IFERROR(IF(VLOOKUP($B41,勘定科目!$A:$H,HLOOKUP($E$5,勘定科目!$F$1:$H$2,2,0),0)="","",VLOOKUP($B41,勘定科目!$A:$E,2,0)),"")</f>
        <v>その他消耗品（製）</v>
      </c>
      <c r="D41" s="236" t="str">
        <f>IF(C41="","",VLOOKUP($B41,勘定科目!$A:$E,4,0))</f>
        <v>消耗品費</v>
      </c>
      <c r="E41" s="242"/>
      <c r="F41" s="191">
        <f>ROUND(1122*42,0)</f>
        <v>47124</v>
      </c>
      <c r="G41" s="244">
        <f>ROUND(1130*45,0)</f>
        <v>50850</v>
      </c>
      <c r="H41" s="244">
        <f>ROUND(1157*45,0)</f>
        <v>52065</v>
      </c>
      <c r="I41" s="244">
        <f>ROUND(1113*47,0)</f>
        <v>52311</v>
      </c>
      <c r="J41" s="244">
        <f>ROUND(1080*47,0)</f>
        <v>50760</v>
      </c>
      <c r="K41" s="244">
        <f>ROUND(1093*47,0)</f>
        <v>51371</v>
      </c>
      <c r="L41" s="244">
        <f>ROUND(1131*47,0)</f>
        <v>53157</v>
      </c>
      <c r="M41" s="244">
        <f>ROUND(1114*47,0)</f>
        <v>52358</v>
      </c>
      <c r="N41" s="244">
        <f>ROUND(1124*47,0)</f>
        <v>52828</v>
      </c>
      <c r="O41" s="244">
        <f>ROUND(1128*47,0)</f>
        <v>53016</v>
      </c>
      <c r="P41" s="244">
        <f>ROUND(1146*47,0)</f>
        <v>53862</v>
      </c>
      <c r="Q41" s="244">
        <f>ROUND(1085*47,0)</f>
        <v>50995</v>
      </c>
      <c r="R41" s="197">
        <f t="shared" si="3"/>
        <v>620697</v>
      </c>
      <c r="S41" s="198" t="s">
        <v>695</v>
      </c>
      <c r="T41" s="199"/>
      <c r="U41" s="243"/>
      <c r="V41" s="243"/>
      <c r="W41" s="243"/>
      <c r="BA41"/>
      <c r="BB41"/>
    </row>
    <row r="42" spans="1:54" s="188" customFormat="1" ht="13.5">
      <c r="A42" s="223"/>
      <c r="B42" s="306">
        <v>5005246286</v>
      </c>
      <c r="C42" s="180" t="str">
        <f>IFERROR(IF(VLOOKUP($B42,勘定科目!$A:$H,HLOOKUP($E$5,勘定科目!$F$1:$H$2,2,0),0)="","",VLOOKUP($B42,勘定科目!$A:$E,2,0)),"")</f>
        <v>その他手数料（製）</v>
      </c>
      <c r="D42" s="304" t="str">
        <f>IF(C42="","",VLOOKUP($B42,勘定科目!$A:$E,4,0))</f>
        <v>手数料</v>
      </c>
      <c r="E42" s="242"/>
      <c r="F42" s="191">
        <f>ROUND(56247*42,0)</f>
        <v>2362374</v>
      </c>
      <c r="G42" s="244">
        <f>ROUND(56462*45,0)</f>
        <v>2540790</v>
      </c>
      <c r="H42" s="244">
        <f>ROUND(58201*45,0)</f>
        <v>2619045</v>
      </c>
      <c r="I42" s="244">
        <f>ROUND(53306*47,0)</f>
        <v>2505382</v>
      </c>
      <c r="J42" s="244">
        <f>ROUND(51891*47,0)</f>
        <v>2438877</v>
      </c>
      <c r="K42" s="244">
        <f>ROUND(49590*47,0)</f>
        <v>2330730</v>
      </c>
      <c r="L42" s="244">
        <f>ROUND(47432*47,0)</f>
        <v>2229304</v>
      </c>
      <c r="M42" s="244">
        <f>ROUND(46844*47,0)</f>
        <v>2201668</v>
      </c>
      <c r="N42" s="244">
        <f>ROUND(46977*47,0)</f>
        <v>2207919</v>
      </c>
      <c r="O42" s="244">
        <f>ROUND(44968*47,0)</f>
        <v>2113496</v>
      </c>
      <c r="P42" s="244">
        <f>ROUND(42562*47,0)</f>
        <v>2000414</v>
      </c>
      <c r="Q42" s="244">
        <f>ROUND(44540*47,0)</f>
        <v>2093380</v>
      </c>
      <c r="R42" s="197">
        <f t="shared" si="3"/>
        <v>27643379</v>
      </c>
      <c r="S42" s="198" t="s">
        <v>696</v>
      </c>
      <c r="T42" s="199"/>
      <c r="U42" s="243"/>
      <c r="V42" s="243"/>
      <c r="W42" s="243"/>
      <c r="BA42"/>
      <c r="BB42"/>
    </row>
    <row r="43" spans="1:54" s="188" customFormat="1" ht="13.5">
      <c r="A43" s="223"/>
      <c r="B43" s="306">
        <v>5005066281</v>
      </c>
      <c r="C43" s="180" t="str">
        <f>IFERROR(IF(VLOOKUP($B43,勘定科目!$A:$H,HLOOKUP($E$5,勘定科目!$F$1:$H$2,2,0),0)="","",VLOOKUP($B43,勘定科目!$A:$E,2,0)),"")</f>
        <v>電気代（製）</v>
      </c>
      <c r="D43" s="236" t="str">
        <f>IF(C43="","",VLOOKUP($B43,勘定科目!$A:$E,4,0))</f>
        <v>水道光熱費</v>
      </c>
      <c r="E43" s="242"/>
      <c r="F43" s="191">
        <v>5350731</v>
      </c>
      <c r="G43" s="244">
        <v>5481258</v>
      </c>
      <c r="H43" s="244">
        <v>6871107</v>
      </c>
      <c r="I43" s="244">
        <v>7399653</v>
      </c>
      <c r="J43" s="244">
        <v>7663927</v>
      </c>
      <c r="K43" s="244">
        <v>7029671</v>
      </c>
      <c r="L43" s="244">
        <v>7135380</v>
      </c>
      <c r="M43" s="244">
        <v>6342560</v>
      </c>
      <c r="N43" s="244">
        <v>6078287</v>
      </c>
      <c r="O43" s="244">
        <v>5285467</v>
      </c>
      <c r="P43" s="244">
        <v>5285467</v>
      </c>
      <c r="Q43" s="244">
        <v>4228373</v>
      </c>
      <c r="R43" s="197">
        <f t="shared" si="3"/>
        <v>74151881</v>
      </c>
      <c r="S43" s="198" t="s">
        <v>697</v>
      </c>
      <c r="T43" s="199"/>
      <c r="U43" s="243"/>
      <c r="V43" s="243"/>
      <c r="W43" s="243"/>
      <c r="BA43"/>
      <c r="BB43"/>
    </row>
    <row r="44" spans="1:54" s="188" customFormat="1" ht="13.5">
      <c r="A44" s="223"/>
      <c r="B44" s="306">
        <v>5005066282</v>
      </c>
      <c r="C44" s="180" t="str">
        <f>IFERROR(IF(VLOOKUP($B44,勘定科目!$A:$H,HLOOKUP($E$5,勘定科目!$F$1:$H$2,2,0),0)="","",VLOOKUP($B44,勘定科目!$A:$E,2,0)),"")</f>
        <v>水道代（製）</v>
      </c>
      <c r="D44" s="236" t="str">
        <f>IF(C44="","",VLOOKUP($B44,勘定科目!$A:$E,4,0))</f>
        <v>水道光熱費</v>
      </c>
      <c r="E44" s="242"/>
      <c r="F44" s="191">
        <v>1307840</v>
      </c>
      <c r="G44" s="244">
        <v>1445375</v>
      </c>
      <c r="H44" s="244">
        <v>1705026</v>
      </c>
      <c r="I44" s="244">
        <v>2434900</v>
      </c>
      <c r="J44" s="244">
        <v>2180794</v>
      </c>
      <c r="K44" s="244">
        <v>1892260</v>
      </c>
      <c r="L44" s="244">
        <v>1296251</v>
      </c>
      <c r="M44" s="244">
        <v>1805521</v>
      </c>
      <c r="N44" s="244">
        <v>1803248</v>
      </c>
      <c r="O44" s="244">
        <v>1222773</v>
      </c>
      <c r="P44" s="244">
        <v>916914</v>
      </c>
      <c r="Q44" s="244">
        <v>1065351</v>
      </c>
      <c r="R44" s="197">
        <f t="shared" si="3"/>
        <v>19076253</v>
      </c>
      <c r="S44" s="198" t="s">
        <v>698</v>
      </c>
      <c r="T44" s="199"/>
      <c r="U44" s="243"/>
      <c r="V44" s="243"/>
      <c r="W44" s="243"/>
      <c r="BA44"/>
      <c r="BB44"/>
    </row>
    <row r="45" spans="1:54" s="188" customFormat="1" ht="13.5">
      <c r="A45" s="223"/>
      <c r="B45" s="306">
        <v>5006016241</v>
      </c>
      <c r="C45" s="180" t="str">
        <f>IFERROR(IF(VLOOKUP($B45,勘定科目!$A:$H,HLOOKUP($E$5,勘定科目!$F$1:$H$2,2,0),0)="","",VLOOKUP($B45,勘定科目!$A:$E,2,0)),"")</f>
        <v>減価償却費（製）　建物</v>
      </c>
      <c r="D45" s="236" t="str">
        <f>IF(C45="","",VLOOKUP($B45,勘定科目!$A:$E,4,0))</f>
        <v>減価償却費</v>
      </c>
      <c r="E45" s="242"/>
      <c r="F45" s="191">
        <f>ROUND(1016.45*25390,0)</f>
        <v>25807666</v>
      </c>
      <c r="G45" s="191">
        <f>ROUND(1013.81*25390,0)</f>
        <v>25740636</v>
      </c>
      <c r="H45" s="191">
        <f>ROUND(1022.55*25390,0)</f>
        <v>25962545</v>
      </c>
      <c r="I45" s="191">
        <f>ROUND(1008.62*25390,0)</f>
        <v>25608862</v>
      </c>
      <c r="J45" s="191">
        <f>ROUND(1002.61*25390,0)</f>
        <v>25456268</v>
      </c>
      <c r="K45" s="191">
        <f>ROUND(986.16*25390,0)</f>
        <v>25038602</v>
      </c>
      <c r="L45" s="191">
        <f>ROUND(970.67*25390,0)</f>
        <v>24645311</v>
      </c>
      <c r="M45" s="191">
        <f>ROUND(970.36*25390,0)</f>
        <v>24637440</v>
      </c>
      <c r="N45" s="191">
        <f>ROUND(970.79*25390,0)</f>
        <v>24648358</v>
      </c>
      <c r="O45" s="191">
        <f>ROUND(967.9*25390,0)</f>
        <v>24574981</v>
      </c>
      <c r="P45" s="191">
        <f>ROUND(958.55*25390,0)</f>
        <v>24337585</v>
      </c>
      <c r="Q45" s="191">
        <f>ROUND(965.94*25390,0)</f>
        <v>24525217</v>
      </c>
      <c r="R45" s="197">
        <f t="shared" si="3"/>
        <v>300983471</v>
      </c>
      <c r="S45" s="198" t="s">
        <v>699</v>
      </c>
      <c r="T45" s="199"/>
      <c r="U45" s="243"/>
      <c r="V45" s="243"/>
      <c r="W45" s="243"/>
      <c r="BA45"/>
      <c r="BB45"/>
    </row>
    <row r="46" spans="1:54" s="188" customFormat="1" ht="13.5">
      <c r="A46" s="223"/>
      <c r="B46" s="306">
        <v>5006016241</v>
      </c>
      <c r="C46" s="180" t="str">
        <f>IFERROR(IF(VLOOKUP($B46,勘定科目!$A:$H,HLOOKUP($E$5,勘定科目!$F$1:$H$2,2,0),0)="","",VLOOKUP($B46,勘定科目!$A:$E,2,0)),"")</f>
        <v>減価償却費（製）　建物</v>
      </c>
      <c r="D46" s="236" t="str">
        <f>IF(C46="","",VLOOKUP($B46,勘定科目!$A:$E,4,0))</f>
        <v>減価償却費</v>
      </c>
      <c r="E46" s="242"/>
      <c r="F46" s="191">
        <f>ROUND(68.61*25390,0)</f>
        <v>1742008</v>
      </c>
      <c r="G46" s="191">
        <f>ROUND(68.43*25390,0)</f>
        <v>1737438</v>
      </c>
      <c r="H46" s="191">
        <f>ROUND(69.02*25390,0)</f>
        <v>1752418</v>
      </c>
      <c r="I46" s="191">
        <f>ROUND(68.08*25390,0)</f>
        <v>1728551</v>
      </c>
      <c r="J46" s="191">
        <f>ROUND(67.67*25390,0)</f>
        <v>1718141</v>
      </c>
      <c r="K46" s="191">
        <f>ROUND(66.56*25390,0)</f>
        <v>1689958</v>
      </c>
      <c r="L46" s="191">
        <f>ROUND(65.52*25390,0)</f>
        <v>1663553</v>
      </c>
      <c r="M46" s="191">
        <f>ROUND(65.5*25390,0)</f>
        <v>1663045</v>
      </c>
      <c r="N46" s="191">
        <f>ROUND(65.52*25390,0)</f>
        <v>1663553</v>
      </c>
      <c r="O46" s="191">
        <f>ROUND(65.33*25390,0)</f>
        <v>1658729</v>
      </c>
      <c r="P46" s="191">
        <f>ROUND(64.7*25390,0)</f>
        <v>1642733</v>
      </c>
      <c r="Q46" s="191">
        <f>ROUND(65.2*25390,0)</f>
        <v>1655428</v>
      </c>
      <c r="R46" s="197">
        <f t="shared" si="3"/>
        <v>20315555</v>
      </c>
      <c r="S46" s="198" t="s">
        <v>700</v>
      </c>
      <c r="T46" s="199"/>
      <c r="U46" s="243"/>
      <c r="V46" s="243"/>
      <c r="W46" s="243"/>
      <c r="BA46"/>
      <c r="BB46"/>
    </row>
    <row r="47" spans="1:54" s="188" customFormat="1" ht="13.5">
      <c r="A47" s="223"/>
      <c r="B47" s="306">
        <v>9114120007</v>
      </c>
      <c r="C47" s="180" t="str">
        <f>IFERROR(IF(VLOOKUP($B47,勘定科目!$A:$H,HLOOKUP($E$5,勘定科目!$F$1:$H$2,2,0),0)="","",VLOOKUP($B47,勘定科目!$A:$E,2,0)),"")</f>
        <v>社内金利（固定資産）</v>
      </c>
      <c r="D47" s="236" t="str">
        <f>IF(C47="","",VLOOKUP($B47,勘定科目!$A:$E,4,0))</f>
        <v>固定資産金利</v>
      </c>
      <c r="E47" s="242"/>
      <c r="F47" s="191">
        <f>ROUND(698.95*25390,0)</f>
        <v>17746341</v>
      </c>
      <c r="G47" s="191">
        <f>ROUND(651.66*25390,0)</f>
        <v>16545647</v>
      </c>
      <c r="H47" s="191">
        <f>ROUND(657.28*25390,0)</f>
        <v>16688339</v>
      </c>
      <c r="I47" s="191">
        <f>ROUND(648.32*25390,0)</f>
        <v>16460845</v>
      </c>
      <c r="J47" s="191">
        <f>ROUND(644.46*25390,0)</f>
        <v>16362839</v>
      </c>
      <c r="K47" s="191">
        <f>ROUND(633.89*25390,0)</f>
        <v>16094467</v>
      </c>
      <c r="L47" s="191">
        <f>ROUND(623.93*25390,0)</f>
        <v>15841583</v>
      </c>
      <c r="M47" s="191">
        <f>ROUND(623.73*25390,0)</f>
        <v>15836505</v>
      </c>
      <c r="N47" s="191">
        <f>ROUND(624.01*25390,0)</f>
        <v>15843614</v>
      </c>
      <c r="O47" s="191">
        <f>ROUND(622.15*25390,0)</f>
        <v>15796389</v>
      </c>
      <c r="P47" s="191">
        <f>ROUND(616.14*25390,0)</f>
        <v>15643795</v>
      </c>
      <c r="Q47" s="191">
        <f>ROUND(620.89*25390,0)</f>
        <v>15764397</v>
      </c>
      <c r="R47" s="197">
        <f t="shared" si="3"/>
        <v>194624761</v>
      </c>
      <c r="S47" s="198" t="s">
        <v>701</v>
      </c>
      <c r="T47" s="199"/>
      <c r="U47" s="243"/>
      <c r="V47" s="243"/>
      <c r="W47" s="243"/>
      <c r="BA47"/>
      <c r="BB47"/>
    </row>
    <row r="48" spans="1:54" s="188" customFormat="1" ht="13.5">
      <c r="A48" s="223"/>
      <c r="B48" s="306">
        <v>9114120007</v>
      </c>
      <c r="C48" s="180" t="str">
        <f>IFERROR(IF(VLOOKUP($B48,勘定科目!$A:$H,HLOOKUP($E$5,勘定科目!$F$1:$H$2,2,0),0)="","",VLOOKUP($B48,勘定科目!$A:$E,2,0)),"")</f>
        <v>社内金利（固定資産）</v>
      </c>
      <c r="D48" s="236" t="str">
        <f>IF(C48="","",VLOOKUP($B48,勘定科目!$A:$E,4,0))</f>
        <v>固定資産金利</v>
      </c>
      <c r="E48" s="242"/>
      <c r="F48" s="191">
        <f>ROUND(85.31*25390,0)</f>
        <v>2166021</v>
      </c>
      <c r="G48" s="191">
        <f>ROUND(82.62*25390,0)</f>
        <v>2097722</v>
      </c>
      <c r="H48" s="191">
        <f>ROUND(83.34*25390,0)</f>
        <v>2116003</v>
      </c>
      <c r="I48" s="191">
        <f>ROUND(82.2*25390,0)</f>
        <v>2087058</v>
      </c>
      <c r="J48" s="191">
        <f>ROUND(81.71*25390,0)</f>
        <v>2074617</v>
      </c>
      <c r="K48" s="191">
        <f>ROUND(80.37*25390,0)</f>
        <v>2040594</v>
      </c>
      <c r="L48" s="191">
        <f>ROUND(79.11*25390,0)</f>
        <v>2008603</v>
      </c>
      <c r="M48" s="191">
        <f>ROUND(79.08*25390,0)</f>
        <v>2007841</v>
      </c>
      <c r="N48" s="191">
        <f>ROUND(79.12*25390,0)</f>
        <v>2008857</v>
      </c>
      <c r="O48" s="191">
        <f>ROUND(78.88*25390,0)</f>
        <v>2002763</v>
      </c>
      <c r="P48" s="191">
        <f>ROUND(78.12*25390,0)</f>
        <v>1983467</v>
      </c>
      <c r="Q48" s="191">
        <f>ROUND(78.72*25390,0)</f>
        <v>1998701</v>
      </c>
      <c r="R48" s="197">
        <f t="shared" si="3"/>
        <v>24592247</v>
      </c>
      <c r="S48" s="198" t="s">
        <v>702</v>
      </c>
      <c r="T48" s="199"/>
      <c r="U48" s="243"/>
      <c r="V48" s="243"/>
      <c r="W48" s="243"/>
      <c r="BA48"/>
      <c r="BB48"/>
    </row>
    <row r="49" spans="1:54" s="188" customFormat="1" ht="13.5">
      <c r="A49" s="223"/>
      <c r="B49" s="306">
        <v>5006016242</v>
      </c>
      <c r="C49" s="180" t="str">
        <f>IFERROR(IF(VLOOKUP($B49,勘定科目!$A:$H,HLOOKUP($E$5,勘定科目!$F$1:$H$2,2,0),0)="","",VLOOKUP($B49,勘定科目!$A:$E,2,0)),"")</f>
        <v>減価償却費（製）　機械装置</v>
      </c>
      <c r="D49" s="236" t="str">
        <f>IF(C49="","",VLOOKUP($B49,勘定科目!$A:$E,4,0))</f>
        <v>減価償却費</v>
      </c>
      <c r="E49" s="242"/>
      <c r="F49" s="191">
        <v>0</v>
      </c>
      <c r="G49" s="191">
        <v>0</v>
      </c>
      <c r="H49" s="191">
        <v>0</v>
      </c>
      <c r="I49" s="191">
        <v>0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7">
        <f t="shared" si="3"/>
        <v>0</v>
      </c>
      <c r="S49" s="198" t="s">
        <v>703</v>
      </c>
      <c r="T49" s="199"/>
      <c r="U49" s="243"/>
      <c r="V49" s="243"/>
      <c r="W49" s="243"/>
      <c r="BA49"/>
      <c r="BB49"/>
    </row>
    <row r="50" spans="1:54" s="188" customFormat="1" ht="112.5" customHeight="1">
      <c r="A50" s="223"/>
      <c r="B50" s="306">
        <v>5006016244</v>
      </c>
      <c r="C50" s="180" t="str">
        <f>IFERROR(IF(VLOOKUP($B50,勘定科目!$A:$H,HLOOKUP($E$5,勘定科目!$F$1:$H$2,2,0),0)="","",VLOOKUP($B50,勘定科目!$A:$E,2,0)),"")</f>
        <v>減価償却費（製）　工具器具備品</v>
      </c>
      <c r="D50" s="236" t="str">
        <f>IF(C50="","",VLOOKUP($B50,勘定科目!$A:$E,4,0))</f>
        <v>減価償却費</v>
      </c>
      <c r="E50" s="242"/>
      <c r="F50" s="191">
        <f>ROUND(1620.697*25390,0)</f>
        <v>41149497</v>
      </c>
      <c r="G50" s="191">
        <f>ROUND(2311.747*25390,0)</f>
        <v>58695256</v>
      </c>
      <c r="H50" s="191">
        <f>ROUND(2311.747*25390,0)</f>
        <v>58695256</v>
      </c>
      <c r="I50" s="191">
        <f t="shared" ref="I50:K50" si="5">ROUND(2311.747*25390,0)</f>
        <v>58695256</v>
      </c>
      <c r="J50" s="191">
        <f t="shared" si="5"/>
        <v>58695256</v>
      </c>
      <c r="K50" s="191">
        <f t="shared" si="5"/>
        <v>58695256</v>
      </c>
      <c r="L50" s="191">
        <f>ROUND(3958.347*25390,0)</f>
        <v>100502430</v>
      </c>
      <c r="M50" s="191">
        <f t="shared" ref="M50:Q50" si="6">ROUND(3958.347*25390,0)</f>
        <v>100502430</v>
      </c>
      <c r="N50" s="191">
        <f t="shared" si="6"/>
        <v>100502430</v>
      </c>
      <c r="O50" s="191">
        <f t="shared" si="6"/>
        <v>100502430</v>
      </c>
      <c r="P50" s="191">
        <f t="shared" si="6"/>
        <v>100502430</v>
      </c>
      <c r="Q50" s="191">
        <f t="shared" si="6"/>
        <v>100502430</v>
      </c>
      <c r="R50" s="197">
        <f t="shared" si="3"/>
        <v>937640357</v>
      </c>
      <c r="S50" s="295" t="s">
        <v>738</v>
      </c>
      <c r="T50" s="199"/>
      <c r="U50" s="243"/>
      <c r="V50" s="243"/>
      <c r="W50" s="243"/>
      <c r="BA50"/>
      <c r="BB50"/>
    </row>
    <row r="51" spans="1:54" s="188" customFormat="1" ht="93.75" customHeight="1">
      <c r="A51" s="223"/>
      <c r="B51" s="306">
        <v>9114120007</v>
      </c>
      <c r="C51" s="180" t="str">
        <f>IFERROR(IF(VLOOKUP($B51,勘定科目!$A:$H,HLOOKUP($E$5,勘定科目!$F$1:$H$2,2,0),0)="","",VLOOKUP($B51,勘定科目!$A:$E,2,0)),"")</f>
        <v>社内金利（固定資産）</v>
      </c>
      <c r="D51" s="236" t="str">
        <f>IF(C51="","",VLOOKUP($B51,勘定科目!$A:$E,4,0))</f>
        <v>固定資産金利</v>
      </c>
      <c r="E51" s="242"/>
      <c r="F51" s="191">
        <v>0</v>
      </c>
      <c r="G51" s="191">
        <f>ROUND(291.726*25390,0)</f>
        <v>7406923</v>
      </c>
      <c r="H51" s="191">
        <f>ROUND(416.115*25390,0)</f>
        <v>10565160</v>
      </c>
      <c r="I51" s="191">
        <f t="shared" ref="I51:L51" si="7">ROUND(416.115*25390,0)</f>
        <v>10565160</v>
      </c>
      <c r="J51" s="191">
        <f t="shared" si="7"/>
        <v>10565160</v>
      </c>
      <c r="K51" s="191">
        <f t="shared" si="7"/>
        <v>10565160</v>
      </c>
      <c r="L51" s="191">
        <f t="shared" si="7"/>
        <v>10565160</v>
      </c>
      <c r="M51" s="191">
        <f>ROUND(831.0564*25390,0)</f>
        <v>21100522</v>
      </c>
      <c r="N51" s="191">
        <f t="shared" ref="N51:Q51" si="8">ROUND(831.0564*25390,0)</f>
        <v>21100522</v>
      </c>
      <c r="O51" s="191">
        <f t="shared" si="8"/>
        <v>21100522</v>
      </c>
      <c r="P51" s="191">
        <f t="shared" si="8"/>
        <v>21100522</v>
      </c>
      <c r="Q51" s="191">
        <f t="shared" si="8"/>
        <v>21100522</v>
      </c>
      <c r="R51" s="197">
        <f t="shared" si="3"/>
        <v>165735333</v>
      </c>
      <c r="S51" s="295" t="s">
        <v>739</v>
      </c>
      <c r="T51" s="199"/>
      <c r="U51" s="243"/>
      <c r="V51" s="243"/>
      <c r="W51" s="243"/>
      <c r="BA51"/>
      <c r="BB51"/>
    </row>
    <row r="52" spans="1:54" s="188" customFormat="1" ht="13.5">
      <c r="A52" s="223"/>
      <c r="B52" s="306">
        <v>5005076281</v>
      </c>
      <c r="C52" s="180" t="str">
        <f>IFERROR(IF(VLOOKUP($B52,勘定科目!$A:$H,HLOOKUP($E$5,勘定科目!$F$1:$H$2,2,0),0)="","",VLOOKUP($B52,勘定科目!$A:$E,2,0)),"")</f>
        <v>通関申告費用（製）</v>
      </c>
      <c r="D52" s="236" t="str">
        <f>IF(C52="","",VLOOKUP($B52,勘定科目!$A:$E,4,0))</f>
        <v>荷造運賃</v>
      </c>
      <c r="E52" s="242"/>
      <c r="F52" s="191">
        <v>1500000</v>
      </c>
      <c r="G52" s="191">
        <v>1500000</v>
      </c>
      <c r="H52" s="191">
        <v>1500000</v>
      </c>
      <c r="I52" s="191">
        <v>1500000</v>
      </c>
      <c r="J52" s="191">
        <v>1500000</v>
      </c>
      <c r="K52" s="191">
        <v>1500000</v>
      </c>
      <c r="L52" s="191">
        <v>1500000</v>
      </c>
      <c r="M52" s="191">
        <v>1500000</v>
      </c>
      <c r="N52" s="191">
        <v>1500000</v>
      </c>
      <c r="O52" s="191">
        <v>1500000</v>
      </c>
      <c r="P52" s="191">
        <v>1500000</v>
      </c>
      <c r="Q52" s="191">
        <v>1500000</v>
      </c>
      <c r="R52" s="197">
        <f t="shared" si="3"/>
        <v>18000000</v>
      </c>
      <c r="S52" s="198" t="s">
        <v>704</v>
      </c>
      <c r="T52" s="199"/>
      <c r="U52" s="243"/>
      <c r="V52" s="243"/>
      <c r="W52" s="243"/>
      <c r="BA52"/>
      <c r="BB52"/>
    </row>
    <row r="53" spans="1:54" s="188" customFormat="1" ht="13.5">
      <c r="A53" s="223"/>
      <c r="B53" s="306">
        <v>5005076289</v>
      </c>
      <c r="C53" s="180" t="str">
        <f>IFERROR(IF(VLOOKUP($B53,勘定科目!$A:$H,HLOOKUP($E$5,勘定科目!$F$1:$H$2,2,0),0)="","",VLOOKUP($B53,勘定科目!$A:$E,2,0)),"")</f>
        <v>クーリエ費用（製）</v>
      </c>
      <c r="D53" s="236" t="str">
        <f>IF(C53="","",VLOOKUP($B53,勘定科目!$A:$E,4,0))</f>
        <v>荷造運賃</v>
      </c>
      <c r="E53" s="242"/>
      <c r="F53" s="191">
        <v>1000000</v>
      </c>
      <c r="G53" s="191">
        <v>1000000</v>
      </c>
      <c r="H53" s="191">
        <v>1000000</v>
      </c>
      <c r="I53" s="191">
        <v>1000000</v>
      </c>
      <c r="J53" s="191">
        <v>1000000</v>
      </c>
      <c r="K53" s="191">
        <v>1000000</v>
      </c>
      <c r="L53" s="191">
        <v>1000000</v>
      </c>
      <c r="M53" s="191">
        <v>1000000</v>
      </c>
      <c r="N53" s="191">
        <v>1000000</v>
      </c>
      <c r="O53" s="191">
        <v>1000000</v>
      </c>
      <c r="P53" s="191">
        <v>1000000</v>
      </c>
      <c r="Q53" s="191">
        <v>1000000</v>
      </c>
      <c r="R53" s="197">
        <f t="shared" si="3"/>
        <v>12000000</v>
      </c>
      <c r="S53" s="198" t="s">
        <v>705</v>
      </c>
      <c r="T53" s="199"/>
      <c r="U53" s="243"/>
      <c r="V53" s="243"/>
      <c r="W53" s="243"/>
      <c r="BA53"/>
      <c r="BB53"/>
    </row>
    <row r="54" spans="1:54" s="188" customFormat="1" ht="13.5">
      <c r="A54" s="223"/>
      <c r="B54" s="306">
        <v>5005076283</v>
      </c>
      <c r="C54" s="305" t="str">
        <f>IFERROR(IF(VLOOKUP($B54,勘定科目!$A:$H,HLOOKUP($E$5,勘定科目!$F$1:$H$2,2,0),0)="","",VLOOKUP($B54,勘定科目!$A:$E,2,0)),"")</f>
        <v>輸入航空運賃（製）</v>
      </c>
      <c r="D54" s="236" t="str">
        <f>IF(C54="","",VLOOKUP($B54,勘定科目!$A:$E,4,0))</f>
        <v>荷造運賃</v>
      </c>
      <c r="E54" s="242"/>
      <c r="F54" s="191">
        <v>1000000</v>
      </c>
      <c r="G54" s="191">
        <v>1000000</v>
      </c>
      <c r="H54" s="191">
        <v>1000000</v>
      </c>
      <c r="I54" s="191">
        <v>1000000</v>
      </c>
      <c r="J54" s="191">
        <v>1000000</v>
      </c>
      <c r="K54" s="191">
        <v>1000000</v>
      </c>
      <c r="L54" s="191">
        <v>1000000</v>
      </c>
      <c r="M54" s="191">
        <v>1000000</v>
      </c>
      <c r="N54" s="191">
        <v>1000000</v>
      </c>
      <c r="O54" s="191">
        <v>1000000</v>
      </c>
      <c r="P54" s="191">
        <v>1000000</v>
      </c>
      <c r="Q54" s="191">
        <v>1000000</v>
      </c>
      <c r="R54" s="197">
        <f t="shared" si="3"/>
        <v>12000000</v>
      </c>
      <c r="S54" s="198" t="s">
        <v>718</v>
      </c>
      <c r="T54" s="199"/>
      <c r="U54" s="243"/>
      <c r="V54" s="243"/>
      <c r="W54" s="243"/>
      <c r="BA54"/>
      <c r="BB54"/>
    </row>
    <row r="55" spans="1:54" s="188" customFormat="1" ht="299.25" customHeight="1">
      <c r="A55" s="223"/>
      <c r="B55" s="306">
        <v>5004086291</v>
      </c>
      <c r="C55" s="180" t="str">
        <f>IFERROR(IF(VLOOKUP($B55,勘定科目!$A:$H,HLOOKUP($E$5,勘定科目!$F$1:$H$2,2,0),0)="","",VLOOKUP($B55,勘定科目!$A:$E,2,0)),"")</f>
        <v>福利厚生費（製）</v>
      </c>
      <c r="D55" s="236" t="str">
        <f>IF(C55="","",VLOOKUP($B55,勘定科目!$A:$E,4,0))</f>
        <v>福利厚生費</v>
      </c>
      <c r="E55" s="242"/>
      <c r="F55" s="191">
        <f>1800000+200000*45</f>
        <v>10800000</v>
      </c>
      <c r="G55" s="244">
        <f>1800000+1890000*45+3*175000</f>
        <v>87375000</v>
      </c>
      <c r="H55" s="244">
        <f>1800000+5*506000</f>
        <v>4330000</v>
      </c>
      <c r="I55" s="244">
        <f>1800000+100000*42+2*175000</f>
        <v>6350000</v>
      </c>
      <c r="J55" s="244">
        <f>1800000</f>
        <v>1800000</v>
      </c>
      <c r="K55" s="244">
        <f>1800000+47*126000</f>
        <v>7722000</v>
      </c>
      <c r="L55" s="244">
        <f>1800000+549000*2+382000*2+47*56000</f>
        <v>6294000</v>
      </c>
      <c r="M55" s="244">
        <f>1800000+47*107000</f>
        <v>6829000</v>
      </c>
      <c r="N55" s="244">
        <f>1800000+189000*14+204000*28+5*506000</f>
        <v>12688000</v>
      </c>
      <c r="O55" s="244">
        <f>1800000+300000*47</f>
        <v>15900000</v>
      </c>
      <c r="P55" s="244">
        <f>1800000+100000*47</f>
        <v>6500000</v>
      </c>
      <c r="Q55" s="244">
        <f>1800000</f>
        <v>1800000</v>
      </c>
      <c r="R55" s="197">
        <f t="shared" si="3"/>
        <v>168388000</v>
      </c>
      <c r="S55" s="299" t="s">
        <v>736</v>
      </c>
      <c r="T55" s="199"/>
      <c r="U55" s="243"/>
      <c r="V55" s="243"/>
      <c r="W55" s="243"/>
      <c r="BA55"/>
      <c r="BB55"/>
    </row>
    <row r="56" spans="1:54" s="188" customFormat="1" ht="13.5">
      <c r="A56" s="223"/>
      <c r="B56" s="306">
        <v>5004086291</v>
      </c>
      <c r="C56" s="180" t="str">
        <f>IFERROR(IF(VLOOKUP($B56,勘定科目!$A:$H,HLOOKUP($E$5,勘定科目!$F$1:$H$2,2,0),0)="","",VLOOKUP($B56,勘定科目!$A:$E,2,0)),"")</f>
        <v>福利厚生費（製）</v>
      </c>
      <c r="D56" s="236" t="str">
        <f>IF(C56="","",VLOOKUP($B56,勘定科目!$A:$E,4,0))</f>
        <v>福利厚生費</v>
      </c>
      <c r="E56" s="242"/>
      <c r="F56" s="191">
        <v>18000</v>
      </c>
      <c r="G56" s="191">
        <v>18000</v>
      </c>
      <c r="H56" s="191">
        <v>18000</v>
      </c>
      <c r="I56" s="191">
        <v>18000</v>
      </c>
      <c r="J56" s="191">
        <v>18000</v>
      </c>
      <c r="K56" s="191">
        <v>18000</v>
      </c>
      <c r="L56" s="191">
        <v>18000</v>
      </c>
      <c r="M56" s="191">
        <v>18000</v>
      </c>
      <c r="N56" s="191">
        <v>18000</v>
      </c>
      <c r="O56" s="191">
        <v>18000</v>
      </c>
      <c r="P56" s="191">
        <v>18000</v>
      </c>
      <c r="Q56" s="191">
        <v>18000</v>
      </c>
      <c r="R56" s="197">
        <f t="shared" si="3"/>
        <v>216000</v>
      </c>
      <c r="S56" s="198" t="s">
        <v>706</v>
      </c>
      <c r="T56" s="199"/>
      <c r="U56" s="243"/>
      <c r="V56" s="243"/>
      <c r="W56" s="243"/>
      <c r="BA56"/>
      <c r="BB56"/>
    </row>
    <row r="57" spans="1:54" s="188" customFormat="1" ht="13.5">
      <c r="A57" s="223"/>
      <c r="B57" s="306">
        <v>5004086291</v>
      </c>
      <c r="C57" s="180" t="str">
        <f>IFERROR(IF(VLOOKUP($B57,勘定科目!$A:$H,HLOOKUP($E$5,勘定科目!$F$1:$H$2,2,0),0)="","",VLOOKUP($B57,勘定科目!$A:$E,2,0)),"")</f>
        <v>福利厚生費（製）</v>
      </c>
      <c r="D57" s="236" t="str">
        <f>IF(C57="","",VLOOKUP($B57,勘定科目!$A:$E,4,0))</f>
        <v>福利厚生費</v>
      </c>
      <c r="E57" s="242"/>
      <c r="F57" s="191">
        <f>33500*6+39000*10</f>
        <v>591000</v>
      </c>
      <c r="G57" s="191">
        <f t="shared" ref="G57:Q57" si="9">33500*2+39000*2</f>
        <v>145000</v>
      </c>
      <c r="H57" s="191">
        <f>33500*4+39000*6</f>
        <v>368000</v>
      </c>
      <c r="I57" s="191">
        <f>33500*6+39000*4</f>
        <v>357000</v>
      </c>
      <c r="J57" s="191">
        <f t="shared" si="9"/>
        <v>145000</v>
      </c>
      <c r="K57" s="191">
        <f t="shared" si="9"/>
        <v>145000</v>
      </c>
      <c r="L57" s="191">
        <f t="shared" si="9"/>
        <v>145000</v>
      </c>
      <c r="M57" s="191">
        <f t="shared" si="9"/>
        <v>145000</v>
      </c>
      <c r="N57" s="191">
        <f t="shared" si="9"/>
        <v>145000</v>
      </c>
      <c r="O57" s="191">
        <f>33500*6+39000*4</f>
        <v>357000</v>
      </c>
      <c r="P57" s="191">
        <f t="shared" si="9"/>
        <v>145000</v>
      </c>
      <c r="Q57" s="191">
        <f t="shared" si="9"/>
        <v>145000</v>
      </c>
      <c r="R57" s="197">
        <f>SUM(F57:Q57)</f>
        <v>2833000</v>
      </c>
      <c r="S57" s="198" t="s">
        <v>707</v>
      </c>
      <c r="T57" s="199"/>
      <c r="U57" s="243"/>
      <c r="V57" s="243"/>
      <c r="W57" s="243"/>
      <c r="BA57"/>
      <c r="BB57"/>
    </row>
    <row r="58" spans="1:54" s="188" customFormat="1" ht="13.5">
      <c r="A58" s="223"/>
      <c r="B58" s="306">
        <v>5004086291</v>
      </c>
      <c r="C58" s="180" t="str">
        <f>IFERROR(IF(VLOOKUP($B58,勘定科目!$A:$H,HLOOKUP($E$5,勘定科目!$F$1:$H$2,2,0),0)="","",VLOOKUP($B58,勘定科目!$A:$E,2,0)),"")</f>
        <v>福利厚生費（製）</v>
      </c>
      <c r="D58" s="236" t="str">
        <f>IF(C58="","",VLOOKUP($B58,勘定科目!$A:$E,4,0))</f>
        <v>福利厚生費</v>
      </c>
      <c r="E58" s="242"/>
      <c r="F58" s="191">
        <f>82000+84000+120000+82000*3</f>
        <v>532000</v>
      </c>
      <c r="G58" s="191">
        <f t="shared" ref="G58:Q58" si="10">82000+84000+120000</f>
        <v>286000</v>
      </c>
      <c r="H58" s="191">
        <f>82000+84000+120000+82000*2</f>
        <v>450000</v>
      </c>
      <c r="I58" s="191">
        <f t="shared" si="10"/>
        <v>286000</v>
      </c>
      <c r="J58" s="191">
        <f t="shared" si="10"/>
        <v>286000</v>
      </c>
      <c r="K58" s="191">
        <f t="shared" si="10"/>
        <v>286000</v>
      </c>
      <c r="L58" s="191">
        <f t="shared" si="10"/>
        <v>286000</v>
      </c>
      <c r="M58" s="191">
        <f t="shared" si="10"/>
        <v>286000</v>
      </c>
      <c r="N58" s="191">
        <f t="shared" si="10"/>
        <v>286000</v>
      </c>
      <c r="O58" s="191">
        <f t="shared" si="10"/>
        <v>286000</v>
      </c>
      <c r="P58" s="191">
        <f t="shared" si="10"/>
        <v>286000</v>
      </c>
      <c r="Q58" s="191">
        <f t="shared" si="10"/>
        <v>286000</v>
      </c>
      <c r="R58" s="197">
        <f t="shared" si="3"/>
        <v>3842000</v>
      </c>
      <c r="S58" s="198" t="s">
        <v>708</v>
      </c>
      <c r="T58" s="199"/>
      <c r="U58" s="243"/>
      <c r="V58" s="243"/>
      <c r="W58" s="243"/>
      <c r="BA58"/>
      <c r="BB58"/>
    </row>
    <row r="59" spans="1:54" s="188" customFormat="1" ht="13.5">
      <c r="A59" s="223"/>
      <c r="B59" s="306">
        <v>5004086291</v>
      </c>
      <c r="C59" s="305" t="str">
        <f>IFERROR(IF(VLOOKUP($B59,勘定科目!$A:$H,HLOOKUP($E$5,勘定科目!$F$1:$H$2,2,0),0)="","",VLOOKUP($B59,勘定科目!$A:$E,2,0)),"")</f>
        <v>福利厚生費（製）</v>
      </c>
      <c r="D59" s="304" t="str">
        <f>IF(C59="","",VLOOKUP($B59,勘定科目!$A:$E,4,0))</f>
        <v>福利厚生費</v>
      </c>
      <c r="E59" s="317"/>
      <c r="F59" s="244">
        <f>175000*90</f>
        <v>15750000</v>
      </c>
      <c r="G59" s="244">
        <v>175000</v>
      </c>
      <c r="H59" s="244">
        <f>175000*4</f>
        <v>700000</v>
      </c>
      <c r="I59" s="244">
        <v>175000</v>
      </c>
      <c r="J59" s="244">
        <v>175000</v>
      </c>
      <c r="K59" s="244">
        <v>175000</v>
      </c>
      <c r="L59" s="244">
        <v>175000</v>
      </c>
      <c r="M59" s="244">
        <v>175000</v>
      </c>
      <c r="N59" s="244">
        <v>175000</v>
      </c>
      <c r="O59" s="244">
        <v>175000</v>
      </c>
      <c r="P59" s="244">
        <v>175000</v>
      </c>
      <c r="Q59" s="244">
        <v>175000</v>
      </c>
      <c r="R59" s="197">
        <f t="shared" si="3"/>
        <v>18200000</v>
      </c>
      <c r="S59" s="198" t="s">
        <v>741</v>
      </c>
      <c r="T59" s="199"/>
      <c r="U59" s="243"/>
      <c r="V59" s="243"/>
      <c r="W59" s="243"/>
      <c r="BA59"/>
      <c r="BB59"/>
    </row>
    <row r="60" spans="1:54" s="188" customFormat="1" ht="15.75" customHeight="1">
      <c r="A60" s="223"/>
      <c r="B60" s="306">
        <v>5004086291</v>
      </c>
      <c r="C60" s="305" t="str">
        <f>IFERROR(IF(VLOOKUP($B60,勘定科目!$A:$H,HLOOKUP($E$5,勘定科目!$F$1:$H$2,2,0),0)="","",VLOOKUP($B60,勘定科目!$A:$E,2,0)),"")</f>
        <v>福利厚生費（製）</v>
      </c>
      <c r="D60" s="304" t="str">
        <f>IF(C60="","",VLOOKUP($B60,勘定科目!$A:$E,4,0))</f>
        <v>福利厚生費</v>
      </c>
      <c r="E60" s="317"/>
      <c r="F60" s="191">
        <f>165000*90</f>
        <v>14850000</v>
      </c>
      <c r="G60" s="244">
        <v>165000</v>
      </c>
      <c r="H60" s="244">
        <f>165000*4</f>
        <v>660000</v>
      </c>
      <c r="I60" s="244">
        <v>165000</v>
      </c>
      <c r="J60" s="244">
        <v>165000</v>
      </c>
      <c r="K60" s="244">
        <v>165000</v>
      </c>
      <c r="L60" s="244">
        <v>165000</v>
      </c>
      <c r="M60" s="244">
        <v>165000</v>
      </c>
      <c r="N60" s="244">
        <v>165000</v>
      </c>
      <c r="O60" s="244">
        <v>165000</v>
      </c>
      <c r="P60" s="244">
        <v>165000</v>
      </c>
      <c r="Q60" s="244">
        <v>165000</v>
      </c>
      <c r="R60" s="197">
        <f t="shared" si="3"/>
        <v>17160000</v>
      </c>
      <c r="S60" s="295" t="s">
        <v>740</v>
      </c>
      <c r="T60" s="199"/>
      <c r="U60" s="243"/>
      <c r="V60" s="243"/>
      <c r="W60" s="243"/>
      <c r="BA60"/>
      <c r="BB60"/>
    </row>
    <row r="61" spans="1:54" s="188" customFormat="1" ht="13.5">
      <c r="A61" s="223"/>
      <c r="B61" s="306">
        <v>5004086291</v>
      </c>
      <c r="C61" s="180" t="str">
        <f>IFERROR(IF(VLOOKUP($B61,勘定科目!$A:$H,HLOOKUP($E$5,勘定科目!$F$1:$H$2,2,0),0)="","",VLOOKUP($B61,勘定科目!$A:$E,2,0)),"")</f>
        <v>福利厚生費（製）</v>
      </c>
      <c r="D61" s="236" t="str">
        <f>IF(C61="","",VLOOKUP($B61,勘定科目!$A:$E,4,0))</f>
        <v>福利厚生費</v>
      </c>
      <c r="E61" s="242"/>
      <c r="F61" s="191">
        <f>116000*10+124500</f>
        <v>1284500</v>
      </c>
      <c r="G61" s="191">
        <f t="shared" ref="G61:Q61" si="11">116000*4+124500</f>
        <v>588500</v>
      </c>
      <c r="H61" s="191">
        <f>116000*10+124500</f>
        <v>1284500</v>
      </c>
      <c r="I61" s="191">
        <f t="shared" si="11"/>
        <v>588500</v>
      </c>
      <c r="J61" s="191">
        <f t="shared" si="11"/>
        <v>588500</v>
      </c>
      <c r="K61" s="191">
        <f t="shared" si="11"/>
        <v>588500</v>
      </c>
      <c r="L61" s="191">
        <f t="shared" si="11"/>
        <v>588500</v>
      </c>
      <c r="M61" s="191">
        <f t="shared" si="11"/>
        <v>588500</v>
      </c>
      <c r="N61" s="191">
        <f t="shared" si="11"/>
        <v>588500</v>
      </c>
      <c r="O61" s="191">
        <f t="shared" si="11"/>
        <v>588500</v>
      </c>
      <c r="P61" s="191">
        <f t="shared" si="11"/>
        <v>588500</v>
      </c>
      <c r="Q61" s="191">
        <f t="shared" si="11"/>
        <v>588500</v>
      </c>
      <c r="R61" s="197">
        <f t="shared" si="3"/>
        <v>8454000</v>
      </c>
      <c r="S61" s="198" t="s">
        <v>709</v>
      </c>
      <c r="T61" s="199"/>
      <c r="U61" s="243"/>
      <c r="V61" s="243"/>
      <c r="W61" s="243"/>
      <c r="BA61"/>
      <c r="BB61"/>
    </row>
    <row r="62" spans="1:54" s="188" customFormat="1" ht="13.5">
      <c r="A62" s="223"/>
      <c r="B62" s="306">
        <v>5004086291</v>
      </c>
      <c r="C62" s="180" t="str">
        <f>IFERROR(IF(VLOOKUP($B62,勘定科目!$A:$H,HLOOKUP($E$5,勘定科目!$F$1:$H$2,2,0),0)="","",VLOOKUP($B62,勘定科目!$A:$E,2,0)),"")</f>
        <v>福利厚生費（製）</v>
      </c>
      <c r="D62" s="236" t="str">
        <f>IF(C62="","",VLOOKUP($B62,勘定科目!$A:$E,4,0))</f>
        <v>福利厚生費</v>
      </c>
      <c r="E62" s="242"/>
      <c r="F62" s="191">
        <f>3*163000</f>
        <v>489000</v>
      </c>
      <c r="G62" s="244">
        <v>163000</v>
      </c>
      <c r="H62" s="244">
        <f>7*163000</f>
        <v>1141000</v>
      </c>
      <c r="I62" s="244">
        <f>5*163000</f>
        <v>815000</v>
      </c>
      <c r="J62" s="244">
        <f>3*163000</f>
        <v>489000</v>
      </c>
      <c r="K62" s="244">
        <f>7*163000</f>
        <v>1141000</v>
      </c>
      <c r="L62" s="244">
        <f>4*163000</f>
        <v>652000</v>
      </c>
      <c r="M62" s="244">
        <f>2*163000</f>
        <v>326000</v>
      </c>
      <c r="N62" s="244">
        <f>6*163000</f>
        <v>978000</v>
      </c>
      <c r="O62" s="244">
        <f>6*163000</f>
        <v>978000</v>
      </c>
      <c r="P62" s="244">
        <v>163000</v>
      </c>
      <c r="Q62" s="244">
        <f>4*163000</f>
        <v>652000</v>
      </c>
      <c r="R62" s="197">
        <f t="shared" si="3"/>
        <v>7987000</v>
      </c>
      <c r="S62" s="198" t="s">
        <v>716</v>
      </c>
      <c r="T62" s="199"/>
      <c r="U62" s="243"/>
      <c r="V62" s="243"/>
      <c r="W62" s="243"/>
      <c r="BA62"/>
      <c r="BB62"/>
    </row>
    <row r="63" spans="1:54" s="188" customFormat="1" ht="13.5">
      <c r="A63" s="223"/>
      <c r="B63" s="306">
        <v>5004086291</v>
      </c>
      <c r="C63" s="180" t="str">
        <f>IFERROR(IF(VLOOKUP($B63,勘定科目!$A:$H,HLOOKUP($E$5,勘定科目!$F$1:$H$2,2,0),0)="","",VLOOKUP($B63,勘定科目!$A:$E,2,0)),"")</f>
        <v>福利厚生費（製）</v>
      </c>
      <c r="D63" s="236" t="str">
        <f>IF(C63="","",VLOOKUP($B63,勘定科目!$A:$E,4,0))</f>
        <v>福利厚生費</v>
      </c>
      <c r="E63" s="242"/>
      <c r="F63" s="191">
        <v>600000</v>
      </c>
      <c r="G63" s="191">
        <v>600000</v>
      </c>
      <c r="H63" s="191">
        <v>600000</v>
      </c>
      <c r="I63" s="191">
        <v>600000</v>
      </c>
      <c r="J63" s="191">
        <v>600000</v>
      </c>
      <c r="K63" s="191">
        <v>600000</v>
      </c>
      <c r="L63" s="191">
        <v>600000</v>
      </c>
      <c r="M63" s="191">
        <v>600000</v>
      </c>
      <c r="N63" s="191">
        <v>600000</v>
      </c>
      <c r="O63" s="191">
        <v>600000</v>
      </c>
      <c r="P63" s="191">
        <v>600000</v>
      </c>
      <c r="Q63" s="191">
        <v>600000</v>
      </c>
      <c r="R63" s="197">
        <f t="shared" si="3"/>
        <v>7200000</v>
      </c>
      <c r="S63" s="198" t="s">
        <v>719</v>
      </c>
      <c r="T63" s="199"/>
      <c r="U63" s="243"/>
      <c r="V63" s="243"/>
      <c r="W63" s="243"/>
      <c r="BA63"/>
      <c r="BB63"/>
    </row>
    <row r="64" spans="1:54" s="188" customFormat="1" ht="13.5">
      <c r="A64" s="223"/>
      <c r="B64" s="306">
        <v>5004086291</v>
      </c>
      <c r="C64" s="180" t="str">
        <f>IFERROR(IF(VLOOKUP($B64,勘定科目!$A:$H,HLOOKUP($E$5,勘定科目!$F$1:$H$2,2,0),0)="","",VLOOKUP($B64,勘定科目!$A:$E,2,0)),"")</f>
        <v>福利厚生費（製）</v>
      </c>
      <c r="D64" s="236" t="str">
        <f>IF(C64="","",VLOOKUP($B64,勘定科目!$A:$E,4,0))</f>
        <v>福利厚生費</v>
      </c>
      <c r="E64" s="242"/>
      <c r="F64" s="191">
        <v>0</v>
      </c>
      <c r="G64" s="191">
        <v>0</v>
      </c>
      <c r="H64" s="191">
        <v>0</v>
      </c>
      <c r="I64" s="191">
        <v>0</v>
      </c>
      <c r="J64" s="191">
        <v>0</v>
      </c>
      <c r="K64" s="191">
        <v>0</v>
      </c>
      <c r="L64" s="191">
        <v>0</v>
      </c>
      <c r="M64" s="191">
        <v>0</v>
      </c>
      <c r="N64" s="191">
        <v>0</v>
      </c>
      <c r="O64" s="191">
        <v>0</v>
      </c>
      <c r="P64" s="191">
        <v>0</v>
      </c>
      <c r="Q64" s="191">
        <v>0</v>
      </c>
      <c r="R64" s="197">
        <f t="shared" si="3"/>
        <v>0</v>
      </c>
      <c r="S64" s="198" t="s">
        <v>710</v>
      </c>
      <c r="T64" s="199"/>
      <c r="U64" s="243"/>
      <c r="V64" s="243"/>
      <c r="W64" s="243"/>
      <c r="BA64"/>
      <c r="BB64"/>
    </row>
    <row r="65" spans="1:54" s="188" customFormat="1" ht="56.25">
      <c r="A65" s="223"/>
      <c r="B65" s="306">
        <v>5004086291</v>
      </c>
      <c r="C65" s="180" t="str">
        <f>IFERROR(IF(VLOOKUP($B65,勘定科目!$A:$H,HLOOKUP($E$5,勘定科目!$F$1:$H$2,2,0),0)="","",VLOOKUP($B65,勘定科目!$A:$E,2,0)),"")</f>
        <v>福利厚生費（製）</v>
      </c>
      <c r="D65" s="236" t="str">
        <f>IF(C65="","",VLOOKUP($B65,勘定科目!$A:$E,4,0))</f>
        <v>福利厚生費</v>
      </c>
      <c r="E65" s="242"/>
      <c r="F65" s="191">
        <v>2000000</v>
      </c>
      <c r="G65" s="191">
        <v>2000000</v>
      </c>
      <c r="H65" s="244">
        <v>0</v>
      </c>
      <c r="I65" s="244">
        <v>0</v>
      </c>
      <c r="J65" s="244">
        <v>0</v>
      </c>
      <c r="K65" s="244">
        <v>0</v>
      </c>
      <c r="L65" s="244">
        <v>0</v>
      </c>
      <c r="M65" s="244">
        <v>0</v>
      </c>
      <c r="N65" s="244">
        <v>0</v>
      </c>
      <c r="O65" s="244">
        <v>0</v>
      </c>
      <c r="P65" s="244">
        <v>0</v>
      </c>
      <c r="Q65" s="244">
        <v>0</v>
      </c>
      <c r="R65" s="197">
        <f t="shared" si="3"/>
        <v>4000000</v>
      </c>
      <c r="S65" s="296" t="s">
        <v>720</v>
      </c>
      <c r="T65" s="199"/>
      <c r="U65" s="243"/>
      <c r="V65" s="243"/>
      <c r="W65" s="243"/>
      <c r="BA65"/>
      <c r="BB65"/>
    </row>
    <row r="66" spans="1:54" s="188" customFormat="1" ht="83.25" customHeight="1">
      <c r="A66" s="223"/>
      <c r="B66" s="306">
        <v>5005246286</v>
      </c>
      <c r="C66" s="180" t="str">
        <f>IFERROR(IF(VLOOKUP($B66,勘定科目!$A:$H,HLOOKUP($E$5,勘定科目!$F$1:$H$2,2,0),0)="","",VLOOKUP($B66,勘定科目!$A:$E,2,0)),"")</f>
        <v>その他手数料（製）</v>
      </c>
      <c r="D66" s="236" t="str">
        <f>IF(C66="","",VLOOKUP($B66,勘定科目!$A:$E,4,0))</f>
        <v>手数料</v>
      </c>
      <c r="E66" s="242"/>
      <c r="F66" s="191">
        <v>1500000</v>
      </c>
      <c r="G66" s="244">
        <v>0</v>
      </c>
      <c r="H66" s="244">
        <v>0</v>
      </c>
      <c r="I66" s="244">
        <v>5000000</v>
      </c>
      <c r="J66" s="244">
        <v>0</v>
      </c>
      <c r="K66" s="244">
        <v>0</v>
      </c>
      <c r="L66" s="244">
        <f>1500000+200000</f>
        <v>1700000</v>
      </c>
      <c r="M66" s="244">
        <v>0</v>
      </c>
      <c r="N66" s="244">
        <v>0</v>
      </c>
      <c r="O66" s="244">
        <v>14500000</v>
      </c>
      <c r="P66" s="244">
        <v>0</v>
      </c>
      <c r="Q66" s="244">
        <v>0</v>
      </c>
      <c r="R66" s="197">
        <f t="shared" si="3"/>
        <v>22700000</v>
      </c>
      <c r="S66" s="295" t="s">
        <v>724</v>
      </c>
      <c r="T66" s="199"/>
      <c r="U66" s="243"/>
      <c r="V66" s="243"/>
      <c r="W66" s="243"/>
      <c r="BA66"/>
      <c r="BB66"/>
    </row>
    <row r="67" spans="1:54" s="188" customFormat="1" ht="282" customHeight="1">
      <c r="A67" s="223"/>
      <c r="B67" s="306">
        <v>5005016372</v>
      </c>
      <c r="C67" s="180" t="str">
        <f>IFERROR(IF(VLOOKUP($B67,勘定科目!$A:$H,HLOOKUP($E$5,勘定科目!$F$1:$H$2,2,0),0)="","",VLOOKUP($B67,勘定科目!$A:$E,2,0)),"")</f>
        <v>その他消耗品（製）</v>
      </c>
      <c r="D67" s="236" t="str">
        <f>IF(C67="","",VLOOKUP($B67,勘定科目!$A:$E,4,0))</f>
        <v>消耗品費</v>
      </c>
      <c r="E67" s="242"/>
      <c r="F67" s="191">
        <f>85000*2+21000*2+23000000+26500000+120*5350+51000+800*25390+360000</f>
        <v>71077000</v>
      </c>
      <c r="G67" s="244">
        <f>85000*2+21000*2+120*5350+51000+1650000</f>
        <v>2555000</v>
      </c>
      <c r="H67" s="244">
        <f>85000*2+21000*2+120*5350+51000+800*25390+8.5*16*25390+1650000</f>
        <v>26320040</v>
      </c>
      <c r="I67" s="244">
        <f>85000*2+21000*2+120*5350+51000+1650000</f>
        <v>2555000</v>
      </c>
      <c r="J67" s="244">
        <f>85000*2+21000*2+120*5350+51000+360000+1650000</f>
        <v>2915000</v>
      </c>
      <c r="K67" s="244">
        <f>85000*2+21000*2+120*5350+51000+800*25390</f>
        <v>21217000</v>
      </c>
      <c r="L67" s="244">
        <f>85000*2+21000*2+120*5350+51000+28000000+290000+360000+8.5*16*25390</f>
        <v>33008040</v>
      </c>
      <c r="M67" s="244">
        <f>85000*2+21000*2+120*5350+51000</f>
        <v>905000</v>
      </c>
      <c r="N67" s="244">
        <f>85000*2+21000*2+800*25390+120*5350+51000+360000</f>
        <v>21577000</v>
      </c>
      <c r="O67" s="244">
        <f>85000*2+21000*2+120*5350+51000</f>
        <v>905000</v>
      </c>
      <c r="P67" s="244">
        <f>85000*2+21000*2+120*5350+51000+360000+8.5*16*25390</f>
        <v>4718040</v>
      </c>
      <c r="Q67" s="244">
        <f>85000*2+21000*2+120*5350+51000+800*25390</f>
        <v>21217000</v>
      </c>
      <c r="R67" s="197">
        <f t="shared" si="3"/>
        <v>208969120</v>
      </c>
      <c r="S67" s="300" t="s">
        <v>725</v>
      </c>
      <c r="T67" s="199"/>
      <c r="U67" s="243"/>
      <c r="V67" s="243"/>
      <c r="W67" s="243"/>
      <c r="BA67"/>
      <c r="BB67"/>
    </row>
    <row r="68" spans="1:54" s="188" customFormat="1" ht="13.5">
      <c r="A68" s="223"/>
      <c r="B68" s="306">
        <v>5005246282</v>
      </c>
      <c r="C68" s="180" t="str">
        <f>IFERROR(IF(VLOOKUP($B68,勘定科目!$A:$H,HLOOKUP($E$5,勘定科目!$F$1:$H$2,2,0),0)="","",VLOOKUP($B68,勘定科目!$A:$E,2,0)),"")</f>
        <v>ＫＤＣシステム使用料（製）</v>
      </c>
      <c r="D68" s="236" t="str">
        <f>IF(C68="","",VLOOKUP($B68,勘定科目!$A:$E,4,0))</f>
        <v>図書及び事務費</v>
      </c>
      <c r="E68" s="242"/>
      <c r="F68" s="191">
        <v>5609159</v>
      </c>
      <c r="G68" s="191">
        <v>5609159</v>
      </c>
      <c r="H68" s="191">
        <v>5609159</v>
      </c>
      <c r="I68" s="191">
        <v>5609159</v>
      </c>
      <c r="J68" s="191">
        <v>5609159</v>
      </c>
      <c r="K68" s="191">
        <v>5609159</v>
      </c>
      <c r="L68" s="191">
        <v>5609159</v>
      </c>
      <c r="M68" s="191">
        <v>5609159</v>
      </c>
      <c r="N68" s="191">
        <v>5609159</v>
      </c>
      <c r="O68" s="191">
        <v>5609159</v>
      </c>
      <c r="P68" s="191">
        <v>5609159</v>
      </c>
      <c r="Q68" s="191">
        <v>5609159</v>
      </c>
      <c r="R68" s="197">
        <f t="shared" si="3"/>
        <v>67309908</v>
      </c>
      <c r="S68" s="198" t="s">
        <v>711</v>
      </c>
      <c r="T68" s="199"/>
      <c r="U68" s="243"/>
      <c r="V68" s="243"/>
      <c r="W68" s="243"/>
      <c r="BA68"/>
      <c r="BB68"/>
    </row>
    <row r="69" spans="1:54" s="188" customFormat="1" ht="45">
      <c r="A69" s="223"/>
      <c r="B69" s="306">
        <v>5005246288</v>
      </c>
      <c r="C69" s="180" t="str">
        <f>IFERROR(IF(VLOOKUP($B69,勘定科目!$A:$H,HLOOKUP($E$5,勘定科目!$F$1:$H$2,2,0),0)="","",VLOOKUP($B69,勘定科目!$A:$E,2,0)),"")</f>
        <v>事務用品費（製）</v>
      </c>
      <c r="D69" s="236" t="str">
        <f>IF(C69="","",VLOOKUP($B69,勘定科目!$A:$E,4,0))</f>
        <v>図書及び事務費</v>
      </c>
      <c r="E69" s="242"/>
      <c r="F69" s="191">
        <v>1500000</v>
      </c>
      <c r="G69" s="191">
        <v>1500000</v>
      </c>
      <c r="H69" s="191">
        <v>1500000</v>
      </c>
      <c r="I69" s="191">
        <v>1500000</v>
      </c>
      <c r="J69" s="191">
        <v>1500000</v>
      </c>
      <c r="K69" s="191">
        <v>1500000</v>
      </c>
      <c r="L69" s="191">
        <v>1500000</v>
      </c>
      <c r="M69" s="191">
        <v>1500000</v>
      </c>
      <c r="N69" s="191">
        <v>1500000</v>
      </c>
      <c r="O69" s="191">
        <v>1500000</v>
      </c>
      <c r="P69" s="191">
        <v>1500000</v>
      </c>
      <c r="Q69" s="191">
        <v>1500000</v>
      </c>
      <c r="R69" s="197">
        <f t="shared" si="3"/>
        <v>18000000</v>
      </c>
      <c r="S69" s="296" t="s">
        <v>714</v>
      </c>
      <c r="T69" s="199"/>
      <c r="U69" s="243"/>
      <c r="V69" s="243"/>
      <c r="W69" s="243"/>
      <c r="BA69"/>
      <c r="BB69"/>
    </row>
    <row r="70" spans="1:54" s="188" customFormat="1" ht="33.75">
      <c r="A70" s="223"/>
      <c r="B70" s="306">
        <v>5005136291</v>
      </c>
      <c r="C70" s="180" t="str">
        <f>IFERROR(IF(VLOOKUP($B70,勘定科目!$A:$H,HLOOKUP($E$5,勘定科目!$F$1:$H$2,2,0),0)="","",VLOOKUP($B70,勘定科目!$A:$E,2,0)),"")</f>
        <v>郵送代（製）</v>
      </c>
      <c r="D70" s="236" t="str">
        <f>IF(C70="","",VLOOKUP($B70,勘定科目!$A:$E,4,0))</f>
        <v>通信費</v>
      </c>
      <c r="E70" s="242"/>
      <c r="F70" s="191">
        <v>300000</v>
      </c>
      <c r="G70" s="191">
        <v>300000</v>
      </c>
      <c r="H70" s="191">
        <v>300000</v>
      </c>
      <c r="I70" s="191">
        <v>300000</v>
      </c>
      <c r="J70" s="191">
        <v>300000</v>
      </c>
      <c r="K70" s="191">
        <v>300000</v>
      </c>
      <c r="L70" s="191">
        <v>300000</v>
      </c>
      <c r="M70" s="191">
        <v>300000</v>
      </c>
      <c r="N70" s="191">
        <v>300000</v>
      </c>
      <c r="O70" s="191">
        <v>300000</v>
      </c>
      <c r="P70" s="191">
        <v>300000</v>
      </c>
      <c r="Q70" s="191">
        <v>300000</v>
      </c>
      <c r="R70" s="197">
        <f t="shared" si="3"/>
        <v>3600000</v>
      </c>
      <c r="S70" s="296" t="s">
        <v>713</v>
      </c>
      <c r="T70" s="199"/>
      <c r="U70" s="243"/>
      <c r="V70" s="243"/>
      <c r="W70" s="243"/>
      <c r="BA70"/>
      <c r="BB70"/>
    </row>
    <row r="71" spans="1:54" s="188" customFormat="1" ht="185.25" customHeight="1">
      <c r="A71" s="223"/>
      <c r="B71" s="306">
        <v>5005116291</v>
      </c>
      <c r="C71" s="180" t="str">
        <f>IFERROR(IF(VLOOKUP($B71,勘定科目!$A:$H,HLOOKUP($E$5,勘定科目!$F$1:$H$2,2,0),0)="","",VLOOKUP($B71,勘定科目!$A:$E,2,0)),"")</f>
        <v>ベトナム国内交通費（製）</v>
      </c>
      <c r="D71" s="236" t="str">
        <f>IF(C71="","",VLOOKUP($B71,勘定科目!$A:$E,4,0))</f>
        <v>旅費交通費</v>
      </c>
      <c r="E71" s="242"/>
      <c r="F71" s="191">
        <f>280000+2500000</f>
        <v>2780000</v>
      </c>
      <c r="G71" s="244">
        <f>70000+280000</f>
        <v>350000</v>
      </c>
      <c r="H71" s="244">
        <v>280000</v>
      </c>
      <c r="I71" s="244">
        <f>210000+600000+2500000+2500000+280000</f>
        <v>6090000</v>
      </c>
      <c r="J71" s="244">
        <f>1940000+280000</f>
        <v>2220000</v>
      </c>
      <c r="K71" s="244">
        <f>2140000+280000</f>
        <v>2420000</v>
      </c>
      <c r="L71" s="244">
        <f>2140000+2500000+280000</f>
        <v>4920000</v>
      </c>
      <c r="M71" s="244">
        <f>280000</f>
        <v>280000</v>
      </c>
      <c r="N71" s="244">
        <f>4310000+2500000+280000</f>
        <v>7090000</v>
      </c>
      <c r="O71" s="244">
        <f>2210000+280000</f>
        <v>2490000</v>
      </c>
      <c r="P71" s="244">
        <f>280000</f>
        <v>280000</v>
      </c>
      <c r="Q71" s="244">
        <f>3310000+280000</f>
        <v>3590000</v>
      </c>
      <c r="R71" s="197">
        <f t="shared" si="3"/>
        <v>32790000</v>
      </c>
      <c r="S71" s="296" t="s">
        <v>726</v>
      </c>
      <c r="T71" s="199"/>
      <c r="U71" s="243"/>
      <c r="V71" s="243"/>
      <c r="W71" s="243"/>
      <c r="BA71"/>
      <c r="BB71"/>
    </row>
    <row r="72" spans="1:54" s="188" customFormat="1" ht="106.5" customHeight="1">
      <c r="A72" s="223"/>
      <c r="B72" s="306">
        <v>5005046283</v>
      </c>
      <c r="C72" s="180" t="str">
        <f>IFERROR(IF(VLOOKUP($B72,勘定科目!$A:$H,HLOOKUP($E$5,勘定科目!$F$1:$H$2,2,0),0)="","",VLOOKUP($B72,勘定科目!$A:$E,2,0)),"")</f>
        <v>年間保守料（製）</v>
      </c>
      <c r="D72" s="236" t="str">
        <f>IF(C72="","",VLOOKUP($B72,勘定科目!$A:$E,4,0))</f>
        <v>修繕費</v>
      </c>
      <c r="E72" s="242"/>
      <c r="F72" s="191">
        <v>0</v>
      </c>
      <c r="G72" s="244">
        <v>0</v>
      </c>
      <c r="H72" s="244">
        <v>0</v>
      </c>
      <c r="I72" s="244">
        <v>0</v>
      </c>
      <c r="J72" s="244">
        <v>0</v>
      </c>
      <c r="K72" s="244">
        <v>0</v>
      </c>
      <c r="L72" s="244">
        <f>10000000+1700000</f>
        <v>11700000</v>
      </c>
      <c r="M72" s="244">
        <v>26500000</v>
      </c>
      <c r="N72" s="244">
        <v>50000000</v>
      </c>
      <c r="O72" s="244">
        <v>0</v>
      </c>
      <c r="P72" s="244">
        <v>0</v>
      </c>
      <c r="Q72" s="244">
        <v>0</v>
      </c>
      <c r="R72" s="197">
        <f t="shared" si="3"/>
        <v>88200000</v>
      </c>
      <c r="S72" s="295" t="s">
        <v>712</v>
      </c>
      <c r="T72" s="199"/>
      <c r="U72" s="243"/>
      <c r="V72" s="243"/>
      <c r="W72" s="243"/>
      <c r="BA72"/>
      <c r="BB72"/>
    </row>
    <row r="73" spans="1:54" s="188" customFormat="1" ht="13.5">
      <c r="A73" s="223"/>
      <c r="B73" s="306">
        <v>5005246281</v>
      </c>
      <c r="C73" s="180" t="str">
        <f>IFERROR(IF(VLOOKUP($B73,勘定科目!$A:$H,HLOOKUP($E$5,勘定科目!$F$1:$H$2,2,0),0)="","",VLOOKUP($B73,勘定科目!$A:$E,2,0)),"")</f>
        <v>図書印刷費（製）</v>
      </c>
      <c r="D73" s="236" t="str">
        <f>IF(C73="","",VLOOKUP($B73,勘定科目!$A:$E,4,0))</f>
        <v>図書及び事務費</v>
      </c>
      <c r="E73" s="242"/>
      <c r="F73" s="191">
        <v>0</v>
      </c>
      <c r="G73" s="244">
        <v>0</v>
      </c>
      <c r="H73" s="244">
        <v>0</v>
      </c>
      <c r="I73" s="244">
        <v>0</v>
      </c>
      <c r="J73" s="244">
        <v>0</v>
      </c>
      <c r="K73" s="244">
        <v>0</v>
      </c>
      <c r="L73" s="244">
        <v>0</v>
      </c>
      <c r="M73" s="244">
        <f>800*50</f>
        <v>40000</v>
      </c>
      <c r="N73" s="244">
        <v>0</v>
      </c>
      <c r="O73" s="244">
        <v>0</v>
      </c>
      <c r="P73" s="244">
        <v>0</v>
      </c>
      <c r="Q73" s="244">
        <v>0</v>
      </c>
      <c r="R73" s="197">
        <f t="shared" si="3"/>
        <v>40000</v>
      </c>
      <c r="S73" s="198" t="s">
        <v>737</v>
      </c>
      <c r="T73" s="199"/>
      <c r="U73" s="243"/>
      <c r="V73" s="243"/>
      <c r="W73" s="243"/>
      <c r="BA73"/>
      <c r="BB73"/>
    </row>
    <row r="74" spans="1:54" s="188" customFormat="1" ht="98.25" customHeight="1">
      <c r="A74" s="223"/>
      <c r="B74" s="306">
        <v>5005046281</v>
      </c>
      <c r="C74" s="180" t="str">
        <f>IFERROR(IF(VLOOKUP($B74,勘定科目!$A:$H,HLOOKUP($E$5,勘定科目!$F$1:$H$2,2,0),0)="","",VLOOKUP($B74,勘定科目!$A:$E,2,0)),"")</f>
        <v>機械設備修繕費（製）</v>
      </c>
      <c r="D74" s="236" t="str">
        <f>IF(C74="","",VLOOKUP($B74,勘定科目!$A:$E,4,0))</f>
        <v>修繕費</v>
      </c>
      <c r="E74" s="242"/>
      <c r="F74" s="191">
        <f>10000000+40000000</f>
        <v>50000000</v>
      </c>
      <c r="G74" s="244">
        <v>12150000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4300000</v>
      </c>
      <c r="O74" s="244">
        <v>0</v>
      </c>
      <c r="P74" s="244">
        <v>0</v>
      </c>
      <c r="Q74" s="244">
        <v>0</v>
      </c>
      <c r="R74" s="197">
        <f t="shared" si="3"/>
        <v>66450000</v>
      </c>
      <c r="S74" s="299" t="s">
        <v>721</v>
      </c>
      <c r="T74" s="199"/>
      <c r="U74" s="243"/>
      <c r="V74" s="243"/>
      <c r="W74" s="243"/>
      <c r="BA74"/>
      <c r="BB74"/>
    </row>
    <row r="75" spans="1:54" s="188" customFormat="1" ht="13.5">
      <c r="A75" s="223"/>
      <c r="B75" s="306">
        <v>5004086291</v>
      </c>
      <c r="C75" s="180" t="str">
        <f>IFERROR(IF(VLOOKUP($B75,勘定科目!$A:$H,HLOOKUP($E$5,勘定科目!$F$1:$H$2,2,0),0)="","",VLOOKUP($B75,勘定科目!$A:$E,2,0)),"")</f>
        <v>福利厚生費（製）</v>
      </c>
      <c r="D75" s="236" t="str">
        <f>IF(C75="","",VLOOKUP($B75,勘定科目!$A:$E,4,0))</f>
        <v>福利厚生費</v>
      </c>
      <c r="E75" s="242"/>
      <c r="F75" s="191">
        <f>2*16216</f>
        <v>32432</v>
      </c>
      <c r="G75" s="244">
        <v>0</v>
      </c>
      <c r="H75" s="244">
        <v>0</v>
      </c>
      <c r="I75" s="244">
        <v>0</v>
      </c>
      <c r="J75" s="244">
        <v>0</v>
      </c>
      <c r="K75" s="244">
        <v>0</v>
      </c>
      <c r="L75" s="244">
        <v>0</v>
      </c>
      <c r="M75" s="244">
        <v>0</v>
      </c>
      <c r="N75" s="244">
        <v>0</v>
      </c>
      <c r="O75" s="244">
        <v>0</v>
      </c>
      <c r="P75" s="244">
        <v>0</v>
      </c>
      <c r="Q75" s="244">
        <v>0</v>
      </c>
      <c r="R75" s="197">
        <f t="shared" si="3"/>
        <v>32432</v>
      </c>
      <c r="S75" s="198" t="s">
        <v>722</v>
      </c>
      <c r="T75" s="199"/>
      <c r="U75" s="243"/>
      <c r="V75" s="243"/>
      <c r="W75" s="243"/>
      <c r="BA75"/>
      <c r="BB75"/>
    </row>
    <row r="76" spans="1:54" s="188" customFormat="1" ht="13.5">
      <c r="A76" s="223"/>
      <c r="B76" s="306">
        <v>5005246286</v>
      </c>
      <c r="C76" s="180" t="str">
        <f>IFERROR(IF(VLOOKUP($B76,勘定科目!$A:$H,HLOOKUP($E$5,勘定科目!$F$1:$H$2,2,0),0)="","",VLOOKUP($B76,勘定科目!$A:$E,2,0)),"")</f>
        <v>その他手数料（製）</v>
      </c>
      <c r="D76" s="236" t="str">
        <f>IF(C76="","",VLOOKUP($B76,勘定科目!$A:$E,4,0))</f>
        <v>手数料</v>
      </c>
      <c r="E76" s="242"/>
      <c r="F76" s="191">
        <v>3700000</v>
      </c>
      <c r="G76" s="244">
        <v>0</v>
      </c>
      <c r="H76" s="244">
        <v>0</v>
      </c>
      <c r="I76" s="244">
        <v>0</v>
      </c>
      <c r="J76" s="244">
        <v>0</v>
      </c>
      <c r="K76" s="244">
        <v>0</v>
      </c>
      <c r="L76" s="244">
        <v>0</v>
      </c>
      <c r="M76" s="244">
        <v>0</v>
      </c>
      <c r="N76" s="244">
        <v>0</v>
      </c>
      <c r="O76" s="244">
        <v>0</v>
      </c>
      <c r="P76" s="244">
        <v>0</v>
      </c>
      <c r="Q76" s="244">
        <v>0</v>
      </c>
      <c r="R76" s="197">
        <f t="shared" si="3"/>
        <v>3700000</v>
      </c>
      <c r="S76" s="198" t="s">
        <v>715</v>
      </c>
      <c r="T76" s="199"/>
      <c r="U76" s="243"/>
      <c r="V76" s="243"/>
      <c r="W76" s="243"/>
      <c r="BA76"/>
      <c r="BB76"/>
    </row>
    <row r="77" spans="1:54" s="188" customFormat="1" ht="13.5">
      <c r="A77" s="223"/>
      <c r="B77" s="307">
        <v>5005246282</v>
      </c>
      <c r="C77" s="305" t="str">
        <f>IFERROR(IF(VLOOKUP($B77,勘定科目!$A:$H,HLOOKUP($E$5,勘定科目!$F$1:$H$2,2,0),0)="","",VLOOKUP($B77,勘定科目!$A:$E,2,0)),"")</f>
        <v>ＫＤＣシステム使用料（製）</v>
      </c>
      <c r="D77" s="236" t="str">
        <f>IF(C77="","",VLOOKUP($B77,勘定科目!$A:$E,4,0))</f>
        <v>図書及び事務費</v>
      </c>
      <c r="E77" s="242"/>
      <c r="F77" s="191">
        <f>ROUND(1663.07*25390,0)</f>
        <v>42225347</v>
      </c>
      <c r="G77" s="191">
        <f t="shared" ref="G77:Q77" si="12">ROUND(1663.07*25390,0)</f>
        <v>42225347</v>
      </c>
      <c r="H77" s="191">
        <f t="shared" si="12"/>
        <v>42225347</v>
      </c>
      <c r="I77" s="191">
        <f t="shared" si="12"/>
        <v>42225347</v>
      </c>
      <c r="J77" s="191">
        <f t="shared" si="12"/>
        <v>42225347</v>
      </c>
      <c r="K77" s="191">
        <f t="shared" si="12"/>
        <v>42225347</v>
      </c>
      <c r="L77" s="191">
        <f t="shared" si="12"/>
        <v>42225347</v>
      </c>
      <c r="M77" s="191">
        <f t="shared" si="12"/>
        <v>42225347</v>
      </c>
      <c r="N77" s="191">
        <f t="shared" si="12"/>
        <v>42225347</v>
      </c>
      <c r="O77" s="191">
        <f t="shared" si="12"/>
        <v>42225347</v>
      </c>
      <c r="P77" s="191">
        <f t="shared" si="12"/>
        <v>42225347</v>
      </c>
      <c r="Q77" s="191">
        <f t="shared" si="12"/>
        <v>42225347</v>
      </c>
      <c r="R77" s="197">
        <f t="shared" si="3"/>
        <v>506704164</v>
      </c>
      <c r="S77" s="198" t="s">
        <v>717</v>
      </c>
      <c r="T77" s="199"/>
      <c r="U77" s="243"/>
      <c r="V77" s="243"/>
      <c r="W77" s="243"/>
      <c r="BA77"/>
      <c r="BB77"/>
    </row>
    <row r="78" spans="1:54" s="188" customFormat="1" ht="62.25" customHeight="1">
      <c r="A78" s="223"/>
      <c r="B78" s="308">
        <v>5005046281</v>
      </c>
      <c r="C78" s="180" t="str">
        <f>IFERROR(IF(VLOOKUP($B78,勘定科目!$A:$H,HLOOKUP($E$5,勘定科目!$F$1:$H$2,2,0),0)="","",VLOOKUP($B78,勘定科目!$A:$E,2,0)),"")</f>
        <v>機械設備修繕費（製）</v>
      </c>
      <c r="D78" s="236" t="str">
        <f>IF(C78="","",VLOOKUP($B78,勘定科目!$A:$E,4,0))</f>
        <v>修繕費</v>
      </c>
      <c r="E78" s="242"/>
      <c r="F78" s="191">
        <f>ROUND(79651*25390,0)</f>
        <v>2022338890</v>
      </c>
      <c r="G78" s="244">
        <v>0</v>
      </c>
      <c r="H78" s="244">
        <v>0</v>
      </c>
      <c r="I78" s="244">
        <v>0</v>
      </c>
      <c r="J78" s="244">
        <v>0</v>
      </c>
      <c r="K78" s="244">
        <v>0</v>
      </c>
      <c r="L78" s="244">
        <v>0</v>
      </c>
      <c r="M78" s="244">
        <v>0</v>
      </c>
      <c r="N78" s="244">
        <v>0</v>
      </c>
      <c r="O78" s="244">
        <v>0</v>
      </c>
      <c r="P78" s="244">
        <v>0</v>
      </c>
      <c r="Q78" s="244">
        <v>0</v>
      </c>
      <c r="R78" s="197">
        <f t="shared" si="3"/>
        <v>2022338890</v>
      </c>
      <c r="S78" s="295" t="s">
        <v>727</v>
      </c>
      <c r="T78" s="199"/>
      <c r="U78" s="243"/>
      <c r="V78" s="243"/>
      <c r="W78" s="243"/>
      <c r="BA78"/>
      <c r="BB78"/>
    </row>
    <row r="79" spans="1:54" s="188" customFormat="1" ht="13.5">
      <c r="A79" s="223"/>
      <c r="B79" s="306">
        <v>5005246288</v>
      </c>
      <c r="C79" s="180" t="str">
        <f>IFERROR(IF(VLOOKUP($B79,勘定科目!$A:$H,HLOOKUP($E$5,勘定科目!$F$1:$H$2,2,0),0)="","",VLOOKUP($B79,勘定科目!$A:$E,2,0)),"")</f>
        <v>事務用品費（製）</v>
      </c>
      <c r="D79" s="236" t="str">
        <f>IF(C79="","",VLOOKUP($B79,勘定科目!$A:$E,4,0))</f>
        <v>図書及び事務費</v>
      </c>
      <c r="E79" s="242"/>
      <c r="F79" s="191">
        <f>104900*3</f>
        <v>314700</v>
      </c>
      <c r="G79" s="244">
        <v>0</v>
      </c>
      <c r="H79" s="191">
        <f>104900*2</f>
        <v>209800</v>
      </c>
      <c r="I79" s="244">
        <v>0</v>
      </c>
      <c r="J79" s="244">
        <v>0</v>
      </c>
      <c r="K79" s="244">
        <v>0</v>
      </c>
      <c r="L79" s="244">
        <v>0</v>
      </c>
      <c r="M79" s="244">
        <v>0</v>
      </c>
      <c r="N79" s="244">
        <v>0</v>
      </c>
      <c r="O79" s="244">
        <v>0</v>
      </c>
      <c r="P79" s="244">
        <v>0</v>
      </c>
      <c r="Q79" s="244">
        <v>0</v>
      </c>
      <c r="R79" s="197">
        <f t="shared" si="3"/>
        <v>524500</v>
      </c>
      <c r="S79" s="198" t="s">
        <v>723</v>
      </c>
      <c r="T79" s="199"/>
      <c r="U79" s="243"/>
      <c r="V79" s="243"/>
      <c r="W79" s="243"/>
      <c r="BA79"/>
      <c r="BB79"/>
    </row>
    <row r="80" spans="1:54" s="188" customFormat="1" ht="13.5">
      <c r="A80" s="223"/>
      <c r="B80" s="306"/>
      <c r="C80" s="180" t="str">
        <f>IFERROR(IF(VLOOKUP($B80,勘定科目!$A:$H,HLOOKUP($E$5,勘定科目!$F$1:$H$2,2,0),0)="","",VLOOKUP($B80,勘定科目!$A:$E,2,0)),"")</f>
        <v/>
      </c>
      <c r="D80" s="236" t="str">
        <f>IF(C80="","",VLOOKUP($B80,勘定科目!$A:$E,4,0))</f>
        <v/>
      </c>
      <c r="E80" s="242"/>
      <c r="F80" s="191"/>
      <c r="G80" s="244"/>
      <c r="H80" s="244"/>
      <c r="I80" s="244"/>
      <c r="J80" s="244"/>
      <c r="K80" s="244"/>
      <c r="L80" s="244"/>
      <c r="M80" s="244"/>
      <c r="N80" s="244"/>
      <c r="O80" s="244"/>
      <c r="P80" s="244"/>
      <c r="Q80" s="244"/>
      <c r="R80" s="197">
        <f t="shared" si="3"/>
        <v>0</v>
      </c>
      <c r="S80" s="198"/>
      <c r="T80" s="199"/>
      <c r="U80" s="243"/>
      <c r="V80" s="243"/>
      <c r="W80" s="243"/>
      <c r="BA80"/>
      <c r="BB80"/>
    </row>
    <row r="81" spans="1:54" s="188" customFormat="1" ht="13.5">
      <c r="A81" s="223"/>
      <c r="B81" s="306"/>
      <c r="C81" s="180" t="str">
        <f>IFERROR(IF(VLOOKUP($B81,勘定科目!$A:$H,HLOOKUP($E$5,勘定科目!$F$1:$H$2,2,0),0)="","",VLOOKUP($B81,勘定科目!$A:$E,2,0)),"")</f>
        <v/>
      </c>
      <c r="D81" s="236" t="str">
        <f>IF(C81="","",VLOOKUP($B81,勘定科目!$A:$E,4,0))</f>
        <v/>
      </c>
      <c r="E81" s="242"/>
      <c r="F81" s="191"/>
      <c r="G81" s="244"/>
      <c r="H81" s="244"/>
      <c r="I81" s="244"/>
      <c r="J81" s="244"/>
      <c r="K81" s="244"/>
      <c r="L81" s="244"/>
      <c r="M81" s="244"/>
      <c r="N81" s="244"/>
      <c r="O81" s="244"/>
      <c r="P81" s="244"/>
      <c r="Q81" s="244"/>
      <c r="R81" s="197">
        <f t="shared" si="3"/>
        <v>0</v>
      </c>
      <c r="S81" s="198"/>
      <c r="T81" s="199"/>
      <c r="U81" s="243"/>
      <c r="V81" s="243"/>
      <c r="W81" s="243"/>
      <c r="BA81"/>
      <c r="BB81"/>
    </row>
    <row r="82" spans="1:54" s="188" customFormat="1" ht="13.5">
      <c r="A82" s="223"/>
      <c r="B82" s="306"/>
      <c r="C82" s="180" t="str">
        <f>IFERROR(IF(VLOOKUP($B82,勘定科目!$A:$H,HLOOKUP($E$5,勘定科目!$F$1:$H$2,2,0),0)="","",VLOOKUP($B82,勘定科目!$A:$E,2,0)),"")</f>
        <v/>
      </c>
      <c r="D82" s="236" t="str">
        <f>IF(C82="","",VLOOKUP($B82,勘定科目!$A:$E,4,0))</f>
        <v/>
      </c>
      <c r="E82" s="242"/>
      <c r="F82" s="191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R82" s="197">
        <f t="shared" si="3"/>
        <v>0</v>
      </c>
      <c r="S82" s="198"/>
      <c r="T82" s="199"/>
      <c r="U82" s="243"/>
      <c r="V82" s="243"/>
      <c r="W82" s="243"/>
      <c r="BA82"/>
      <c r="BB82"/>
    </row>
    <row r="83" spans="1:54" s="188" customFormat="1" ht="13.5">
      <c r="A83" s="223"/>
      <c r="B83" s="306"/>
      <c r="C83" s="180" t="str">
        <f>IFERROR(IF(VLOOKUP($B83,勘定科目!$A:$H,HLOOKUP($E$5,勘定科目!$F$1:$H$2,2,0),0)="","",VLOOKUP($B83,勘定科目!$A:$E,2,0)),"")</f>
        <v/>
      </c>
      <c r="D83" s="236" t="str">
        <f>IF(C83="","",VLOOKUP($B83,勘定科目!$A:$E,4,0))</f>
        <v/>
      </c>
      <c r="E83" s="242"/>
      <c r="F83" s="191"/>
      <c r="G83" s="244"/>
      <c r="H83" s="244"/>
      <c r="I83" s="244"/>
      <c r="J83" s="244"/>
      <c r="K83" s="244"/>
      <c r="L83" s="244"/>
      <c r="M83" s="244"/>
      <c r="N83" s="244"/>
      <c r="O83" s="244"/>
      <c r="P83" s="244"/>
      <c r="Q83" s="244"/>
      <c r="R83" s="197">
        <f t="shared" si="3"/>
        <v>0</v>
      </c>
      <c r="S83" s="198"/>
      <c r="T83" s="199"/>
      <c r="U83" s="243"/>
      <c r="V83" s="243"/>
      <c r="W83" s="243"/>
      <c r="BA83"/>
      <c r="BB83"/>
    </row>
    <row r="84" spans="1:54" s="188" customFormat="1" ht="13.5">
      <c r="A84" s="223"/>
      <c r="B84" s="306"/>
      <c r="C84" s="180" t="str">
        <f>IFERROR(IF(VLOOKUP($B84,勘定科目!$A:$H,HLOOKUP($E$5,勘定科目!$F$1:$H$2,2,0),0)="","",VLOOKUP($B84,勘定科目!$A:$E,2,0)),"")</f>
        <v/>
      </c>
      <c r="D84" s="236" t="str">
        <f>IF(C84="","",VLOOKUP($B84,勘定科目!$A:$E,4,0))</f>
        <v/>
      </c>
      <c r="E84" s="242"/>
      <c r="F84" s="191"/>
      <c r="G84" s="244"/>
      <c r="H84" s="244"/>
      <c r="I84" s="244"/>
      <c r="J84" s="244"/>
      <c r="K84" s="244"/>
      <c r="L84" s="244"/>
      <c r="M84" s="244"/>
      <c r="N84" s="244"/>
      <c r="O84" s="244"/>
      <c r="P84" s="244"/>
      <c r="Q84" s="244"/>
      <c r="R84" s="197">
        <f t="shared" si="3"/>
        <v>0</v>
      </c>
      <c r="S84" s="198"/>
      <c r="T84" s="199"/>
      <c r="U84" s="243"/>
      <c r="V84" s="243"/>
      <c r="W84" s="243"/>
      <c r="BA84"/>
      <c r="BB84"/>
    </row>
    <row r="85" spans="1:54" s="188" customFormat="1" ht="13.5">
      <c r="A85" s="223"/>
      <c r="B85" s="306"/>
      <c r="C85" s="180" t="str">
        <f>IFERROR(IF(VLOOKUP($B85,勘定科目!$A:$H,HLOOKUP($E$5,勘定科目!$F$1:$H$2,2,0),0)="","",VLOOKUP($B85,勘定科目!$A:$E,2,0)),"")</f>
        <v/>
      </c>
      <c r="D85" s="236" t="str">
        <f>IF(C85="","",VLOOKUP($B85,勘定科目!$A:$E,4,0))</f>
        <v/>
      </c>
      <c r="E85" s="242"/>
      <c r="F85" s="191"/>
      <c r="G85" s="244"/>
      <c r="H85" s="244"/>
      <c r="I85" s="244"/>
      <c r="J85" s="244"/>
      <c r="K85" s="244"/>
      <c r="L85" s="244"/>
      <c r="M85" s="244"/>
      <c r="N85" s="244"/>
      <c r="O85" s="244"/>
      <c r="P85" s="244"/>
      <c r="Q85" s="244"/>
      <c r="R85" s="197">
        <f t="shared" si="3"/>
        <v>0</v>
      </c>
      <c r="S85" s="198"/>
      <c r="T85" s="199"/>
      <c r="U85" s="243"/>
      <c r="V85" s="243"/>
      <c r="W85" s="243"/>
      <c r="BA85"/>
      <c r="BB85"/>
    </row>
    <row r="86" spans="1:54" s="188" customFormat="1" ht="13.5">
      <c r="A86" s="223"/>
      <c r="B86" s="306"/>
      <c r="C86" s="180" t="str">
        <f>IFERROR(IF(VLOOKUP($B86,勘定科目!$A:$H,HLOOKUP($E$5,勘定科目!$F$1:$H$2,2,0),0)="","",VLOOKUP($B86,勘定科目!$A:$E,2,0)),"")</f>
        <v/>
      </c>
      <c r="D86" s="236" t="str">
        <f>IF(C86="","",VLOOKUP($B86,勘定科目!$A:$E,4,0))</f>
        <v/>
      </c>
      <c r="E86" s="242"/>
      <c r="F86" s="191"/>
      <c r="G86" s="244"/>
      <c r="H86" s="244"/>
      <c r="I86" s="244"/>
      <c r="J86" s="244"/>
      <c r="K86" s="244"/>
      <c r="L86" s="244"/>
      <c r="M86" s="244"/>
      <c r="N86" s="244"/>
      <c r="O86" s="244"/>
      <c r="P86" s="244"/>
      <c r="Q86" s="244"/>
      <c r="R86" s="197">
        <f t="shared" si="3"/>
        <v>0</v>
      </c>
      <c r="S86" s="198"/>
      <c r="T86" s="199"/>
      <c r="U86" s="243"/>
      <c r="V86" s="243"/>
      <c r="W86" s="243"/>
      <c r="BA86"/>
      <c r="BB86"/>
    </row>
    <row r="87" spans="1:54" s="188" customFormat="1" ht="13.5">
      <c r="A87" s="223"/>
      <c r="B87" s="306"/>
      <c r="C87" s="180" t="str">
        <f>IFERROR(IF(VLOOKUP($B87,勘定科目!$A:$H,HLOOKUP($E$5,勘定科目!$F$1:$H$2,2,0),0)="","",VLOOKUP($B87,勘定科目!$A:$E,2,0)),"")</f>
        <v/>
      </c>
      <c r="D87" s="236" t="str">
        <f>IF(C87="","",VLOOKUP($B87,勘定科目!$A:$E,4,0))</f>
        <v/>
      </c>
      <c r="E87" s="242"/>
      <c r="F87" s="191"/>
      <c r="G87" s="244"/>
      <c r="H87" s="244"/>
      <c r="I87" s="244"/>
      <c r="J87" s="244"/>
      <c r="K87" s="244"/>
      <c r="L87" s="244"/>
      <c r="M87" s="244"/>
      <c r="N87" s="244"/>
      <c r="O87" s="244"/>
      <c r="P87" s="244"/>
      <c r="Q87" s="244"/>
      <c r="R87" s="197">
        <f t="shared" si="3"/>
        <v>0</v>
      </c>
      <c r="S87" s="198"/>
      <c r="T87" s="199"/>
      <c r="U87" s="243"/>
      <c r="V87" s="243"/>
      <c r="W87" s="243"/>
      <c r="BA87"/>
      <c r="BB87"/>
    </row>
    <row r="88" spans="1:54" s="188" customFormat="1" ht="13.5">
      <c r="A88" s="223"/>
      <c r="B88" s="306"/>
      <c r="C88" s="180" t="str">
        <f>IFERROR(IF(VLOOKUP($B88,勘定科目!$A:$H,HLOOKUP($E$5,勘定科目!$F$1:$H$2,2,0),0)="","",VLOOKUP($B88,勘定科目!$A:$E,2,0)),"")</f>
        <v/>
      </c>
      <c r="D88" s="236" t="str">
        <f>IF(C88="","",VLOOKUP($B88,勘定科目!$A:$E,4,0))</f>
        <v/>
      </c>
      <c r="E88" s="242"/>
      <c r="F88" s="191"/>
      <c r="G88" s="244"/>
      <c r="H88" s="244"/>
      <c r="I88" s="244"/>
      <c r="J88" s="244"/>
      <c r="K88" s="244"/>
      <c r="L88" s="244"/>
      <c r="M88" s="244"/>
      <c r="N88" s="244"/>
      <c r="O88" s="244"/>
      <c r="P88" s="244"/>
      <c r="Q88" s="244"/>
      <c r="R88" s="197">
        <f t="shared" si="3"/>
        <v>0</v>
      </c>
      <c r="S88" s="198"/>
      <c r="T88" s="199"/>
      <c r="U88" s="243"/>
      <c r="V88" s="243"/>
      <c r="W88" s="243"/>
      <c r="BA88"/>
      <c r="BB88"/>
    </row>
    <row r="89" spans="1:54" s="188" customFormat="1" ht="13.5">
      <c r="A89" s="223"/>
      <c r="B89" s="306"/>
      <c r="C89" s="180" t="str">
        <f>IFERROR(IF(VLOOKUP($B89,勘定科目!$A:$H,HLOOKUP($E$5,勘定科目!$F$1:$H$2,2,0),0)="","",VLOOKUP($B89,勘定科目!$A:$E,2,0)),"")</f>
        <v/>
      </c>
      <c r="D89" s="236" t="str">
        <f>IF(C89="","",VLOOKUP($B89,勘定科目!$A:$E,4,0))</f>
        <v/>
      </c>
      <c r="E89" s="242"/>
      <c r="F89" s="191"/>
      <c r="G89" s="244"/>
      <c r="H89" s="244"/>
      <c r="I89" s="244"/>
      <c r="J89" s="244"/>
      <c r="K89" s="244"/>
      <c r="L89" s="244"/>
      <c r="M89" s="244"/>
      <c r="N89" s="244"/>
      <c r="O89" s="244"/>
      <c r="P89" s="244"/>
      <c r="Q89" s="244"/>
      <c r="R89" s="197">
        <f t="shared" si="3"/>
        <v>0</v>
      </c>
      <c r="S89" s="198"/>
      <c r="T89" s="199"/>
      <c r="U89" s="243"/>
      <c r="V89" s="243"/>
      <c r="W89" s="243"/>
      <c r="BA89"/>
      <c r="BB89"/>
    </row>
    <row r="90" spans="1:54" s="188" customFormat="1" ht="13.5">
      <c r="A90" s="223"/>
      <c r="B90" s="306"/>
      <c r="C90" s="180" t="str">
        <f>IFERROR(IF(VLOOKUP($B90,勘定科目!$A:$H,HLOOKUP($E$5,勘定科目!$F$1:$H$2,2,0),0)="","",VLOOKUP($B90,勘定科目!$A:$E,2,0)),"")</f>
        <v/>
      </c>
      <c r="D90" s="236" t="str">
        <f>IF(C90="","",VLOOKUP($B90,勘定科目!$A:$E,4,0))</f>
        <v/>
      </c>
      <c r="E90" s="242"/>
      <c r="F90" s="191"/>
      <c r="G90" s="244"/>
      <c r="H90" s="244"/>
      <c r="I90" s="244"/>
      <c r="J90" s="244"/>
      <c r="K90" s="244"/>
      <c r="L90" s="244"/>
      <c r="M90" s="244"/>
      <c r="N90" s="244"/>
      <c r="O90" s="244"/>
      <c r="P90" s="244"/>
      <c r="Q90" s="244"/>
      <c r="R90" s="197">
        <f t="shared" si="3"/>
        <v>0</v>
      </c>
      <c r="S90" s="198"/>
      <c r="T90" s="199"/>
      <c r="U90" s="243"/>
      <c r="V90" s="243"/>
      <c r="W90" s="243"/>
      <c r="BA90"/>
      <c r="BB90"/>
    </row>
    <row r="91" spans="1:54" s="188" customFormat="1" ht="13.5">
      <c r="A91" s="223"/>
      <c r="B91" s="306"/>
      <c r="C91" s="180" t="str">
        <f>IFERROR(IF(VLOOKUP($B91,勘定科目!$A:$H,HLOOKUP($E$5,勘定科目!$F$1:$H$2,2,0),0)="","",VLOOKUP($B91,勘定科目!$A:$E,2,0)),"")</f>
        <v/>
      </c>
      <c r="D91" s="236" t="str">
        <f>IF(C91="","",VLOOKUP($B91,勘定科目!$A:$E,4,0))</f>
        <v/>
      </c>
      <c r="E91" s="242"/>
      <c r="F91" s="191"/>
      <c r="G91" s="244"/>
      <c r="H91" s="244"/>
      <c r="I91" s="244"/>
      <c r="J91" s="244"/>
      <c r="K91" s="244"/>
      <c r="L91" s="244"/>
      <c r="M91" s="244"/>
      <c r="N91" s="244"/>
      <c r="O91" s="244"/>
      <c r="P91" s="244"/>
      <c r="Q91" s="244"/>
      <c r="R91" s="197">
        <f t="shared" si="3"/>
        <v>0</v>
      </c>
      <c r="S91" s="198"/>
      <c r="T91" s="199"/>
      <c r="U91" s="243"/>
      <c r="V91" s="243"/>
      <c r="W91" s="243"/>
      <c r="BA91"/>
      <c r="BB91"/>
    </row>
    <row r="92" spans="1:54" s="188" customFormat="1" ht="13.5">
      <c r="A92" s="223"/>
      <c r="B92" s="306"/>
      <c r="C92" s="180" t="str">
        <f>IFERROR(IF(VLOOKUP($B92,勘定科目!$A:$H,HLOOKUP($E$5,勘定科目!$F$1:$H$2,2,0),0)="","",VLOOKUP($B92,勘定科目!$A:$E,2,0)),"")</f>
        <v/>
      </c>
      <c r="D92" s="236" t="str">
        <f>IF(C92="","",VLOOKUP($B92,勘定科目!$A:$E,4,0))</f>
        <v/>
      </c>
      <c r="E92" s="242"/>
      <c r="F92" s="191"/>
      <c r="G92" s="244"/>
      <c r="H92" s="244"/>
      <c r="I92" s="244"/>
      <c r="J92" s="244"/>
      <c r="K92" s="244"/>
      <c r="L92" s="244"/>
      <c r="M92" s="244"/>
      <c r="N92" s="244"/>
      <c r="O92" s="244"/>
      <c r="P92" s="244"/>
      <c r="Q92" s="244"/>
      <c r="R92" s="197">
        <f t="shared" si="3"/>
        <v>0</v>
      </c>
      <c r="S92" s="198"/>
      <c r="T92" s="199"/>
      <c r="U92" s="243"/>
      <c r="V92" s="243"/>
      <c r="W92" s="243"/>
      <c r="BA92"/>
      <c r="BB92"/>
    </row>
    <row r="93" spans="1:54" s="188" customFormat="1" ht="13.5">
      <c r="A93" s="223"/>
      <c r="B93" s="306"/>
      <c r="C93" s="180" t="str">
        <f>IFERROR(IF(VLOOKUP($B93,勘定科目!$A:$H,HLOOKUP($E$5,勘定科目!$F$1:$H$2,2,0),0)="","",VLOOKUP($B93,勘定科目!$A:$E,2,0)),"")</f>
        <v/>
      </c>
      <c r="D93" s="236" t="str">
        <f>IF(C93="","",VLOOKUP($B93,勘定科目!$A:$E,4,0))</f>
        <v/>
      </c>
      <c r="E93" s="242"/>
      <c r="F93" s="191"/>
      <c r="G93" s="244"/>
      <c r="H93" s="244"/>
      <c r="I93" s="244"/>
      <c r="J93" s="244"/>
      <c r="K93" s="244"/>
      <c r="L93" s="244"/>
      <c r="M93" s="244"/>
      <c r="N93" s="244"/>
      <c r="O93" s="244"/>
      <c r="P93" s="244"/>
      <c r="Q93" s="244"/>
      <c r="R93" s="197">
        <f t="shared" si="3"/>
        <v>0</v>
      </c>
      <c r="S93" s="198"/>
      <c r="T93" s="199"/>
      <c r="U93" s="243"/>
      <c r="V93" s="243"/>
      <c r="W93" s="243"/>
      <c r="BA93"/>
      <c r="BB93"/>
    </row>
    <row r="94" spans="1:54" s="188" customFormat="1" ht="13.5">
      <c r="A94" s="223"/>
      <c r="B94" s="306"/>
      <c r="C94" s="180" t="str">
        <f>IFERROR(IF(VLOOKUP($B94,勘定科目!$A:$H,HLOOKUP($E$5,勘定科目!$F$1:$H$2,2,0),0)="","",VLOOKUP($B94,勘定科目!$A:$E,2,0)),"")</f>
        <v/>
      </c>
      <c r="D94" s="236" t="str">
        <f>IF(C94="","",VLOOKUP($B94,勘定科目!$A:$E,4,0))</f>
        <v/>
      </c>
      <c r="E94" s="242"/>
      <c r="F94" s="191"/>
      <c r="G94" s="244"/>
      <c r="H94" s="244"/>
      <c r="I94" s="244"/>
      <c r="J94" s="244"/>
      <c r="K94" s="244"/>
      <c r="L94" s="244"/>
      <c r="M94" s="244"/>
      <c r="N94" s="244"/>
      <c r="O94" s="244"/>
      <c r="P94" s="244"/>
      <c r="Q94" s="244"/>
      <c r="R94" s="197">
        <f t="shared" si="3"/>
        <v>0</v>
      </c>
      <c r="S94" s="198"/>
      <c r="T94" s="199"/>
      <c r="U94" s="243"/>
      <c r="V94" s="243"/>
      <c r="W94" s="243"/>
      <c r="BA94"/>
      <c r="BB94"/>
    </row>
    <row r="95" spans="1:54" s="188" customFormat="1" ht="13.5">
      <c r="A95" s="223"/>
      <c r="B95" s="306"/>
      <c r="C95" s="180" t="str">
        <f>IFERROR(IF(VLOOKUP($B95,勘定科目!$A:$H,HLOOKUP($E$5,勘定科目!$F$1:$H$2,2,0),0)="","",VLOOKUP($B95,勘定科目!$A:$E,2,0)),"")</f>
        <v/>
      </c>
      <c r="D95" s="236" t="str">
        <f>IF(C95="","",VLOOKUP($B95,勘定科目!$A:$E,4,0))</f>
        <v/>
      </c>
      <c r="E95" s="242"/>
      <c r="F95" s="191"/>
      <c r="G95" s="244"/>
      <c r="H95" s="244"/>
      <c r="I95" s="244"/>
      <c r="J95" s="244"/>
      <c r="K95" s="244"/>
      <c r="L95" s="244"/>
      <c r="M95" s="244"/>
      <c r="N95" s="244"/>
      <c r="O95" s="244"/>
      <c r="P95" s="244"/>
      <c r="Q95" s="244"/>
      <c r="R95" s="197">
        <f t="shared" si="3"/>
        <v>0</v>
      </c>
      <c r="S95" s="198"/>
      <c r="T95" s="199"/>
      <c r="U95" s="243"/>
      <c r="V95" s="243"/>
      <c r="W95" s="243"/>
      <c r="BA95"/>
      <c r="BB95"/>
    </row>
    <row r="96" spans="1:54" s="188" customFormat="1" ht="13.5">
      <c r="A96" s="223"/>
      <c r="B96" s="306"/>
      <c r="C96" s="180" t="str">
        <f>IFERROR(IF(VLOOKUP($B96,勘定科目!$A:$H,HLOOKUP($E$5,勘定科目!$F$1:$H$2,2,0),0)="","",VLOOKUP($B96,勘定科目!$A:$E,2,0)),"")</f>
        <v/>
      </c>
      <c r="D96" s="236" t="str">
        <f>IF(C96="","",VLOOKUP($B96,勘定科目!$A:$E,4,0))</f>
        <v/>
      </c>
      <c r="E96" s="242"/>
      <c r="F96" s="191"/>
      <c r="G96" s="244"/>
      <c r="H96" s="244"/>
      <c r="I96" s="244"/>
      <c r="J96" s="244"/>
      <c r="K96" s="244"/>
      <c r="L96" s="244"/>
      <c r="M96" s="244"/>
      <c r="N96" s="244"/>
      <c r="O96" s="244"/>
      <c r="P96" s="244"/>
      <c r="Q96" s="244"/>
      <c r="R96" s="197">
        <f t="shared" si="3"/>
        <v>0</v>
      </c>
      <c r="S96" s="198"/>
      <c r="T96" s="199"/>
      <c r="U96" s="243"/>
      <c r="V96" s="243"/>
      <c r="W96" s="243"/>
      <c r="BA96"/>
      <c r="BB96"/>
    </row>
    <row r="97" spans="1:54" s="188" customFormat="1" ht="13.5">
      <c r="A97" s="223"/>
      <c r="B97" s="306"/>
      <c r="C97" s="180" t="str">
        <f>IFERROR(IF(VLOOKUP($B97,勘定科目!$A:$H,HLOOKUP($E$5,勘定科目!$F$1:$H$2,2,0),0)="","",VLOOKUP($B97,勘定科目!$A:$E,2,0)),"")</f>
        <v/>
      </c>
      <c r="D97" s="236" t="str">
        <f>IF(C97="","",VLOOKUP($B97,勘定科目!$A:$E,4,0))</f>
        <v/>
      </c>
      <c r="E97" s="242"/>
      <c r="F97" s="191"/>
      <c r="G97" s="244"/>
      <c r="H97" s="244"/>
      <c r="I97" s="244"/>
      <c r="J97" s="244"/>
      <c r="K97" s="244"/>
      <c r="L97" s="244"/>
      <c r="M97" s="244"/>
      <c r="N97" s="244"/>
      <c r="O97" s="244"/>
      <c r="P97" s="244"/>
      <c r="Q97" s="244"/>
      <c r="R97" s="197">
        <f t="shared" si="3"/>
        <v>0</v>
      </c>
      <c r="S97" s="198"/>
      <c r="T97" s="199"/>
      <c r="U97" s="243"/>
      <c r="V97" s="243"/>
      <c r="W97" s="243"/>
      <c r="BA97"/>
      <c r="BB97"/>
    </row>
    <row r="98" spans="1:54" s="188" customFormat="1" ht="13.5">
      <c r="A98" s="223"/>
      <c r="B98" s="177"/>
      <c r="C98" s="180" t="str">
        <f>IFERROR(IF(VLOOKUP($B98,勘定科目!$A:$H,HLOOKUP($E$5,勘定科目!$F$1:$H$2,2,0),0)="","",VLOOKUP($B98,勘定科目!$A:$E,2,0)),"")</f>
        <v/>
      </c>
      <c r="D98" s="236" t="str">
        <f>IF(C98="","",VLOOKUP($B98,勘定科目!$A:$E,4,0))</f>
        <v/>
      </c>
      <c r="E98" s="242"/>
      <c r="F98" s="191"/>
      <c r="G98" s="244"/>
      <c r="H98" s="244"/>
      <c r="I98" s="244"/>
      <c r="J98" s="244"/>
      <c r="K98" s="244"/>
      <c r="L98" s="244"/>
      <c r="M98" s="244"/>
      <c r="N98" s="244"/>
      <c r="O98" s="244"/>
      <c r="P98" s="244"/>
      <c r="Q98" s="244"/>
      <c r="R98" s="197">
        <f t="shared" si="3"/>
        <v>0</v>
      </c>
      <c r="S98" s="198"/>
      <c r="T98" s="199"/>
      <c r="U98" s="243"/>
      <c r="V98" s="243"/>
      <c r="W98" s="243"/>
      <c r="BA98"/>
      <c r="BB98"/>
    </row>
    <row r="99" spans="1:54" s="188" customFormat="1" ht="13.5">
      <c r="A99" s="223"/>
      <c r="B99" s="177"/>
      <c r="C99" s="180" t="str">
        <f>IFERROR(IF(VLOOKUP($B99,勘定科目!$A:$H,HLOOKUP($E$5,勘定科目!$F$1:$H$2,2,0),0)="","",VLOOKUP($B99,勘定科目!$A:$E,2,0)),"")</f>
        <v/>
      </c>
      <c r="D99" s="236" t="str">
        <f>IF(C99="","",VLOOKUP($B99,勘定科目!$A:$E,4,0))</f>
        <v/>
      </c>
      <c r="E99" s="242"/>
      <c r="F99" s="191"/>
      <c r="G99" s="244"/>
      <c r="H99" s="244"/>
      <c r="I99" s="244"/>
      <c r="J99" s="244"/>
      <c r="K99" s="244"/>
      <c r="L99" s="244"/>
      <c r="M99" s="244"/>
      <c r="N99" s="244"/>
      <c r="O99" s="244"/>
      <c r="P99" s="244"/>
      <c r="Q99" s="244"/>
      <c r="R99" s="197">
        <f t="shared" si="3"/>
        <v>0</v>
      </c>
      <c r="S99" s="198"/>
      <c r="T99" s="199"/>
      <c r="U99" s="243"/>
      <c r="V99" s="243"/>
      <c r="W99" s="243"/>
      <c r="BA99"/>
      <c r="BB99"/>
    </row>
    <row r="100" spans="1:54" s="188" customFormat="1" ht="13.5">
      <c r="A100" s="223"/>
      <c r="B100" s="177"/>
      <c r="C100" s="180" t="str">
        <f>IFERROR(IF(VLOOKUP($B100,勘定科目!$A:$H,HLOOKUP($E$5,勘定科目!$F$1:$H$2,2,0),0)="","",VLOOKUP($B100,勘定科目!$A:$E,2,0)),"")</f>
        <v/>
      </c>
      <c r="D100" s="236" t="str">
        <f>IF(C100="","",VLOOKUP($B100,勘定科目!$A:$E,4,0))</f>
        <v/>
      </c>
      <c r="E100" s="242"/>
      <c r="F100" s="191"/>
      <c r="G100" s="244"/>
      <c r="H100" s="244"/>
      <c r="I100" s="244"/>
      <c r="J100" s="244"/>
      <c r="K100" s="244"/>
      <c r="L100" s="244"/>
      <c r="M100" s="244"/>
      <c r="N100" s="244"/>
      <c r="O100" s="244"/>
      <c r="P100" s="244"/>
      <c r="Q100" s="244"/>
      <c r="R100" s="197">
        <f t="shared" si="3"/>
        <v>0</v>
      </c>
      <c r="S100" s="198"/>
      <c r="T100" s="199"/>
      <c r="U100" s="243"/>
      <c r="V100" s="243"/>
      <c r="W100" s="243"/>
      <c r="BA100"/>
      <c r="BB100"/>
    </row>
    <row r="101" spans="1:54" s="188" customFormat="1" ht="13.5">
      <c r="A101" s="223"/>
      <c r="B101" s="177"/>
      <c r="C101" s="180" t="str">
        <f>IFERROR(IF(VLOOKUP($B101,勘定科目!$A:$H,HLOOKUP($E$5,勘定科目!$F$1:$H$2,2,0),0)="","",VLOOKUP($B101,勘定科目!$A:$E,2,0)),"")</f>
        <v/>
      </c>
      <c r="D101" s="236" t="str">
        <f>IF(C101="","",VLOOKUP($B101,勘定科目!$A:$E,4,0))</f>
        <v/>
      </c>
      <c r="E101" s="242"/>
      <c r="F101" s="191"/>
      <c r="G101" s="244"/>
      <c r="H101" s="244"/>
      <c r="I101" s="244"/>
      <c r="J101" s="244"/>
      <c r="K101" s="244"/>
      <c r="L101" s="244"/>
      <c r="M101" s="244"/>
      <c r="N101" s="244"/>
      <c r="O101" s="244"/>
      <c r="P101" s="244"/>
      <c r="Q101" s="244"/>
      <c r="R101" s="197">
        <f t="shared" si="3"/>
        <v>0</v>
      </c>
      <c r="S101" s="198"/>
      <c r="T101" s="199"/>
      <c r="U101" s="243"/>
      <c r="V101" s="243"/>
      <c r="W101" s="243"/>
      <c r="BA101"/>
      <c r="BB101"/>
    </row>
    <row r="102" spans="1:54" s="188" customFormat="1" ht="13.5">
      <c r="A102" s="223"/>
      <c r="B102" s="177"/>
      <c r="C102" s="180" t="str">
        <f>IFERROR(IF(VLOOKUP($B102,勘定科目!$A:$H,HLOOKUP($E$5,勘定科目!$F$1:$H$2,2,0),0)="","",VLOOKUP($B102,勘定科目!$A:$E,2,0)),"")</f>
        <v/>
      </c>
      <c r="D102" s="236" t="str">
        <f>IF(C102="","",VLOOKUP($B102,勘定科目!$A:$E,4,0))</f>
        <v/>
      </c>
      <c r="E102" s="242"/>
      <c r="F102" s="191"/>
      <c r="G102" s="244"/>
      <c r="H102" s="244"/>
      <c r="I102" s="244"/>
      <c r="J102" s="244"/>
      <c r="K102" s="244"/>
      <c r="L102" s="244"/>
      <c r="M102" s="244"/>
      <c r="N102" s="244"/>
      <c r="O102" s="244"/>
      <c r="P102" s="244"/>
      <c r="Q102" s="244"/>
      <c r="R102" s="197">
        <f t="shared" si="3"/>
        <v>0</v>
      </c>
      <c r="S102" s="198"/>
      <c r="T102" s="199"/>
      <c r="U102" s="243"/>
      <c r="V102" s="243"/>
      <c r="W102" s="243"/>
      <c r="BA102"/>
      <c r="BB102"/>
    </row>
    <row r="103" spans="1:54" s="188" customFormat="1" ht="13.5">
      <c r="A103" s="223"/>
      <c r="B103" s="177"/>
      <c r="C103" s="180" t="str">
        <f>IFERROR(IF(VLOOKUP($B103,勘定科目!$A:$H,HLOOKUP($E$5,勘定科目!$F$1:$H$2,2,0),0)="","",VLOOKUP($B103,勘定科目!$A:$E,2,0)),"")</f>
        <v/>
      </c>
      <c r="D103" s="236" t="str">
        <f>IF(C103="","",VLOOKUP($B103,勘定科目!$A:$E,4,0))</f>
        <v/>
      </c>
      <c r="E103" s="242"/>
      <c r="F103" s="191"/>
      <c r="G103" s="244"/>
      <c r="H103" s="244"/>
      <c r="I103" s="244"/>
      <c r="J103" s="244"/>
      <c r="K103" s="244"/>
      <c r="L103" s="244"/>
      <c r="M103" s="244"/>
      <c r="N103" s="244"/>
      <c r="O103" s="244"/>
      <c r="P103" s="244"/>
      <c r="Q103" s="244"/>
      <c r="R103" s="197">
        <f t="shared" si="3"/>
        <v>0</v>
      </c>
      <c r="S103" s="198"/>
      <c r="T103" s="199"/>
      <c r="U103" s="243"/>
      <c r="V103" s="243"/>
      <c r="W103" s="243"/>
      <c r="BA103"/>
      <c r="BB103"/>
    </row>
    <row r="104" spans="1:54" s="188" customFormat="1" ht="13.5">
      <c r="A104" s="223"/>
      <c r="B104" s="177"/>
      <c r="C104" s="180" t="str">
        <f>IFERROR(IF(VLOOKUP($B104,勘定科目!$A:$H,HLOOKUP($E$5,勘定科目!$F$1:$H$2,2,0),0)="","",VLOOKUP($B104,勘定科目!$A:$E,2,0)),"")</f>
        <v/>
      </c>
      <c r="D104" s="236" t="str">
        <f>IF(C104="","",VLOOKUP($B104,勘定科目!$A:$E,4,0))</f>
        <v/>
      </c>
      <c r="E104" s="242"/>
      <c r="F104" s="191"/>
      <c r="G104" s="244"/>
      <c r="H104" s="244"/>
      <c r="I104" s="244"/>
      <c r="J104" s="244"/>
      <c r="K104" s="244"/>
      <c r="L104" s="244"/>
      <c r="M104" s="244"/>
      <c r="N104" s="244"/>
      <c r="O104" s="244"/>
      <c r="P104" s="244"/>
      <c r="Q104" s="244"/>
      <c r="R104" s="197">
        <f t="shared" si="3"/>
        <v>0</v>
      </c>
      <c r="S104" s="198"/>
      <c r="T104" s="199"/>
      <c r="U104" s="243"/>
      <c r="V104" s="243"/>
      <c r="W104" s="243"/>
      <c r="BA104"/>
      <c r="BB104"/>
    </row>
    <row r="105" spans="1:54" s="188" customFormat="1" ht="13.5">
      <c r="A105" s="223"/>
      <c r="B105" s="177"/>
      <c r="C105" s="180" t="str">
        <f>IFERROR(IF(VLOOKUP($B105,勘定科目!$A:$H,HLOOKUP($E$5,勘定科目!$F$1:$H$2,2,0),0)="","",VLOOKUP($B105,勘定科目!$A:$E,2,0)),"")</f>
        <v/>
      </c>
      <c r="D105" s="236" t="str">
        <f>IF(C105="","",VLOOKUP($B105,勘定科目!$A:$E,4,0))</f>
        <v/>
      </c>
      <c r="E105" s="242"/>
      <c r="F105" s="191"/>
      <c r="G105" s="244"/>
      <c r="H105" s="244"/>
      <c r="I105" s="244"/>
      <c r="J105" s="244"/>
      <c r="K105" s="244"/>
      <c r="L105" s="244"/>
      <c r="M105" s="244"/>
      <c r="N105" s="244"/>
      <c r="O105" s="244"/>
      <c r="P105" s="244"/>
      <c r="Q105" s="244"/>
      <c r="R105" s="197">
        <f t="shared" si="3"/>
        <v>0</v>
      </c>
      <c r="S105" s="198"/>
      <c r="T105" s="199"/>
      <c r="U105" s="243"/>
      <c r="V105" s="243"/>
      <c r="W105" s="243"/>
      <c r="BA105"/>
      <c r="BB105"/>
    </row>
    <row r="106" spans="1:54" s="188" customFormat="1" ht="13.5">
      <c r="A106" s="223"/>
      <c r="B106" s="177"/>
      <c r="C106" s="180" t="str">
        <f>IFERROR(IF(VLOOKUP($B106,勘定科目!$A:$H,HLOOKUP($E$5,勘定科目!$F$1:$H$2,2,0),0)="","",VLOOKUP($B106,勘定科目!$A:$E,2,0)),"")</f>
        <v/>
      </c>
      <c r="D106" s="236" t="str">
        <f>IF(C106="","",VLOOKUP($B106,勘定科目!$A:$E,4,0))</f>
        <v/>
      </c>
      <c r="E106" s="242"/>
      <c r="F106" s="191"/>
      <c r="G106" s="244"/>
      <c r="H106" s="244"/>
      <c r="I106" s="244"/>
      <c r="J106" s="244"/>
      <c r="K106" s="244"/>
      <c r="L106" s="244"/>
      <c r="M106" s="244"/>
      <c r="N106" s="244"/>
      <c r="O106" s="244"/>
      <c r="P106" s="244"/>
      <c r="Q106" s="244"/>
      <c r="R106" s="197">
        <f t="shared" si="3"/>
        <v>0</v>
      </c>
      <c r="S106" s="198"/>
      <c r="T106" s="199"/>
      <c r="U106" s="243"/>
      <c r="V106" s="243"/>
      <c r="W106" s="243"/>
      <c r="BA106"/>
      <c r="BB106"/>
    </row>
    <row r="107" spans="1:54" s="188" customFormat="1" ht="13.5">
      <c r="A107" s="223"/>
      <c r="B107" s="177"/>
      <c r="C107" s="180" t="str">
        <f>IFERROR(IF(VLOOKUP($B107,勘定科目!$A:$H,HLOOKUP($E$5,勘定科目!$F$1:$H$2,2,0),0)="","",VLOOKUP($B107,勘定科目!$A:$E,2,0)),"")</f>
        <v/>
      </c>
      <c r="D107" s="236" t="str">
        <f>IF(C107="","",VLOOKUP($B107,勘定科目!$A:$E,4,0))</f>
        <v/>
      </c>
      <c r="E107" s="242"/>
      <c r="F107" s="191"/>
      <c r="G107" s="244"/>
      <c r="H107" s="244"/>
      <c r="I107" s="244"/>
      <c r="J107" s="244"/>
      <c r="K107" s="244"/>
      <c r="L107" s="244"/>
      <c r="M107" s="244"/>
      <c r="N107" s="244"/>
      <c r="O107" s="244"/>
      <c r="P107" s="244"/>
      <c r="Q107" s="244"/>
      <c r="R107" s="197">
        <f t="shared" si="3"/>
        <v>0</v>
      </c>
      <c r="S107" s="198"/>
      <c r="T107" s="199"/>
      <c r="U107" s="243"/>
      <c r="V107" s="243"/>
      <c r="W107" s="243"/>
      <c r="BA107"/>
      <c r="BB107"/>
    </row>
    <row r="108" spans="1:54" s="188" customFormat="1" ht="13.5">
      <c r="A108" s="223"/>
      <c r="B108" s="177"/>
      <c r="C108" s="180" t="str">
        <f>IFERROR(IF(VLOOKUP($B108,勘定科目!$A:$H,HLOOKUP($E$5,勘定科目!$F$1:$H$2,2,0),0)="","",VLOOKUP($B108,勘定科目!$A:$E,2,0)),"")</f>
        <v/>
      </c>
      <c r="D108" s="236" t="str">
        <f>IF(C108="","",VLOOKUP($B108,勘定科目!$A:$E,4,0))</f>
        <v/>
      </c>
      <c r="E108" s="242"/>
      <c r="F108" s="191"/>
      <c r="G108" s="244"/>
      <c r="H108" s="244"/>
      <c r="I108" s="244"/>
      <c r="J108" s="244"/>
      <c r="K108" s="244"/>
      <c r="L108" s="244"/>
      <c r="M108" s="244"/>
      <c r="N108" s="244"/>
      <c r="O108" s="244"/>
      <c r="P108" s="244"/>
      <c r="Q108" s="244"/>
      <c r="R108" s="197">
        <f t="shared" si="3"/>
        <v>0</v>
      </c>
      <c r="S108" s="198"/>
      <c r="T108" s="199"/>
      <c r="U108" s="243"/>
      <c r="V108" s="243"/>
      <c r="W108" s="243"/>
      <c r="BA108"/>
      <c r="BB108"/>
    </row>
    <row r="109" spans="1:54" s="188" customFormat="1" ht="13.5">
      <c r="A109" s="223"/>
      <c r="B109" s="177"/>
      <c r="C109" s="180" t="str">
        <f>IFERROR(IF(VLOOKUP($B109,勘定科目!$A:$H,HLOOKUP($E$5,勘定科目!$F$1:$H$2,2,0),0)="","",VLOOKUP($B109,勘定科目!$A:$E,2,0)),"")</f>
        <v/>
      </c>
      <c r="D109" s="236" t="str">
        <f>IF(C109="","",VLOOKUP($B109,勘定科目!$A:$E,4,0))</f>
        <v/>
      </c>
      <c r="E109" s="242"/>
      <c r="F109" s="191"/>
      <c r="G109" s="244"/>
      <c r="H109" s="244"/>
      <c r="I109" s="244"/>
      <c r="J109" s="244"/>
      <c r="K109" s="244"/>
      <c r="L109" s="244"/>
      <c r="M109" s="244"/>
      <c r="N109" s="244"/>
      <c r="O109" s="244"/>
      <c r="P109" s="244"/>
      <c r="Q109" s="244"/>
      <c r="R109" s="197">
        <f t="shared" si="3"/>
        <v>0</v>
      </c>
      <c r="S109" s="198"/>
      <c r="T109" s="199"/>
      <c r="U109" s="243"/>
      <c r="V109" s="243"/>
      <c r="W109" s="243"/>
      <c r="BA109"/>
      <c r="BB109"/>
    </row>
    <row r="110" spans="1:54" s="188" customFormat="1" ht="13.5">
      <c r="A110" s="223"/>
      <c r="B110" s="177"/>
      <c r="C110" s="180" t="str">
        <f>IFERROR(IF(VLOOKUP($B110,勘定科目!$A:$H,HLOOKUP($E$5,勘定科目!$F$1:$H$2,2,0),0)="","",VLOOKUP($B110,勘定科目!$A:$E,2,0)),"")</f>
        <v/>
      </c>
      <c r="D110" s="236" t="str">
        <f>IF(C110="","",VLOOKUP($B110,勘定科目!$A:$E,4,0))</f>
        <v/>
      </c>
      <c r="E110" s="242"/>
      <c r="F110" s="191"/>
      <c r="G110" s="244"/>
      <c r="H110" s="244"/>
      <c r="I110" s="244"/>
      <c r="J110" s="244"/>
      <c r="K110" s="244"/>
      <c r="L110" s="244"/>
      <c r="M110" s="244"/>
      <c r="N110" s="244"/>
      <c r="O110" s="244"/>
      <c r="P110" s="244"/>
      <c r="Q110" s="244"/>
      <c r="R110" s="197">
        <f t="shared" si="3"/>
        <v>0</v>
      </c>
      <c r="S110" s="198"/>
      <c r="T110" s="199"/>
      <c r="U110" s="243"/>
      <c r="V110" s="243"/>
      <c r="W110" s="243"/>
      <c r="BA110"/>
      <c r="BB110"/>
    </row>
    <row r="111" spans="1:54" s="188" customFormat="1" ht="13.5">
      <c r="A111" s="223"/>
      <c r="B111" s="177"/>
      <c r="C111" s="180" t="str">
        <f>IFERROR(IF(VLOOKUP($B111,勘定科目!$A:$H,HLOOKUP($E$5,勘定科目!$F$1:$H$2,2,0),0)="","",VLOOKUP($B111,勘定科目!$A:$E,2,0)),"")</f>
        <v/>
      </c>
      <c r="D111" s="236" t="str">
        <f>IF(C111="","",VLOOKUP($B111,勘定科目!$A:$E,4,0))</f>
        <v/>
      </c>
      <c r="E111" s="242"/>
      <c r="F111" s="191"/>
      <c r="G111" s="244"/>
      <c r="H111" s="244"/>
      <c r="I111" s="244"/>
      <c r="J111" s="244"/>
      <c r="K111" s="244"/>
      <c r="L111" s="244"/>
      <c r="M111" s="244"/>
      <c r="N111" s="244"/>
      <c r="O111" s="244"/>
      <c r="P111" s="244"/>
      <c r="Q111" s="244"/>
      <c r="R111" s="197">
        <f t="shared" si="3"/>
        <v>0</v>
      </c>
      <c r="S111" s="198"/>
      <c r="T111" s="199"/>
      <c r="U111" s="243"/>
      <c r="V111" s="243"/>
      <c r="W111" s="243"/>
      <c r="BA111"/>
      <c r="BB111"/>
    </row>
    <row r="112" spans="1:54" s="188" customFormat="1" ht="13.5">
      <c r="A112" s="223"/>
      <c r="B112" s="177"/>
      <c r="C112" s="180" t="str">
        <f>IFERROR(IF(VLOOKUP($B112,勘定科目!$A:$H,HLOOKUP($E$5,勘定科目!$F$1:$H$2,2,0),0)="","",VLOOKUP($B112,勘定科目!$A:$E,2,0)),"")</f>
        <v/>
      </c>
      <c r="D112" s="236" t="str">
        <f>IF(C112="","",VLOOKUP($B112,勘定科目!$A:$E,4,0))</f>
        <v/>
      </c>
      <c r="E112" s="242"/>
      <c r="F112" s="191"/>
      <c r="G112" s="244"/>
      <c r="H112" s="244"/>
      <c r="I112" s="244"/>
      <c r="J112" s="244"/>
      <c r="K112" s="244"/>
      <c r="L112" s="244"/>
      <c r="M112" s="244"/>
      <c r="N112" s="244"/>
      <c r="O112" s="244"/>
      <c r="P112" s="244"/>
      <c r="Q112" s="244"/>
      <c r="R112" s="197">
        <f t="shared" si="3"/>
        <v>0</v>
      </c>
      <c r="S112" s="198"/>
      <c r="T112" s="199"/>
      <c r="U112" s="243"/>
      <c r="V112" s="243"/>
      <c r="W112" s="243"/>
      <c r="BA112"/>
      <c r="BB112"/>
    </row>
    <row r="113" spans="1:54" s="188" customFormat="1" ht="13.5">
      <c r="A113" s="223"/>
      <c r="B113" s="177"/>
      <c r="C113" s="180" t="str">
        <f>IFERROR(IF(VLOOKUP($B113,勘定科目!$A:$H,HLOOKUP($E$5,勘定科目!$F$1:$H$2,2,0),0)="","",VLOOKUP($B113,勘定科目!$A:$E,2,0)),"")</f>
        <v/>
      </c>
      <c r="D113" s="236" t="str">
        <f>IF(C113="","",VLOOKUP($B113,勘定科目!$A:$E,4,0))</f>
        <v/>
      </c>
      <c r="E113" s="242"/>
      <c r="F113" s="191"/>
      <c r="G113" s="244"/>
      <c r="H113" s="244"/>
      <c r="I113" s="244"/>
      <c r="J113" s="244"/>
      <c r="K113" s="244"/>
      <c r="L113" s="244"/>
      <c r="M113" s="244"/>
      <c r="N113" s="244"/>
      <c r="O113" s="244"/>
      <c r="P113" s="244"/>
      <c r="Q113" s="244"/>
      <c r="R113" s="197">
        <f t="shared" si="3"/>
        <v>0</v>
      </c>
      <c r="S113" s="198"/>
      <c r="T113" s="199"/>
      <c r="U113" s="243"/>
      <c r="V113" s="243"/>
      <c r="W113" s="243"/>
      <c r="BA113"/>
      <c r="BB113"/>
    </row>
    <row r="114" spans="1:54" s="188" customFormat="1" ht="13.5">
      <c r="A114" s="223"/>
      <c r="B114" s="177"/>
      <c r="C114" s="180" t="str">
        <f>IFERROR(IF(VLOOKUP($B114,勘定科目!$A:$H,HLOOKUP($E$5,勘定科目!$F$1:$H$2,2,0),0)="","",VLOOKUP($B114,勘定科目!$A:$E,2,0)),"")</f>
        <v/>
      </c>
      <c r="D114" s="236" t="str">
        <f>IF(C114="","",VLOOKUP($B114,勘定科目!$A:$E,4,0))</f>
        <v/>
      </c>
      <c r="E114" s="242"/>
      <c r="F114" s="191"/>
      <c r="G114" s="244"/>
      <c r="H114" s="244"/>
      <c r="I114" s="244"/>
      <c r="J114" s="244"/>
      <c r="K114" s="244"/>
      <c r="L114" s="244"/>
      <c r="M114" s="244"/>
      <c r="N114" s="244"/>
      <c r="O114" s="244"/>
      <c r="P114" s="244"/>
      <c r="Q114" s="244"/>
      <c r="R114" s="197">
        <f t="shared" si="3"/>
        <v>0</v>
      </c>
      <c r="S114" s="198"/>
      <c r="T114" s="199"/>
      <c r="U114" s="243"/>
      <c r="V114" s="243"/>
      <c r="W114" s="243"/>
      <c r="BA114"/>
      <c r="BB114"/>
    </row>
    <row r="115" spans="1:54" s="188" customFormat="1" ht="13.5">
      <c r="A115" s="223"/>
      <c r="B115" s="177"/>
      <c r="C115" s="180" t="str">
        <f>IFERROR(IF(VLOOKUP($B115,勘定科目!$A:$H,HLOOKUP($E$5,勘定科目!$F$1:$H$2,2,0),0)="","",VLOOKUP($B115,勘定科目!$A:$E,2,0)),"")</f>
        <v/>
      </c>
      <c r="D115" s="236" t="str">
        <f>IF(C115="","",VLOOKUP($B115,勘定科目!$A:$E,4,0))</f>
        <v/>
      </c>
      <c r="E115" s="242"/>
      <c r="F115" s="191"/>
      <c r="G115" s="244"/>
      <c r="H115" s="244"/>
      <c r="I115" s="244"/>
      <c r="J115" s="244"/>
      <c r="K115" s="244"/>
      <c r="L115" s="244"/>
      <c r="M115" s="244"/>
      <c r="N115" s="244"/>
      <c r="O115" s="244"/>
      <c r="P115" s="244"/>
      <c r="Q115" s="244"/>
      <c r="R115" s="197">
        <f t="shared" si="3"/>
        <v>0</v>
      </c>
      <c r="S115" s="198"/>
      <c r="T115" s="199"/>
      <c r="U115" s="243"/>
      <c r="V115" s="243"/>
      <c r="W115" s="243"/>
      <c r="BA115"/>
      <c r="BB115"/>
    </row>
    <row r="116" spans="1:54" s="188" customFormat="1" ht="13.5">
      <c r="A116" s="223"/>
      <c r="B116" s="177"/>
      <c r="C116" s="180" t="str">
        <f>IFERROR(IF(VLOOKUP($B116,勘定科目!$A:$H,HLOOKUP($E$5,勘定科目!$F$1:$H$2,2,0),0)="","",VLOOKUP($B116,勘定科目!$A:$E,2,0)),"")</f>
        <v/>
      </c>
      <c r="D116" s="236" t="str">
        <f>IF(C116="","",VLOOKUP($B116,勘定科目!$A:$E,4,0))</f>
        <v/>
      </c>
      <c r="E116" s="242"/>
      <c r="F116" s="191"/>
      <c r="G116" s="244"/>
      <c r="H116" s="244"/>
      <c r="I116" s="244"/>
      <c r="J116" s="244"/>
      <c r="K116" s="244"/>
      <c r="L116" s="244"/>
      <c r="M116" s="244"/>
      <c r="N116" s="244"/>
      <c r="O116" s="244"/>
      <c r="P116" s="244"/>
      <c r="Q116" s="244"/>
      <c r="R116" s="197">
        <f t="shared" si="3"/>
        <v>0</v>
      </c>
      <c r="S116" s="198"/>
      <c r="T116" s="199"/>
      <c r="U116" s="243"/>
      <c r="V116" s="243"/>
      <c r="W116" s="243"/>
      <c r="BA116"/>
      <c r="BB116"/>
    </row>
    <row r="117" spans="1:54" s="188" customFormat="1" ht="13.5">
      <c r="A117" s="223"/>
      <c r="B117" s="177"/>
      <c r="C117" s="180" t="str">
        <f>IFERROR(IF(VLOOKUP($B117,勘定科目!$A:$H,HLOOKUP($E$5,勘定科目!$F$1:$H$2,2,0),0)="","",VLOOKUP($B117,勘定科目!$A:$E,2,0)),"")</f>
        <v/>
      </c>
      <c r="D117" s="236" t="str">
        <f>IF(C117="","",VLOOKUP($B117,勘定科目!$A:$E,4,0))</f>
        <v/>
      </c>
      <c r="E117" s="242"/>
      <c r="F117" s="191"/>
      <c r="G117" s="244"/>
      <c r="H117" s="244"/>
      <c r="I117" s="244"/>
      <c r="J117" s="244"/>
      <c r="K117" s="244"/>
      <c r="L117" s="244"/>
      <c r="M117" s="244"/>
      <c r="N117" s="244"/>
      <c r="O117" s="244"/>
      <c r="P117" s="244"/>
      <c r="Q117" s="244"/>
      <c r="R117" s="197">
        <f t="shared" ref="R117:R180" si="13">SUM(F117:Q117)</f>
        <v>0</v>
      </c>
      <c r="S117" s="198"/>
      <c r="T117" s="199"/>
      <c r="U117" s="243"/>
      <c r="V117" s="243"/>
      <c r="W117" s="243"/>
      <c r="BA117"/>
      <c r="BB117"/>
    </row>
    <row r="118" spans="1:54" s="188" customFormat="1" ht="13.5">
      <c r="A118" s="223"/>
      <c r="B118" s="177"/>
      <c r="C118" s="180" t="str">
        <f>IFERROR(IF(VLOOKUP($B118,勘定科目!$A:$H,HLOOKUP($E$5,勘定科目!$F$1:$H$2,2,0),0)="","",VLOOKUP($B118,勘定科目!$A:$E,2,0)),"")</f>
        <v/>
      </c>
      <c r="D118" s="236" t="str">
        <f>IF(C118="","",VLOOKUP($B118,勘定科目!$A:$E,4,0))</f>
        <v/>
      </c>
      <c r="E118" s="242"/>
      <c r="F118" s="191"/>
      <c r="G118" s="244"/>
      <c r="H118" s="244"/>
      <c r="I118" s="244"/>
      <c r="J118" s="244"/>
      <c r="K118" s="244"/>
      <c r="L118" s="244"/>
      <c r="M118" s="244"/>
      <c r="N118" s="244"/>
      <c r="O118" s="244"/>
      <c r="P118" s="244"/>
      <c r="Q118" s="244"/>
      <c r="R118" s="197">
        <f t="shared" si="13"/>
        <v>0</v>
      </c>
      <c r="S118" s="198"/>
      <c r="T118" s="199"/>
      <c r="U118" s="243"/>
      <c r="V118" s="243"/>
      <c r="W118" s="243"/>
      <c r="BA118"/>
      <c r="BB118"/>
    </row>
    <row r="119" spans="1:54" s="188" customFormat="1" ht="13.5">
      <c r="A119" s="223"/>
      <c r="B119" s="177"/>
      <c r="C119" s="180" t="str">
        <f>IFERROR(IF(VLOOKUP($B119,勘定科目!$A:$H,HLOOKUP($E$5,勘定科目!$F$1:$H$2,2,0),0)="","",VLOOKUP($B119,勘定科目!$A:$E,2,0)),"")</f>
        <v/>
      </c>
      <c r="D119" s="236" t="str">
        <f>IF(C119="","",VLOOKUP($B119,勘定科目!$A:$E,4,0))</f>
        <v/>
      </c>
      <c r="E119" s="242"/>
      <c r="F119" s="191"/>
      <c r="G119" s="244"/>
      <c r="H119" s="244"/>
      <c r="I119" s="244"/>
      <c r="J119" s="244"/>
      <c r="K119" s="244"/>
      <c r="L119" s="244"/>
      <c r="M119" s="244"/>
      <c r="N119" s="244"/>
      <c r="O119" s="244"/>
      <c r="P119" s="244"/>
      <c r="Q119" s="244"/>
      <c r="R119" s="197">
        <f t="shared" si="13"/>
        <v>0</v>
      </c>
      <c r="S119" s="198"/>
      <c r="T119" s="199"/>
      <c r="U119" s="243"/>
      <c r="V119" s="243"/>
      <c r="W119" s="243"/>
      <c r="BA119"/>
      <c r="BB119"/>
    </row>
    <row r="120" spans="1:54" s="188" customFormat="1" ht="13.5">
      <c r="A120" s="223"/>
      <c r="B120" s="177"/>
      <c r="C120" s="180" t="str">
        <f>IFERROR(IF(VLOOKUP($B120,勘定科目!$A:$H,HLOOKUP($E$5,勘定科目!$F$1:$H$2,2,0),0)="","",VLOOKUP($B120,勘定科目!$A:$E,2,0)),"")</f>
        <v/>
      </c>
      <c r="D120" s="236" t="str">
        <f>IF(C120="","",VLOOKUP($B120,勘定科目!$A:$E,4,0))</f>
        <v/>
      </c>
      <c r="E120" s="242"/>
      <c r="F120" s="191"/>
      <c r="G120" s="244"/>
      <c r="H120" s="244"/>
      <c r="I120" s="244"/>
      <c r="J120" s="244"/>
      <c r="K120" s="244"/>
      <c r="L120" s="244"/>
      <c r="M120" s="244"/>
      <c r="N120" s="244"/>
      <c r="O120" s="244"/>
      <c r="P120" s="244"/>
      <c r="Q120" s="244"/>
      <c r="R120" s="197">
        <f t="shared" si="13"/>
        <v>0</v>
      </c>
      <c r="S120" s="198"/>
      <c r="T120" s="199"/>
      <c r="U120" s="243"/>
      <c r="V120" s="243"/>
      <c r="W120" s="243"/>
      <c r="BA120"/>
      <c r="BB120"/>
    </row>
    <row r="121" spans="1:54" s="188" customFormat="1" ht="13.5">
      <c r="A121" s="223"/>
      <c r="B121" s="177"/>
      <c r="C121" s="180" t="str">
        <f>IFERROR(IF(VLOOKUP($B121,勘定科目!$A:$H,HLOOKUP($E$5,勘定科目!$F$1:$H$2,2,0),0)="","",VLOOKUP($B121,勘定科目!$A:$E,2,0)),"")</f>
        <v/>
      </c>
      <c r="D121" s="236" t="str">
        <f>IF(C121="","",VLOOKUP($B121,勘定科目!$A:$E,4,0))</f>
        <v/>
      </c>
      <c r="E121" s="242"/>
      <c r="F121" s="191"/>
      <c r="G121" s="244"/>
      <c r="H121" s="244"/>
      <c r="I121" s="244"/>
      <c r="J121" s="244"/>
      <c r="K121" s="244"/>
      <c r="L121" s="244"/>
      <c r="M121" s="244"/>
      <c r="N121" s="244"/>
      <c r="O121" s="244"/>
      <c r="P121" s="244"/>
      <c r="Q121" s="244"/>
      <c r="R121" s="197">
        <f t="shared" si="13"/>
        <v>0</v>
      </c>
      <c r="S121" s="198"/>
      <c r="T121" s="199"/>
      <c r="U121" s="243"/>
      <c r="V121" s="243"/>
      <c r="W121" s="243"/>
      <c r="BA121"/>
      <c r="BB121"/>
    </row>
    <row r="122" spans="1:54" s="188" customFormat="1" ht="13.5">
      <c r="A122" s="223"/>
      <c r="B122" s="177"/>
      <c r="C122" s="180" t="str">
        <f>IFERROR(IF(VLOOKUP($B122,勘定科目!$A:$H,HLOOKUP($E$5,勘定科目!$F$1:$H$2,2,0),0)="","",VLOOKUP($B122,勘定科目!$A:$E,2,0)),"")</f>
        <v/>
      </c>
      <c r="D122" s="236" t="str">
        <f>IF(C122="","",VLOOKUP($B122,勘定科目!$A:$E,4,0))</f>
        <v/>
      </c>
      <c r="E122" s="242"/>
      <c r="F122" s="191"/>
      <c r="G122" s="244"/>
      <c r="H122" s="244"/>
      <c r="I122" s="244"/>
      <c r="J122" s="244"/>
      <c r="K122" s="244"/>
      <c r="L122" s="244"/>
      <c r="M122" s="244"/>
      <c r="N122" s="244"/>
      <c r="O122" s="244"/>
      <c r="P122" s="244"/>
      <c r="Q122" s="244"/>
      <c r="R122" s="197">
        <f t="shared" si="13"/>
        <v>0</v>
      </c>
      <c r="S122" s="198"/>
      <c r="T122" s="199"/>
      <c r="U122" s="243"/>
      <c r="V122" s="243"/>
      <c r="W122" s="243"/>
      <c r="BA122"/>
      <c r="BB122"/>
    </row>
    <row r="123" spans="1:54" s="188" customFormat="1" ht="13.5">
      <c r="A123" s="223"/>
      <c r="B123" s="177"/>
      <c r="C123" s="180" t="str">
        <f>IFERROR(IF(VLOOKUP($B123,勘定科目!$A:$H,HLOOKUP($E$5,勘定科目!$F$1:$H$2,2,0),0)="","",VLOOKUP($B123,勘定科目!$A:$E,2,0)),"")</f>
        <v/>
      </c>
      <c r="D123" s="236" t="str">
        <f>IF(C123="","",VLOOKUP($B123,勘定科目!$A:$E,4,0))</f>
        <v/>
      </c>
      <c r="E123" s="242"/>
      <c r="F123" s="191"/>
      <c r="G123" s="244"/>
      <c r="H123" s="244"/>
      <c r="I123" s="244"/>
      <c r="J123" s="244"/>
      <c r="K123" s="244"/>
      <c r="L123" s="244"/>
      <c r="M123" s="244"/>
      <c r="N123" s="244"/>
      <c r="O123" s="244"/>
      <c r="P123" s="244"/>
      <c r="Q123" s="244"/>
      <c r="R123" s="197">
        <f t="shared" si="13"/>
        <v>0</v>
      </c>
      <c r="S123" s="198"/>
      <c r="T123" s="199"/>
      <c r="U123" s="243"/>
      <c r="V123" s="243"/>
      <c r="W123" s="243"/>
      <c r="BA123"/>
      <c r="BB123"/>
    </row>
    <row r="124" spans="1:54" s="188" customFormat="1" ht="13.5">
      <c r="A124" s="223"/>
      <c r="B124" s="177"/>
      <c r="C124" s="180" t="str">
        <f>IFERROR(IF(VLOOKUP($B124,勘定科目!$A:$H,HLOOKUP($E$5,勘定科目!$F$1:$H$2,2,0),0)="","",VLOOKUP($B124,勘定科目!$A:$E,2,0)),"")</f>
        <v/>
      </c>
      <c r="D124" s="236" t="str">
        <f>IF(C124="","",VLOOKUP($B124,勘定科目!$A:$E,4,0))</f>
        <v/>
      </c>
      <c r="E124" s="242"/>
      <c r="F124" s="191"/>
      <c r="G124" s="244"/>
      <c r="H124" s="244"/>
      <c r="I124" s="244"/>
      <c r="J124" s="244"/>
      <c r="K124" s="244"/>
      <c r="L124" s="244"/>
      <c r="M124" s="244"/>
      <c r="N124" s="244"/>
      <c r="O124" s="244"/>
      <c r="P124" s="244"/>
      <c r="Q124" s="244"/>
      <c r="R124" s="197">
        <f t="shared" si="13"/>
        <v>0</v>
      </c>
      <c r="S124" s="198"/>
      <c r="T124" s="199"/>
      <c r="U124" s="243"/>
      <c r="V124" s="243"/>
      <c r="W124" s="243"/>
      <c r="BA124"/>
      <c r="BB124"/>
    </row>
    <row r="125" spans="1:54" s="188" customFormat="1" ht="13.5">
      <c r="A125" s="223"/>
      <c r="B125" s="177"/>
      <c r="C125" s="180" t="str">
        <f>IFERROR(IF(VLOOKUP($B125,勘定科目!$A:$H,HLOOKUP($E$5,勘定科目!$F$1:$H$2,2,0),0)="","",VLOOKUP($B125,勘定科目!$A:$E,2,0)),"")</f>
        <v/>
      </c>
      <c r="D125" s="236" t="str">
        <f>IF(C125="","",VLOOKUP($B125,勘定科目!$A:$E,4,0))</f>
        <v/>
      </c>
      <c r="E125" s="242"/>
      <c r="F125" s="191"/>
      <c r="G125" s="244"/>
      <c r="H125" s="244"/>
      <c r="I125" s="244"/>
      <c r="J125" s="244"/>
      <c r="K125" s="244"/>
      <c r="L125" s="244"/>
      <c r="M125" s="244"/>
      <c r="N125" s="244"/>
      <c r="O125" s="244"/>
      <c r="P125" s="244"/>
      <c r="Q125" s="244"/>
      <c r="R125" s="197">
        <f t="shared" si="13"/>
        <v>0</v>
      </c>
      <c r="S125" s="198"/>
      <c r="T125" s="199"/>
      <c r="U125" s="243"/>
      <c r="V125" s="243"/>
      <c r="W125" s="243"/>
      <c r="BA125"/>
      <c r="BB125"/>
    </row>
    <row r="126" spans="1:54" s="188" customFormat="1" ht="13.5">
      <c r="A126" s="223"/>
      <c r="B126" s="177"/>
      <c r="C126" s="180" t="str">
        <f>IFERROR(IF(VLOOKUP($B126,勘定科目!$A:$H,HLOOKUP($E$5,勘定科目!$F$1:$H$2,2,0),0)="","",VLOOKUP($B126,勘定科目!$A:$E,2,0)),"")</f>
        <v/>
      </c>
      <c r="D126" s="236" t="str">
        <f>IF(C126="","",VLOOKUP($B126,勘定科目!$A:$E,4,0))</f>
        <v/>
      </c>
      <c r="E126" s="242"/>
      <c r="F126" s="191"/>
      <c r="G126" s="244"/>
      <c r="H126" s="244"/>
      <c r="I126" s="244"/>
      <c r="J126" s="244"/>
      <c r="K126" s="244"/>
      <c r="L126" s="244"/>
      <c r="M126" s="244"/>
      <c r="N126" s="244"/>
      <c r="O126" s="244"/>
      <c r="P126" s="244"/>
      <c r="Q126" s="244"/>
      <c r="R126" s="197">
        <f t="shared" si="13"/>
        <v>0</v>
      </c>
      <c r="S126" s="198"/>
      <c r="T126" s="199"/>
      <c r="U126" s="243"/>
      <c r="V126" s="243"/>
      <c r="W126" s="243"/>
      <c r="BA126"/>
      <c r="BB126"/>
    </row>
    <row r="127" spans="1:54" s="188" customFormat="1" ht="13.5">
      <c r="A127" s="223"/>
      <c r="B127" s="177"/>
      <c r="C127" s="180" t="str">
        <f>IFERROR(IF(VLOOKUP($B127,勘定科目!$A:$H,HLOOKUP($E$5,勘定科目!$F$1:$H$2,2,0),0)="","",VLOOKUP($B127,勘定科目!$A:$E,2,0)),"")</f>
        <v/>
      </c>
      <c r="D127" s="236" t="str">
        <f>IF(C127="","",VLOOKUP($B127,勘定科目!$A:$E,4,0))</f>
        <v/>
      </c>
      <c r="E127" s="242"/>
      <c r="F127" s="191"/>
      <c r="G127" s="244"/>
      <c r="H127" s="244"/>
      <c r="I127" s="244"/>
      <c r="J127" s="244"/>
      <c r="K127" s="244"/>
      <c r="L127" s="244"/>
      <c r="M127" s="244"/>
      <c r="N127" s="244"/>
      <c r="O127" s="244"/>
      <c r="P127" s="244"/>
      <c r="Q127" s="244"/>
      <c r="R127" s="197">
        <f t="shared" si="13"/>
        <v>0</v>
      </c>
      <c r="S127" s="198"/>
      <c r="T127" s="199"/>
      <c r="U127" s="243"/>
      <c r="V127" s="243"/>
      <c r="W127" s="243"/>
      <c r="BA127"/>
      <c r="BB127"/>
    </row>
    <row r="128" spans="1:54" s="188" customFormat="1" ht="13.5">
      <c r="A128" s="223"/>
      <c r="B128" s="177"/>
      <c r="C128" s="180" t="str">
        <f>IFERROR(IF(VLOOKUP($B128,勘定科目!$A:$H,HLOOKUP($E$5,勘定科目!$F$1:$H$2,2,0),0)="","",VLOOKUP($B128,勘定科目!$A:$E,2,0)),"")</f>
        <v/>
      </c>
      <c r="D128" s="236" t="str">
        <f>IF(C128="","",VLOOKUP($B128,勘定科目!$A:$E,4,0))</f>
        <v/>
      </c>
      <c r="E128" s="242"/>
      <c r="F128" s="191"/>
      <c r="G128" s="244"/>
      <c r="H128" s="244"/>
      <c r="I128" s="244"/>
      <c r="J128" s="244"/>
      <c r="K128" s="244"/>
      <c r="L128" s="244"/>
      <c r="M128" s="244"/>
      <c r="N128" s="244"/>
      <c r="O128" s="244"/>
      <c r="P128" s="244"/>
      <c r="Q128" s="244"/>
      <c r="R128" s="197">
        <f t="shared" si="13"/>
        <v>0</v>
      </c>
      <c r="S128" s="198"/>
      <c r="T128" s="199"/>
      <c r="U128" s="243"/>
      <c r="V128" s="243"/>
      <c r="W128" s="243"/>
      <c r="BA128"/>
      <c r="BB128"/>
    </row>
    <row r="129" spans="1:54" s="188" customFormat="1" ht="13.5">
      <c r="A129" s="223"/>
      <c r="B129" s="177"/>
      <c r="C129" s="180" t="str">
        <f>IFERROR(IF(VLOOKUP($B129,勘定科目!$A:$H,HLOOKUP($E$5,勘定科目!$F$1:$H$2,2,0),0)="","",VLOOKUP($B129,勘定科目!$A:$E,2,0)),"")</f>
        <v/>
      </c>
      <c r="D129" s="236" t="str">
        <f>IF(C129="","",VLOOKUP($B129,勘定科目!$A:$E,4,0))</f>
        <v/>
      </c>
      <c r="E129" s="242"/>
      <c r="F129" s="191"/>
      <c r="G129" s="244"/>
      <c r="H129" s="244"/>
      <c r="I129" s="244"/>
      <c r="J129" s="244"/>
      <c r="K129" s="244"/>
      <c r="L129" s="244"/>
      <c r="M129" s="244"/>
      <c r="N129" s="244"/>
      <c r="O129" s="244"/>
      <c r="P129" s="244"/>
      <c r="Q129" s="244"/>
      <c r="R129" s="197">
        <f t="shared" si="13"/>
        <v>0</v>
      </c>
      <c r="S129" s="198"/>
      <c r="T129" s="199"/>
      <c r="U129" s="243"/>
      <c r="V129" s="243"/>
      <c r="W129" s="243"/>
      <c r="BA129"/>
      <c r="BB129"/>
    </row>
    <row r="130" spans="1:54" s="188" customFormat="1" ht="13.5">
      <c r="A130" s="223"/>
      <c r="B130" s="177"/>
      <c r="C130" s="180" t="str">
        <f>IFERROR(IF(VLOOKUP($B130,勘定科目!$A:$H,HLOOKUP($E$5,勘定科目!$F$1:$H$2,2,0),0)="","",VLOOKUP($B130,勘定科目!$A:$E,2,0)),"")</f>
        <v/>
      </c>
      <c r="D130" s="236" t="str">
        <f>IF(C130="","",VLOOKUP($B130,勘定科目!$A:$E,4,0))</f>
        <v/>
      </c>
      <c r="E130" s="242"/>
      <c r="F130" s="191"/>
      <c r="G130" s="244"/>
      <c r="H130" s="244"/>
      <c r="I130" s="244"/>
      <c r="J130" s="244"/>
      <c r="K130" s="244"/>
      <c r="L130" s="244"/>
      <c r="M130" s="244"/>
      <c r="N130" s="244"/>
      <c r="O130" s="244"/>
      <c r="P130" s="244"/>
      <c r="Q130" s="244"/>
      <c r="R130" s="197">
        <f t="shared" si="13"/>
        <v>0</v>
      </c>
      <c r="S130" s="198"/>
      <c r="T130" s="199"/>
      <c r="U130" s="243"/>
      <c r="V130" s="243"/>
      <c r="W130" s="243"/>
      <c r="BA130"/>
      <c r="BB130"/>
    </row>
    <row r="131" spans="1:54" s="188" customFormat="1" ht="13.5">
      <c r="A131" s="223"/>
      <c r="B131" s="177"/>
      <c r="C131" s="180" t="str">
        <f>IFERROR(IF(VLOOKUP($B131,勘定科目!$A:$H,HLOOKUP($E$5,勘定科目!$F$1:$H$2,2,0),0)="","",VLOOKUP($B131,勘定科目!$A:$E,2,0)),"")</f>
        <v/>
      </c>
      <c r="D131" s="236" t="str">
        <f>IF(C131="","",VLOOKUP($B131,勘定科目!$A:$E,4,0))</f>
        <v/>
      </c>
      <c r="E131" s="242"/>
      <c r="F131" s="191"/>
      <c r="G131" s="244"/>
      <c r="H131" s="244"/>
      <c r="I131" s="244"/>
      <c r="J131" s="244"/>
      <c r="K131" s="244"/>
      <c r="L131" s="244"/>
      <c r="M131" s="244"/>
      <c r="N131" s="244"/>
      <c r="O131" s="244"/>
      <c r="P131" s="244"/>
      <c r="Q131" s="244"/>
      <c r="R131" s="197">
        <f t="shared" si="13"/>
        <v>0</v>
      </c>
      <c r="S131" s="198"/>
      <c r="T131" s="199"/>
      <c r="U131" s="243"/>
      <c r="V131" s="243"/>
      <c r="W131" s="243"/>
      <c r="BA131"/>
      <c r="BB131"/>
    </row>
    <row r="132" spans="1:54" s="188" customFormat="1" ht="13.5">
      <c r="A132" s="223"/>
      <c r="B132" s="177"/>
      <c r="C132" s="180" t="str">
        <f>IFERROR(IF(VLOOKUP($B132,勘定科目!$A:$H,HLOOKUP($E$5,勘定科目!$F$1:$H$2,2,0),0)="","",VLOOKUP($B132,勘定科目!$A:$E,2,0)),"")</f>
        <v/>
      </c>
      <c r="D132" s="236" t="str">
        <f>IF(C132="","",VLOOKUP($B132,勘定科目!$A:$E,4,0))</f>
        <v/>
      </c>
      <c r="E132" s="242"/>
      <c r="F132" s="191"/>
      <c r="G132" s="244"/>
      <c r="H132" s="244"/>
      <c r="I132" s="244"/>
      <c r="J132" s="244"/>
      <c r="K132" s="244"/>
      <c r="L132" s="244"/>
      <c r="M132" s="244"/>
      <c r="N132" s="244"/>
      <c r="O132" s="244"/>
      <c r="P132" s="244"/>
      <c r="Q132" s="244"/>
      <c r="R132" s="197">
        <f t="shared" si="13"/>
        <v>0</v>
      </c>
      <c r="S132" s="198"/>
      <c r="T132" s="199"/>
      <c r="U132" s="243"/>
      <c r="V132" s="243"/>
      <c r="W132" s="243"/>
      <c r="BA132"/>
      <c r="BB132"/>
    </row>
    <row r="133" spans="1:54" s="188" customFormat="1" ht="13.5">
      <c r="A133" s="223"/>
      <c r="B133" s="177"/>
      <c r="C133" s="180" t="str">
        <f>IFERROR(IF(VLOOKUP($B133,勘定科目!$A:$H,HLOOKUP($E$5,勘定科目!$F$1:$H$2,2,0),0)="","",VLOOKUP($B133,勘定科目!$A:$E,2,0)),"")</f>
        <v/>
      </c>
      <c r="D133" s="236" t="str">
        <f>IF(C133="","",VLOOKUP($B133,勘定科目!$A:$E,4,0))</f>
        <v/>
      </c>
      <c r="E133" s="242"/>
      <c r="F133" s="191"/>
      <c r="G133" s="244"/>
      <c r="H133" s="244"/>
      <c r="I133" s="244"/>
      <c r="J133" s="244"/>
      <c r="K133" s="244"/>
      <c r="L133" s="244"/>
      <c r="M133" s="244"/>
      <c r="N133" s="244"/>
      <c r="O133" s="244"/>
      <c r="P133" s="244"/>
      <c r="Q133" s="244"/>
      <c r="R133" s="197">
        <f t="shared" si="13"/>
        <v>0</v>
      </c>
      <c r="S133" s="198"/>
      <c r="T133" s="199"/>
      <c r="U133" s="243"/>
      <c r="V133" s="243"/>
      <c r="W133" s="243"/>
      <c r="BA133"/>
      <c r="BB133"/>
    </row>
    <row r="134" spans="1:54" s="188" customFormat="1" ht="13.5">
      <c r="A134" s="223"/>
      <c r="B134" s="177"/>
      <c r="C134" s="180" t="str">
        <f>IFERROR(IF(VLOOKUP($B134,勘定科目!$A:$H,HLOOKUP($E$5,勘定科目!$F$1:$H$2,2,0),0)="","",VLOOKUP($B134,勘定科目!$A:$E,2,0)),"")</f>
        <v/>
      </c>
      <c r="D134" s="236" t="str">
        <f>IF(C134="","",VLOOKUP($B134,勘定科目!$A:$E,4,0))</f>
        <v/>
      </c>
      <c r="E134" s="242"/>
      <c r="F134" s="191"/>
      <c r="G134" s="244"/>
      <c r="H134" s="244"/>
      <c r="I134" s="244"/>
      <c r="J134" s="244"/>
      <c r="K134" s="244"/>
      <c r="L134" s="244"/>
      <c r="M134" s="244"/>
      <c r="N134" s="244"/>
      <c r="O134" s="244"/>
      <c r="P134" s="244"/>
      <c r="Q134" s="244"/>
      <c r="R134" s="197">
        <f t="shared" si="13"/>
        <v>0</v>
      </c>
      <c r="S134" s="198"/>
      <c r="T134" s="199"/>
      <c r="U134" s="243"/>
      <c r="V134" s="243"/>
      <c r="W134" s="243"/>
      <c r="BA134"/>
      <c r="BB134"/>
    </row>
    <row r="135" spans="1:54" s="188" customFormat="1" ht="13.5">
      <c r="A135" s="223"/>
      <c r="B135" s="177"/>
      <c r="C135" s="180" t="str">
        <f>IFERROR(IF(VLOOKUP($B135,勘定科目!$A:$H,HLOOKUP($E$5,勘定科目!$F$1:$H$2,2,0),0)="","",VLOOKUP($B135,勘定科目!$A:$E,2,0)),"")</f>
        <v/>
      </c>
      <c r="D135" s="236" t="str">
        <f>IF(C135="","",VLOOKUP($B135,勘定科目!$A:$E,4,0))</f>
        <v/>
      </c>
      <c r="E135" s="242"/>
      <c r="F135" s="191"/>
      <c r="G135" s="244"/>
      <c r="H135" s="244"/>
      <c r="I135" s="244"/>
      <c r="J135" s="244"/>
      <c r="K135" s="244"/>
      <c r="L135" s="244"/>
      <c r="M135" s="244"/>
      <c r="N135" s="244"/>
      <c r="O135" s="244"/>
      <c r="P135" s="244"/>
      <c r="Q135" s="244"/>
      <c r="R135" s="197">
        <f t="shared" si="13"/>
        <v>0</v>
      </c>
      <c r="S135" s="198"/>
      <c r="T135" s="199"/>
      <c r="U135" s="243"/>
      <c r="V135" s="243"/>
      <c r="W135" s="243"/>
      <c r="BA135"/>
      <c r="BB135"/>
    </row>
    <row r="136" spans="1:54" s="188" customFormat="1" ht="13.5">
      <c r="A136" s="223"/>
      <c r="B136" s="177"/>
      <c r="C136" s="180" t="str">
        <f>IFERROR(IF(VLOOKUP($B136,勘定科目!$A:$H,HLOOKUP($E$5,勘定科目!$F$1:$H$2,2,0),0)="","",VLOOKUP($B136,勘定科目!$A:$E,2,0)),"")</f>
        <v/>
      </c>
      <c r="D136" s="236" t="str">
        <f>IF(C136="","",VLOOKUP($B136,勘定科目!$A:$E,4,0))</f>
        <v/>
      </c>
      <c r="E136" s="242"/>
      <c r="F136" s="191"/>
      <c r="G136" s="244"/>
      <c r="H136" s="244"/>
      <c r="I136" s="244"/>
      <c r="J136" s="244"/>
      <c r="K136" s="244"/>
      <c r="L136" s="244"/>
      <c r="M136" s="244"/>
      <c r="N136" s="244"/>
      <c r="O136" s="244"/>
      <c r="P136" s="244"/>
      <c r="Q136" s="244"/>
      <c r="R136" s="197">
        <f t="shared" si="13"/>
        <v>0</v>
      </c>
      <c r="S136" s="198"/>
      <c r="T136" s="199"/>
      <c r="U136" s="243"/>
      <c r="V136" s="243"/>
      <c r="W136" s="243"/>
      <c r="BA136"/>
      <c r="BB136"/>
    </row>
    <row r="137" spans="1:54" s="188" customFormat="1" ht="13.5">
      <c r="A137" s="223"/>
      <c r="B137" s="177"/>
      <c r="C137" s="180" t="str">
        <f>IFERROR(IF(VLOOKUP($B137,勘定科目!$A:$H,HLOOKUP($E$5,勘定科目!$F$1:$H$2,2,0),0)="","",VLOOKUP($B137,勘定科目!$A:$E,2,0)),"")</f>
        <v/>
      </c>
      <c r="D137" s="236" t="str">
        <f>IF(C137="","",VLOOKUP($B137,勘定科目!$A:$E,4,0))</f>
        <v/>
      </c>
      <c r="E137" s="242"/>
      <c r="F137" s="191"/>
      <c r="G137" s="244"/>
      <c r="H137" s="244"/>
      <c r="I137" s="244"/>
      <c r="J137" s="244"/>
      <c r="K137" s="244"/>
      <c r="L137" s="244"/>
      <c r="M137" s="244"/>
      <c r="N137" s="244"/>
      <c r="O137" s="244"/>
      <c r="P137" s="244"/>
      <c r="Q137" s="244"/>
      <c r="R137" s="197">
        <f t="shared" si="13"/>
        <v>0</v>
      </c>
      <c r="S137" s="198"/>
      <c r="T137" s="199"/>
      <c r="U137" s="243"/>
      <c r="V137" s="243"/>
      <c r="W137" s="243"/>
      <c r="BA137"/>
      <c r="BB137"/>
    </row>
    <row r="138" spans="1:54" s="188" customFormat="1" ht="13.5">
      <c r="A138" s="223"/>
      <c r="B138" s="177"/>
      <c r="C138" s="180" t="str">
        <f>IFERROR(IF(VLOOKUP($B138,勘定科目!$A:$H,HLOOKUP($E$5,勘定科目!$F$1:$H$2,2,0),0)="","",VLOOKUP($B138,勘定科目!$A:$E,2,0)),"")</f>
        <v/>
      </c>
      <c r="D138" s="236" t="str">
        <f>IF(C138="","",VLOOKUP($B138,勘定科目!$A:$E,4,0))</f>
        <v/>
      </c>
      <c r="E138" s="242"/>
      <c r="F138" s="191"/>
      <c r="G138" s="244"/>
      <c r="H138" s="244"/>
      <c r="I138" s="244"/>
      <c r="J138" s="244"/>
      <c r="K138" s="244"/>
      <c r="L138" s="244"/>
      <c r="M138" s="244"/>
      <c r="N138" s="244"/>
      <c r="O138" s="244"/>
      <c r="P138" s="244"/>
      <c r="Q138" s="244"/>
      <c r="R138" s="197">
        <f t="shared" si="13"/>
        <v>0</v>
      </c>
      <c r="S138" s="198"/>
      <c r="T138" s="199"/>
      <c r="U138" s="243"/>
      <c r="V138" s="243"/>
      <c r="W138" s="243"/>
      <c r="BA138"/>
      <c r="BB138"/>
    </row>
    <row r="139" spans="1:54" s="188" customFormat="1" ht="13.5">
      <c r="A139" s="223"/>
      <c r="B139" s="177"/>
      <c r="C139" s="180" t="str">
        <f>IFERROR(IF(VLOOKUP($B139,勘定科目!$A:$H,HLOOKUP($E$5,勘定科目!$F$1:$H$2,2,0),0)="","",VLOOKUP($B139,勘定科目!$A:$E,2,0)),"")</f>
        <v/>
      </c>
      <c r="D139" s="236" t="str">
        <f>IF(C139="","",VLOOKUP($B139,勘定科目!$A:$E,4,0))</f>
        <v/>
      </c>
      <c r="E139" s="242"/>
      <c r="F139" s="191"/>
      <c r="G139" s="244"/>
      <c r="H139" s="244"/>
      <c r="I139" s="244"/>
      <c r="J139" s="244"/>
      <c r="K139" s="244"/>
      <c r="L139" s="244"/>
      <c r="M139" s="244"/>
      <c r="N139" s="244"/>
      <c r="O139" s="244"/>
      <c r="P139" s="244"/>
      <c r="Q139" s="244"/>
      <c r="R139" s="197">
        <f t="shared" si="13"/>
        <v>0</v>
      </c>
      <c r="S139" s="198"/>
      <c r="T139" s="199"/>
      <c r="U139" s="243"/>
      <c r="V139" s="243"/>
      <c r="W139" s="243"/>
      <c r="BA139"/>
      <c r="BB139"/>
    </row>
    <row r="140" spans="1:54" s="188" customFormat="1" ht="13.5">
      <c r="A140" s="223"/>
      <c r="B140" s="177"/>
      <c r="C140" s="180" t="str">
        <f>IFERROR(IF(VLOOKUP($B140,勘定科目!$A:$H,HLOOKUP($E$5,勘定科目!$F$1:$H$2,2,0),0)="","",VLOOKUP($B140,勘定科目!$A:$E,2,0)),"")</f>
        <v/>
      </c>
      <c r="D140" s="236" t="str">
        <f>IF(C140="","",VLOOKUP($B140,勘定科目!$A:$E,4,0))</f>
        <v/>
      </c>
      <c r="E140" s="242"/>
      <c r="F140" s="191"/>
      <c r="G140" s="244"/>
      <c r="H140" s="244"/>
      <c r="I140" s="244"/>
      <c r="J140" s="244"/>
      <c r="K140" s="244"/>
      <c r="L140" s="244"/>
      <c r="M140" s="244"/>
      <c r="N140" s="244"/>
      <c r="O140" s="244"/>
      <c r="P140" s="244"/>
      <c r="Q140" s="244"/>
      <c r="R140" s="197">
        <f t="shared" si="13"/>
        <v>0</v>
      </c>
      <c r="S140" s="198"/>
      <c r="T140" s="199"/>
      <c r="U140" s="243"/>
      <c r="V140" s="243"/>
      <c r="W140" s="243"/>
      <c r="BA140"/>
      <c r="BB140"/>
    </row>
    <row r="141" spans="1:54" s="188" customFormat="1" ht="13.5">
      <c r="A141" s="223"/>
      <c r="B141" s="177"/>
      <c r="C141" s="180" t="str">
        <f>IFERROR(IF(VLOOKUP($B141,勘定科目!$A:$H,HLOOKUP($E$5,勘定科目!$F$1:$H$2,2,0),0)="","",VLOOKUP($B141,勘定科目!$A:$E,2,0)),"")</f>
        <v/>
      </c>
      <c r="D141" s="236" t="str">
        <f>IF(C141="","",VLOOKUP($B141,勘定科目!$A:$E,4,0))</f>
        <v/>
      </c>
      <c r="E141" s="242"/>
      <c r="F141" s="191"/>
      <c r="G141" s="244"/>
      <c r="H141" s="244"/>
      <c r="I141" s="244"/>
      <c r="J141" s="244"/>
      <c r="K141" s="244"/>
      <c r="L141" s="244"/>
      <c r="M141" s="244"/>
      <c r="N141" s="244"/>
      <c r="O141" s="244"/>
      <c r="P141" s="244"/>
      <c r="Q141" s="244"/>
      <c r="R141" s="197">
        <f t="shared" si="13"/>
        <v>0</v>
      </c>
      <c r="S141" s="198"/>
      <c r="T141" s="199"/>
      <c r="U141" s="243"/>
      <c r="V141" s="243"/>
      <c r="W141" s="243"/>
      <c r="BA141"/>
      <c r="BB141"/>
    </row>
    <row r="142" spans="1:54" s="188" customFormat="1" ht="13.5">
      <c r="A142" s="223"/>
      <c r="B142" s="177"/>
      <c r="C142" s="180" t="str">
        <f>IFERROR(IF(VLOOKUP($B142,勘定科目!$A:$H,HLOOKUP($E$5,勘定科目!$F$1:$H$2,2,0),0)="","",VLOOKUP($B142,勘定科目!$A:$E,2,0)),"")</f>
        <v/>
      </c>
      <c r="D142" s="236" t="str">
        <f>IF(C142="","",VLOOKUP($B142,勘定科目!$A:$E,4,0))</f>
        <v/>
      </c>
      <c r="E142" s="242"/>
      <c r="F142" s="191"/>
      <c r="G142" s="244"/>
      <c r="H142" s="244"/>
      <c r="I142" s="244"/>
      <c r="J142" s="244"/>
      <c r="K142" s="244"/>
      <c r="L142" s="244"/>
      <c r="M142" s="244"/>
      <c r="N142" s="244"/>
      <c r="O142" s="244"/>
      <c r="P142" s="244"/>
      <c r="Q142" s="244"/>
      <c r="R142" s="197">
        <f t="shared" si="13"/>
        <v>0</v>
      </c>
      <c r="S142" s="198"/>
      <c r="T142" s="199"/>
      <c r="U142" s="243"/>
      <c r="V142" s="243"/>
      <c r="W142" s="243"/>
      <c r="BA142"/>
      <c r="BB142"/>
    </row>
    <row r="143" spans="1:54" s="188" customFormat="1" ht="13.5">
      <c r="A143" s="223"/>
      <c r="B143" s="177"/>
      <c r="C143" s="180" t="str">
        <f>IFERROR(IF(VLOOKUP($B143,勘定科目!$A:$H,HLOOKUP($E$5,勘定科目!$F$1:$H$2,2,0),0)="","",VLOOKUP($B143,勘定科目!$A:$E,2,0)),"")</f>
        <v/>
      </c>
      <c r="D143" s="236" t="str">
        <f>IF(C143="","",VLOOKUP($B143,勘定科目!$A:$E,4,0))</f>
        <v/>
      </c>
      <c r="E143" s="242"/>
      <c r="F143" s="191"/>
      <c r="G143" s="244"/>
      <c r="H143" s="244"/>
      <c r="I143" s="244"/>
      <c r="J143" s="244"/>
      <c r="K143" s="244"/>
      <c r="L143" s="244"/>
      <c r="M143" s="244"/>
      <c r="N143" s="244"/>
      <c r="O143" s="244"/>
      <c r="P143" s="244"/>
      <c r="Q143" s="244"/>
      <c r="R143" s="197">
        <f t="shared" si="13"/>
        <v>0</v>
      </c>
      <c r="S143" s="198"/>
      <c r="T143" s="199"/>
      <c r="U143" s="243"/>
      <c r="V143" s="243"/>
      <c r="W143" s="243"/>
      <c r="BA143"/>
      <c r="BB143"/>
    </row>
    <row r="144" spans="1:54" s="188" customFormat="1" ht="13.5">
      <c r="A144" s="223"/>
      <c r="B144" s="177"/>
      <c r="C144" s="180" t="str">
        <f>IFERROR(IF(VLOOKUP($B144,勘定科目!$A:$H,HLOOKUP($E$5,勘定科目!$F$1:$H$2,2,0),0)="","",VLOOKUP($B144,勘定科目!$A:$E,2,0)),"")</f>
        <v/>
      </c>
      <c r="D144" s="236" t="str">
        <f>IF(C144="","",VLOOKUP($B144,勘定科目!$A:$E,4,0))</f>
        <v/>
      </c>
      <c r="E144" s="242"/>
      <c r="F144" s="191"/>
      <c r="G144" s="244"/>
      <c r="H144" s="244"/>
      <c r="I144" s="244"/>
      <c r="J144" s="244"/>
      <c r="K144" s="244"/>
      <c r="L144" s="244"/>
      <c r="M144" s="244"/>
      <c r="N144" s="244"/>
      <c r="O144" s="244"/>
      <c r="P144" s="244"/>
      <c r="Q144" s="244"/>
      <c r="R144" s="197">
        <f t="shared" si="13"/>
        <v>0</v>
      </c>
      <c r="S144" s="198"/>
      <c r="T144" s="199"/>
      <c r="U144" s="243"/>
      <c r="V144" s="243"/>
      <c r="W144" s="243"/>
      <c r="BA144"/>
      <c r="BB144"/>
    </row>
    <row r="145" spans="1:54" s="188" customFormat="1" ht="13.5">
      <c r="A145" s="223"/>
      <c r="B145" s="177"/>
      <c r="C145" s="180" t="str">
        <f>IFERROR(IF(VLOOKUP($B145,勘定科目!$A:$H,HLOOKUP($E$5,勘定科目!$F$1:$H$2,2,0),0)="","",VLOOKUP($B145,勘定科目!$A:$E,2,0)),"")</f>
        <v/>
      </c>
      <c r="D145" s="236" t="str">
        <f>IF(C145="","",VLOOKUP($B145,勘定科目!$A:$E,4,0))</f>
        <v/>
      </c>
      <c r="E145" s="242"/>
      <c r="F145" s="191"/>
      <c r="G145" s="244"/>
      <c r="H145" s="244"/>
      <c r="I145" s="244"/>
      <c r="J145" s="244"/>
      <c r="K145" s="244"/>
      <c r="L145" s="244"/>
      <c r="M145" s="244"/>
      <c r="N145" s="244"/>
      <c r="O145" s="244"/>
      <c r="P145" s="244"/>
      <c r="Q145" s="244"/>
      <c r="R145" s="197">
        <f t="shared" si="13"/>
        <v>0</v>
      </c>
      <c r="S145" s="198"/>
      <c r="T145" s="199"/>
      <c r="U145" s="243"/>
      <c r="V145" s="243"/>
      <c r="W145" s="243"/>
      <c r="BA145"/>
      <c r="BB145"/>
    </row>
    <row r="146" spans="1:54" s="188" customFormat="1" ht="13.5">
      <c r="A146" s="223"/>
      <c r="B146" s="177"/>
      <c r="C146" s="180" t="str">
        <f>IFERROR(IF(VLOOKUP($B146,勘定科目!$A:$H,HLOOKUP($E$5,勘定科目!$F$1:$H$2,2,0),0)="","",VLOOKUP($B146,勘定科目!$A:$E,2,0)),"")</f>
        <v/>
      </c>
      <c r="D146" s="236" t="str">
        <f>IF(C146="","",VLOOKUP($B146,勘定科目!$A:$E,4,0))</f>
        <v/>
      </c>
      <c r="E146" s="242"/>
      <c r="F146" s="191"/>
      <c r="G146" s="244"/>
      <c r="H146" s="244"/>
      <c r="I146" s="244"/>
      <c r="J146" s="244"/>
      <c r="K146" s="244"/>
      <c r="L146" s="244"/>
      <c r="M146" s="244"/>
      <c r="N146" s="244"/>
      <c r="O146" s="244"/>
      <c r="P146" s="244"/>
      <c r="Q146" s="244"/>
      <c r="R146" s="197">
        <f t="shared" si="13"/>
        <v>0</v>
      </c>
      <c r="S146" s="198"/>
      <c r="T146" s="199"/>
      <c r="U146" s="243"/>
      <c r="V146" s="243"/>
      <c r="W146" s="243"/>
      <c r="BA146"/>
      <c r="BB146"/>
    </row>
    <row r="147" spans="1:54" s="188" customFormat="1" ht="13.5">
      <c r="A147" s="223"/>
      <c r="B147" s="177"/>
      <c r="C147" s="180" t="str">
        <f>IFERROR(IF(VLOOKUP($B147,勘定科目!$A:$H,HLOOKUP($E$5,勘定科目!$F$1:$H$2,2,0),0)="","",VLOOKUP($B147,勘定科目!$A:$E,2,0)),"")</f>
        <v/>
      </c>
      <c r="D147" s="236" t="str">
        <f>IF(C147="","",VLOOKUP($B147,勘定科目!$A:$E,4,0))</f>
        <v/>
      </c>
      <c r="E147" s="242"/>
      <c r="F147" s="191"/>
      <c r="G147" s="244"/>
      <c r="H147" s="244"/>
      <c r="I147" s="244"/>
      <c r="J147" s="244"/>
      <c r="K147" s="244"/>
      <c r="L147" s="244"/>
      <c r="M147" s="244"/>
      <c r="N147" s="244"/>
      <c r="O147" s="244"/>
      <c r="P147" s="244"/>
      <c r="Q147" s="244"/>
      <c r="R147" s="197">
        <f t="shared" si="13"/>
        <v>0</v>
      </c>
      <c r="S147" s="198"/>
      <c r="T147" s="199"/>
      <c r="U147" s="243"/>
      <c r="V147" s="243"/>
      <c r="W147" s="243"/>
      <c r="BA147"/>
      <c r="BB147"/>
    </row>
    <row r="148" spans="1:54" s="188" customFormat="1" ht="13.5">
      <c r="A148" s="223"/>
      <c r="B148" s="177"/>
      <c r="C148" s="180" t="str">
        <f>IFERROR(IF(VLOOKUP($B148,勘定科目!$A:$H,HLOOKUP($E$5,勘定科目!$F$1:$H$2,2,0),0)="","",VLOOKUP($B148,勘定科目!$A:$E,2,0)),"")</f>
        <v/>
      </c>
      <c r="D148" s="236" t="str">
        <f>IF(C148="","",VLOOKUP($B148,勘定科目!$A:$E,4,0))</f>
        <v/>
      </c>
      <c r="E148" s="242"/>
      <c r="F148" s="191"/>
      <c r="G148" s="244"/>
      <c r="H148" s="244"/>
      <c r="I148" s="244"/>
      <c r="J148" s="244"/>
      <c r="K148" s="244"/>
      <c r="L148" s="244"/>
      <c r="M148" s="244"/>
      <c r="N148" s="244"/>
      <c r="O148" s="244"/>
      <c r="P148" s="244"/>
      <c r="Q148" s="244"/>
      <c r="R148" s="197">
        <f t="shared" si="13"/>
        <v>0</v>
      </c>
      <c r="S148" s="198"/>
      <c r="T148" s="199"/>
      <c r="U148" s="243"/>
      <c r="V148" s="243"/>
      <c r="W148" s="243"/>
      <c r="BA148"/>
      <c r="BB148"/>
    </row>
    <row r="149" spans="1:54" s="188" customFormat="1" ht="13.5">
      <c r="A149" s="223"/>
      <c r="B149" s="177"/>
      <c r="C149" s="180" t="str">
        <f>IFERROR(IF(VLOOKUP($B149,勘定科目!$A:$H,HLOOKUP($E$5,勘定科目!$F$1:$H$2,2,0),0)="","",VLOOKUP($B149,勘定科目!$A:$E,2,0)),"")</f>
        <v/>
      </c>
      <c r="D149" s="236" t="str">
        <f>IF(C149="","",VLOOKUP($B149,勘定科目!$A:$E,4,0))</f>
        <v/>
      </c>
      <c r="E149" s="242"/>
      <c r="F149" s="191"/>
      <c r="G149" s="244"/>
      <c r="H149" s="244"/>
      <c r="I149" s="244"/>
      <c r="J149" s="244"/>
      <c r="K149" s="244"/>
      <c r="L149" s="244"/>
      <c r="M149" s="244"/>
      <c r="N149" s="244"/>
      <c r="O149" s="244"/>
      <c r="P149" s="244"/>
      <c r="Q149" s="244"/>
      <c r="R149" s="197">
        <f t="shared" si="13"/>
        <v>0</v>
      </c>
      <c r="S149" s="198"/>
      <c r="T149" s="199"/>
      <c r="U149" s="243"/>
      <c r="V149" s="243"/>
      <c r="W149" s="243"/>
      <c r="BA149"/>
      <c r="BB149"/>
    </row>
    <row r="150" spans="1:54" s="188" customFormat="1" ht="13.5">
      <c r="A150" s="223"/>
      <c r="B150" s="177"/>
      <c r="C150" s="180" t="str">
        <f>IFERROR(IF(VLOOKUP($B150,勘定科目!$A:$H,HLOOKUP($E$5,勘定科目!$F$1:$H$2,2,0),0)="","",VLOOKUP($B150,勘定科目!$A:$E,2,0)),"")</f>
        <v/>
      </c>
      <c r="D150" s="236" t="str">
        <f>IF(C150="","",VLOOKUP($B150,勘定科目!$A:$E,4,0))</f>
        <v/>
      </c>
      <c r="E150" s="242"/>
      <c r="F150" s="191"/>
      <c r="G150" s="244"/>
      <c r="H150" s="244"/>
      <c r="I150" s="244"/>
      <c r="J150" s="244"/>
      <c r="K150" s="244"/>
      <c r="L150" s="244"/>
      <c r="M150" s="244"/>
      <c r="N150" s="244"/>
      <c r="O150" s="244"/>
      <c r="P150" s="244"/>
      <c r="Q150" s="244"/>
      <c r="R150" s="197">
        <f t="shared" si="13"/>
        <v>0</v>
      </c>
      <c r="S150" s="198"/>
      <c r="T150" s="199"/>
      <c r="U150" s="243"/>
      <c r="V150" s="243"/>
      <c r="W150" s="243"/>
      <c r="BA150"/>
      <c r="BB150"/>
    </row>
    <row r="151" spans="1:54" s="188" customFormat="1" ht="13.5">
      <c r="A151" s="223"/>
      <c r="B151" s="177"/>
      <c r="C151" s="180" t="str">
        <f>IFERROR(IF(VLOOKUP($B151,勘定科目!$A:$H,HLOOKUP($E$5,勘定科目!$F$1:$H$2,2,0),0)="","",VLOOKUP($B151,勘定科目!$A:$E,2,0)),"")</f>
        <v/>
      </c>
      <c r="D151" s="236" t="str">
        <f>IF(C151="","",VLOOKUP($B151,勘定科目!$A:$E,4,0))</f>
        <v/>
      </c>
      <c r="E151" s="242"/>
      <c r="F151" s="191"/>
      <c r="G151" s="244"/>
      <c r="H151" s="244"/>
      <c r="I151" s="244"/>
      <c r="J151" s="244"/>
      <c r="K151" s="244"/>
      <c r="L151" s="244"/>
      <c r="M151" s="244"/>
      <c r="N151" s="244"/>
      <c r="O151" s="244"/>
      <c r="P151" s="244"/>
      <c r="Q151" s="244"/>
      <c r="R151" s="197">
        <f t="shared" si="13"/>
        <v>0</v>
      </c>
      <c r="S151" s="198"/>
      <c r="T151" s="199"/>
      <c r="U151" s="243"/>
      <c r="V151" s="243"/>
      <c r="W151" s="243"/>
      <c r="BA151"/>
      <c r="BB151"/>
    </row>
    <row r="152" spans="1:54" s="188" customFormat="1" ht="13.5">
      <c r="A152" s="223"/>
      <c r="B152" s="177"/>
      <c r="C152" s="180" t="str">
        <f>IFERROR(IF(VLOOKUP($B152,勘定科目!$A:$H,HLOOKUP($E$5,勘定科目!$F$1:$H$2,2,0),0)="","",VLOOKUP($B152,勘定科目!$A:$E,2,0)),"")</f>
        <v/>
      </c>
      <c r="D152" s="236" t="str">
        <f>IF(C152="","",VLOOKUP($B152,勘定科目!$A:$E,4,0))</f>
        <v/>
      </c>
      <c r="E152" s="242"/>
      <c r="F152" s="191"/>
      <c r="G152" s="244"/>
      <c r="H152" s="244"/>
      <c r="I152" s="244"/>
      <c r="J152" s="244"/>
      <c r="K152" s="244"/>
      <c r="L152" s="244"/>
      <c r="M152" s="244"/>
      <c r="N152" s="244"/>
      <c r="O152" s="244"/>
      <c r="P152" s="244"/>
      <c r="Q152" s="244"/>
      <c r="R152" s="197">
        <f t="shared" si="13"/>
        <v>0</v>
      </c>
      <c r="S152" s="198"/>
      <c r="T152" s="199"/>
      <c r="U152" s="243"/>
      <c r="V152" s="243"/>
      <c r="W152" s="243"/>
      <c r="BA152"/>
      <c r="BB152"/>
    </row>
    <row r="153" spans="1:54" s="188" customFormat="1" ht="13.5">
      <c r="A153" s="223"/>
      <c r="B153" s="177"/>
      <c r="C153" s="180" t="str">
        <f>IFERROR(IF(VLOOKUP($B153,勘定科目!$A:$H,HLOOKUP($E$5,勘定科目!$F$1:$H$2,2,0),0)="","",VLOOKUP($B153,勘定科目!$A:$E,2,0)),"")</f>
        <v/>
      </c>
      <c r="D153" s="236" t="str">
        <f>IF(C153="","",VLOOKUP($B153,勘定科目!$A:$E,4,0))</f>
        <v/>
      </c>
      <c r="E153" s="242"/>
      <c r="F153" s="191"/>
      <c r="G153" s="244"/>
      <c r="H153" s="244"/>
      <c r="I153" s="244"/>
      <c r="J153" s="244"/>
      <c r="K153" s="244"/>
      <c r="L153" s="244"/>
      <c r="M153" s="244"/>
      <c r="N153" s="244"/>
      <c r="O153" s="244"/>
      <c r="P153" s="244"/>
      <c r="Q153" s="244"/>
      <c r="R153" s="197">
        <f t="shared" si="13"/>
        <v>0</v>
      </c>
      <c r="S153" s="198"/>
      <c r="T153" s="199"/>
      <c r="U153" s="243"/>
      <c r="V153" s="243"/>
      <c r="W153" s="243"/>
      <c r="BA153"/>
      <c r="BB153"/>
    </row>
    <row r="154" spans="1:54" s="188" customFormat="1" ht="13.5">
      <c r="A154" s="223"/>
      <c r="B154" s="177"/>
      <c r="C154" s="180" t="str">
        <f>IFERROR(IF(VLOOKUP($B154,勘定科目!$A:$H,HLOOKUP($E$5,勘定科目!$F$1:$H$2,2,0),0)="","",VLOOKUP($B154,勘定科目!$A:$E,2,0)),"")</f>
        <v/>
      </c>
      <c r="D154" s="236" t="str">
        <f>IF(C154="","",VLOOKUP($B154,勘定科目!$A:$E,4,0))</f>
        <v/>
      </c>
      <c r="E154" s="242"/>
      <c r="F154" s="191"/>
      <c r="G154" s="244"/>
      <c r="H154" s="244"/>
      <c r="I154" s="244"/>
      <c r="J154" s="244"/>
      <c r="K154" s="244"/>
      <c r="L154" s="244"/>
      <c r="M154" s="244"/>
      <c r="N154" s="244"/>
      <c r="O154" s="244"/>
      <c r="P154" s="244"/>
      <c r="Q154" s="244"/>
      <c r="R154" s="197">
        <f t="shared" si="13"/>
        <v>0</v>
      </c>
      <c r="S154" s="198"/>
      <c r="T154" s="199"/>
      <c r="U154" s="243"/>
      <c r="V154" s="243"/>
      <c r="W154" s="243"/>
      <c r="BA154"/>
      <c r="BB154"/>
    </row>
    <row r="155" spans="1:54" s="188" customFormat="1" ht="13.5">
      <c r="A155" s="223"/>
      <c r="B155" s="177"/>
      <c r="C155" s="180" t="str">
        <f>IFERROR(IF(VLOOKUP($B155,勘定科目!$A:$H,HLOOKUP($E$5,勘定科目!$F$1:$H$2,2,0),0)="","",VLOOKUP($B155,勘定科目!$A:$E,2,0)),"")</f>
        <v/>
      </c>
      <c r="D155" s="236" t="str">
        <f>IF(C155="","",VLOOKUP($B155,勘定科目!$A:$E,4,0))</f>
        <v/>
      </c>
      <c r="E155" s="242"/>
      <c r="F155" s="191"/>
      <c r="G155" s="244"/>
      <c r="H155" s="244"/>
      <c r="I155" s="244"/>
      <c r="J155" s="244"/>
      <c r="K155" s="244"/>
      <c r="L155" s="244"/>
      <c r="M155" s="244"/>
      <c r="N155" s="244"/>
      <c r="O155" s="244"/>
      <c r="P155" s="244"/>
      <c r="Q155" s="244"/>
      <c r="R155" s="197">
        <f t="shared" si="13"/>
        <v>0</v>
      </c>
      <c r="S155" s="198"/>
      <c r="T155" s="199"/>
      <c r="U155" s="243"/>
      <c r="V155" s="243"/>
      <c r="W155" s="243"/>
      <c r="BA155"/>
      <c r="BB155"/>
    </row>
    <row r="156" spans="1:54" s="188" customFormat="1" ht="13.5">
      <c r="A156" s="223"/>
      <c r="B156" s="177"/>
      <c r="C156" s="180" t="str">
        <f>IFERROR(IF(VLOOKUP($B156,勘定科目!$A:$H,HLOOKUP($E$5,勘定科目!$F$1:$H$2,2,0),0)="","",VLOOKUP($B156,勘定科目!$A:$E,2,0)),"")</f>
        <v/>
      </c>
      <c r="D156" s="236" t="str">
        <f>IF(C156="","",VLOOKUP($B156,勘定科目!$A:$E,4,0))</f>
        <v/>
      </c>
      <c r="E156" s="242"/>
      <c r="F156" s="191"/>
      <c r="G156" s="244"/>
      <c r="H156" s="244"/>
      <c r="I156" s="244"/>
      <c r="J156" s="244"/>
      <c r="K156" s="244"/>
      <c r="L156" s="244"/>
      <c r="M156" s="244"/>
      <c r="N156" s="244"/>
      <c r="O156" s="244"/>
      <c r="P156" s="244"/>
      <c r="Q156" s="244"/>
      <c r="R156" s="197">
        <f t="shared" si="13"/>
        <v>0</v>
      </c>
      <c r="S156" s="198"/>
      <c r="T156" s="199"/>
      <c r="U156" s="243"/>
      <c r="V156" s="243"/>
      <c r="W156" s="243"/>
      <c r="BA156"/>
      <c r="BB156"/>
    </row>
    <row r="157" spans="1:54" s="188" customFormat="1" ht="13.5">
      <c r="A157" s="223"/>
      <c r="B157" s="177"/>
      <c r="C157" s="180" t="str">
        <f>IFERROR(IF(VLOOKUP($B157,勘定科目!$A:$H,HLOOKUP($E$5,勘定科目!$F$1:$H$2,2,0),0)="","",VLOOKUP($B157,勘定科目!$A:$E,2,0)),"")</f>
        <v/>
      </c>
      <c r="D157" s="236" t="str">
        <f>IF(C157="","",VLOOKUP($B157,勘定科目!$A:$E,4,0))</f>
        <v/>
      </c>
      <c r="E157" s="242"/>
      <c r="F157" s="191"/>
      <c r="G157" s="244"/>
      <c r="H157" s="244"/>
      <c r="I157" s="244"/>
      <c r="J157" s="244"/>
      <c r="K157" s="244"/>
      <c r="L157" s="244"/>
      <c r="M157" s="244"/>
      <c r="N157" s="244"/>
      <c r="O157" s="244"/>
      <c r="P157" s="244"/>
      <c r="Q157" s="244"/>
      <c r="R157" s="197">
        <f t="shared" si="13"/>
        <v>0</v>
      </c>
      <c r="S157" s="198"/>
      <c r="T157" s="199"/>
      <c r="U157" s="243"/>
      <c r="V157" s="243"/>
      <c r="W157" s="243"/>
      <c r="BA157"/>
      <c r="BB157"/>
    </row>
    <row r="158" spans="1:54" s="188" customFormat="1" ht="13.5">
      <c r="A158" s="223"/>
      <c r="B158" s="177"/>
      <c r="C158" s="180" t="str">
        <f>IFERROR(IF(VLOOKUP($B158,勘定科目!$A:$H,HLOOKUP($E$5,勘定科目!$F$1:$H$2,2,0),0)="","",VLOOKUP($B158,勘定科目!$A:$E,2,0)),"")</f>
        <v/>
      </c>
      <c r="D158" s="236" t="str">
        <f>IF(C158="","",VLOOKUP($B158,勘定科目!$A:$E,4,0))</f>
        <v/>
      </c>
      <c r="E158" s="242"/>
      <c r="F158" s="191"/>
      <c r="G158" s="244"/>
      <c r="H158" s="244"/>
      <c r="I158" s="244"/>
      <c r="J158" s="244"/>
      <c r="K158" s="244"/>
      <c r="L158" s="244"/>
      <c r="M158" s="244"/>
      <c r="N158" s="244"/>
      <c r="O158" s="244"/>
      <c r="P158" s="244"/>
      <c r="Q158" s="244"/>
      <c r="R158" s="197">
        <f t="shared" si="13"/>
        <v>0</v>
      </c>
      <c r="S158" s="198"/>
      <c r="T158" s="199"/>
      <c r="U158" s="243"/>
      <c r="V158" s="243"/>
      <c r="W158" s="243"/>
      <c r="BA158"/>
      <c r="BB158"/>
    </row>
    <row r="159" spans="1:54" s="188" customFormat="1" ht="13.5">
      <c r="A159" s="223"/>
      <c r="B159" s="177"/>
      <c r="C159" s="180" t="str">
        <f>IFERROR(IF(VLOOKUP($B159,勘定科目!$A:$H,HLOOKUP($E$5,勘定科目!$F$1:$H$2,2,0),0)="","",VLOOKUP($B159,勘定科目!$A:$E,2,0)),"")</f>
        <v/>
      </c>
      <c r="D159" s="236" t="str">
        <f>IF(C159="","",VLOOKUP($B159,勘定科目!$A:$E,4,0))</f>
        <v/>
      </c>
      <c r="E159" s="242"/>
      <c r="F159" s="191"/>
      <c r="G159" s="244"/>
      <c r="H159" s="244"/>
      <c r="I159" s="244"/>
      <c r="J159" s="244"/>
      <c r="K159" s="244"/>
      <c r="L159" s="244"/>
      <c r="M159" s="244"/>
      <c r="N159" s="244"/>
      <c r="O159" s="244"/>
      <c r="P159" s="244"/>
      <c r="Q159" s="244"/>
      <c r="R159" s="197">
        <f t="shared" si="13"/>
        <v>0</v>
      </c>
      <c r="S159" s="198"/>
      <c r="T159" s="199"/>
      <c r="U159" s="243"/>
      <c r="V159" s="243"/>
      <c r="W159" s="243"/>
      <c r="BA159"/>
      <c r="BB159"/>
    </row>
    <row r="160" spans="1:54" s="188" customFormat="1" ht="13.5">
      <c r="A160" s="223"/>
      <c r="B160" s="177"/>
      <c r="C160" s="180" t="str">
        <f>IFERROR(IF(VLOOKUP($B160,勘定科目!$A:$H,HLOOKUP($E$5,勘定科目!$F$1:$H$2,2,0),0)="","",VLOOKUP($B160,勘定科目!$A:$E,2,0)),"")</f>
        <v/>
      </c>
      <c r="D160" s="236" t="str">
        <f>IF(C160="","",VLOOKUP($B160,勘定科目!$A:$E,4,0))</f>
        <v/>
      </c>
      <c r="E160" s="242"/>
      <c r="F160" s="191"/>
      <c r="G160" s="244"/>
      <c r="H160" s="244"/>
      <c r="I160" s="244"/>
      <c r="J160" s="244"/>
      <c r="K160" s="244"/>
      <c r="L160" s="244"/>
      <c r="M160" s="244"/>
      <c r="N160" s="244"/>
      <c r="O160" s="244"/>
      <c r="P160" s="244"/>
      <c r="Q160" s="244"/>
      <c r="R160" s="197">
        <f t="shared" si="13"/>
        <v>0</v>
      </c>
      <c r="S160" s="198"/>
      <c r="T160" s="199"/>
      <c r="U160" s="243"/>
      <c r="V160" s="243"/>
      <c r="W160" s="243"/>
      <c r="BA160"/>
      <c r="BB160"/>
    </row>
    <row r="161" spans="1:54" s="188" customFormat="1" ht="13.5">
      <c r="A161" s="223"/>
      <c r="B161" s="177"/>
      <c r="C161" s="180" t="str">
        <f>IFERROR(IF(VLOOKUP($B161,勘定科目!$A:$H,HLOOKUP($E$5,勘定科目!$F$1:$H$2,2,0),0)="","",VLOOKUP($B161,勘定科目!$A:$E,2,0)),"")</f>
        <v/>
      </c>
      <c r="D161" s="236" t="str">
        <f>IF(C161="","",VLOOKUP($B161,勘定科目!$A:$E,4,0))</f>
        <v/>
      </c>
      <c r="E161" s="242"/>
      <c r="F161" s="191"/>
      <c r="G161" s="244"/>
      <c r="H161" s="244"/>
      <c r="I161" s="244"/>
      <c r="J161" s="244"/>
      <c r="K161" s="244"/>
      <c r="L161" s="244"/>
      <c r="M161" s="244"/>
      <c r="N161" s="244"/>
      <c r="O161" s="244"/>
      <c r="P161" s="244"/>
      <c r="Q161" s="244"/>
      <c r="R161" s="197">
        <f t="shared" si="13"/>
        <v>0</v>
      </c>
      <c r="S161" s="198"/>
      <c r="T161" s="199"/>
      <c r="U161" s="243"/>
      <c r="V161" s="243"/>
      <c r="W161" s="243"/>
      <c r="BA161"/>
      <c r="BB161"/>
    </row>
    <row r="162" spans="1:54" s="188" customFormat="1" ht="13.5">
      <c r="A162" s="223"/>
      <c r="B162" s="177"/>
      <c r="C162" s="180" t="str">
        <f>IFERROR(IF(VLOOKUP($B162,勘定科目!$A:$H,HLOOKUP($E$5,勘定科目!$F$1:$H$2,2,0),0)="","",VLOOKUP($B162,勘定科目!$A:$E,2,0)),"")</f>
        <v/>
      </c>
      <c r="D162" s="236" t="str">
        <f>IF(C162="","",VLOOKUP($B162,勘定科目!$A:$E,4,0))</f>
        <v/>
      </c>
      <c r="E162" s="242"/>
      <c r="F162" s="191"/>
      <c r="G162" s="244"/>
      <c r="H162" s="244"/>
      <c r="I162" s="244"/>
      <c r="J162" s="244"/>
      <c r="K162" s="244"/>
      <c r="L162" s="244"/>
      <c r="M162" s="244"/>
      <c r="N162" s="244"/>
      <c r="O162" s="244"/>
      <c r="P162" s="244"/>
      <c r="Q162" s="244"/>
      <c r="R162" s="197">
        <f t="shared" si="13"/>
        <v>0</v>
      </c>
      <c r="S162" s="198"/>
      <c r="T162" s="199"/>
      <c r="U162" s="243"/>
      <c r="V162" s="243"/>
      <c r="W162" s="243"/>
      <c r="BA162"/>
      <c r="BB162"/>
    </row>
    <row r="163" spans="1:54" s="188" customFormat="1" ht="13.5">
      <c r="A163" s="223"/>
      <c r="B163" s="177"/>
      <c r="C163" s="180" t="str">
        <f>IFERROR(IF(VLOOKUP($B163,勘定科目!$A:$H,HLOOKUP($E$5,勘定科目!$F$1:$H$2,2,0),0)="","",VLOOKUP($B163,勘定科目!$A:$E,2,0)),"")</f>
        <v/>
      </c>
      <c r="D163" s="236" t="str">
        <f>IF(C163="","",VLOOKUP($B163,勘定科目!$A:$E,4,0))</f>
        <v/>
      </c>
      <c r="E163" s="242"/>
      <c r="F163" s="191"/>
      <c r="G163" s="244"/>
      <c r="H163" s="244"/>
      <c r="I163" s="244"/>
      <c r="J163" s="244"/>
      <c r="K163" s="244"/>
      <c r="L163" s="244"/>
      <c r="M163" s="244"/>
      <c r="N163" s="244"/>
      <c r="O163" s="244"/>
      <c r="P163" s="244"/>
      <c r="Q163" s="244"/>
      <c r="R163" s="197">
        <f t="shared" si="13"/>
        <v>0</v>
      </c>
      <c r="S163" s="198"/>
      <c r="T163" s="199"/>
      <c r="U163" s="243"/>
      <c r="V163" s="243"/>
      <c r="W163" s="243"/>
      <c r="BA163"/>
      <c r="BB163"/>
    </row>
    <row r="164" spans="1:54" s="188" customFormat="1" ht="13.5">
      <c r="A164" s="223"/>
      <c r="B164" s="177"/>
      <c r="C164" s="180" t="str">
        <f>IFERROR(IF(VLOOKUP($B164,勘定科目!$A:$H,HLOOKUP($E$5,勘定科目!$F$1:$H$2,2,0),0)="","",VLOOKUP($B164,勘定科目!$A:$E,2,0)),"")</f>
        <v/>
      </c>
      <c r="D164" s="236" t="str">
        <f>IF(C164="","",VLOOKUP($B164,勘定科目!$A:$E,4,0))</f>
        <v/>
      </c>
      <c r="E164" s="242"/>
      <c r="F164" s="191"/>
      <c r="G164" s="244"/>
      <c r="H164" s="244"/>
      <c r="I164" s="244"/>
      <c r="J164" s="244"/>
      <c r="K164" s="244"/>
      <c r="L164" s="244"/>
      <c r="M164" s="244"/>
      <c r="N164" s="244"/>
      <c r="O164" s="244"/>
      <c r="P164" s="244"/>
      <c r="Q164" s="244"/>
      <c r="R164" s="197">
        <f t="shared" si="13"/>
        <v>0</v>
      </c>
      <c r="S164" s="198"/>
      <c r="T164" s="199"/>
      <c r="U164" s="243"/>
      <c r="V164" s="243"/>
      <c r="W164" s="243"/>
      <c r="BA164"/>
      <c r="BB164"/>
    </row>
    <row r="165" spans="1:54" s="188" customFormat="1" ht="13.5">
      <c r="A165" s="223"/>
      <c r="B165" s="177"/>
      <c r="C165" s="180" t="str">
        <f>IFERROR(IF(VLOOKUP($B165,勘定科目!$A:$H,HLOOKUP($E$5,勘定科目!$F$1:$H$2,2,0),0)="","",VLOOKUP($B165,勘定科目!$A:$E,2,0)),"")</f>
        <v/>
      </c>
      <c r="D165" s="236" t="str">
        <f>IF(C165="","",VLOOKUP($B165,勘定科目!$A:$E,4,0))</f>
        <v/>
      </c>
      <c r="E165" s="242"/>
      <c r="F165" s="191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244"/>
      <c r="R165" s="197">
        <f t="shared" si="13"/>
        <v>0</v>
      </c>
      <c r="S165" s="198"/>
      <c r="T165" s="199"/>
      <c r="U165" s="243"/>
      <c r="V165" s="243"/>
      <c r="W165" s="243"/>
      <c r="BA165"/>
      <c r="BB165"/>
    </row>
    <row r="166" spans="1:54" s="188" customFormat="1" ht="13.5">
      <c r="A166" s="223"/>
      <c r="B166" s="177"/>
      <c r="C166" s="180" t="str">
        <f>IFERROR(IF(VLOOKUP($B166,勘定科目!$A:$H,HLOOKUP($E$5,勘定科目!$F$1:$H$2,2,0),0)="","",VLOOKUP($B166,勘定科目!$A:$E,2,0)),"")</f>
        <v/>
      </c>
      <c r="D166" s="236" t="str">
        <f>IF(C166="","",VLOOKUP($B166,勘定科目!$A:$E,4,0))</f>
        <v/>
      </c>
      <c r="E166" s="242"/>
      <c r="F166" s="191"/>
      <c r="G166" s="244"/>
      <c r="H166" s="244"/>
      <c r="I166" s="244"/>
      <c r="J166" s="244"/>
      <c r="K166" s="244"/>
      <c r="L166" s="244"/>
      <c r="M166" s="244"/>
      <c r="N166" s="244"/>
      <c r="O166" s="244"/>
      <c r="P166" s="244"/>
      <c r="Q166" s="244"/>
      <c r="R166" s="197">
        <f t="shared" si="13"/>
        <v>0</v>
      </c>
      <c r="S166" s="198"/>
      <c r="T166" s="199"/>
      <c r="U166" s="243"/>
      <c r="V166" s="243"/>
      <c r="W166" s="243"/>
      <c r="BA166"/>
      <c r="BB166"/>
    </row>
    <row r="167" spans="1:54" s="188" customFormat="1" ht="13.5">
      <c r="A167" s="223"/>
      <c r="B167" s="177"/>
      <c r="C167" s="180" t="str">
        <f>IFERROR(IF(VLOOKUP($B167,勘定科目!$A:$H,HLOOKUP($E$5,勘定科目!$F$1:$H$2,2,0),0)="","",VLOOKUP($B167,勘定科目!$A:$E,2,0)),"")</f>
        <v/>
      </c>
      <c r="D167" s="236" t="str">
        <f>IF(C167="","",VLOOKUP($B167,勘定科目!$A:$E,4,0))</f>
        <v/>
      </c>
      <c r="E167" s="242"/>
      <c r="F167" s="191"/>
      <c r="G167" s="244"/>
      <c r="H167" s="244"/>
      <c r="I167" s="244"/>
      <c r="J167" s="244"/>
      <c r="K167" s="244"/>
      <c r="L167" s="244"/>
      <c r="M167" s="244"/>
      <c r="N167" s="244"/>
      <c r="O167" s="244"/>
      <c r="P167" s="244"/>
      <c r="Q167" s="244"/>
      <c r="R167" s="197">
        <f t="shared" si="13"/>
        <v>0</v>
      </c>
      <c r="S167" s="198"/>
      <c r="T167" s="199"/>
      <c r="U167" s="243"/>
      <c r="V167" s="243"/>
      <c r="W167" s="243"/>
      <c r="BA167"/>
      <c r="BB167"/>
    </row>
    <row r="168" spans="1:54" s="188" customFormat="1" ht="13.5">
      <c r="A168" s="223"/>
      <c r="B168" s="177"/>
      <c r="C168" s="180" t="str">
        <f>IFERROR(IF(VLOOKUP($B168,勘定科目!$A:$H,HLOOKUP($E$5,勘定科目!$F$1:$H$2,2,0),0)="","",VLOOKUP($B168,勘定科目!$A:$E,2,0)),"")</f>
        <v/>
      </c>
      <c r="D168" s="236" t="str">
        <f>IF(C168="","",VLOOKUP($B168,勘定科目!$A:$E,4,0))</f>
        <v/>
      </c>
      <c r="E168" s="242"/>
      <c r="F168" s="191"/>
      <c r="G168" s="244"/>
      <c r="H168" s="244"/>
      <c r="I168" s="244"/>
      <c r="J168" s="244"/>
      <c r="K168" s="244"/>
      <c r="L168" s="244"/>
      <c r="M168" s="244"/>
      <c r="N168" s="244"/>
      <c r="O168" s="244"/>
      <c r="P168" s="244"/>
      <c r="Q168" s="244"/>
      <c r="R168" s="197">
        <f t="shared" si="13"/>
        <v>0</v>
      </c>
      <c r="S168" s="198"/>
      <c r="T168" s="199"/>
      <c r="U168" s="243"/>
      <c r="V168" s="243"/>
      <c r="W168" s="243"/>
      <c r="BA168"/>
      <c r="BB168"/>
    </row>
    <row r="169" spans="1:54" s="188" customFormat="1" ht="13.5">
      <c r="A169" s="223"/>
      <c r="B169" s="177"/>
      <c r="C169" s="180" t="str">
        <f>IFERROR(IF(VLOOKUP($B169,勘定科目!$A:$H,HLOOKUP($E$5,勘定科目!$F$1:$H$2,2,0),0)="","",VLOOKUP($B169,勘定科目!$A:$E,2,0)),"")</f>
        <v/>
      </c>
      <c r="D169" s="236" t="str">
        <f>IF(C169="","",VLOOKUP($B169,勘定科目!$A:$E,4,0))</f>
        <v/>
      </c>
      <c r="E169" s="242"/>
      <c r="F169" s="191"/>
      <c r="G169" s="244"/>
      <c r="H169" s="244"/>
      <c r="I169" s="244"/>
      <c r="J169" s="244"/>
      <c r="K169" s="244"/>
      <c r="L169" s="244"/>
      <c r="M169" s="244"/>
      <c r="N169" s="244"/>
      <c r="O169" s="244"/>
      <c r="P169" s="244"/>
      <c r="Q169" s="244"/>
      <c r="R169" s="197">
        <f t="shared" si="13"/>
        <v>0</v>
      </c>
      <c r="S169" s="198"/>
      <c r="T169" s="199"/>
      <c r="U169" s="243"/>
      <c r="V169" s="243"/>
      <c r="W169" s="243"/>
      <c r="BA169"/>
      <c r="BB169"/>
    </row>
    <row r="170" spans="1:54" s="188" customFormat="1" ht="13.5">
      <c r="A170" s="223"/>
      <c r="B170" s="177"/>
      <c r="C170" s="180" t="str">
        <f>IFERROR(IF(VLOOKUP($B170,勘定科目!$A:$H,HLOOKUP($E$5,勘定科目!$F$1:$H$2,2,0),0)="","",VLOOKUP($B170,勘定科目!$A:$E,2,0)),"")</f>
        <v/>
      </c>
      <c r="D170" s="236" t="str">
        <f>IF(C170="","",VLOOKUP($B170,勘定科目!$A:$E,4,0))</f>
        <v/>
      </c>
      <c r="E170" s="242"/>
      <c r="F170" s="191"/>
      <c r="G170" s="244"/>
      <c r="H170" s="244"/>
      <c r="I170" s="244"/>
      <c r="J170" s="244"/>
      <c r="K170" s="244"/>
      <c r="L170" s="244"/>
      <c r="M170" s="244"/>
      <c r="N170" s="244"/>
      <c r="O170" s="244"/>
      <c r="P170" s="244"/>
      <c r="Q170" s="244"/>
      <c r="R170" s="197">
        <f t="shared" si="13"/>
        <v>0</v>
      </c>
      <c r="S170" s="198"/>
      <c r="T170" s="199"/>
      <c r="U170" s="243"/>
      <c r="V170" s="243"/>
      <c r="W170" s="243"/>
      <c r="BA170"/>
      <c r="BB170"/>
    </row>
    <row r="171" spans="1:54" s="188" customFormat="1" ht="13.5">
      <c r="A171" s="223"/>
      <c r="B171" s="177"/>
      <c r="C171" s="180" t="str">
        <f>IFERROR(IF(VLOOKUP($B171,勘定科目!$A:$H,HLOOKUP($E$5,勘定科目!$F$1:$H$2,2,0),0)="","",VLOOKUP($B171,勘定科目!$A:$E,2,0)),"")</f>
        <v/>
      </c>
      <c r="D171" s="236" t="str">
        <f>IF(C171="","",VLOOKUP($B171,勘定科目!$A:$E,4,0))</f>
        <v/>
      </c>
      <c r="E171" s="242"/>
      <c r="F171" s="191"/>
      <c r="G171" s="244"/>
      <c r="H171" s="244"/>
      <c r="I171" s="244"/>
      <c r="J171" s="244"/>
      <c r="K171" s="244"/>
      <c r="L171" s="244"/>
      <c r="M171" s="244"/>
      <c r="N171" s="244"/>
      <c r="O171" s="244"/>
      <c r="P171" s="244"/>
      <c r="Q171" s="244"/>
      <c r="R171" s="197">
        <f t="shared" si="13"/>
        <v>0</v>
      </c>
      <c r="S171" s="198"/>
      <c r="T171" s="199"/>
      <c r="U171" s="243"/>
      <c r="V171" s="243"/>
      <c r="W171" s="243"/>
      <c r="BA171"/>
      <c r="BB171"/>
    </row>
    <row r="172" spans="1:54" s="188" customFormat="1" ht="13.5">
      <c r="A172" s="223"/>
      <c r="B172" s="177"/>
      <c r="C172" s="180" t="str">
        <f>IFERROR(IF(VLOOKUP($B172,勘定科目!$A:$H,HLOOKUP($E$5,勘定科目!$F$1:$H$2,2,0),0)="","",VLOOKUP($B172,勘定科目!$A:$E,2,0)),"")</f>
        <v/>
      </c>
      <c r="D172" s="236" t="str">
        <f>IF(C172="","",VLOOKUP($B172,勘定科目!$A:$E,4,0))</f>
        <v/>
      </c>
      <c r="E172" s="242"/>
      <c r="F172" s="191"/>
      <c r="G172" s="244"/>
      <c r="H172" s="244"/>
      <c r="I172" s="244"/>
      <c r="J172" s="244"/>
      <c r="K172" s="244"/>
      <c r="L172" s="244"/>
      <c r="M172" s="244"/>
      <c r="N172" s="244"/>
      <c r="O172" s="244"/>
      <c r="P172" s="244"/>
      <c r="Q172" s="244"/>
      <c r="R172" s="197">
        <f t="shared" si="13"/>
        <v>0</v>
      </c>
      <c r="S172" s="198"/>
      <c r="T172" s="199"/>
      <c r="U172" s="243"/>
      <c r="V172" s="243"/>
      <c r="W172" s="243"/>
      <c r="BA172"/>
      <c r="BB172"/>
    </row>
    <row r="173" spans="1:54" s="188" customFormat="1" ht="13.5">
      <c r="A173" s="223"/>
      <c r="B173" s="177"/>
      <c r="C173" s="180" t="str">
        <f>IFERROR(IF(VLOOKUP($B173,勘定科目!$A:$H,HLOOKUP($E$5,勘定科目!$F$1:$H$2,2,0),0)="","",VLOOKUP($B173,勘定科目!$A:$E,2,0)),"")</f>
        <v/>
      </c>
      <c r="D173" s="236" t="str">
        <f>IF(C173="","",VLOOKUP($B173,勘定科目!$A:$E,4,0))</f>
        <v/>
      </c>
      <c r="E173" s="242"/>
      <c r="F173" s="191"/>
      <c r="G173" s="244"/>
      <c r="H173" s="244"/>
      <c r="I173" s="244"/>
      <c r="J173" s="244"/>
      <c r="K173" s="244"/>
      <c r="L173" s="244"/>
      <c r="M173" s="244"/>
      <c r="N173" s="244"/>
      <c r="O173" s="244"/>
      <c r="P173" s="244"/>
      <c r="Q173" s="244"/>
      <c r="R173" s="197">
        <f t="shared" si="13"/>
        <v>0</v>
      </c>
      <c r="S173" s="198"/>
      <c r="T173" s="199"/>
      <c r="U173" s="243"/>
      <c r="V173" s="243"/>
      <c r="W173" s="243"/>
      <c r="BA173"/>
      <c r="BB173"/>
    </row>
    <row r="174" spans="1:54" s="188" customFormat="1" ht="13.5">
      <c r="A174" s="223"/>
      <c r="B174" s="177"/>
      <c r="C174" s="180" t="str">
        <f>IFERROR(IF(VLOOKUP($B174,勘定科目!$A:$H,HLOOKUP($E$5,勘定科目!$F$1:$H$2,2,0),0)="","",VLOOKUP($B174,勘定科目!$A:$E,2,0)),"")</f>
        <v/>
      </c>
      <c r="D174" s="236" t="str">
        <f>IF(C174="","",VLOOKUP($B174,勘定科目!$A:$E,4,0))</f>
        <v/>
      </c>
      <c r="E174" s="242"/>
      <c r="F174" s="191"/>
      <c r="G174" s="244"/>
      <c r="H174" s="244"/>
      <c r="I174" s="244"/>
      <c r="J174" s="244"/>
      <c r="K174" s="244"/>
      <c r="L174" s="244"/>
      <c r="M174" s="244"/>
      <c r="N174" s="244"/>
      <c r="O174" s="244"/>
      <c r="P174" s="244"/>
      <c r="Q174" s="244"/>
      <c r="R174" s="197">
        <f t="shared" si="13"/>
        <v>0</v>
      </c>
      <c r="S174" s="198"/>
      <c r="T174" s="199"/>
      <c r="U174" s="243"/>
      <c r="V174" s="243"/>
      <c r="W174" s="243"/>
      <c r="BA174"/>
      <c r="BB174"/>
    </row>
    <row r="175" spans="1:54" s="188" customFormat="1" ht="13.5">
      <c r="A175" s="223"/>
      <c r="B175" s="177"/>
      <c r="C175" s="180" t="str">
        <f>IFERROR(IF(VLOOKUP($B175,勘定科目!$A:$H,HLOOKUP($E$5,勘定科目!$F$1:$H$2,2,0),0)="","",VLOOKUP($B175,勘定科目!$A:$E,2,0)),"")</f>
        <v/>
      </c>
      <c r="D175" s="236" t="str">
        <f>IF(C175="","",VLOOKUP($B175,勘定科目!$A:$E,4,0))</f>
        <v/>
      </c>
      <c r="E175" s="242"/>
      <c r="F175" s="191"/>
      <c r="G175" s="244"/>
      <c r="H175" s="244"/>
      <c r="I175" s="244"/>
      <c r="J175" s="244"/>
      <c r="K175" s="244"/>
      <c r="L175" s="244"/>
      <c r="M175" s="244"/>
      <c r="N175" s="244"/>
      <c r="O175" s="244"/>
      <c r="P175" s="244"/>
      <c r="Q175" s="244"/>
      <c r="R175" s="197">
        <f t="shared" si="13"/>
        <v>0</v>
      </c>
      <c r="S175" s="198"/>
      <c r="T175" s="199"/>
      <c r="U175" s="243"/>
      <c r="V175" s="243"/>
      <c r="W175" s="243"/>
      <c r="BA175"/>
      <c r="BB175"/>
    </row>
    <row r="176" spans="1:54" s="188" customFormat="1" ht="13.5">
      <c r="A176" s="223"/>
      <c r="B176" s="177"/>
      <c r="C176" s="180" t="str">
        <f>IFERROR(IF(VLOOKUP($B176,勘定科目!$A:$H,HLOOKUP($E$5,勘定科目!$F$1:$H$2,2,0),0)="","",VLOOKUP($B176,勘定科目!$A:$E,2,0)),"")</f>
        <v/>
      </c>
      <c r="D176" s="236" t="str">
        <f>IF(C176="","",VLOOKUP($B176,勘定科目!$A:$E,4,0))</f>
        <v/>
      </c>
      <c r="E176" s="242"/>
      <c r="F176" s="191"/>
      <c r="G176" s="244"/>
      <c r="H176" s="244"/>
      <c r="I176" s="244"/>
      <c r="J176" s="244"/>
      <c r="K176" s="244"/>
      <c r="L176" s="244"/>
      <c r="M176" s="244"/>
      <c r="N176" s="244"/>
      <c r="O176" s="244"/>
      <c r="P176" s="244"/>
      <c r="Q176" s="244"/>
      <c r="R176" s="197">
        <f t="shared" si="13"/>
        <v>0</v>
      </c>
      <c r="S176" s="198"/>
      <c r="T176" s="199"/>
      <c r="U176" s="243"/>
      <c r="V176" s="243"/>
      <c r="W176" s="243"/>
      <c r="BA176"/>
      <c r="BB176"/>
    </row>
    <row r="177" spans="1:54" s="188" customFormat="1" ht="13.5">
      <c r="A177" s="223"/>
      <c r="B177" s="177"/>
      <c r="C177" s="180" t="str">
        <f>IFERROR(IF(VLOOKUP($B177,勘定科目!$A:$H,HLOOKUP($E$5,勘定科目!$F$1:$H$2,2,0),0)="","",VLOOKUP($B177,勘定科目!$A:$E,2,0)),"")</f>
        <v/>
      </c>
      <c r="D177" s="236" t="str">
        <f>IF(C177="","",VLOOKUP($B177,勘定科目!$A:$E,4,0))</f>
        <v/>
      </c>
      <c r="E177" s="242"/>
      <c r="F177" s="191"/>
      <c r="G177" s="244"/>
      <c r="H177" s="244"/>
      <c r="I177" s="244"/>
      <c r="J177" s="244"/>
      <c r="K177" s="244"/>
      <c r="L177" s="244"/>
      <c r="M177" s="244"/>
      <c r="N177" s="244"/>
      <c r="O177" s="244"/>
      <c r="P177" s="244"/>
      <c r="Q177" s="244"/>
      <c r="R177" s="197">
        <f t="shared" si="13"/>
        <v>0</v>
      </c>
      <c r="S177" s="198"/>
      <c r="T177" s="199"/>
      <c r="U177" s="243"/>
      <c r="V177" s="243"/>
      <c r="W177" s="243"/>
      <c r="BA177"/>
      <c r="BB177"/>
    </row>
    <row r="178" spans="1:54" s="188" customFormat="1" ht="13.5">
      <c r="A178" s="223"/>
      <c r="B178" s="177"/>
      <c r="C178" s="180" t="str">
        <f>IFERROR(IF(VLOOKUP($B178,勘定科目!$A:$H,HLOOKUP($E$5,勘定科目!$F$1:$H$2,2,0),0)="","",VLOOKUP($B178,勘定科目!$A:$E,2,0)),"")</f>
        <v/>
      </c>
      <c r="D178" s="236" t="str">
        <f>IF(C178="","",VLOOKUP($B178,勘定科目!$A:$E,4,0))</f>
        <v/>
      </c>
      <c r="E178" s="242"/>
      <c r="F178" s="191"/>
      <c r="G178" s="244"/>
      <c r="H178" s="244"/>
      <c r="I178" s="244"/>
      <c r="J178" s="244"/>
      <c r="K178" s="244"/>
      <c r="L178" s="244"/>
      <c r="M178" s="244"/>
      <c r="N178" s="244"/>
      <c r="O178" s="244"/>
      <c r="P178" s="244"/>
      <c r="Q178" s="244"/>
      <c r="R178" s="197">
        <f t="shared" si="13"/>
        <v>0</v>
      </c>
      <c r="S178" s="198"/>
      <c r="T178" s="199"/>
      <c r="U178" s="243"/>
      <c r="V178" s="243"/>
      <c r="W178" s="243"/>
      <c r="BA178"/>
      <c r="BB178"/>
    </row>
    <row r="179" spans="1:54" s="188" customFormat="1" ht="13.5">
      <c r="A179" s="223"/>
      <c r="B179" s="177"/>
      <c r="C179" s="180" t="str">
        <f>IFERROR(IF(VLOOKUP($B179,勘定科目!$A:$H,HLOOKUP($E$5,勘定科目!$F$1:$H$2,2,0),0)="","",VLOOKUP($B179,勘定科目!$A:$E,2,0)),"")</f>
        <v/>
      </c>
      <c r="D179" s="236" t="str">
        <f>IF(C179="","",VLOOKUP($B179,勘定科目!$A:$E,4,0))</f>
        <v/>
      </c>
      <c r="E179" s="242"/>
      <c r="F179" s="191"/>
      <c r="G179" s="244"/>
      <c r="H179" s="244"/>
      <c r="I179" s="244"/>
      <c r="J179" s="244"/>
      <c r="K179" s="244"/>
      <c r="L179" s="244"/>
      <c r="M179" s="244"/>
      <c r="N179" s="244"/>
      <c r="O179" s="244"/>
      <c r="P179" s="244"/>
      <c r="Q179" s="244"/>
      <c r="R179" s="197">
        <f t="shared" si="13"/>
        <v>0</v>
      </c>
      <c r="S179" s="198"/>
      <c r="T179" s="199"/>
      <c r="U179" s="243"/>
      <c r="V179" s="243"/>
      <c r="W179" s="243"/>
      <c r="BA179"/>
      <c r="BB179"/>
    </row>
    <row r="180" spans="1:54" s="188" customFormat="1" ht="13.5">
      <c r="A180" s="223"/>
      <c r="B180" s="177"/>
      <c r="C180" s="180" t="str">
        <f>IFERROR(IF(VLOOKUP($B180,勘定科目!$A:$H,HLOOKUP($E$5,勘定科目!$F$1:$H$2,2,0),0)="","",VLOOKUP($B180,勘定科目!$A:$E,2,0)),"")</f>
        <v/>
      </c>
      <c r="D180" s="236" t="str">
        <f>IF(C180="","",VLOOKUP($B180,勘定科目!$A:$E,4,0))</f>
        <v/>
      </c>
      <c r="E180" s="242"/>
      <c r="F180" s="191"/>
      <c r="G180" s="244"/>
      <c r="H180" s="244"/>
      <c r="I180" s="244"/>
      <c r="J180" s="244"/>
      <c r="K180" s="244"/>
      <c r="L180" s="244"/>
      <c r="M180" s="244"/>
      <c r="N180" s="244"/>
      <c r="O180" s="244"/>
      <c r="P180" s="244"/>
      <c r="Q180" s="244"/>
      <c r="R180" s="197">
        <f t="shared" si="13"/>
        <v>0</v>
      </c>
      <c r="S180" s="198"/>
      <c r="T180" s="199"/>
      <c r="U180" s="243"/>
      <c r="V180" s="243"/>
      <c r="W180" s="243"/>
      <c r="BA180"/>
      <c r="BB180"/>
    </row>
    <row r="181" spans="1:54" s="188" customFormat="1" ht="13.5">
      <c r="A181" s="223"/>
      <c r="B181" s="177"/>
      <c r="C181" s="180" t="str">
        <f>IFERROR(IF(VLOOKUP($B181,勘定科目!$A:$H,HLOOKUP($E$5,勘定科目!$F$1:$H$2,2,0),0)="","",VLOOKUP($B181,勘定科目!$A:$E,2,0)),"")</f>
        <v/>
      </c>
      <c r="D181" s="236" t="str">
        <f>IF(C181="","",VLOOKUP($B181,勘定科目!$A:$E,4,0))</f>
        <v/>
      </c>
      <c r="E181" s="242"/>
      <c r="F181" s="191"/>
      <c r="G181" s="244"/>
      <c r="H181" s="244"/>
      <c r="I181" s="244"/>
      <c r="J181" s="244"/>
      <c r="K181" s="244"/>
      <c r="L181" s="244"/>
      <c r="M181" s="244"/>
      <c r="N181" s="244"/>
      <c r="O181" s="244"/>
      <c r="P181" s="244"/>
      <c r="Q181" s="244"/>
      <c r="R181" s="197">
        <f t="shared" ref="R181:R244" si="14">SUM(F181:Q181)</f>
        <v>0</v>
      </c>
      <c r="S181" s="198"/>
      <c r="T181" s="199"/>
      <c r="U181" s="243"/>
      <c r="V181" s="243"/>
      <c r="W181" s="243"/>
      <c r="BA181"/>
      <c r="BB181"/>
    </row>
    <row r="182" spans="1:54" s="188" customFormat="1" ht="13.5">
      <c r="A182" s="223"/>
      <c r="B182" s="177"/>
      <c r="C182" s="180" t="str">
        <f>IFERROR(IF(VLOOKUP($B182,勘定科目!$A:$H,HLOOKUP($E$5,勘定科目!$F$1:$H$2,2,0),0)="","",VLOOKUP($B182,勘定科目!$A:$E,2,0)),"")</f>
        <v/>
      </c>
      <c r="D182" s="236" t="str">
        <f>IF(C182="","",VLOOKUP($B182,勘定科目!$A:$E,4,0))</f>
        <v/>
      </c>
      <c r="E182" s="242"/>
      <c r="F182" s="191"/>
      <c r="G182" s="244"/>
      <c r="H182" s="244"/>
      <c r="I182" s="244"/>
      <c r="J182" s="244"/>
      <c r="K182" s="244"/>
      <c r="L182" s="244"/>
      <c r="M182" s="244"/>
      <c r="N182" s="244"/>
      <c r="O182" s="244"/>
      <c r="P182" s="244"/>
      <c r="Q182" s="244"/>
      <c r="R182" s="197">
        <f t="shared" si="14"/>
        <v>0</v>
      </c>
      <c r="S182" s="198"/>
      <c r="T182" s="199"/>
      <c r="U182" s="243"/>
      <c r="V182" s="243"/>
      <c r="W182" s="243"/>
      <c r="BA182"/>
      <c r="BB182"/>
    </row>
    <row r="183" spans="1:54" s="188" customFormat="1" ht="13.5">
      <c r="A183" s="223"/>
      <c r="B183" s="177"/>
      <c r="C183" s="180" t="str">
        <f>IFERROR(IF(VLOOKUP($B183,勘定科目!$A:$H,HLOOKUP($E$5,勘定科目!$F$1:$H$2,2,0),0)="","",VLOOKUP($B183,勘定科目!$A:$E,2,0)),"")</f>
        <v/>
      </c>
      <c r="D183" s="236" t="str">
        <f>IF(C183="","",VLOOKUP($B183,勘定科目!$A:$E,4,0))</f>
        <v/>
      </c>
      <c r="E183" s="242"/>
      <c r="F183" s="191"/>
      <c r="G183" s="244"/>
      <c r="H183" s="244"/>
      <c r="I183" s="244"/>
      <c r="J183" s="244"/>
      <c r="K183" s="244"/>
      <c r="L183" s="244"/>
      <c r="M183" s="244"/>
      <c r="N183" s="244"/>
      <c r="O183" s="244"/>
      <c r="P183" s="244"/>
      <c r="Q183" s="244"/>
      <c r="R183" s="197">
        <f t="shared" si="14"/>
        <v>0</v>
      </c>
      <c r="S183" s="198"/>
      <c r="T183" s="199"/>
      <c r="U183" s="243"/>
      <c r="V183" s="243"/>
      <c r="W183" s="243"/>
      <c r="BA183"/>
      <c r="BB183"/>
    </row>
    <row r="184" spans="1:54" s="188" customFormat="1" ht="13.5">
      <c r="A184" s="223"/>
      <c r="B184" s="177"/>
      <c r="C184" s="180" t="str">
        <f>IFERROR(IF(VLOOKUP($B184,勘定科目!$A:$H,HLOOKUP($E$5,勘定科目!$F$1:$H$2,2,0),0)="","",VLOOKUP($B184,勘定科目!$A:$E,2,0)),"")</f>
        <v/>
      </c>
      <c r="D184" s="236" t="str">
        <f>IF(C184="","",VLOOKUP($B184,勘定科目!$A:$E,4,0))</f>
        <v/>
      </c>
      <c r="E184" s="242"/>
      <c r="F184" s="191"/>
      <c r="G184" s="244"/>
      <c r="H184" s="244"/>
      <c r="I184" s="244"/>
      <c r="J184" s="244"/>
      <c r="K184" s="244"/>
      <c r="L184" s="244"/>
      <c r="M184" s="244"/>
      <c r="N184" s="244"/>
      <c r="O184" s="244"/>
      <c r="P184" s="244"/>
      <c r="Q184" s="244"/>
      <c r="R184" s="197">
        <f t="shared" si="14"/>
        <v>0</v>
      </c>
      <c r="S184" s="198"/>
      <c r="T184" s="199"/>
      <c r="U184" s="243"/>
      <c r="V184" s="243"/>
      <c r="W184" s="243"/>
      <c r="BA184"/>
      <c r="BB184"/>
    </row>
    <row r="185" spans="1:54" s="188" customFormat="1" ht="13.5">
      <c r="A185" s="223"/>
      <c r="B185" s="177"/>
      <c r="C185" s="180" t="str">
        <f>IFERROR(IF(VLOOKUP($B185,勘定科目!$A:$H,HLOOKUP($E$5,勘定科目!$F$1:$H$2,2,0),0)="","",VLOOKUP($B185,勘定科目!$A:$E,2,0)),"")</f>
        <v/>
      </c>
      <c r="D185" s="236" t="str">
        <f>IF(C185="","",VLOOKUP($B185,勘定科目!$A:$E,4,0))</f>
        <v/>
      </c>
      <c r="E185" s="242"/>
      <c r="F185" s="191"/>
      <c r="G185" s="244"/>
      <c r="H185" s="244"/>
      <c r="I185" s="244"/>
      <c r="J185" s="244"/>
      <c r="K185" s="244"/>
      <c r="L185" s="244"/>
      <c r="M185" s="244"/>
      <c r="N185" s="244"/>
      <c r="O185" s="244"/>
      <c r="P185" s="244"/>
      <c r="Q185" s="244"/>
      <c r="R185" s="197">
        <f t="shared" si="14"/>
        <v>0</v>
      </c>
      <c r="S185" s="198"/>
      <c r="T185" s="199"/>
      <c r="U185" s="243"/>
      <c r="V185" s="243"/>
      <c r="W185" s="243"/>
      <c r="BA185"/>
      <c r="BB185"/>
    </row>
    <row r="186" spans="1:54" s="188" customFormat="1" ht="13.5">
      <c r="A186" s="223"/>
      <c r="B186" s="177"/>
      <c r="C186" s="180" t="str">
        <f>IFERROR(IF(VLOOKUP($B186,勘定科目!$A:$H,HLOOKUP($E$5,勘定科目!$F$1:$H$2,2,0),0)="","",VLOOKUP($B186,勘定科目!$A:$E,2,0)),"")</f>
        <v/>
      </c>
      <c r="D186" s="236" t="str">
        <f>IF(C186="","",VLOOKUP($B186,勘定科目!$A:$E,4,0))</f>
        <v/>
      </c>
      <c r="E186" s="242"/>
      <c r="F186" s="191"/>
      <c r="G186" s="244"/>
      <c r="H186" s="244"/>
      <c r="I186" s="244"/>
      <c r="J186" s="244"/>
      <c r="K186" s="244"/>
      <c r="L186" s="244"/>
      <c r="M186" s="244"/>
      <c r="N186" s="244"/>
      <c r="O186" s="244"/>
      <c r="P186" s="244"/>
      <c r="Q186" s="244"/>
      <c r="R186" s="197">
        <f t="shared" si="14"/>
        <v>0</v>
      </c>
      <c r="S186" s="198"/>
      <c r="T186" s="199"/>
      <c r="U186" s="243"/>
      <c r="V186" s="243"/>
      <c r="W186" s="243"/>
      <c r="BA186"/>
      <c r="BB186"/>
    </row>
    <row r="187" spans="1:54" s="188" customFormat="1" ht="13.5">
      <c r="A187" s="223"/>
      <c r="B187" s="177"/>
      <c r="C187" s="180" t="str">
        <f>IFERROR(IF(VLOOKUP($B187,勘定科目!$A:$H,HLOOKUP($E$5,勘定科目!$F$1:$H$2,2,0),0)="","",VLOOKUP($B187,勘定科目!$A:$E,2,0)),"")</f>
        <v/>
      </c>
      <c r="D187" s="236" t="str">
        <f>IF(C187="","",VLOOKUP($B187,勘定科目!$A:$E,4,0))</f>
        <v/>
      </c>
      <c r="E187" s="242"/>
      <c r="F187" s="191"/>
      <c r="G187" s="244"/>
      <c r="H187" s="244"/>
      <c r="I187" s="244"/>
      <c r="J187" s="244"/>
      <c r="K187" s="244"/>
      <c r="L187" s="244"/>
      <c r="M187" s="244"/>
      <c r="N187" s="244"/>
      <c r="O187" s="244"/>
      <c r="P187" s="244"/>
      <c r="Q187" s="244"/>
      <c r="R187" s="197">
        <f t="shared" si="14"/>
        <v>0</v>
      </c>
      <c r="S187" s="198"/>
      <c r="T187" s="199"/>
      <c r="U187" s="243"/>
      <c r="V187" s="243"/>
      <c r="W187" s="243"/>
      <c r="BA187"/>
      <c r="BB187"/>
    </row>
    <row r="188" spans="1:54" s="188" customFormat="1" ht="13.5">
      <c r="A188" s="223"/>
      <c r="B188" s="177"/>
      <c r="C188" s="180" t="str">
        <f>IFERROR(IF(VLOOKUP($B188,勘定科目!$A:$H,HLOOKUP($E$5,勘定科目!$F$1:$H$2,2,0),0)="","",VLOOKUP($B188,勘定科目!$A:$E,2,0)),"")</f>
        <v/>
      </c>
      <c r="D188" s="236" t="str">
        <f>IF(C188="","",VLOOKUP($B188,勘定科目!$A:$E,4,0))</f>
        <v/>
      </c>
      <c r="E188" s="242"/>
      <c r="F188" s="191"/>
      <c r="G188" s="244"/>
      <c r="H188" s="244"/>
      <c r="I188" s="244"/>
      <c r="J188" s="244"/>
      <c r="K188" s="244"/>
      <c r="L188" s="244"/>
      <c r="M188" s="244"/>
      <c r="N188" s="244"/>
      <c r="O188" s="244"/>
      <c r="P188" s="244"/>
      <c r="Q188" s="244"/>
      <c r="R188" s="197">
        <f t="shared" si="14"/>
        <v>0</v>
      </c>
      <c r="S188" s="198"/>
      <c r="T188" s="199"/>
      <c r="U188" s="243"/>
      <c r="V188" s="243"/>
      <c r="W188" s="243"/>
      <c r="BA188"/>
      <c r="BB188"/>
    </row>
    <row r="189" spans="1:54" s="188" customFormat="1" ht="13.5">
      <c r="A189" s="223"/>
      <c r="B189" s="177"/>
      <c r="C189" s="180" t="str">
        <f>IFERROR(IF(VLOOKUP($B189,勘定科目!$A:$H,HLOOKUP($E$5,勘定科目!$F$1:$H$2,2,0),0)="","",VLOOKUP($B189,勘定科目!$A:$E,2,0)),"")</f>
        <v/>
      </c>
      <c r="D189" s="236" t="str">
        <f>IF(C189="","",VLOOKUP($B189,勘定科目!$A:$E,4,0))</f>
        <v/>
      </c>
      <c r="E189" s="242"/>
      <c r="F189" s="191"/>
      <c r="G189" s="244"/>
      <c r="H189" s="244"/>
      <c r="I189" s="244"/>
      <c r="J189" s="244"/>
      <c r="K189" s="244"/>
      <c r="L189" s="244"/>
      <c r="M189" s="244"/>
      <c r="N189" s="244"/>
      <c r="O189" s="244"/>
      <c r="P189" s="244"/>
      <c r="Q189" s="244"/>
      <c r="R189" s="197">
        <f t="shared" si="14"/>
        <v>0</v>
      </c>
      <c r="S189" s="198"/>
      <c r="T189" s="199"/>
      <c r="U189" s="243"/>
      <c r="V189" s="243"/>
      <c r="W189" s="243"/>
      <c r="BA189"/>
      <c r="BB189"/>
    </row>
    <row r="190" spans="1:54" s="188" customFormat="1" ht="13.5">
      <c r="A190" s="223"/>
      <c r="B190" s="177"/>
      <c r="C190" s="180" t="str">
        <f>IFERROR(IF(VLOOKUP($B190,勘定科目!$A:$H,HLOOKUP($E$5,勘定科目!$F$1:$H$2,2,0),0)="","",VLOOKUP($B190,勘定科目!$A:$E,2,0)),"")</f>
        <v/>
      </c>
      <c r="D190" s="236" t="str">
        <f>IF(C190="","",VLOOKUP($B190,勘定科目!$A:$E,4,0))</f>
        <v/>
      </c>
      <c r="E190" s="242"/>
      <c r="F190" s="191"/>
      <c r="G190" s="244"/>
      <c r="H190" s="244"/>
      <c r="I190" s="244"/>
      <c r="J190" s="244"/>
      <c r="K190" s="244"/>
      <c r="L190" s="244"/>
      <c r="M190" s="244"/>
      <c r="N190" s="244"/>
      <c r="O190" s="244"/>
      <c r="P190" s="244"/>
      <c r="Q190" s="244"/>
      <c r="R190" s="197">
        <f t="shared" si="14"/>
        <v>0</v>
      </c>
      <c r="S190" s="198"/>
      <c r="T190" s="199"/>
      <c r="U190" s="243"/>
      <c r="V190" s="243"/>
      <c r="W190" s="243"/>
      <c r="BA190"/>
      <c r="BB190"/>
    </row>
    <row r="191" spans="1:54" s="188" customFormat="1" ht="13.5">
      <c r="A191" s="223"/>
      <c r="B191" s="177"/>
      <c r="C191" s="180" t="str">
        <f>IFERROR(IF(VLOOKUP($B191,勘定科目!$A:$H,HLOOKUP($E$5,勘定科目!$F$1:$H$2,2,0),0)="","",VLOOKUP($B191,勘定科目!$A:$E,2,0)),"")</f>
        <v/>
      </c>
      <c r="D191" s="236" t="str">
        <f>IF(C191="","",VLOOKUP($B191,勘定科目!$A:$E,4,0))</f>
        <v/>
      </c>
      <c r="E191" s="242"/>
      <c r="F191" s="191"/>
      <c r="G191" s="244"/>
      <c r="H191" s="244"/>
      <c r="I191" s="244"/>
      <c r="J191" s="244"/>
      <c r="K191" s="244"/>
      <c r="L191" s="244"/>
      <c r="M191" s="244"/>
      <c r="N191" s="244"/>
      <c r="O191" s="244"/>
      <c r="P191" s="244"/>
      <c r="Q191" s="244"/>
      <c r="R191" s="197">
        <f t="shared" si="14"/>
        <v>0</v>
      </c>
      <c r="S191" s="198"/>
      <c r="T191" s="199"/>
      <c r="U191" s="243"/>
      <c r="V191" s="243"/>
      <c r="W191" s="243"/>
      <c r="BA191"/>
      <c r="BB191"/>
    </row>
    <row r="192" spans="1:54" s="188" customFormat="1" ht="13.5">
      <c r="A192" s="223"/>
      <c r="B192" s="177"/>
      <c r="C192" s="180" t="str">
        <f>IFERROR(IF(VLOOKUP($B192,勘定科目!$A:$H,HLOOKUP($E$5,勘定科目!$F$1:$H$2,2,0),0)="","",VLOOKUP($B192,勘定科目!$A:$E,2,0)),"")</f>
        <v/>
      </c>
      <c r="D192" s="236" t="str">
        <f>IF(C192="","",VLOOKUP($B192,勘定科目!$A:$E,4,0))</f>
        <v/>
      </c>
      <c r="E192" s="242"/>
      <c r="F192" s="191"/>
      <c r="G192" s="244"/>
      <c r="H192" s="244"/>
      <c r="I192" s="244"/>
      <c r="J192" s="244"/>
      <c r="K192" s="244"/>
      <c r="L192" s="244"/>
      <c r="M192" s="244"/>
      <c r="N192" s="244"/>
      <c r="O192" s="244"/>
      <c r="P192" s="244"/>
      <c r="Q192" s="244"/>
      <c r="R192" s="197">
        <f t="shared" si="14"/>
        <v>0</v>
      </c>
      <c r="S192" s="198"/>
      <c r="T192" s="199"/>
      <c r="U192" s="243"/>
      <c r="V192" s="243"/>
      <c r="W192" s="243"/>
      <c r="BA192"/>
      <c r="BB192"/>
    </row>
    <row r="193" spans="1:54" s="188" customFormat="1" ht="13.5">
      <c r="A193" s="223"/>
      <c r="B193" s="177"/>
      <c r="C193" s="180" t="str">
        <f>IFERROR(IF(VLOOKUP($B193,勘定科目!$A:$H,HLOOKUP($E$5,勘定科目!$F$1:$H$2,2,0),0)="","",VLOOKUP($B193,勘定科目!$A:$E,2,0)),"")</f>
        <v/>
      </c>
      <c r="D193" s="236" t="str">
        <f>IF(C193="","",VLOOKUP($B193,勘定科目!$A:$E,4,0))</f>
        <v/>
      </c>
      <c r="E193" s="242"/>
      <c r="F193" s="191"/>
      <c r="G193" s="244"/>
      <c r="H193" s="244"/>
      <c r="I193" s="244"/>
      <c r="J193" s="244"/>
      <c r="K193" s="244"/>
      <c r="L193" s="244"/>
      <c r="M193" s="244"/>
      <c r="N193" s="244"/>
      <c r="O193" s="244"/>
      <c r="P193" s="244"/>
      <c r="Q193" s="244"/>
      <c r="R193" s="197">
        <f t="shared" si="14"/>
        <v>0</v>
      </c>
      <c r="S193" s="198"/>
      <c r="T193" s="199"/>
      <c r="U193" s="243"/>
      <c r="V193" s="243"/>
      <c r="W193" s="243"/>
      <c r="BA193"/>
      <c r="BB193"/>
    </row>
    <row r="194" spans="1:54" s="188" customFormat="1" ht="13.5">
      <c r="A194" s="223"/>
      <c r="B194" s="177"/>
      <c r="C194" s="180" t="str">
        <f>IFERROR(IF(VLOOKUP($B194,勘定科目!$A:$H,HLOOKUP($E$5,勘定科目!$F$1:$H$2,2,0),0)="","",VLOOKUP($B194,勘定科目!$A:$E,2,0)),"")</f>
        <v/>
      </c>
      <c r="D194" s="236" t="str">
        <f>IF(C194="","",VLOOKUP($B194,勘定科目!$A:$E,4,0))</f>
        <v/>
      </c>
      <c r="E194" s="242"/>
      <c r="F194" s="191"/>
      <c r="G194" s="244"/>
      <c r="H194" s="244"/>
      <c r="I194" s="244"/>
      <c r="J194" s="244"/>
      <c r="K194" s="244"/>
      <c r="L194" s="244"/>
      <c r="M194" s="244"/>
      <c r="N194" s="244"/>
      <c r="O194" s="244"/>
      <c r="P194" s="244"/>
      <c r="Q194" s="244"/>
      <c r="R194" s="197">
        <f t="shared" si="14"/>
        <v>0</v>
      </c>
      <c r="S194" s="198"/>
      <c r="T194" s="199"/>
      <c r="U194" s="243"/>
      <c r="V194" s="243"/>
      <c r="W194" s="243"/>
      <c r="BA194"/>
      <c r="BB194"/>
    </row>
    <row r="195" spans="1:54" s="188" customFormat="1" ht="13.5">
      <c r="A195" s="223"/>
      <c r="B195" s="177"/>
      <c r="C195" s="180" t="str">
        <f>IFERROR(IF(VLOOKUP($B195,勘定科目!$A:$H,HLOOKUP($E$5,勘定科目!$F$1:$H$2,2,0),0)="","",VLOOKUP($B195,勘定科目!$A:$E,2,0)),"")</f>
        <v/>
      </c>
      <c r="D195" s="236" t="str">
        <f>IF(C195="","",VLOOKUP($B195,勘定科目!$A:$E,4,0))</f>
        <v/>
      </c>
      <c r="E195" s="242"/>
      <c r="F195" s="191"/>
      <c r="G195" s="244"/>
      <c r="H195" s="244"/>
      <c r="I195" s="244"/>
      <c r="J195" s="244"/>
      <c r="K195" s="244"/>
      <c r="L195" s="244"/>
      <c r="M195" s="244"/>
      <c r="N195" s="244"/>
      <c r="O195" s="244"/>
      <c r="P195" s="244"/>
      <c r="Q195" s="244"/>
      <c r="R195" s="197">
        <f t="shared" si="14"/>
        <v>0</v>
      </c>
      <c r="S195" s="198"/>
      <c r="T195" s="199"/>
      <c r="U195" s="243"/>
      <c r="V195" s="243"/>
      <c r="W195" s="243"/>
      <c r="BA195"/>
      <c r="BB195"/>
    </row>
    <row r="196" spans="1:54" s="188" customFormat="1" ht="13.5">
      <c r="A196" s="223"/>
      <c r="B196" s="177"/>
      <c r="C196" s="180" t="str">
        <f>IFERROR(IF(VLOOKUP($B196,勘定科目!$A:$H,HLOOKUP($E$5,勘定科目!$F$1:$H$2,2,0),0)="","",VLOOKUP($B196,勘定科目!$A:$E,2,0)),"")</f>
        <v/>
      </c>
      <c r="D196" s="236" t="str">
        <f>IF(C196="","",VLOOKUP($B196,勘定科目!$A:$E,4,0))</f>
        <v/>
      </c>
      <c r="E196" s="242"/>
      <c r="F196" s="191"/>
      <c r="G196" s="244"/>
      <c r="H196" s="244"/>
      <c r="I196" s="244"/>
      <c r="J196" s="244"/>
      <c r="K196" s="244"/>
      <c r="L196" s="244"/>
      <c r="M196" s="244"/>
      <c r="N196" s="244"/>
      <c r="O196" s="244"/>
      <c r="P196" s="244"/>
      <c r="Q196" s="244"/>
      <c r="R196" s="197">
        <f t="shared" si="14"/>
        <v>0</v>
      </c>
      <c r="S196" s="198"/>
      <c r="T196" s="199"/>
      <c r="U196" s="243"/>
      <c r="V196" s="243"/>
      <c r="W196" s="243"/>
      <c r="BA196"/>
      <c r="BB196"/>
    </row>
    <row r="197" spans="1:54" s="188" customFormat="1" ht="13.5">
      <c r="A197" s="223"/>
      <c r="B197" s="177"/>
      <c r="C197" s="180" t="str">
        <f>IFERROR(IF(VLOOKUP($B197,勘定科目!$A:$H,HLOOKUP($E$5,勘定科目!$F$1:$H$2,2,0),0)="","",VLOOKUP($B197,勘定科目!$A:$E,2,0)),"")</f>
        <v/>
      </c>
      <c r="D197" s="236" t="str">
        <f>IF(C197="","",VLOOKUP($B197,勘定科目!$A:$E,4,0))</f>
        <v/>
      </c>
      <c r="E197" s="242"/>
      <c r="F197" s="191"/>
      <c r="G197" s="244"/>
      <c r="H197" s="244"/>
      <c r="I197" s="244"/>
      <c r="J197" s="244"/>
      <c r="K197" s="244"/>
      <c r="L197" s="244"/>
      <c r="M197" s="244"/>
      <c r="N197" s="244"/>
      <c r="O197" s="244"/>
      <c r="P197" s="244"/>
      <c r="Q197" s="244"/>
      <c r="R197" s="197">
        <f t="shared" si="14"/>
        <v>0</v>
      </c>
      <c r="S197" s="198"/>
      <c r="T197" s="199"/>
      <c r="U197" s="243"/>
      <c r="V197" s="243"/>
      <c r="W197" s="243"/>
      <c r="BA197"/>
      <c r="BB197"/>
    </row>
    <row r="198" spans="1:54" s="188" customFormat="1" ht="13.5">
      <c r="A198" s="223"/>
      <c r="B198" s="177"/>
      <c r="C198" s="180" t="str">
        <f>IFERROR(IF(VLOOKUP($B198,勘定科目!$A:$H,HLOOKUP($E$5,勘定科目!$F$1:$H$2,2,0),0)="","",VLOOKUP($B198,勘定科目!$A:$E,2,0)),"")</f>
        <v/>
      </c>
      <c r="D198" s="236" t="str">
        <f>IF(C198="","",VLOOKUP($B198,勘定科目!$A:$E,4,0))</f>
        <v/>
      </c>
      <c r="E198" s="242"/>
      <c r="F198" s="191"/>
      <c r="G198" s="244"/>
      <c r="H198" s="244"/>
      <c r="I198" s="244"/>
      <c r="J198" s="244"/>
      <c r="K198" s="244"/>
      <c r="L198" s="244"/>
      <c r="M198" s="244"/>
      <c r="N198" s="244"/>
      <c r="O198" s="244"/>
      <c r="P198" s="244"/>
      <c r="Q198" s="244"/>
      <c r="R198" s="197">
        <f t="shared" si="14"/>
        <v>0</v>
      </c>
      <c r="S198" s="198"/>
      <c r="T198" s="199"/>
      <c r="U198" s="243"/>
      <c r="V198" s="243"/>
      <c r="W198" s="243"/>
      <c r="BA198"/>
      <c r="BB198"/>
    </row>
    <row r="199" spans="1:54" s="188" customFormat="1" ht="13.5">
      <c r="A199" s="223"/>
      <c r="B199" s="177"/>
      <c r="C199" s="180" t="str">
        <f>IFERROR(IF(VLOOKUP($B199,勘定科目!$A:$H,HLOOKUP($E$5,勘定科目!$F$1:$H$2,2,0),0)="","",VLOOKUP($B199,勘定科目!$A:$E,2,0)),"")</f>
        <v/>
      </c>
      <c r="D199" s="236" t="str">
        <f>IF(C199="","",VLOOKUP($B199,勘定科目!$A:$E,4,0))</f>
        <v/>
      </c>
      <c r="E199" s="242"/>
      <c r="F199" s="191"/>
      <c r="G199" s="244"/>
      <c r="H199" s="244"/>
      <c r="I199" s="244"/>
      <c r="J199" s="244"/>
      <c r="K199" s="244"/>
      <c r="L199" s="244"/>
      <c r="M199" s="244"/>
      <c r="N199" s="244"/>
      <c r="O199" s="244"/>
      <c r="P199" s="244"/>
      <c r="Q199" s="244"/>
      <c r="R199" s="197">
        <f t="shared" si="14"/>
        <v>0</v>
      </c>
      <c r="S199" s="198"/>
      <c r="T199" s="199"/>
      <c r="U199" s="243"/>
      <c r="V199" s="243"/>
      <c r="W199" s="243"/>
      <c r="BA199"/>
      <c r="BB199"/>
    </row>
    <row r="200" spans="1:54" s="188" customFormat="1" ht="13.5">
      <c r="A200" s="223"/>
      <c r="B200" s="177"/>
      <c r="C200" s="180" t="str">
        <f>IFERROR(IF(VLOOKUP($B200,勘定科目!$A:$H,HLOOKUP($E$5,勘定科目!$F$1:$H$2,2,0),0)="","",VLOOKUP($B200,勘定科目!$A:$E,2,0)),"")</f>
        <v/>
      </c>
      <c r="D200" s="236" t="str">
        <f>IF(C200="","",VLOOKUP($B200,勘定科目!$A:$E,4,0))</f>
        <v/>
      </c>
      <c r="E200" s="242"/>
      <c r="F200" s="191"/>
      <c r="G200" s="244"/>
      <c r="H200" s="244"/>
      <c r="I200" s="244"/>
      <c r="J200" s="244"/>
      <c r="K200" s="244"/>
      <c r="L200" s="244"/>
      <c r="M200" s="244"/>
      <c r="N200" s="244"/>
      <c r="O200" s="244"/>
      <c r="P200" s="244"/>
      <c r="Q200" s="244"/>
      <c r="R200" s="197">
        <f t="shared" si="14"/>
        <v>0</v>
      </c>
      <c r="S200" s="198"/>
      <c r="T200" s="199"/>
      <c r="U200" s="243"/>
      <c r="V200" s="243"/>
      <c r="W200" s="243"/>
      <c r="BA200"/>
      <c r="BB200"/>
    </row>
    <row r="201" spans="1:54" s="188" customFormat="1" ht="13.5">
      <c r="A201" s="223"/>
      <c r="B201" s="177"/>
      <c r="C201" s="180" t="str">
        <f>IFERROR(IF(VLOOKUP($B201,勘定科目!$A:$H,HLOOKUP($E$5,勘定科目!$F$1:$H$2,2,0),0)="","",VLOOKUP($B201,勘定科目!$A:$E,2,0)),"")</f>
        <v/>
      </c>
      <c r="D201" s="236" t="str">
        <f>IF(C201="","",VLOOKUP($B201,勘定科目!$A:$E,4,0))</f>
        <v/>
      </c>
      <c r="E201" s="242"/>
      <c r="F201" s="191"/>
      <c r="G201" s="244"/>
      <c r="H201" s="244"/>
      <c r="I201" s="244"/>
      <c r="J201" s="244"/>
      <c r="K201" s="244"/>
      <c r="L201" s="244"/>
      <c r="M201" s="244"/>
      <c r="N201" s="244"/>
      <c r="O201" s="244"/>
      <c r="P201" s="244"/>
      <c r="Q201" s="244"/>
      <c r="R201" s="197">
        <f t="shared" si="14"/>
        <v>0</v>
      </c>
      <c r="S201" s="198"/>
      <c r="T201" s="199"/>
      <c r="U201" s="243"/>
      <c r="V201" s="243"/>
      <c r="W201" s="243"/>
      <c r="BA201"/>
      <c r="BB201"/>
    </row>
    <row r="202" spans="1:54" s="188" customFormat="1" ht="13.5">
      <c r="A202" s="223"/>
      <c r="B202" s="177"/>
      <c r="C202" s="180" t="str">
        <f>IFERROR(IF(VLOOKUP($B202,勘定科目!$A:$H,HLOOKUP($E$5,勘定科目!$F$1:$H$2,2,0),0)="","",VLOOKUP($B202,勘定科目!$A:$E,2,0)),"")</f>
        <v/>
      </c>
      <c r="D202" s="236" t="str">
        <f>IF(C202="","",VLOOKUP($B202,勘定科目!$A:$E,4,0))</f>
        <v/>
      </c>
      <c r="E202" s="242"/>
      <c r="F202" s="191"/>
      <c r="G202" s="244"/>
      <c r="H202" s="244"/>
      <c r="I202" s="244"/>
      <c r="J202" s="244"/>
      <c r="K202" s="244"/>
      <c r="L202" s="244"/>
      <c r="M202" s="244"/>
      <c r="N202" s="244"/>
      <c r="O202" s="244"/>
      <c r="P202" s="244"/>
      <c r="Q202" s="244"/>
      <c r="R202" s="197">
        <f t="shared" si="14"/>
        <v>0</v>
      </c>
      <c r="S202" s="198"/>
      <c r="T202" s="199"/>
      <c r="U202" s="243"/>
      <c r="V202" s="243"/>
      <c r="W202" s="243"/>
      <c r="BA202"/>
      <c r="BB202"/>
    </row>
    <row r="203" spans="1:54" s="188" customFormat="1" ht="13.5">
      <c r="A203" s="223"/>
      <c r="B203" s="177"/>
      <c r="C203" s="180" t="str">
        <f>IFERROR(IF(VLOOKUP($B203,勘定科目!$A:$H,HLOOKUP($E$5,勘定科目!$F$1:$H$2,2,0),0)="","",VLOOKUP($B203,勘定科目!$A:$E,2,0)),"")</f>
        <v/>
      </c>
      <c r="D203" s="236" t="str">
        <f>IF(C203="","",VLOOKUP($B203,勘定科目!$A:$E,4,0))</f>
        <v/>
      </c>
      <c r="E203" s="242"/>
      <c r="F203" s="191"/>
      <c r="G203" s="244"/>
      <c r="H203" s="244"/>
      <c r="I203" s="244"/>
      <c r="J203" s="244"/>
      <c r="K203" s="244"/>
      <c r="L203" s="244"/>
      <c r="M203" s="244"/>
      <c r="N203" s="244"/>
      <c r="O203" s="244"/>
      <c r="P203" s="244"/>
      <c r="Q203" s="244"/>
      <c r="R203" s="197">
        <f t="shared" si="14"/>
        <v>0</v>
      </c>
      <c r="S203" s="198"/>
      <c r="T203" s="199"/>
      <c r="U203" s="243"/>
      <c r="V203" s="243"/>
      <c r="W203" s="243"/>
      <c r="BA203"/>
      <c r="BB203"/>
    </row>
    <row r="204" spans="1:54" s="188" customFormat="1" ht="13.5">
      <c r="A204" s="223"/>
      <c r="B204" s="177"/>
      <c r="C204" s="180" t="str">
        <f>IFERROR(IF(VLOOKUP($B204,勘定科目!$A:$H,HLOOKUP($E$5,勘定科目!$F$1:$H$2,2,0),0)="","",VLOOKUP($B204,勘定科目!$A:$E,2,0)),"")</f>
        <v/>
      </c>
      <c r="D204" s="236" t="str">
        <f>IF(C204="","",VLOOKUP($B204,勘定科目!$A:$E,4,0))</f>
        <v/>
      </c>
      <c r="E204" s="242"/>
      <c r="F204" s="191"/>
      <c r="G204" s="244"/>
      <c r="H204" s="244"/>
      <c r="I204" s="244"/>
      <c r="J204" s="244"/>
      <c r="K204" s="244"/>
      <c r="L204" s="244"/>
      <c r="M204" s="244"/>
      <c r="N204" s="244"/>
      <c r="O204" s="244"/>
      <c r="P204" s="244"/>
      <c r="Q204" s="244"/>
      <c r="R204" s="197">
        <f t="shared" si="14"/>
        <v>0</v>
      </c>
      <c r="S204" s="198"/>
      <c r="T204" s="199"/>
      <c r="U204" s="243"/>
      <c r="V204" s="243"/>
      <c r="W204" s="243"/>
      <c r="BA204"/>
      <c r="BB204"/>
    </row>
    <row r="205" spans="1:54" s="188" customFormat="1" ht="13.5">
      <c r="A205" s="223"/>
      <c r="B205" s="177"/>
      <c r="C205" s="180" t="str">
        <f>IFERROR(IF(VLOOKUP($B205,勘定科目!$A:$H,HLOOKUP($E$5,勘定科目!$F$1:$H$2,2,0),0)="","",VLOOKUP($B205,勘定科目!$A:$E,2,0)),"")</f>
        <v/>
      </c>
      <c r="D205" s="236" t="str">
        <f>IF(C205="","",VLOOKUP($B205,勘定科目!$A:$E,4,0))</f>
        <v/>
      </c>
      <c r="E205" s="242"/>
      <c r="F205" s="191"/>
      <c r="G205" s="244"/>
      <c r="H205" s="244"/>
      <c r="I205" s="244"/>
      <c r="J205" s="244"/>
      <c r="K205" s="244"/>
      <c r="L205" s="244"/>
      <c r="M205" s="244"/>
      <c r="N205" s="244"/>
      <c r="O205" s="244"/>
      <c r="P205" s="244"/>
      <c r="Q205" s="244"/>
      <c r="R205" s="197">
        <f t="shared" si="14"/>
        <v>0</v>
      </c>
      <c r="S205" s="198"/>
      <c r="T205" s="199"/>
      <c r="U205" s="243"/>
      <c r="V205" s="243"/>
      <c r="W205" s="243"/>
      <c r="BA205"/>
      <c r="BB205"/>
    </row>
    <row r="206" spans="1:54" s="188" customFormat="1" ht="13.5">
      <c r="A206" s="223"/>
      <c r="B206" s="177"/>
      <c r="C206" s="180" t="str">
        <f>IFERROR(IF(VLOOKUP($B206,勘定科目!$A:$H,HLOOKUP($E$5,勘定科目!$F$1:$H$2,2,0),0)="","",VLOOKUP($B206,勘定科目!$A:$E,2,0)),"")</f>
        <v/>
      </c>
      <c r="D206" s="236" t="str">
        <f>IF(C206="","",VLOOKUP($B206,勘定科目!$A:$E,4,0))</f>
        <v/>
      </c>
      <c r="E206" s="242"/>
      <c r="F206" s="191"/>
      <c r="G206" s="244"/>
      <c r="H206" s="244"/>
      <c r="I206" s="244"/>
      <c r="J206" s="244"/>
      <c r="K206" s="244"/>
      <c r="L206" s="244"/>
      <c r="M206" s="244"/>
      <c r="N206" s="244"/>
      <c r="O206" s="244"/>
      <c r="P206" s="244"/>
      <c r="Q206" s="244"/>
      <c r="R206" s="197">
        <f t="shared" si="14"/>
        <v>0</v>
      </c>
      <c r="S206" s="198"/>
      <c r="T206" s="199"/>
      <c r="U206" s="243"/>
      <c r="V206" s="243"/>
      <c r="W206" s="243"/>
      <c r="BA206"/>
      <c r="BB206"/>
    </row>
    <row r="207" spans="1:54" s="188" customFormat="1" ht="13.5">
      <c r="A207" s="223"/>
      <c r="B207" s="177"/>
      <c r="C207" s="180" t="str">
        <f>IFERROR(IF(VLOOKUP($B207,勘定科目!$A:$H,HLOOKUP($E$5,勘定科目!$F$1:$H$2,2,0),0)="","",VLOOKUP($B207,勘定科目!$A:$E,2,0)),"")</f>
        <v/>
      </c>
      <c r="D207" s="236" t="str">
        <f>IF(C207="","",VLOOKUP($B207,勘定科目!$A:$E,4,0))</f>
        <v/>
      </c>
      <c r="E207" s="242"/>
      <c r="F207" s="191"/>
      <c r="G207" s="244"/>
      <c r="H207" s="244"/>
      <c r="I207" s="244"/>
      <c r="J207" s="244"/>
      <c r="K207" s="244"/>
      <c r="L207" s="244"/>
      <c r="M207" s="244"/>
      <c r="N207" s="244"/>
      <c r="O207" s="244"/>
      <c r="P207" s="244"/>
      <c r="Q207" s="244"/>
      <c r="R207" s="197">
        <f t="shared" si="14"/>
        <v>0</v>
      </c>
      <c r="S207" s="198"/>
      <c r="T207" s="199"/>
      <c r="U207" s="243"/>
      <c r="V207" s="243"/>
      <c r="W207" s="243"/>
      <c r="BA207"/>
      <c r="BB207"/>
    </row>
    <row r="208" spans="1:54" s="188" customFormat="1" ht="13.5">
      <c r="A208" s="223"/>
      <c r="B208" s="177"/>
      <c r="C208" s="180" t="str">
        <f>IFERROR(IF(VLOOKUP($B208,勘定科目!$A:$H,HLOOKUP($E$5,勘定科目!$F$1:$H$2,2,0),0)="","",VLOOKUP($B208,勘定科目!$A:$E,2,0)),"")</f>
        <v/>
      </c>
      <c r="D208" s="236" t="str">
        <f>IF(C208="","",VLOOKUP($B208,勘定科目!$A:$E,4,0))</f>
        <v/>
      </c>
      <c r="E208" s="242"/>
      <c r="F208" s="191"/>
      <c r="G208" s="244"/>
      <c r="H208" s="244"/>
      <c r="I208" s="244"/>
      <c r="J208" s="244"/>
      <c r="K208" s="244"/>
      <c r="L208" s="244"/>
      <c r="M208" s="244"/>
      <c r="N208" s="244"/>
      <c r="O208" s="244"/>
      <c r="P208" s="244"/>
      <c r="Q208" s="244"/>
      <c r="R208" s="197">
        <f t="shared" si="14"/>
        <v>0</v>
      </c>
      <c r="S208" s="198"/>
      <c r="T208" s="199"/>
      <c r="U208" s="243"/>
      <c r="V208" s="243"/>
      <c r="W208" s="243"/>
      <c r="BA208"/>
      <c r="BB208"/>
    </row>
    <row r="209" spans="1:54" s="188" customFormat="1" ht="13.5">
      <c r="A209" s="223"/>
      <c r="B209" s="177"/>
      <c r="C209" s="180" t="str">
        <f>IFERROR(IF(VLOOKUP($B209,勘定科目!$A:$H,HLOOKUP($E$5,勘定科目!$F$1:$H$2,2,0),0)="","",VLOOKUP($B209,勘定科目!$A:$E,2,0)),"")</f>
        <v/>
      </c>
      <c r="D209" s="236" t="str">
        <f>IF(C209="","",VLOOKUP($B209,勘定科目!$A:$E,4,0))</f>
        <v/>
      </c>
      <c r="E209" s="242"/>
      <c r="F209" s="191"/>
      <c r="G209" s="244"/>
      <c r="H209" s="244"/>
      <c r="I209" s="244"/>
      <c r="J209" s="244"/>
      <c r="K209" s="244"/>
      <c r="L209" s="244"/>
      <c r="M209" s="244"/>
      <c r="N209" s="244"/>
      <c r="O209" s="244"/>
      <c r="P209" s="244"/>
      <c r="Q209" s="244"/>
      <c r="R209" s="197">
        <f t="shared" si="14"/>
        <v>0</v>
      </c>
      <c r="S209" s="198"/>
      <c r="T209" s="199"/>
      <c r="U209" s="243"/>
      <c r="V209" s="243"/>
      <c r="W209" s="243"/>
      <c r="BA209"/>
      <c r="BB209"/>
    </row>
    <row r="210" spans="1:54" s="188" customFormat="1" ht="13.5">
      <c r="A210" s="223"/>
      <c r="B210" s="177"/>
      <c r="C210" s="180" t="str">
        <f>IFERROR(IF(VLOOKUP($B210,勘定科目!$A:$H,HLOOKUP($E$5,勘定科目!$F$1:$H$2,2,0),0)="","",VLOOKUP($B210,勘定科目!$A:$E,2,0)),"")</f>
        <v/>
      </c>
      <c r="D210" s="236" t="str">
        <f>IF(C210="","",VLOOKUP($B210,勘定科目!$A:$E,4,0))</f>
        <v/>
      </c>
      <c r="E210" s="242"/>
      <c r="F210" s="191"/>
      <c r="G210" s="244"/>
      <c r="H210" s="244"/>
      <c r="I210" s="244"/>
      <c r="J210" s="244"/>
      <c r="K210" s="244"/>
      <c r="L210" s="244"/>
      <c r="M210" s="244"/>
      <c r="N210" s="244"/>
      <c r="O210" s="244"/>
      <c r="P210" s="244"/>
      <c r="Q210" s="244"/>
      <c r="R210" s="197">
        <f t="shared" si="14"/>
        <v>0</v>
      </c>
      <c r="S210" s="198"/>
      <c r="T210" s="199"/>
      <c r="U210" s="243"/>
      <c r="V210" s="243"/>
      <c r="W210" s="243"/>
      <c r="BA210"/>
      <c r="BB210"/>
    </row>
    <row r="211" spans="1:54" s="188" customFormat="1" ht="13.5">
      <c r="A211" s="223"/>
      <c r="B211" s="177"/>
      <c r="C211" s="180" t="str">
        <f>IFERROR(IF(VLOOKUP($B211,勘定科目!$A:$H,HLOOKUP($E$5,勘定科目!$F$1:$H$2,2,0),0)="","",VLOOKUP($B211,勘定科目!$A:$E,2,0)),"")</f>
        <v/>
      </c>
      <c r="D211" s="236" t="str">
        <f>IF(C211="","",VLOOKUP($B211,勘定科目!$A:$E,4,0))</f>
        <v/>
      </c>
      <c r="E211" s="242"/>
      <c r="F211" s="191"/>
      <c r="G211" s="244"/>
      <c r="H211" s="244"/>
      <c r="I211" s="244"/>
      <c r="J211" s="244"/>
      <c r="K211" s="244"/>
      <c r="L211" s="244"/>
      <c r="M211" s="244"/>
      <c r="N211" s="244"/>
      <c r="O211" s="244"/>
      <c r="P211" s="244"/>
      <c r="Q211" s="244"/>
      <c r="R211" s="197">
        <f t="shared" si="14"/>
        <v>0</v>
      </c>
      <c r="S211" s="198"/>
      <c r="T211" s="199"/>
      <c r="U211" s="243"/>
      <c r="V211" s="243"/>
      <c r="W211" s="243"/>
      <c r="BA211"/>
      <c r="BB211"/>
    </row>
    <row r="212" spans="1:54" s="188" customFormat="1" ht="13.5">
      <c r="A212" s="223"/>
      <c r="B212" s="177"/>
      <c r="C212" s="180" t="str">
        <f>IFERROR(IF(VLOOKUP($B212,勘定科目!$A:$H,HLOOKUP($E$5,勘定科目!$F$1:$H$2,2,0),0)="","",VLOOKUP($B212,勘定科目!$A:$E,2,0)),"")</f>
        <v/>
      </c>
      <c r="D212" s="236" t="str">
        <f>IF(C212="","",VLOOKUP($B212,勘定科目!$A:$E,4,0))</f>
        <v/>
      </c>
      <c r="E212" s="242"/>
      <c r="F212" s="191"/>
      <c r="G212" s="244"/>
      <c r="H212" s="244"/>
      <c r="I212" s="244"/>
      <c r="J212" s="244"/>
      <c r="K212" s="244"/>
      <c r="L212" s="244"/>
      <c r="M212" s="244"/>
      <c r="N212" s="244"/>
      <c r="O212" s="244"/>
      <c r="P212" s="244"/>
      <c r="Q212" s="244"/>
      <c r="R212" s="197">
        <f t="shared" si="14"/>
        <v>0</v>
      </c>
      <c r="S212" s="198"/>
      <c r="T212" s="199"/>
      <c r="U212" s="243"/>
      <c r="V212" s="243"/>
      <c r="W212" s="243"/>
      <c r="BA212"/>
      <c r="BB212"/>
    </row>
    <row r="213" spans="1:54" s="188" customFormat="1" ht="13.5">
      <c r="A213" s="223"/>
      <c r="B213" s="177"/>
      <c r="C213" s="180" t="str">
        <f>IFERROR(IF(VLOOKUP($B213,勘定科目!$A:$H,HLOOKUP($E$5,勘定科目!$F$1:$H$2,2,0),0)="","",VLOOKUP($B213,勘定科目!$A:$E,2,0)),"")</f>
        <v/>
      </c>
      <c r="D213" s="236" t="str">
        <f>IF(C213="","",VLOOKUP($B213,勘定科目!$A:$E,4,0))</f>
        <v/>
      </c>
      <c r="E213" s="242"/>
      <c r="F213" s="191"/>
      <c r="G213" s="244"/>
      <c r="H213" s="244"/>
      <c r="I213" s="244"/>
      <c r="J213" s="244"/>
      <c r="K213" s="244"/>
      <c r="L213" s="244"/>
      <c r="M213" s="244"/>
      <c r="N213" s="244"/>
      <c r="O213" s="244"/>
      <c r="P213" s="244"/>
      <c r="Q213" s="244"/>
      <c r="R213" s="197">
        <f t="shared" si="14"/>
        <v>0</v>
      </c>
      <c r="S213" s="198"/>
      <c r="T213" s="199"/>
      <c r="U213" s="243"/>
      <c r="V213" s="243"/>
      <c r="W213" s="243"/>
      <c r="BA213"/>
      <c r="BB213"/>
    </row>
    <row r="214" spans="1:54" s="188" customFormat="1" ht="13.5">
      <c r="A214" s="223"/>
      <c r="B214" s="177"/>
      <c r="C214" s="180" t="str">
        <f>IFERROR(IF(VLOOKUP($B214,勘定科目!$A:$H,HLOOKUP($E$5,勘定科目!$F$1:$H$2,2,0),0)="","",VLOOKUP($B214,勘定科目!$A:$E,2,0)),"")</f>
        <v/>
      </c>
      <c r="D214" s="236" t="str">
        <f>IF(C214="","",VLOOKUP($B214,勘定科目!$A:$E,4,0))</f>
        <v/>
      </c>
      <c r="E214" s="242"/>
      <c r="F214" s="191"/>
      <c r="G214" s="244"/>
      <c r="H214" s="244"/>
      <c r="I214" s="244"/>
      <c r="J214" s="244"/>
      <c r="K214" s="244"/>
      <c r="L214" s="244"/>
      <c r="M214" s="244"/>
      <c r="N214" s="244"/>
      <c r="O214" s="244"/>
      <c r="P214" s="244"/>
      <c r="Q214" s="244"/>
      <c r="R214" s="197">
        <f t="shared" si="14"/>
        <v>0</v>
      </c>
      <c r="S214" s="198"/>
      <c r="T214" s="199"/>
      <c r="U214" s="243"/>
      <c r="V214" s="243"/>
      <c r="W214" s="243"/>
      <c r="BA214"/>
      <c r="BB214"/>
    </row>
    <row r="215" spans="1:54" s="188" customFormat="1" ht="13.5">
      <c r="A215" s="223"/>
      <c r="B215" s="177"/>
      <c r="C215" s="180" t="str">
        <f>IFERROR(IF(VLOOKUP($B215,勘定科目!$A:$H,HLOOKUP($E$5,勘定科目!$F$1:$H$2,2,0),0)="","",VLOOKUP($B215,勘定科目!$A:$E,2,0)),"")</f>
        <v/>
      </c>
      <c r="D215" s="236" t="str">
        <f>IF(C215="","",VLOOKUP($B215,勘定科目!$A:$E,4,0))</f>
        <v/>
      </c>
      <c r="E215" s="242"/>
      <c r="F215" s="191"/>
      <c r="G215" s="244"/>
      <c r="H215" s="244"/>
      <c r="I215" s="244"/>
      <c r="J215" s="244"/>
      <c r="K215" s="244"/>
      <c r="L215" s="244"/>
      <c r="M215" s="244"/>
      <c r="N215" s="244"/>
      <c r="O215" s="244"/>
      <c r="P215" s="244"/>
      <c r="Q215" s="244"/>
      <c r="R215" s="197">
        <f t="shared" si="14"/>
        <v>0</v>
      </c>
      <c r="S215" s="198"/>
      <c r="T215" s="199"/>
      <c r="U215" s="243"/>
      <c r="V215" s="243"/>
      <c r="W215" s="243"/>
      <c r="BA215"/>
      <c r="BB215"/>
    </row>
    <row r="216" spans="1:54" s="188" customFormat="1" ht="13.5">
      <c r="A216" s="223"/>
      <c r="B216" s="177"/>
      <c r="C216" s="180" t="str">
        <f>IFERROR(IF(VLOOKUP($B216,勘定科目!$A:$H,HLOOKUP($E$5,勘定科目!$F$1:$H$2,2,0),0)="","",VLOOKUP($B216,勘定科目!$A:$E,2,0)),"")</f>
        <v/>
      </c>
      <c r="D216" s="236" t="str">
        <f>IF(C216="","",VLOOKUP($B216,勘定科目!$A:$E,4,0))</f>
        <v/>
      </c>
      <c r="E216" s="242"/>
      <c r="F216" s="191"/>
      <c r="G216" s="244"/>
      <c r="H216" s="244"/>
      <c r="I216" s="244"/>
      <c r="J216" s="244"/>
      <c r="K216" s="244"/>
      <c r="L216" s="244"/>
      <c r="M216" s="244"/>
      <c r="N216" s="244"/>
      <c r="O216" s="244"/>
      <c r="P216" s="244"/>
      <c r="Q216" s="244"/>
      <c r="R216" s="197">
        <f t="shared" si="14"/>
        <v>0</v>
      </c>
      <c r="S216" s="198"/>
      <c r="T216" s="199"/>
      <c r="U216" s="243"/>
      <c r="V216" s="243"/>
      <c r="W216" s="243"/>
      <c r="BA216"/>
      <c r="BB216"/>
    </row>
    <row r="217" spans="1:54" s="188" customFormat="1" ht="13.5">
      <c r="A217" s="223"/>
      <c r="B217" s="177"/>
      <c r="C217" s="180" t="str">
        <f>IFERROR(IF(VLOOKUP($B217,勘定科目!$A:$H,HLOOKUP($E$5,勘定科目!$F$1:$H$2,2,0),0)="","",VLOOKUP($B217,勘定科目!$A:$E,2,0)),"")</f>
        <v/>
      </c>
      <c r="D217" s="236" t="str">
        <f>IF(C217="","",VLOOKUP($B217,勘定科目!$A:$E,4,0))</f>
        <v/>
      </c>
      <c r="E217" s="242"/>
      <c r="F217" s="191"/>
      <c r="G217" s="244"/>
      <c r="H217" s="244"/>
      <c r="I217" s="244"/>
      <c r="J217" s="244"/>
      <c r="K217" s="244"/>
      <c r="L217" s="244"/>
      <c r="M217" s="244"/>
      <c r="N217" s="244"/>
      <c r="O217" s="244"/>
      <c r="P217" s="244"/>
      <c r="Q217" s="244"/>
      <c r="R217" s="197">
        <f t="shared" si="14"/>
        <v>0</v>
      </c>
      <c r="S217" s="198"/>
      <c r="T217" s="199"/>
      <c r="U217" s="243"/>
      <c r="V217" s="243"/>
      <c r="W217" s="243"/>
      <c r="BA217"/>
      <c r="BB217"/>
    </row>
    <row r="218" spans="1:54" s="188" customFormat="1" ht="13.5">
      <c r="A218" s="223"/>
      <c r="B218" s="177"/>
      <c r="C218" s="180" t="str">
        <f>IFERROR(IF(VLOOKUP($B218,勘定科目!$A:$H,HLOOKUP($E$5,勘定科目!$F$1:$H$2,2,0),0)="","",VLOOKUP($B218,勘定科目!$A:$E,2,0)),"")</f>
        <v/>
      </c>
      <c r="D218" s="236" t="str">
        <f>IF(C218="","",VLOOKUP($B218,勘定科目!$A:$E,4,0))</f>
        <v/>
      </c>
      <c r="E218" s="242"/>
      <c r="F218" s="191"/>
      <c r="G218" s="244"/>
      <c r="H218" s="244"/>
      <c r="I218" s="244"/>
      <c r="J218" s="244"/>
      <c r="K218" s="244"/>
      <c r="L218" s="244"/>
      <c r="M218" s="244"/>
      <c r="N218" s="244"/>
      <c r="O218" s="244"/>
      <c r="P218" s="244"/>
      <c r="Q218" s="244"/>
      <c r="R218" s="197">
        <f t="shared" si="14"/>
        <v>0</v>
      </c>
      <c r="S218" s="198"/>
      <c r="T218" s="199"/>
      <c r="U218" s="243"/>
      <c r="V218" s="243"/>
      <c r="W218" s="243"/>
      <c r="BA218"/>
      <c r="BB218"/>
    </row>
    <row r="219" spans="1:54" s="188" customFormat="1" ht="13.5">
      <c r="A219" s="223"/>
      <c r="B219" s="177"/>
      <c r="C219" s="180" t="str">
        <f>IFERROR(IF(VLOOKUP($B219,勘定科目!$A:$H,HLOOKUP($E$5,勘定科目!$F$1:$H$2,2,0),0)="","",VLOOKUP($B219,勘定科目!$A:$E,2,0)),"")</f>
        <v/>
      </c>
      <c r="D219" s="236" t="str">
        <f>IF(C219="","",VLOOKUP($B219,勘定科目!$A:$E,4,0))</f>
        <v/>
      </c>
      <c r="E219" s="242"/>
      <c r="F219" s="191"/>
      <c r="G219" s="244"/>
      <c r="H219" s="244"/>
      <c r="I219" s="244"/>
      <c r="J219" s="244"/>
      <c r="K219" s="244"/>
      <c r="L219" s="244"/>
      <c r="M219" s="244"/>
      <c r="N219" s="244"/>
      <c r="O219" s="244"/>
      <c r="P219" s="244"/>
      <c r="Q219" s="244"/>
      <c r="R219" s="197">
        <f t="shared" si="14"/>
        <v>0</v>
      </c>
      <c r="S219" s="198"/>
      <c r="T219" s="199"/>
      <c r="U219" s="243"/>
      <c r="V219" s="243"/>
      <c r="W219" s="243"/>
      <c r="BA219"/>
      <c r="BB219"/>
    </row>
    <row r="220" spans="1:54" s="188" customFormat="1" ht="13.5">
      <c r="A220" s="223"/>
      <c r="B220" s="177"/>
      <c r="C220" s="180" t="str">
        <f>IFERROR(IF(VLOOKUP($B220,勘定科目!$A:$H,HLOOKUP($E$5,勘定科目!$F$1:$H$2,2,0),0)="","",VLOOKUP($B220,勘定科目!$A:$E,2,0)),"")</f>
        <v/>
      </c>
      <c r="D220" s="236" t="str">
        <f>IF(C220="","",VLOOKUP($B220,勘定科目!$A:$E,4,0))</f>
        <v/>
      </c>
      <c r="E220" s="242"/>
      <c r="F220" s="191"/>
      <c r="G220" s="244"/>
      <c r="H220" s="244"/>
      <c r="I220" s="244"/>
      <c r="J220" s="244"/>
      <c r="K220" s="244"/>
      <c r="L220" s="244"/>
      <c r="M220" s="244"/>
      <c r="N220" s="244"/>
      <c r="O220" s="244"/>
      <c r="P220" s="244"/>
      <c r="Q220" s="244"/>
      <c r="R220" s="197">
        <f t="shared" si="14"/>
        <v>0</v>
      </c>
      <c r="S220" s="198"/>
      <c r="T220" s="199"/>
      <c r="U220" s="243"/>
      <c r="V220" s="243"/>
      <c r="W220" s="243"/>
      <c r="BA220"/>
      <c r="BB220"/>
    </row>
    <row r="221" spans="1:54" s="188" customFormat="1" ht="13.5">
      <c r="A221" s="223"/>
      <c r="B221" s="177"/>
      <c r="C221" s="180" t="str">
        <f>IFERROR(IF(VLOOKUP($B221,勘定科目!$A:$H,HLOOKUP($E$5,勘定科目!$F$1:$H$2,2,0),0)="","",VLOOKUP($B221,勘定科目!$A:$E,2,0)),"")</f>
        <v/>
      </c>
      <c r="D221" s="236" t="str">
        <f>IF(C221="","",VLOOKUP($B221,勘定科目!$A:$E,4,0))</f>
        <v/>
      </c>
      <c r="E221" s="242"/>
      <c r="F221" s="191"/>
      <c r="G221" s="244"/>
      <c r="H221" s="244"/>
      <c r="I221" s="244"/>
      <c r="J221" s="244"/>
      <c r="K221" s="244"/>
      <c r="L221" s="244"/>
      <c r="M221" s="244"/>
      <c r="N221" s="244"/>
      <c r="O221" s="244"/>
      <c r="P221" s="244"/>
      <c r="Q221" s="244"/>
      <c r="R221" s="197">
        <f t="shared" si="14"/>
        <v>0</v>
      </c>
      <c r="S221" s="198"/>
      <c r="T221" s="199"/>
      <c r="U221" s="243"/>
      <c r="V221" s="243"/>
      <c r="W221" s="243"/>
      <c r="BA221"/>
      <c r="BB221"/>
    </row>
    <row r="222" spans="1:54" s="188" customFormat="1" ht="13.5">
      <c r="A222" s="223"/>
      <c r="B222" s="177"/>
      <c r="C222" s="180" t="str">
        <f>IFERROR(IF(VLOOKUP($B222,勘定科目!$A:$H,HLOOKUP($E$5,勘定科目!$F$1:$H$2,2,0),0)="","",VLOOKUP($B222,勘定科目!$A:$E,2,0)),"")</f>
        <v/>
      </c>
      <c r="D222" s="236" t="str">
        <f>IF(C222="","",VLOOKUP($B222,勘定科目!$A:$E,4,0))</f>
        <v/>
      </c>
      <c r="E222" s="242"/>
      <c r="F222" s="191"/>
      <c r="G222" s="244"/>
      <c r="H222" s="244"/>
      <c r="I222" s="244"/>
      <c r="J222" s="244"/>
      <c r="K222" s="244"/>
      <c r="L222" s="244"/>
      <c r="M222" s="244"/>
      <c r="N222" s="244"/>
      <c r="O222" s="244"/>
      <c r="P222" s="244"/>
      <c r="Q222" s="244"/>
      <c r="R222" s="197">
        <f t="shared" si="14"/>
        <v>0</v>
      </c>
      <c r="S222" s="198"/>
      <c r="T222" s="199"/>
      <c r="U222" s="243"/>
      <c r="V222" s="243"/>
      <c r="W222" s="243"/>
      <c r="BA222"/>
      <c r="BB222"/>
    </row>
    <row r="223" spans="1:54" s="188" customFormat="1" ht="13.5">
      <c r="A223" s="223"/>
      <c r="B223" s="177"/>
      <c r="C223" s="180" t="str">
        <f>IFERROR(IF(VLOOKUP($B223,勘定科目!$A:$H,HLOOKUP($E$5,勘定科目!$F$1:$H$2,2,0),0)="","",VLOOKUP($B223,勘定科目!$A:$E,2,0)),"")</f>
        <v/>
      </c>
      <c r="D223" s="236" t="str">
        <f>IF(C223="","",VLOOKUP($B223,勘定科目!$A:$E,4,0))</f>
        <v/>
      </c>
      <c r="E223" s="242"/>
      <c r="F223" s="191"/>
      <c r="G223" s="244"/>
      <c r="H223" s="244"/>
      <c r="I223" s="244"/>
      <c r="J223" s="244"/>
      <c r="K223" s="244"/>
      <c r="L223" s="244"/>
      <c r="M223" s="244"/>
      <c r="N223" s="244"/>
      <c r="O223" s="244"/>
      <c r="P223" s="244"/>
      <c r="Q223" s="244"/>
      <c r="R223" s="197">
        <f t="shared" si="14"/>
        <v>0</v>
      </c>
      <c r="S223" s="198"/>
      <c r="T223" s="199"/>
      <c r="U223" s="243"/>
      <c r="V223" s="243"/>
      <c r="W223" s="243"/>
      <c r="BA223"/>
      <c r="BB223"/>
    </row>
    <row r="224" spans="1:54" s="188" customFormat="1" ht="13.5">
      <c r="A224" s="223"/>
      <c r="B224" s="177"/>
      <c r="C224" s="180" t="str">
        <f>IFERROR(IF(VLOOKUP($B224,勘定科目!$A:$H,HLOOKUP($E$5,勘定科目!$F$1:$H$2,2,0),0)="","",VLOOKUP($B224,勘定科目!$A:$E,2,0)),"")</f>
        <v/>
      </c>
      <c r="D224" s="236" t="str">
        <f>IF(C224="","",VLOOKUP($B224,勘定科目!$A:$E,4,0))</f>
        <v/>
      </c>
      <c r="E224" s="242"/>
      <c r="F224" s="191"/>
      <c r="G224" s="244"/>
      <c r="H224" s="244"/>
      <c r="I224" s="244"/>
      <c r="J224" s="244"/>
      <c r="K224" s="244"/>
      <c r="L224" s="244"/>
      <c r="M224" s="244"/>
      <c r="N224" s="244"/>
      <c r="O224" s="244"/>
      <c r="P224" s="244"/>
      <c r="Q224" s="244"/>
      <c r="R224" s="197">
        <f t="shared" si="14"/>
        <v>0</v>
      </c>
      <c r="S224" s="198"/>
      <c r="T224" s="199"/>
      <c r="U224" s="243"/>
      <c r="V224" s="243"/>
      <c r="W224" s="243"/>
      <c r="BA224"/>
      <c r="BB224"/>
    </row>
    <row r="225" spans="1:54" s="188" customFormat="1" ht="13.5">
      <c r="A225" s="223"/>
      <c r="B225" s="177"/>
      <c r="C225" s="180" t="str">
        <f>IFERROR(IF(VLOOKUP($B225,勘定科目!$A:$H,HLOOKUP($E$5,勘定科目!$F$1:$H$2,2,0),0)="","",VLOOKUP($B225,勘定科目!$A:$E,2,0)),"")</f>
        <v/>
      </c>
      <c r="D225" s="236" t="str">
        <f>IF(C225="","",VLOOKUP($B225,勘定科目!$A:$E,4,0))</f>
        <v/>
      </c>
      <c r="E225" s="242"/>
      <c r="F225" s="191"/>
      <c r="G225" s="244"/>
      <c r="H225" s="244"/>
      <c r="I225" s="244"/>
      <c r="J225" s="244"/>
      <c r="K225" s="244"/>
      <c r="L225" s="244"/>
      <c r="M225" s="244"/>
      <c r="N225" s="244"/>
      <c r="O225" s="244"/>
      <c r="P225" s="244"/>
      <c r="Q225" s="244"/>
      <c r="R225" s="197">
        <f t="shared" si="14"/>
        <v>0</v>
      </c>
      <c r="S225" s="198"/>
      <c r="T225" s="199"/>
      <c r="U225" s="243"/>
      <c r="V225" s="243"/>
      <c r="W225" s="243"/>
      <c r="BA225"/>
      <c r="BB225"/>
    </row>
    <row r="226" spans="1:54" s="188" customFormat="1" ht="13.5">
      <c r="A226" s="223"/>
      <c r="B226" s="177"/>
      <c r="C226" s="180" t="str">
        <f>IFERROR(IF(VLOOKUP($B226,勘定科目!$A:$H,HLOOKUP($E$5,勘定科目!$F$1:$H$2,2,0),0)="","",VLOOKUP($B226,勘定科目!$A:$E,2,0)),"")</f>
        <v/>
      </c>
      <c r="D226" s="236" t="str">
        <f>IF(C226="","",VLOOKUP($B226,勘定科目!$A:$E,4,0))</f>
        <v/>
      </c>
      <c r="E226" s="242"/>
      <c r="F226" s="191"/>
      <c r="G226" s="244"/>
      <c r="H226" s="244"/>
      <c r="I226" s="244"/>
      <c r="J226" s="244"/>
      <c r="K226" s="244"/>
      <c r="L226" s="244"/>
      <c r="M226" s="244"/>
      <c r="N226" s="244"/>
      <c r="O226" s="244"/>
      <c r="P226" s="244"/>
      <c r="Q226" s="244"/>
      <c r="R226" s="197">
        <f t="shared" si="14"/>
        <v>0</v>
      </c>
      <c r="S226" s="198"/>
      <c r="T226" s="199"/>
      <c r="U226" s="243"/>
      <c r="V226" s="243"/>
      <c r="W226" s="243"/>
      <c r="BA226"/>
      <c r="BB226"/>
    </row>
    <row r="227" spans="1:54" s="188" customFormat="1" ht="13.5">
      <c r="A227" s="223"/>
      <c r="B227" s="177"/>
      <c r="C227" s="180" t="str">
        <f>IFERROR(IF(VLOOKUP($B227,勘定科目!$A:$H,HLOOKUP($E$5,勘定科目!$F$1:$H$2,2,0),0)="","",VLOOKUP($B227,勘定科目!$A:$E,2,0)),"")</f>
        <v/>
      </c>
      <c r="D227" s="236" t="str">
        <f>IF(C227="","",VLOOKUP($B227,勘定科目!$A:$E,4,0))</f>
        <v/>
      </c>
      <c r="E227" s="242"/>
      <c r="F227" s="191"/>
      <c r="G227" s="244"/>
      <c r="H227" s="244"/>
      <c r="I227" s="244"/>
      <c r="J227" s="244"/>
      <c r="K227" s="244"/>
      <c r="L227" s="244"/>
      <c r="M227" s="244"/>
      <c r="N227" s="244"/>
      <c r="O227" s="244"/>
      <c r="P227" s="244"/>
      <c r="Q227" s="244"/>
      <c r="R227" s="197">
        <f t="shared" si="14"/>
        <v>0</v>
      </c>
      <c r="S227" s="198"/>
      <c r="T227" s="199"/>
      <c r="U227" s="243"/>
      <c r="V227" s="243"/>
      <c r="W227" s="243"/>
      <c r="BA227"/>
      <c r="BB227"/>
    </row>
    <row r="228" spans="1:54" s="188" customFormat="1" ht="13.5">
      <c r="A228" s="223"/>
      <c r="B228" s="177"/>
      <c r="C228" s="180" t="str">
        <f>IFERROR(IF(VLOOKUP($B228,勘定科目!$A:$H,HLOOKUP($E$5,勘定科目!$F$1:$H$2,2,0),0)="","",VLOOKUP($B228,勘定科目!$A:$E,2,0)),"")</f>
        <v/>
      </c>
      <c r="D228" s="236" t="str">
        <f>IF(C228="","",VLOOKUP($B228,勘定科目!$A:$E,4,0))</f>
        <v/>
      </c>
      <c r="E228" s="242"/>
      <c r="F228" s="191"/>
      <c r="G228" s="244"/>
      <c r="H228" s="244"/>
      <c r="I228" s="244"/>
      <c r="J228" s="244"/>
      <c r="K228" s="244"/>
      <c r="L228" s="244"/>
      <c r="M228" s="244"/>
      <c r="N228" s="244"/>
      <c r="O228" s="244"/>
      <c r="P228" s="244"/>
      <c r="Q228" s="244"/>
      <c r="R228" s="197">
        <f t="shared" si="14"/>
        <v>0</v>
      </c>
      <c r="S228" s="198"/>
      <c r="T228" s="199"/>
      <c r="U228" s="243"/>
      <c r="V228" s="243"/>
      <c r="W228" s="243"/>
      <c r="BA228"/>
      <c r="BB228"/>
    </row>
    <row r="229" spans="1:54" s="188" customFormat="1" ht="13.5">
      <c r="A229" s="223"/>
      <c r="B229" s="177"/>
      <c r="C229" s="180" t="str">
        <f>IFERROR(IF(VLOOKUP($B229,勘定科目!$A:$H,HLOOKUP($E$5,勘定科目!$F$1:$H$2,2,0),0)="","",VLOOKUP($B229,勘定科目!$A:$E,2,0)),"")</f>
        <v/>
      </c>
      <c r="D229" s="236" t="str">
        <f>IF(C229="","",VLOOKUP($B229,勘定科目!$A:$E,4,0))</f>
        <v/>
      </c>
      <c r="E229" s="242"/>
      <c r="F229" s="191"/>
      <c r="G229" s="244"/>
      <c r="H229" s="244"/>
      <c r="I229" s="244"/>
      <c r="J229" s="244"/>
      <c r="K229" s="244"/>
      <c r="L229" s="244"/>
      <c r="M229" s="244"/>
      <c r="N229" s="244"/>
      <c r="O229" s="244"/>
      <c r="P229" s="244"/>
      <c r="Q229" s="244"/>
      <c r="R229" s="197">
        <f t="shared" si="14"/>
        <v>0</v>
      </c>
      <c r="S229" s="198"/>
      <c r="T229" s="199"/>
      <c r="U229" s="243"/>
      <c r="V229" s="243"/>
      <c r="W229" s="243"/>
      <c r="BA229"/>
      <c r="BB229"/>
    </row>
    <row r="230" spans="1:54" s="188" customFormat="1" ht="13.5">
      <c r="A230" s="223"/>
      <c r="B230" s="177"/>
      <c r="C230" s="180" t="str">
        <f>IFERROR(IF(VLOOKUP($B230,勘定科目!$A:$H,HLOOKUP($E$5,勘定科目!$F$1:$H$2,2,0),0)="","",VLOOKUP($B230,勘定科目!$A:$E,2,0)),"")</f>
        <v/>
      </c>
      <c r="D230" s="236" t="str">
        <f>IF(C230="","",VLOOKUP($B230,勘定科目!$A:$E,4,0))</f>
        <v/>
      </c>
      <c r="E230" s="242"/>
      <c r="F230" s="191"/>
      <c r="G230" s="244"/>
      <c r="H230" s="244"/>
      <c r="I230" s="244"/>
      <c r="J230" s="244"/>
      <c r="K230" s="244"/>
      <c r="L230" s="244"/>
      <c r="M230" s="244"/>
      <c r="N230" s="244"/>
      <c r="O230" s="244"/>
      <c r="P230" s="244"/>
      <c r="Q230" s="244"/>
      <c r="R230" s="197">
        <f t="shared" si="14"/>
        <v>0</v>
      </c>
      <c r="S230" s="198"/>
      <c r="T230" s="199"/>
      <c r="U230" s="243"/>
      <c r="V230" s="243"/>
      <c r="W230" s="243"/>
      <c r="BA230"/>
      <c r="BB230"/>
    </row>
    <row r="231" spans="1:54" s="188" customFormat="1" ht="13.5">
      <c r="A231" s="223"/>
      <c r="B231" s="177"/>
      <c r="C231" s="180" t="str">
        <f>IFERROR(IF(VLOOKUP($B231,勘定科目!$A:$H,HLOOKUP($E$5,勘定科目!$F$1:$H$2,2,0),0)="","",VLOOKUP($B231,勘定科目!$A:$E,2,0)),"")</f>
        <v/>
      </c>
      <c r="D231" s="236" t="str">
        <f>IF(C231="","",VLOOKUP($B231,勘定科目!$A:$E,4,0))</f>
        <v/>
      </c>
      <c r="E231" s="242"/>
      <c r="F231" s="191"/>
      <c r="G231" s="244"/>
      <c r="H231" s="244"/>
      <c r="I231" s="244"/>
      <c r="J231" s="244"/>
      <c r="K231" s="244"/>
      <c r="L231" s="244"/>
      <c r="M231" s="244"/>
      <c r="N231" s="244"/>
      <c r="O231" s="244"/>
      <c r="P231" s="244"/>
      <c r="Q231" s="244"/>
      <c r="R231" s="197">
        <f t="shared" si="14"/>
        <v>0</v>
      </c>
      <c r="S231" s="198"/>
      <c r="T231" s="199"/>
      <c r="U231" s="243"/>
      <c r="V231" s="243"/>
      <c r="W231" s="243"/>
      <c r="BA231"/>
      <c r="BB231"/>
    </row>
    <row r="232" spans="1:54" s="188" customFormat="1" ht="13.5">
      <c r="A232" s="223"/>
      <c r="B232" s="177"/>
      <c r="C232" s="180" t="str">
        <f>IFERROR(IF(VLOOKUP($B232,勘定科目!$A:$H,HLOOKUP($E$5,勘定科目!$F$1:$H$2,2,0),0)="","",VLOOKUP($B232,勘定科目!$A:$E,2,0)),"")</f>
        <v/>
      </c>
      <c r="D232" s="236" t="str">
        <f>IF(C232="","",VLOOKUP($B232,勘定科目!$A:$E,4,0))</f>
        <v/>
      </c>
      <c r="E232" s="242"/>
      <c r="F232" s="191"/>
      <c r="G232" s="244"/>
      <c r="H232" s="244"/>
      <c r="I232" s="244"/>
      <c r="J232" s="244"/>
      <c r="K232" s="244"/>
      <c r="L232" s="244"/>
      <c r="M232" s="244"/>
      <c r="N232" s="244"/>
      <c r="O232" s="244"/>
      <c r="P232" s="244"/>
      <c r="Q232" s="244"/>
      <c r="R232" s="197">
        <f t="shared" si="14"/>
        <v>0</v>
      </c>
      <c r="S232" s="198"/>
      <c r="T232" s="199"/>
      <c r="U232" s="243"/>
      <c r="V232" s="243"/>
      <c r="W232" s="243"/>
      <c r="BA232"/>
      <c r="BB232"/>
    </row>
    <row r="233" spans="1:54" s="188" customFormat="1" ht="13.5">
      <c r="A233" s="223"/>
      <c r="B233" s="177"/>
      <c r="C233" s="180" t="str">
        <f>IFERROR(IF(VLOOKUP($B233,勘定科目!$A:$H,HLOOKUP($E$5,勘定科目!$F$1:$H$2,2,0),0)="","",VLOOKUP($B233,勘定科目!$A:$E,2,0)),"")</f>
        <v/>
      </c>
      <c r="D233" s="236" t="str">
        <f>IF(C233="","",VLOOKUP($B233,勘定科目!$A:$E,4,0))</f>
        <v/>
      </c>
      <c r="E233" s="242"/>
      <c r="F233" s="191"/>
      <c r="G233" s="244"/>
      <c r="H233" s="244"/>
      <c r="I233" s="244"/>
      <c r="J233" s="244"/>
      <c r="K233" s="244"/>
      <c r="L233" s="244"/>
      <c r="M233" s="244"/>
      <c r="N233" s="244"/>
      <c r="O233" s="244"/>
      <c r="P233" s="244"/>
      <c r="Q233" s="244"/>
      <c r="R233" s="197">
        <f t="shared" si="14"/>
        <v>0</v>
      </c>
      <c r="S233" s="198"/>
      <c r="T233" s="199"/>
      <c r="U233" s="243"/>
      <c r="V233" s="243"/>
      <c r="W233" s="243"/>
      <c r="BA233"/>
      <c r="BB233"/>
    </row>
    <row r="234" spans="1:54" s="188" customFormat="1" ht="13.5">
      <c r="A234" s="223"/>
      <c r="B234" s="177"/>
      <c r="C234" s="180" t="str">
        <f>IFERROR(IF(VLOOKUP($B234,勘定科目!$A:$H,HLOOKUP($E$5,勘定科目!$F$1:$H$2,2,0),0)="","",VLOOKUP($B234,勘定科目!$A:$E,2,0)),"")</f>
        <v/>
      </c>
      <c r="D234" s="236" t="str">
        <f>IF(C234="","",VLOOKUP($B234,勘定科目!$A:$E,4,0))</f>
        <v/>
      </c>
      <c r="E234" s="242"/>
      <c r="F234" s="191"/>
      <c r="G234" s="244"/>
      <c r="H234" s="244"/>
      <c r="I234" s="244"/>
      <c r="J234" s="244"/>
      <c r="K234" s="244"/>
      <c r="L234" s="244"/>
      <c r="M234" s="244"/>
      <c r="N234" s="244"/>
      <c r="O234" s="244"/>
      <c r="P234" s="244"/>
      <c r="Q234" s="244"/>
      <c r="R234" s="197">
        <f t="shared" si="14"/>
        <v>0</v>
      </c>
      <c r="S234" s="198"/>
      <c r="T234" s="199"/>
      <c r="U234" s="243"/>
      <c r="V234" s="243"/>
      <c r="W234" s="243"/>
      <c r="BA234"/>
      <c r="BB234"/>
    </row>
    <row r="235" spans="1:54" s="188" customFormat="1" ht="13.5">
      <c r="A235" s="223"/>
      <c r="B235" s="177"/>
      <c r="C235" s="180" t="str">
        <f>IFERROR(IF(VLOOKUP($B235,勘定科目!$A:$H,HLOOKUP($E$5,勘定科目!$F$1:$H$2,2,0),0)="","",VLOOKUP($B235,勘定科目!$A:$E,2,0)),"")</f>
        <v/>
      </c>
      <c r="D235" s="236" t="str">
        <f>IF(C235="","",VLOOKUP($B235,勘定科目!$A:$E,4,0))</f>
        <v/>
      </c>
      <c r="E235" s="242"/>
      <c r="F235" s="191"/>
      <c r="G235" s="244"/>
      <c r="H235" s="244"/>
      <c r="I235" s="244"/>
      <c r="J235" s="244"/>
      <c r="K235" s="244"/>
      <c r="L235" s="244"/>
      <c r="M235" s="244"/>
      <c r="N235" s="244"/>
      <c r="O235" s="244"/>
      <c r="P235" s="244"/>
      <c r="Q235" s="244"/>
      <c r="R235" s="197">
        <f t="shared" si="14"/>
        <v>0</v>
      </c>
      <c r="S235" s="198"/>
      <c r="T235" s="199"/>
      <c r="U235" s="243"/>
      <c r="V235" s="243"/>
      <c r="W235" s="243"/>
      <c r="BA235"/>
      <c r="BB235"/>
    </row>
    <row r="236" spans="1:54" s="188" customFormat="1" ht="13.5">
      <c r="A236" s="223"/>
      <c r="B236" s="177"/>
      <c r="C236" s="180" t="str">
        <f>IFERROR(IF(VLOOKUP($B236,勘定科目!$A:$H,HLOOKUP($E$5,勘定科目!$F$1:$H$2,2,0),0)="","",VLOOKUP($B236,勘定科目!$A:$E,2,0)),"")</f>
        <v/>
      </c>
      <c r="D236" s="236" t="str">
        <f>IF(C236="","",VLOOKUP($B236,勘定科目!$A:$E,4,0))</f>
        <v/>
      </c>
      <c r="E236" s="242"/>
      <c r="F236" s="191"/>
      <c r="G236" s="244"/>
      <c r="H236" s="244"/>
      <c r="I236" s="244"/>
      <c r="J236" s="244"/>
      <c r="K236" s="244"/>
      <c r="L236" s="244"/>
      <c r="M236" s="244"/>
      <c r="N236" s="244"/>
      <c r="O236" s="244"/>
      <c r="P236" s="244"/>
      <c r="Q236" s="244"/>
      <c r="R236" s="197">
        <f t="shared" si="14"/>
        <v>0</v>
      </c>
      <c r="S236" s="198"/>
      <c r="T236" s="199"/>
      <c r="U236" s="243"/>
      <c r="V236" s="243"/>
      <c r="W236" s="243"/>
      <c r="BA236"/>
      <c r="BB236"/>
    </row>
    <row r="237" spans="1:54" s="188" customFormat="1" ht="13.5">
      <c r="A237" s="223"/>
      <c r="B237" s="177"/>
      <c r="C237" s="180" t="str">
        <f>IFERROR(IF(VLOOKUP($B237,勘定科目!$A:$H,HLOOKUP($E$5,勘定科目!$F$1:$H$2,2,0),0)="","",VLOOKUP($B237,勘定科目!$A:$E,2,0)),"")</f>
        <v/>
      </c>
      <c r="D237" s="236" t="str">
        <f>IF(C237="","",VLOOKUP($B237,勘定科目!$A:$E,4,0))</f>
        <v/>
      </c>
      <c r="E237" s="242"/>
      <c r="F237" s="191"/>
      <c r="G237" s="244"/>
      <c r="H237" s="244"/>
      <c r="I237" s="244"/>
      <c r="J237" s="244"/>
      <c r="K237" s="244"/>
      <c r="L237" s="244"/>
      <c r="M237" s="244"/>
      <c r="N237" s="244"/>
      <c r="O237" s="244"/>
      <c r="P237" s="244"/>
      <c r="Q237" s="244"/>
      <c r="R237" s="197">
        <f t="shared" si="14"/>
        <v>0</v>
      </c>
      <c r="S237" s="198"/>
      <c r="T237" s="199"/>
      <c r="U237" s="243"/>
      <c r="V237" s="243"/>
      <c r="W237" s="243"/>
      <c r="BA237"/>
      <c r="BB237"/>
    </row>
    <row r="238" spans="1:54" s="188" customFormat="1" ht="13.5">
      <c r="A238" s="223"/>
      <c r="B238" s="177"/>
      <c r="C238" s="180" t="str">
        <f>IFERROR(IF(VLOOKUP($B238,勘定科目!$A:$H,HLOOKUP($E$5,勘定科目!$F$1:$H$2,2,0),0)="","",VLOOKUP($B238,勘定科目!$A:$E,2,0)),"")</f>
        <v/>
      </c>
      <c r="D238" s="236" t="str">
        <f>IF(C238="","",VLOOKUP($B238,勘定科目!$A:$E,4,0))</f>
        <v/>
      </c>
      <c r="E238" s="242"/>
      <c r="F238" s="191"/>
      <c r="G238" s="244"/>
      <c r="H238" s="244"/>
      <c r="I238" s="244"/>
      <c r="J238" s="244"/>
      <c r="K238" s="244"/>
      <c r="L238" s="244"/>
      <c r="M238" s="244"/>
      <c r="N238" s="244"/>
      <c r="O238" s="244"/>
      <c r="P238" s="244"/>
      <c r="Q238" s="244"/>
      <c r="R238" s="197">
        <f t="shared" si="14"/>
        <v>0</v>
      </c>
      <c r="S238" s="198"/>
      <c r="T238" s="199"/>
      <c r="U238" s="243"/>
      <c r="V238" s="243"/>
      <c r="W238" s="243"/>
      <c r="BA238"/>
      <c r="BB238"/>
    </row>
    <row r="239" spans="1:54" s="188" customFormat="1" ht="13.5">
      <c r="A239" s="223"/>
      <c r="B239" s="177"/>
      <c r="C239" s="180" t="str">
        <f>IFERROR(IF(VLOOKUP($B239,勘定科目!$A:$H,HLOOKUP($E$5,勘定科目!$F$1:$H$2,2,0),0)="","",VLOOKUP($B239,勘定科目!$A:$E,2,0)),"")</f>
        <v/>
      </c>
      <c r="D239" s="236" t="str">
        <f>IF(C239="","",VLOOKUP($B239,勘定科目!$A:$E,4,0))</f>
        <v/>
      </c>
      <c r="E239" s="242"/>
      <c r="F239" s="191"/>
      <c r="G239" s="244"/>
      <c r="H239" s="244"/>
      <c r="I239" s="244"/>
      <c r="J239" s="244"/>
      <c r="K239" s="244"/>
      <c r="L239" s="244"/>
      <c r="M239" s="244"/>
      <c r="N239" s="244"/>
      <c r="O239" s="244"/>
      <c r="P239" s="244"/>
      <c r="Q239" s="244"/>
      <c r="R239" s="197">
        <f t="shared" si="14"/>
        <v>0</v>
      </c>
      <c r="S239" s="198"/>
      <c r="T239" s="199"/>
      <c r="U239" s="243"/>
      <c r="V239" s="243"/>
      <c r="W239" s="243"/>
      <c r="BA239"/>
      <c r="BB239"/>
    </row>
    <row r="240" spans="1:54" s="188" customFormat="1" ht="13.5">
      <c r="A240" s="223"/>
      <c r="B240" s="177"/>
      <c r="C240" s="180" t="str">
        <f>IFERROR(IF(VLOOKUP($B240,勘定科目!$A:$H,HLOOKUP($E$5,勘定科目!$F$1:$H$2,2,0),0)="","",VLOOKUP($B240,勘定科目!$A:$E,2,0)),"")</f>
        <v/>
      </c>
      <c r="D240" s="236" t="str">
        <f>IF(C240="","",VLOOKUP($B240,勘定科目!$A:$E,4,0))</f>
        <v/>
      </c>
      <c r="E240" s="242"/>
      <c r="F240" s="191"/>
      <c r="G240" s="244"/>
      <c r="H240" s="244"/>
      <c r="I240" s="244"/>
      <c r="J240" s="244"/>
      <c r="K240" s="244"/>
      <c r="L240" s="244"/>
      <c r="M240" s="244"/>
      <c r="N240" s="244"/>
      <c r="O240" s="244"/>
      <c r="P240" s="244"/>
      <c r="Q240" s="244"/>
      <c r="R240" s="197">
        <f t="shared" si="14"/>
        <v>0</v>
      </c>
      <c r="S240" s="198"/>
      <c r="T240" s="199"/>
      <c r="U240" s="243"/>
      <c r="V240" s="243"/>
      <c r="W240" s="243"/>
      <c r="BA240"/>
      <c r="BB240"/>
    </row>
    <row r="241" spans="1:54" s="188" customFormat="1" ht="13.5">
      <c r="A241" s="223"/>
      <c r="B241" s="177"/>
      <c r="C241" s="180" t="str">
        <f>IFERROR(IF(VLOOKUP($B241,勘定科目!$A:$H,HLOOKUP($E$5,勘定科目!$F$1:$H$2,2,0),0)="","",VLOOKUP($B241,勘定科目!$A:$E,2,0)),"")</f>
        <v/>
      </c>
      <c r="D241" s="236" t="str">
        <f>IF(C241="","",VLOOKUP($B241,勘定科目!$A:$E,4,0))</f>
        <v/>
      </c>
      <c r="E241" s="242"/>
      <c r="F241" s="191"/>
      <c r="G241" s="244"/>
      <c r="H241" s="244"/>
      <c r="I241" s="244"/>
      <c r="J241" s="244"/>
      <c r="K241" s="244"/>
      <c r="L241" s="244"/>
      <c r="M241" s="244"/>
      <c r="N241" s="244"/>
      <c r="O241" s="244"/>
      <c r="P241" s="244"/>
      <c r="Q241" s="244"/>
      <c r="R241" s="197">
        <f t="shared" si="14"/>
        <v>0</v>
      </c>
      <c r="S241" s="198"/>
      <c r="T241" s="199"/>
      <c r="U241" s="243"/>
      <c r="V241" s="243"/>
      <c r="W241" s="243"/>
      <c r="BA241"/>
      <c r="BB241"/>
    </row>
    <row r="242" spans="1:54" s="188" customFormat="1" ht="13.5">
      <c r="A242" s="223"/>
      <c r="B242" s="177"/>
      <c r="C242" s="180" t="str">
        <f>IFERROR(IF(VLOOKUP($B242,勘定科目!$A:$H,HLOOKUP($E$5,勘定科目!$F$1:$H$2,2,0),0)="","",VLOOKUP($B242,勘定科目!$A:$E,2,0)),"")</f>
        <v/>
      </c>
      <c r="D242" s="236" t="str">
        <f>IF(C242="","",VLOOKUP($B242,勘定科目!$A:$E,4,0))</f>
        <v/>
      </c>
      <c r="E242" s="242"/>
      <c r="F242" s="191"/>
      <c r="G242" s="244"/>
      <c r="H242" s="244"/>
      <c r="I242" s="244"/>
      <c r="J242" s="244"/>
      <c r="K242" s="244"/>
      <c r="L242" s="244"/>
      <c r="M242" s="244"/>
      <c r="N242" s="244"/>
      <c r="O242" s="244"/>
      <c r="P242" s="244"/>
      <c r="Q242" s="244"/>
      <c r="R242" s="197">
        <f t="shared" si="14"/>
        <v>0</v>
      </c>
      <c r="S242" s="198"/>
      <c r="T242" s="199"/>
      <c r="U242" s="243"/>
      <c r="V242" s="243"/>
      <c r="W242" s="243"/>
      <c r="BA242"/>
      <c r="BB242"/>
    </row>
    <row r="243" spans="1:54" s="188" customFormat="1" ht="13.5">
      <c r="A243" s="223"/>
      <c r="B243" s="177"/>
      <c r="C243" s="180" t="str">
        <f>IFERROR(IF(VLOOKUP($B243,勘定科目!$A:$H,HLOOKUP($E$5,勘定科目!$F$1:$H$2,2,0),0)="","",VLOOKUP($B243,勘定科目!$A:$E,2,0)),"")</f>
        <v/>
      </c>
      <c r="D243" s="236" t="str">
        <f>IF(C243="","",VLOOKUP($B243,勘定科目!$A:$E,4,0))</f>
        <v/>
      </c>
      <c r="E243" s="242"/>
      <c r="F243" s="191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/>
      <c r="Q243" s="244"/>
      <c r="R243" s="197">
        <f t="shared" si="14"/>
        <v>0</v>
      </c>
      <c r="S243" s="198"/>
      <c r="T243" s="199"/>
      <c r="U243" s="243"/>
      <c r="V243" s="243"/>
      <c r="W243" s="243"/>
      <c r="BA243"/>
      <c r="BB243"/>
    </row>
    <row r="244" spans="1:54" s="188" customFormat="1" ht="13.5">
      <c r="A244" s="223"/>
      <c r="B244" s="177"/>
      <c r="C244" s="180" t="str">
        <f>IFERROR(IF(VLOOKUP($B244,勘定科目!$A:$H,HLOOKUP($E$5,勘定科目!$F$1:$H$2,2,0),0)="","",VLOOKUP($B244,勘定科目!$A:$E,2,0)),"")</f>
        <v/>
      </c>
      <c r="D244" s="236" t="str">
        <f>IF(C244="","",VLOOKUP($B244,勘定科目!$A:$E,4,0))</f>
        <v/>
      </c>
      <c r="E244" s="242"/>
      <c r="F244" s="191"/>
      <c r="G244" s="244"/>
      <c r="H244" s="244"/>
      <c r="I244" s="244"/>
      <c r="J244" s="244"/>
      <c r="K244" s="244"/>
      <c r="L244" s="244"/>
      <c r="M244" s="244"/>
      <c r="N244" s="244"/>
      <c r="O244" s="244"/>
      <c r="P244" s="244"/>
      <c r="Q244" s="244"/>
      <c r="R244" s="197">
        <f t="shared" si="14"/>
        <v>0</v>
      </c>
      <c r="S244" s="198"/>
      <c r="T244" s="199"/>
      <c r="U244" s="243"/>
      <c r="V244" s="243"/>
      <c r="W244" s="243"/>
      <c r="BA244"/>
      <c r="BB244"/>
    </row>
    <row r="245" spans="1:54" s="188" customFormat="1" ht="13.5">
      <c r="A245" s="223"/>
      <c r="B245" s="177"/>
      <c r="C245" s="180" t="str">
        <f>IFERROR(IF(VLOOKUP($B245,勘定科目!$A:$H,HLOOKUP($E$5,勘定科目!$F$1:$H$2,2,0),0)="","",VLOOKUP($B245,勘定科目!$A:$E,2,0)),"")</f>
        <v/>
      </c>
      <c r="D245" s="236" t="str">
        <f>IF(C245="","",VLOOKUP($B245,勘定科目!$A:$E,4,0))</f>
        <v/>
      </c>
      <c r="E245" s="242"/>
      <c r="F245" s="191"/>
      <c r="G245" s="244"/>
      <c r="H245" s="244"/>
      <c r="I245" s="244"/>
      <c r="J245" s="244"/>
      <c r="K245" s="244"/>
      <c r="L245" s="244"/>
      <c r="M245" s="244"/>
      <c r="N245" s="244"/>
      <c r="O245" s="244"/>
      <c r="P245" s="244"/>
      <c r="Q245" s="244"/>
      <c r="R245" s="197">
        <f t="shared" ref="R245:R308" si="15">SUM(F245:Q245)</f>
        <v>0</v>
      </c>
      <c r="S245" s="198"/>
      <c r="T245" s="199"/>
      <c r="U245" s="243"/>
      <c r="V245" s="243"/>
      <c r="W245" s="243"/>
      <c r="BA245"/>
      <c r="BB245"/>
    </row>
    <row r="246" spans="1:54" s="188" customFormat="1" ht="13.5">
      <c r="A246" s="223"/>
      <c r="B246" s="177"/>
      <c r="C246" s="180" t="str">
        <f>IFERROR(IF(VLOOKUP($B246,勘定科目!$A:$H,HLOOKUP($E$5,勘定科目!$F$1:$H$2,2,0),0)="","",VLOOKUP($B246,勘定科目!$A:$E,2,0)),"")</f>
        <v/>
      </c>
      <c r="D246" s="236" t="str">
        <f>IF(C246="","",VLOOKUP($B246,勘定科目!$A:$E,4,0))</f>
        <v/>
      </c>
      <c r="E246" s="242"/>
      <c r="F246" s="191"/>
      <c r="G246" s="244"/>
      <c r="H246" s="244"/>
      <c r="I246" s="244"/>
      <c r="J246" s="244"/>
      <c r="K246" s="244"/>
      <c r="L246" s="244"/>
      <c r="M246" s="244"/>
      <c r="N246" s="244"/>
      <c r="O246" s="244"/>
      <c r="P246" s="244"/>
      <c r="Q246" s="244"/>
      <c r="R246" s="197">
        <f t="shared" si="15"/>
        <v>0</v>
      </c>
      <c r="S246" s="198"/>
      <c r="T246" s="199"/>
      <c r="U246" s="243"/>
      <c r="V246" s="243"/>
      <c r="W246" s="243"/>
      <c r="BA246"/>
      <c r="BB246"/>
    </row>
    <row r="247" spans="1:54" s="188" customFormat="1" ht="13.5">
      <c r="A247" s="223"/>
      <c r="B247" s="177"/>
      <c r="C247" s="180" t="str">
        <f>IFERROR(IF(VLOOKUP($B247,勘定科目!$A:$H,HLOOKUP($E$5,勘定科目!$F$1:$H$2,2,0),0)="","",VLOOKUP($B247,勘定科目!$A:$E,2,0)),"")</f>
        <v/>
      </c>
      <c r="D247" s="236" t="str">
        <f>IF(C247="","",VLOOKUP($B247,勘定科目!$A:$E,4,0))</f>
        <v/>
      </c>
      <c r="E247" s="242"/>
      <c r="F247" s="191"/>
      <c r="G247" s="244"/>
      <c r="H247" s="244"/>
      <c r="I247" s="244"/>
      <c r="J247" s="244"/>
      <c r="K247" s="244"/>
      <c r="L247" s="244"/>
      <c r="M247" s="244"/>
      <c r="N247" s="244"/>
      <c r="O247" s="244"/>
      <c r="P247" s="244"/>
      <c r="Q247" s="244"/>
      <c r="R247" s="197">
        <f t="shared" si="15"/>
        <v>0</v>
      </c>
      <c r="S247" s="198"/>
      <c r="T247" s="199"/>
      <c r="U247" s="243"/>
      <c r="V247" s="243"/>
      <c r="W247" s="243"/>
      <c r="BA247"/>
      <c r="BB247"/>
    </row>
    <row r="248" spans="1:54" s="188" customFormat="1" ht="13.5">
      <c r="A248" s="223"/>
      <c r="B248" s="177"/>
      <c r="C248" s="180" t="str">
        <f>IFERROR(IF(VLOOKUP($B248,勘定科目!$A:$H,HLOOKUP($E$5,勘定科目!$F$1:$H$2,2,0),0)="","",VLOOKUP($B248,勘定科目!$A:$E,2,0)),"")</f>
        <v/>
      </c>
      <c r="D248" s="236" t="str">
        <f>IF(C248="","",VLOOKUP($B248,勘定科目!$A:$E,4,0))</f>
        <v/>
      </c>
      <c r="E248" s="242"/>
      <c r="F248" s="191"/>
      <c r="G248" s="244"/>
      <c r="H248" s="244"/>
      <c r="I248" s="244"/>
      <c r="J248" s="244"/>
      <c r="K248" s="244"/>
      <c r="L248" s="244"/>
      <c r="M248" s="244"/>
      <c r="N248" s="244"/>
      <c r="O248" s="244"/>
      <c r="P248" s="244"/>
      <c r="Q248" s="244"/>
      <c r="R248" s="197">
        <f t="shared" si="15"/>
        <v>0</v>
      </c>
      <c r="S248" s="198"/>
      <c r="T248" s="199"/>
      <c r="U248" s="243"/>
      <c r="V248" s="243"/>
      <c r="W248" s="243"/>
      <c r="BA248"/>
      <c r="BB248"/>
    </row>
    <row r="249" spans="1:54" s="188" customFormat="1" ht="13.5">
      <c r="A249" s="223"/>
      <c r="B249" s="177"/>
      <c r="C249" s="180" t="str">
        <f>IFERROR(IF(VLOOKUP($B249,勘定科目!$A:$H,HLOOKUP($E$5,勘定科目!$F$1:$H$2,2,0),0)="","",VLOOKUP($B249,勘定科目!$A:$E,2,0)),"")</f>
        <v/>
      </c>
      <c r="D249" s="236" t="str">
        <f>IF(C249="","",VLOOKUP($B249,勘定科目!$A:$E,4,0))</f>
        <v/>
      </c>
      <c r="E249" s="242"/>
      <c r="F249" s="191"/>
      <c r="G249" s="244"/>
      <c r="H249" s="244"/>
      <c r="I249" s="244"/>
      <c r="J249" s="244"/>
      <c r="K249" s="244"/>
      <c r="L249" s="244"/>
      <c r="M249" s="244"/>
      <c r="N249" s="244"/>
      <c r="O249" s="244"/>
      <c r="P249" s="244"/>
      <c r="Q249" s="244"/>
      <c r="R249" s="197">
        <f t="shared" si="15"/>
        <v>0</v>
      </c>
      <c r="S249" s="198"/>
      <c r="T249" s="199"/>
      <c r="U249" s="243"/>
      <c r="V249" s="243"/>
      <c r="W249" s="243"/>
      <c r="BA249"/>
      <c r="BB249"/>
    </row>
    <row r="250" spans="1:54" s="188" customFormat="1" ht="13.5">
      <c r="A250" s="223"/>
      <c r="B250" s="177"/>
      <c r="C250" s="180" t="str">
        <f>IFERROR(IF(VLOOKUP($B250,勘定科目!$A:$H,HLOOKUP($E$5,勘定科目!$F$1:$H$2,2,0),0)="","",VLOOKUP($B250,勘定科目!$A:$E,2,0)),"")</f>
        <v/>
      </c>
      <c r="D250" s="236" t="str">
        <f>IF(C250="","",VLOOKUP($B250,勘定科目!$A:$E,4,0))</f>
        <v/>
      </c>
      <c r="E250" s="242"/>
      <c r="F250" s="191"/>
      <c r="G250" s="244"/>
      <c r="H250" s="244"/>
      <c r="I250" s="244"/>
      <c r="J250" s="244"/>
      <c r="K250" s="244"/>
      <c r="L250" s="244"/>
      <c r="M250" s="244"/>
      <c r="N250" s="244"/>
      <c r="O250" s="244"/>
      <c r="P250" s="244"/>
      <c r="Q250" s="244"/>
      <c r="R250" s="197">
        <f t="shared" si="15"/>
        <v>0</v>
      </c>
      <c r="S250" s="198"/>
      <c r="T250" s="199"/>
      <c r="U250" s="243"/>
      <c r="V250" s="243"/>
      <c r="W250" s="243"/>
      <c r="BA250"/>
      <c r="BB250"/>
    </row>
    <row r="251" spans="1:54" s="188" customFormat="1" ht="13.5">
      <c r="A251" s="223"/>
      <c r="B251" s="177"/>
      <c r="C251" s="180" t="str">
        <f>IFERROR(IF(VLOOKUP($B251,勘定科目!$A:$H,HLOOKUP($E$5,勘定科目!$F$1:$H$2,2,0),0)="","",VLOOKUP($B251,勘定科目!$A:$E,2,0)),"")</f>
        <v/>
      </c>
      <c r="D251" s="236" t="str">
        <f>IF(C251="","",VLOOKUP($B251,勘定科目!$A:$E,4,0))</f>
        <v/>
      </c>
      <c r="E251" s="242"/>
      <c r="F251" s="191"/>
      <c r="G251" s="244"/>
      <c r="H251" s="244"/>
      <c r="I251" s="244"/>
      <c r="J251" s="244"/>
      <c r="K251" s="244"/>
      <c r="L251" s="244"/>
      <c r="M251" s="244"/>
      <c r="N251" s="244"/>
      <c r="O251" s="244"/>
      <c r="P251" s="244"/>
      <c r="Q251" s="244"/>
      <c r="R251" s="197">
        <f t="shared" si="15"/>
        <v>0</v>
      </c>
      <c r="S251" s="198"/>
      <c r="T251" s="199"/>
      <c r="U251" s="243"/>
      <c r="V251" s="243"/>
      <c r="W251" s="243"/>
      <c r="BA251"/>
      <c r="BB251"/>
    </row>
    <row r="252" spans="1:54" s="188" customFormat="1" ht="13.5">
      <c r="A252" s="223"/>
      <c r="B252" s="177"/>
      <c r="C252" s="180" t="str">
        <f>IFERROR(IF(VLOOKUP($B252,勘定科目!$A:$H,HLOOKUP($E$5,勘定科目!$F$1:$H$2,2,0),0)="","",VLOOKUP($B252,勘定科目!$A:$E,2,0)),"")</f>
        <v/>
      </c>
      <c r="D252" s="236" t="str">
        <f>IF(C252="","",VLOOKUP($B252,勘定科目!$A:$E,4,0))</f>
        <v/>
      </c>
      <c r="E252" s="242"/>
      <c r="F252" s="191"/>
      <c r="G252" s="244"/>
      <c r="H252" s="244"/>
      <c r="I252" s="244"/>
      <c r="J252" s="244"/>
      <c r="K252" s="244"/>
      <c r="L252" s="244"/>
      <c r="M252" s="244"/>
      <c r="N252" s="244"/>
      <c r="O252" s="244"/>
      <c r="P252" s="244"/>
      <c r="Q252" s="244"/>
      <c r="R252" s="197">
        <f t="shared" si="15"/>
        <v>0</v>
      </c>
      <c r="S252" s="198"/>
      <c r="T252" s="199"/>
      <c r="U252" s="243"/>
      <c r="V252" s="243"/>
      <c r="W252" s="243"/>
      <c r="BA252"/>
      <c r="BB252"/>
    </row>
    <row r="253" spans="1:54" s="188" customFormat="1" ht="13.5">
      <c r="A253" s="223"/>
      <c r="B253" s="177"/>
      <c r="C253" s="180" t="str">
        <f>IFERROR(IF(VLOOKUP($B253,勘定科目!$A:$H,HLOOKUP($E$5,勘定科目!$F$1:$H$2,2,0),0)="","",VLOOKUP($B253,勘定科目!$A:$E,2,0)),"")</f>
        <v/>
      </c>
      <c r="D253" s="236" t="str">
        <f>IF(C253="","",VLOOKUP($B253,勘定科目!$A:$E,4,0))</f>
        <v/>
      </c>
      <c r="E253" s="242"/>
      <c r="F253" s="191"/>
      <c r="G253" s="244"/>
      <c r="H253" s="244"/>
      <c r="I253" s="244"/>
      <c r="J253" s="244"/>
      <c r="K253" s="244"/>
      <c r="L253" s="244"/>
      <c r="M253" s="244"/>
      <c r="N253" s="244"/>
      <c r="O253" s="244"/>
      <c r="P253" s="244"/>
      <c r="Q253" s="244"/>
      <c r="R253" s="197">
        <f t="shared" si="15"/>
        <v>0</v>
      </c>
      <c r="S253" s="198"/>
      <c r="T253" s="199"/>
      <c r="U253" s="243"/>
      <c r="V253" s="243"/>
      <c r="W253" s="243"/>
      <c r="BA253"/>
      <c r="BB253"/>
    </row>
    <row r="254" spans="1:54" s="188" customFormat="1" ht="13.5">
      <c r="A254" s="223"/>
      <c r="B254" s="177"/>
      <c r="C254" s="180" t="str">
        <f>IFERROR(IF(VLOOKUP($B254,勘定科目!$A:$H,HLOOKUP($E$5,勘定科目!$F$1:$H$2,2,0),0)="","",VLOOKUP($B254,勘定科目!$A:$E,2,0)),"")</f>
        <v/>
      </c>
      <c r="D254" s="236" t="str">
        <f>IF(C254="","",VLOOKUP($B254,勘定科目!$A:$E,4,0))</f>
        <v/>
      </c>
      <c r="E254" s="242"/>
      <c r="F254" s="191"/>
      <c r="G254" s="244"/>
      <c r="H254" s="244"/>
      <c r="I254" s="244"/>
      <c r="J254" s="244"/>
      <c r="K254" s="244"/>
      <c r="L254" s="244"/>
      <c r="M254" s="244"/>
      <c r="N254" s="244"/>
      <c r="O254" s="244"/>
      <c r="P254" s="244"/>
      <c r="Q254" s="244"/>
      <c r="R254" s="197">
        <f t="shared" si="15"/>
        <v>0</v>
      </c>
      <c r="S254" s="198"/>
      <c r="T254" s="199"/>
      <c r="U254" s="243"/>
      <c r="V254" s="243"/>
      <c r="W254" s="243"/>
      <c r="BA254"/>
      <c r="BB254"/>
    </row>
    <row r="255" spans="1:54" s="188" customFormat="1" ht="13.5">
      <c r="A255" s="223"/>
      <c r="B255" s="177"/>
      <c r="C255" s="180" t="str">
        <f>IFERROR(IF(VLOOKUP($B255,勘定科目!$A:$H,HLOOKUP($E$5,勘定科目!$F$1:$H$2,2,0),0)="","",VLOOKUP($B255,勘定科目!$A:$E,2,0)),"")</f>
        <v/>
      </c>
      <c r="D255" s="236" t="str">
        <f>IF(C255="","",VLOOKUP($B255,勘定科目!$A:$E,4,0))</f>
        <v/>
      </c>
      <c r="E255" s="242"/>
      <c r="F255" s="191"/>
      <c r="G255" s="244"/>
      <c r="H255" s="244"/>
      <c r="I255" s="244"/>
      <c r="J255" s="244"/>
      <c r="K255" s="244"/>
      <c r="L255" s="244"/>
      <c r="M255" s="244"/>
      <c r="N255" s="244"/>
      <c r="O255" s="244"/>
      <c r="P255" s="244"/>
      <c r="Q255" s="244"/>
      <c r="R255" s="197">
        <f t="shared" si="15"/>
        <v>0</v>
      </c>
      <c r="S255" s="198"/>
      <c r="T255" s="199"/>
      <c r="U255" s="243"/>
      <c r="V255" s="243"/>
      <c r="W255" s="243"/>
      <c r="BA255"/>
      <c r="BB255"/>
    </row>
    <row r="256" spans="1:54" s="188" customFormat="1" ht="13.5">
      <c r="A256" s="223"/>
      <c r="B256" s="177"/>
      <c r="C256" s="180" t="str">
        <f>IFERROR(IF(VLOOKUP($B256,勘定科目!$A:$H,HLOOKUP($E$5,勘定科目!$F$1:$H$2,2,0),0)="","",VLOOKUP($B256,勘定科目!$A:$E,2,0)),"")</f>
        <v/>
      </c>
      <c r="D256" s="236" t="str">
        <f>IF(C256="","",VLOOKUP($B256,勘定科目!$A:$E,4,0))</f>
        <v/>
      </c>
      <c r="E256" s="242"/>
      <c r="F256" s="191"/>
      <c r="G256" s="244"/>
      <c r="H256" s="244"/>
      <c r="I256" s="244"/>
      <c r="J256" s="244"/>
      <c r="K256" s="244"/>
      <c r="L256" s="244"/>
      <c r="M256" s="244"/>
      <c r="N256" s="244"/>
      <c r="O256" s="244"/>
      <c r="P256" s="244"/>
      <c r="Q256" s="244"/>
      <c r="R256" s="197">
        <f t="shared" si="15"/>
        <v>0</v>
      </c>
      <c r="S256" s="198"/>
      <c r="T256" s="199"/>
      <c r="U256" s="243"/>
      <c r="V256" s="243"/>
      <c r="W256" s="243"/>
      <c r="BA256"/>
      <c r="BB256"/>
    </row>
    <row r="257" spans="1:54" s="188" customFormat="1" ht="13.5">
      <c r="A257" s="223"/>
      <c r="B257" s="177"/>
      <c r="C257" s="180" t="str">
        <f>IFERROR(IF(VLOOKUP($B257,勘定科目!$A:$H,HLOOKUP($E$5,勘定科目!$F$1:$H$2,2,0),0)="","",VLOOKUP($B257,勘定科目!$A:$E,2,0)),"")</f>
        <v/>
      </c>
      <c r="D257" s="236" t="str">
        <f>IF(C257="","",VLOOKUP($B257,勘定科目!$A:$E,4,0))</f>
        <v/>
      </c>
      <c r="E257" s="242"/>
      <c r="F257" s="191"/>
      <c r="G257" s="244"/>
      <c r="H257" s="244"/>
      <c r="I257" s="244"/>
      <c r="J257" s="244"/>
      <c r="K257" s="244"/>
      <c r="L257" s="244"/>
      <c r="M257" s="244"/>
      <c r="N257" s="244"/>
      <c r="O257" s="244"/>
      <c r="P257" s="244"/>
      <c r="Q257" s="244"/>
      <c r="R257" s="197">
        <f t="shared" si="15"/>
        <v>0</v>
      </c>
      <c r="S257" s="198"/>
      <c r="T257" s="199"/>
      <c r="U257" s="243"/>
      <c r="V257" s="243"/>
      <c r="W257" s="243"/>
      <c r="BA257"/>
      <c r="BB257"/>
    </row>
    <row r="258" spans="1:54" s="188" customFormat="1" ht="13.5">
      <c r="A258" s="223"/>
      <c r="B258" s="177"/>
      <c r="C258" s="180" t="str">
        <f>IFERROR(IF(VLOOKUP($B258,勘定科目!$A:$H,HLOOKUP($E$5,勘定科目!$F$1:$H$2,2,0),0)="","",VLOOKUP($B258,勘定科目!$A:$E,2,0)),"")</f>
        <v/>
      </c>
      <c r="D258" s="236" t="str">
        <f>IF(C258="","",VLOOKUP($B258,勘定科目!$A:$E,4,0))</f>
        <v/>
      </c>
      <c r="E258" s="242"/>
      <c r="F258" s="191"/>
      <c r="G258" s="244"/>
      <c r="H258" s="244"/>
      <c r="I258" s="244"/>
      <c r="J258" s="244"/>
      <c r="K258" s="244"/>
      <c r="L258" s="244"/>
      <c r="M258" s="244"/>
      <c r="N258" s="244"/>
      <c r="O258" s="244"/>
      <c r="P258" s="244"/>
      <c r="Q258" s="244"/>
      <c r="R258" s="197">
        <f t="shared" si="15"/>
        <v>0</v>
      </c>
      <c r="S258" s="198"/>
      <c r="T258" s="199"/>
      <c r="U258" s="243"/>
      <c r="V258" s="243"/>
      <c r="W258" s="243"/>
      <c r="BA258"/>
      <c r="BB258"/>
    </row>
    <row r="259" spans="1:54" s="188" customFormat="1" ht="13.5">
      <c r="A259" s="223"/>
      <c r="B259" s="177"/>
      <c r="C259" s="180" t="str">
        <f>IFERROR(IF(VLOOKUP($B259,勘定科目!$A:$H,HLOOKUP($E$5,勘定科目!$F$1:$H$2,2,0),0)="","",VLOOKUP($B259,勘定科目!$A:$E,2,0)),"")</f>
        <v/>
      </c>
      <c r="D259" s="236" t="str">
        <f>IF(C259="","",VLOOKUP($B259,勘定科目!$A:$E,4,0))</f>
        <v/>
      </c>
      <c r="E259" s="242"/>
      <c r="F259" s="191"/>
      <c r="G259" s="244"/>
      <c r="H259" s="244"/>
      <c r="I259" s="244"/>
      <c r="J259" s="244"/>
      <c r="K259" s="244"/>
      <c r="L259" s="244"/>
      <c r="M259" s="244"/>
      <c r="N259" s="244"/>
      <c r="O259" s="244"/>
      <c r="P259" s="244"/>
      <c r="Q259" s="244"/>
      <c r="R259" s="197">
        <f t="shared" si="15"/>
        <v>0</v>
      </c>
      <c r="S259" s="198"/>
      <c r="T259" s="199"/>
      <c r="U259" s="243"/>
      <c r="V259" s="243"/>
      <c r="W259" s="243"/>
      <c r="BA259"/>
      <c r="BB259"/>
    </row>
    <row r="260" spans="1:54" s="188" customFormat="1" ht="13.5">
      <c r="A260" s="223"/>
      <c r="B260" s="177"/>
      <c r="C260" s="180" t="str">
        <f>IFERROR(IF(VLOOKUP($B260,勘定科目!$A:$H,HLOOKUP($E$5,勘定科目!$F$1:$H$2,2,0),0)="","",VLOOKUP($B260,勘定科目!$A:$E,2,0)),"")</f>
        <v/>
      </c>
      <c r="D260" s="236" t="str">
        <f>IF(C260="","",VLOOKUP($B260,勘定科目!$A:$E,4,0))</f>
        <v/>
      </c>
      <c r="E260" s="242"/>
      <c r="F260" s="191"/>
      <c r="G260" s="244"/>
      <c r="H260" s="244"/>
      <c r="I260" s="244"/>
      <c r="J260" s="244"/>
      <c r="K260" s="244"/>
      <c r="L260" s="244"/>
      <c r="M260" s="244"/>
      <c r="N260" s="244"/>
      <c r="O260" s="244"/>
      <c r="P260" s="244"/>
      <c r="Q260" s="244"/>
      <c r="R260" s="197">
        <f t="shared" si="15"/>
        <v>0</v>
      </c>
      <c r="S260" s="198"/>
      <c r="T260" s="199"/>
      <c r="U260" s="243"/>
      <c r="V260" s="243"/>
      <c r="W260" s="243"/>
      <c r="BA260"/>
      <c r="BB260"/>
    </row>
    <row r="261" spans="1:54" s="188" customFormat="1" ht="13.5">
      <c r="A261" s="223"/>
      <c r="B261" s="177"/>
      <c r="C261" s="180" t="str">
        <f>IFERROR(IF(VLOOKUP($B261,勘定科目!$A:$H,HLOOKUP($E$5,勘定科目!$F$1:$H$2,2,0),0)="","",VLOOKUP($B261,勘定科目!$A:$E,2,0)),"")</f>
        <v/>
      </c>
      <c r="D261" s="236" t="str">
        <f>IF(C261="","",VLOOKUP($B261,勘定科目!$A:$E,4,0))</f>
        <v/>
      </c>
      <c r="E261" s="242"/>
      <c r="F261" s="191"/>
      <c r="G261" s="244"/>
      <c r="H261" s="244"/>
      <c r="I261" s="244"/>
      <c r="J261" s="244"/>
      <c r="K261" s="244"/>
      <c r="L261" s="244"/>
      <c r="M261" s="244"/>
      <c r="N261" s="244"/>
      <c r="O261" s="244"/>
      <c r="P261" s="244"/>
      <c r="Q261" s="244"/>
      <c r="R261" s="197">
        <f t="shared" si="15"/>
        <v>0</v>
      </c>
      <c r="S261" s="198"/>
      <c r="T261" s="199"/>
      <c r="U261" s="243"/>
      <c r="V261" s="243"/>
      <c r="W261" s="243"/>
      <c r="BA261"/>
      <c r="BB261"/>
    </row>
    <row r="262" spans="1:54" s="188" customFormat="1" ht="13.5">
      <c r="A262" s="223"/>
      <c r="B262" s="177"/>
      <c r="C262" s="180" t="str">
        <f>IFERROR(IF(VLOOKUP($B262,勘定科目!$A:$H,HLOOKUP($E$5,勘定科目!$F$1:$H$2,2,0),0)="","",VLOOKUP($B262,勘定科目!$A:$E,2,0)),"")</f>
        <v/>
      </c>
      <c r="D262" s="236" t="str">
        <f>IF(C262="","",VLOOKUP($B262,勘定科目!$A:$E,4,0))</f>
        <v/>
      </c>
      <c r="E262" s="242"/>
      <c r="F262" s="191"/>
      <c r="G262" s="244"/>
      <c r="H262" s="244"/>
      <c r="I262" s="244"/>
      <c r="J262" s="244"/>
      <c r="K262" s="244"/>
      <c r="L262" s="244"/>
      <c r="M262" s="244"/>
      <c r="N262" s="244"/>
      <c r="O262" s="244"/>
      <c r="P262" s="244"/>
      <c r="Q262" s="244"/>
      <c r="R262" s="197">
        <f t="shared" si="15"/>
        <v>0</v>
      </c>
      <c r="S262" s="198"/>
      <c r="T262" s="199"/>
      <c r="U262" s="243"/>
      <c r="V262" s="243"/>
      <c r="W262" s="243"/>
      <c r="BA262"/>
      <c r="BB262"/>
    </row>
    <row r="263" spans="1:54" s="188" customFormat="1" ht="13.5">
      <c r="A263" s="223"/>
      <c r="B263" s="177"/>
      <c r="C263" s="180" t="str">
        <f>IFERROR(IF(VLOOKUP($B263,勘定科目!$A:$H,HLOOKUP($E$5,勘定科目!$F$1:$H$2,2,0),0)="","",VLOOKUP($B263,勘定科目!$A:$E,2,0)),"")</f>
        <v/>
      </c>
      <c r="D263" s="236" t="str">
        <f>IF(C263="","",VLOOKUP($B263,勘定科目!$A:$E,4,0))</f>
        <v/>
      </c>
      <c r="E263" s="242"/>
      <c r="F263" s="191"/>
      <c r="G263" s="244"/>
      <c r="H263" s="244"/>
      <c r="I263" s="244"/>
      <c r="J263" s="244"/>
      <c r="K263" s="244"/>
      <c r="L263" s="244"/>
      <c r="M263" s="244"/>
      <c r="N263" s="244"/>
      <c r="O263" s="244"/>
      <c r="P263" s="244"/>
      <c r="Q263" s="244"/>
      <c r="R263" s="197">
        <f t="shared" si="15"/>
        <v>0</v>
      </c>
      <c r="S263" s="198"/>
      <c r="T263" s="199"/>
      <c r="U263" s="243"/>
      <c r="V263" s="243"/>
      <c r="W263" s="243"/>
      <c r="BA263"/>
      <c r="BB263"/>
    </row>
    <row r="264" spans="1:54" s="188" customFormat="1" ht="13.5">
      <c r="A264" s="223"/>
      <c r="B264" s="177"/>
      <c r="C264" s="180" t="str">
        <f>IFERROR(IF(VLOOKUP($B264,勘定科目!$A:$H,HLOOKUP($E$5,勘定科目!$F$1:$H$2,2,0),0)="","",VLOOKUP($B264,勘定科目!$A:$E,2,0)),"")</f>
        <v/>
      </c>
      <c r="D264" s="236" t="str">
        <f>IF(C264="","",VLOOKUP($B264,勘定科目!$A:$E,4,0))</f>
        <v/>
      </c>
      <c r="E264" s="242"/>
      <c r="F264" s="191"/>
      <c r="G264" s="244"/>
      <c r="H264" s="244"/>
      <c r="I264" s="244"/>
      <c r="J264" s="244"/>
      <c r="K264" s="244"/>
      <c r="L264" s="244"/>
      <c r="M264" s="244"/>
      <c r="N264" s="244"/>
      <c r="O264" s="244"/>
      <c r="P264" s="244"/>
      <c r="Q264" s="244"/>
      <c r="R264" s="197">
        <f t="shared" si="15"/>
        <v>0</v>
      </c>
      <c r="S264" s="198"/>
      <c r="T264" s="199"/>
      <c r="U264" s="243"/>
      <c r="V264" s="243"/>
      <c r="W264" s="243"/>
      <c r="BA264"/>
      <c r="BB264"/>
    </row>
    <row r="265" spans="1:54" s="188" customFormat="1" ht="13.5">
      <c r="A265" s="223"/>
      <c r="B265" s="177"/>
      <c r="C265" s="180" t="str">
        <f>IFERROR(IF(VLOOKUP($B265,勘定科目!$A:$H,HLOOKUP($E$5,勘定科目!$F$1:$H$2,2,0),0)="","",VLOOKUP($B265,勘定科目!$A:$E,2,0)),"")</f>
        <v/>
      </c>
      <c r="D265" s="236" t="str">
        <f>IF(C265="","",VLOOKUP($B265,勘定科目!$A:$E,4,0))</f>
        <v/>
      </c>
      <c r="E265" s="242"/>
      <c r="F265" s="191"/>
      <c r="G265" s="244"/>
      <c r="H265" s="244"/>
      <c r="I265" s="244"/>
      <c r="J265" s="244"/>
      <c r="K265" s="244"/>
      <c r="L265" s="244"/>
      <c r="M265" s="244"/>
      <c r="N265" s="244"/>
      <c r="O265" s="244"/>
      <c r="P265" s="244"/>
      <c r="Q265" s="244"/>
      <c r="R265" s="197">
        <f t="shared" si="15"/>
        <v>0</v>
      </c>
      <c r="S265" s="198"/>
      <c r="T265" s="199"/>
      <c r="U265" s="243"/>
      <c r="V265" s="243"/>
      <c r="W265" s="243"/>
      <c r="BA265"/>
      <c r="BB265"/>
    </row>
    <row r="266" spans="1:54" s="188" customFormat="1" ht="13.5">
      <c r="A266" s="223"/>
      <c r="B266" s="177"/>
      <c r="C266" s="180" t="str">
        <f>IFERROR(IF(VLOOKUP($B266,勘定科目!$A:$H,HLOOKUP($E$5,勘定科目!$F$1:$H$2,2,0),0)="","",VLOOKUP($B266,勘定科目!$A:$E,2,0)),"")</f>
        <v/>
      </c>
      <c r="D266" s="236" t="str">
        <f>IF(C266="","",VLOOKUP($B266,勘定科目!$A:$E,4,0))</f>
        <v/>
      </c>
      <c r="E266" s="242"/>
      <c r="F266" s="191"/>
      <c r="G266" s="244"/>
      <c r="H266" s="244"/>
      <c r="I266" s="244"/>
      <c r="J266" s="244"/>
      <c r="K266" s="244"/>
      <c r="L266" s="244"/>
      <c r="M266" s="244"/>
      <c r="N266" s="244"/>
      <c r="O266" s="244"/>
      <c r="P266" s="244"/>
      <c r="Q266" s="244"/>
      <c r="R266" s="197">
        <f t="shared" si="15"/>
        <v>0</v>
      </c>
      <c r="S266" s="198"/>
      <c r="T266" s="199"/>
      <c r="U266" s="243"/>
      <c r="V266" s="243"/>
      <c r="W266" s="243"/>
      <c r="BA266"/>
      <c r="BB266"/>
    </row>
    <row r="267" spans="1:54" s="188" customFormat="1" ht="13.5">
      <c r="A267" s="223"/>
      <c r="B267" s="177"/>
      <c r="C267" s="180" t="str">
        <f>IFERROR(IF(VLOOKUP($B267,勘定科目!$A:$H,HLOOKUP($E$5,勘定科目!$F$1:$H$2,2,0),0)="","",VLOOKUP($B267,勘定科目!$A:$E,2,0)),"")</f>
        <v/>
      </c>
      <c r="D267" s="236" t="str">
        <f>IF(C267="","",VLOOKUP($B267,勘定科目!$A:$E,4,0))</f>
        <v/>
      </c>
      <c r="E267" s="242"/>
      <c r="F267" s="191"/>
      <c r="G267" s="244"/>
      <c r="H267" s="244"/>
      <c r="I267" s="244"/>
      <c r="J267" s="244"/>
      <c r="K267" s="244"/>
      <c r="L267" s="244"/>
      <c r="M267" s="244"/>
      <c r="N267" s="244"/>
      <c r="O267" s="244"/>
      <c r="P267" s="244"/>
      <c r="Q267" s="244"/>
      <c r="R267" s="197">
        <f t="shared" si="15"/>
        <v>0</v>
      </c>
      <c r="S267" s="198"/>
      <c r="T267" s="199"/>
      <c r="U267" s="243"/>
      <c r="V267" s="243"/>
      <c r="W267" s="243"/>
      <c r="BA267"/>
      <c r="BB267"/>
    </row>
    <row r="268" spans="1:54" s="188" customFormat="1" ht="13.5">
      <c r="A268" s="223"/>
      <c r="B268" s="177"/>
      <c r="C268" s="180" t="str">
        <f>IFERROR(IF(VLOOKUP($B268,勘定科目!$A:$H,HLOOKUP($E$5,勘定科目!$F$1:$H$2,2,0),0)="","",VLOOKUP($B268,勘定科目!$A:$E,2,0)),"")</f>
        <v/>
      </c>
      <c r="D268" s="236" t="str">
        <f>IF(C268="","",VLOOKUP($B268,勘定科目!$A:$E,4,0))</f>
        <v/>
      </c>
      <c r="E268" s="242"/>
      <c r="F268" s="191"/>
      <c r="G268" s="244"/>
      <c r="H268" s="244"/>
      <c r="I268" s="244"/>
      <c r="J268" s="244"/>
      <c r="K268" s="244"/>
      <c r="L268" s="244"/>
      <c r="M268" s="244"/>
      <c r="N268" s="244"/>
      <c r="O268" s="244"/>
      <c r="P268" s="244"/>
      <c r="Q268" s="244"/>
      <c r="R268" s="197">
        <f t="shared" si="15"/>
        <v>0</v>
      </c>
      <c r="S268" s="198"/>
      <c r="T268" s="199"/>
      <c r="U268" s="243"/>
      <c r="V268" s="243"/>
      <c r="W268" s="243"/>
      <c r="BA268"/>
      <c r="BB268"/>
    </row>
    <row r="269" spans="1:54" s="188" customFormat="1" ht="13.5">
      <c r="A269" s="223"/>
      <c r="B269" s="177"/>
      <c r="C269" s="180" t="str">
        <f>IFERROR(IF(VLOOKUP($B269,勘定科目!$A:$H,HLOOKUP($E$5,勘定科目!$F$1:$H$2,2,0),0)="","",VLOOKUP($B269,勘定科目!$A:$E,2,0)),"")</f>
        <v/>
      </c>
      <c r="D269" s="236" t="str">
        <f>IF(C269="","",VLOOKUP($B269,勘定科目!$A:$E,4,0))</f>
        <v/>
      </c>
      <c r="E269" s="242"/>
      <c r="F269" s="191"/>
      <c r="G269" s="244"/>
      <c r="H269" s="244"/>
      <c r="I269" s="244"/>
      <c r="J269" s="244"/>
      <c r="K269" s="244"/>
      <c r="L269" s="244"/>
      <c r="M269" s="244"/>
      <c r="N269" s="244"/>
      <c r="O269" s="244"/>
      <c r="P269" s="244"/>
      <c r="Q269" s="244"/>
      <c r="R269" s="197">
        <f t="shared" si="15"/>
        <v>0</v>
      </c>
      <c r="S269" s="198"/>
      <c r="T269" s="199"/>
      <c r="U269" s="243"/>
      <c r="V269" s="243"/>
      <c r="W269" s="243"/>
      <c r="BA269"/>
      <c r="BB269"/>
    </row>
    <row r="270" spans="1:54" s="188" customFormat="1" ht="13.5">
      <c r="A270" s="223"/>
      <c r="B270" s="177"/>
      <c r="C270" s="180" t="str">
        <f>IFERROR(IF(VLOOKUP($B270,勘定科目!$A:$H,HLOOKUP($E$5,勘定科目!$F$1:$H$2,2,0),0)="","",VLOOKUP($B270,勘定科目!$A:$E,2,0)),"")</f>
        <v/>
      </c>
      <c r="D270" s="236" t="str">
        <f>IF(C270="","",VLOOKUP($B270,勘定科目!$A:$E,4,0))</f>
        <v/>
      </c>
      <c r="E270" s="242"/>
      <c r="F270" s="191"/>
      <c r="G270" s="244"/>
      <c r="H270" s="244"/>
      <c r="I270" s="244"/>
      <c r="J270" s="244"/>
      <c r="K270" s="244"/>
      <c r="L270" s="244"/>
      <c r="M270" s="244"/>
      <c r="N270" s="244"/>
      <c r="O270" s="244"/>
      <c r="P270" s="244"/>
      <c r="Q270" s="244"/>
      <c r="R270" s="197">
        <f t="shared" si="15"/>
        <v>0</v>
      </c>
      <c r="S270" s="198"/>
      <c r="T270" s="199"/>
      <c r="U270" s="243"/>
      <c r="V270" s="243"/>
      <c r="W270" s="243"/>
      <c r="BA270"/>
      <c r="BB270"/>
    </row>
    <row r="271" spans="1:54" s="188" customFormat="1" ht="13.5">
      <c r="A271" s="223"/>
      <c r="B271" s="177"/>
      <c r="C271" s="180" t="str">
        <f>IFERROR(IF(VLOOKUP($B271,勘定科目!$A:$H,HLOOKUP($E$5,勘定科目!$F$1:$H$2,2,0),0)="","",VLOOKUP($B271,勘定科目!$A:$E,2,0)),"")</f>
        <v/>
      </c>
      <c r="D271" s="236" t="str">
        <f>IF(C271="","",VLOOKUP($B271,勘定科目!$A:$E,4,0))</f>
        <v/>
      </c>
      <c r="E271" s="242"/>
      <c r="F271" s="191"/>
      <c r="G271" s="244"/>
      <c r="H271" s="244"/>
      <c r="I271" s="244"/>
      <c r="J271" s="244"/>
      <c r="K271" s="244"/>
      <c r="L271" s="244"/>
      <c r="M271" s="244"/>
      <c r="N271" s="244"/>
      <c r="O271" s="244"/>
      <c r="P271" s="244"/>
      <c r="Q271" s="244"/>
      <c r="R271" s="197">
        <f t="shared" si="15"/>
        <v>0</v>
      </c>
      <c r="S271" s="198"/>
      <c r="T271" s="199"/>
      <c r="U271" s="243"/>
      <c r="V271" s="243"/>
      <c r="W271" s="243"/>
      <c r="BA271"/>
      <c r="BB271"/>
    </row>
    <row r="272" spans="1:54" s="188" customFormat="1" ht="13.5">
      <c r="A272" s="223"/>
      <c r="B272" s="177"/>
      <c r="C272" s="180" t="str">
        <f>IFERROR(IF(VLOOKUP($B272,勘定科目!$A:$H,HLOOKUP($E$5,勘定科目!$F$1:$H$2,2,0),0)="","",VLOOKUP($B272,勘定科目!$A:$E,2,0)),"")</f>
        <v/>
      </c>
      <c r="D272" s="236" t="str">
        <f>IF(C272="","",VLOOKUP($B272,勘定科目!$A:$E,4,0))</f>
        <v/>
      </c>
      <c r="E272" s="242"/>
      <c r="F272" s="191"/>
      <c r="G272" s="244"/>
      <c r="H272" s="244"/>
      <c r="I272" s="244"/>
      <c r="J272" s="244"/>
      <c r="K272" s="244"/>
      <c r="L272" s="244"/>
      <c r="M272" s="244"/>
      <c r="N272" s="244"/>
      <c r="O272" s="244"/>
      <c r="P272" s="244"/>
      <c r="Q272" s="244"/>
      <c r="R272" s="197">
        <f t="shared" si="15"/>
        <v>0</v>
      </c>
      <c r="S272" s="198"/>
      <c r="T272" s="199"/>
      <c r="U272" s="243"/>
      <c r="V272" s="243"/>
      <c r="W272" s="243"/>
      <c r="BA272"/>
      <c r="BB272"/>
    </row>
    <row r="273" spans="1:54" s="188" customFormat="1" ht="13.5">
      <c r="A273" s="223"/>
      <c r="B273" s="177"/>
      <c r="C273" s="180" t="str">
        <f>IFERROR(IF(VLOOKUP($B273,勘定科目!$A:$H,HLOOKUP($E$5,勘定科目!$F$1:$H$2,2,0),0)="","",VLOOKUP($B273,勘定科目!$A:$E,2,0)),"")</f>
        <v/>
      </c>
      <c r="D273" s="236" t="str">
        <f>IF(C273="","",VLOOKUP($B273,勘定科目!$A:$E,4,0))</f>
        <v/>
      </c>
      <c r="E273" s="242"/>
      <c r="F273" s="191"/>
      <c r="G273" s="244"/>
      <c r="H273" s="244"/>
      <c r="I273" s="244"/>
      <c r="J273" s="244"/>
      <c r="K273" s="244"/>
      <c r="L273" s="244"/>
      <c r="M273" s="244"/>
      <c r="N273" s="244"/>
      <c r="O273" s="244"/>
      <c r="P273" s="244"/>
      <c r="Q273" s="244"/>
      <c r="R273" s="197">
        <f t="shared" si="15"/>
        <v>0</v>
      </c>
      <c r="S273" s="198"/>
      <c r="T273" s="199"/>
      <c r="U273" s="243"/>
      <c r="V273" s="243"/>
      <c r="W273" s="243"/>
      <c r="BA273"/>
      <c r="BB273"/>
    </row>
    <row r="274" spans="1:54" s="188" customFormat="1" ht="13.5">
      <c r="A274" s="223"/>
      <c r="B274" s="177"/>
      <c r="C274" s="180" t="str">
        <f>IFERROR(IF(VLOOKUP($B274,勘定科目!$A:$H,HLOOKUP($E$5,勘定科目!$F$1:$H$2,2,0),0)="","",VLOOKUP($B274,勘定科目!$A:$E,2,0)),"")</f>
        <v/>
      </c>
      <c r="D274" s="236" t="str">
        <f>IF(C274="","",VLOOKUP($B274,勘定科目!$A:$E,4,0))</f>
        <v/>
      </c>
      <c r="E274" s="242"/>
      <c r="F274" s="191"/>
      <c r="G274" s="244"/>
      <c r="H274" s="244"/>
      <c r="I274" s="244"/>
      <c r="J274" s="244"/>
      <c r="K274" s="244"/>
      <c r="L274" s="244"/>
      <c r="M274" s="244"/>
      <c r="N274" s="244"/>
      <c r="O274" s="244"/>
      <c r="P274" s="244"/>
      <c r="Q274" s="244"/>
      <c r="R274" s="197">
        <f t="shared" si="15"/>
        <v>0</v>
      </c>
      <c r="S274" s="198"/>
      <c r="T274" s="199"/>
      <c r="U274" s="243"/>
      <c r="V274" s="243"/>
      <c r="W274" s="243"/>
      <c r="BA274"/>
      <c r="BB274"/>
    </row>
    <row r="275" spans="1:54" s="188" customFormat="1" ht="13.5">
      <c r="A275" s="223"/>
      <c r="B275" s="177"/>
      <c r="C275" s="180" t="str">
        <f>IFERROR(IF(VLOOKUP($B275,勘定科目!$A:$H,HLOOKUP($E$5,勘定科目!$F$1:$H$2,2,0),0)="","",VLOOKUP($B275,勘定科目!$A:$E,2,0)),"")</f>
        <v/>
      </c>
      <c r="D275" s="236" t="str">
        <f>IF(C275="","",VLOOKUP($B275,勘定科目!$A:$E,4,0))</f>
        <v/>
      </c>
      <c r="E275" s="242"/>
      <c r="F275" s="191"/>
      <c r="G275" s="244"/>
      <c r="H275" s="244"/>
      <c r="I275" s="244"/>
      <c r="J275" s="244"/>
      <c r="K275" s="244"/>
      <c r="L275" s="244"/>
      <c r="M275" s="244"/>
      <c r="N275" s="244"/>
      <c r="O275" s="244"/>
      <c r="P275" s="244"/>
      <c r="Q275" s="244"/>
      <c r="R275" s="197">
        <f t="shared" si="15"/>
        <v>0</v>
      </c>
      <c r="S275" s="198"/>
      <c r="T275" s="199"/>
      <c r="U275" s="243"/>
      <c r="V275" s="243"/>
      <c r="W275" s="243"/>
      <c r="BA275"/>
      <c r="BB275"/>
    </row>
    <row r="276" spans="1:54" s="188" customFormat="1" ht="13.5">
      <c r="A276" s="223"/>
      <c r="B276" s="177"/>
      <c r="C276" s="180" t="str">
        <f>IFERROR(IF(VLOOKUP($B276,勘定科目!$A:$H,HLOOKUP($E$5,勘定科目!$F$1:$H$2,2,0),0)="","",VLOOKUP($B276,勘定科目!$A:$E,2,0)),"")</f>
        <v/>
      </c>
      <c r="D276" s="236" t="str">
        <f>IF(C276="","",VLOOKUP($B276,勘定科目!$A:$E,4,0))</f>
        <v/>
      </c>
      <c r="E276" s="242"/>
      <c r="F276" s="191"/>
      <c r="G276" s="244"/>
      <c r="H276" s="244"/>
      <c r="I276" s="244"/>
      <c r="J276" s="244"/>
      <c r="K276" s="244"/>
      <c r="L276" s="244"/>
      <c r="M276" s="244"/>
      <c r="N276" s="244"/>
      <c r="O276" s="244"/>
      <c r="P276" s="244"/>
      <c r="Q276" s="244"/>
      <c r="R276" s="197">
        <f t="shared" si="15"/>
        <v>0</v>
      </c>
      <c r="S276" s="198"/>
      <c r="T276" s="199"/>
      <c r="U276" s="243"/>
      <c r="V276" s="243"/>
      <c r="W276" s="243"/>
      <c r="BA276"/>
      <c r="BB276"/>
    </row>
    <row r="277" spans="1:54" s="188" customFormat="1" ht="13.5">
      <c r="A277" s="223"/>
      <c r="B277" s="177"/>
      <c r="C277" s="180" t="str">
        <f>IFERROR(IF(VLOOKUP($B277,勘定科目!$A:$H,HLOOKUP($E$5,勘定科目!$F$1:$H$2,2,0),0)="","",VLOOKUP($B277,勘定科目!$A:$E,2,0)),"")</f>
        <v/>
      </c>
      <c r="D277" s="236" t="str">
        <f>IF(C277="","",VLOOKUP($B277,勘定科目!$A:$E,4,0))</f>
        <v/>
      </c>
      <c r="E277" s="242"/>
      <c r="F277" s="191"/>
      <c r="G277" s="244"/>
      <c r="H277" s="244"/>
      <c r="I277" s="244"/>
      <c r="J277" s="244"/>
      <c r="K277" s="244"/>
      <c r="L277" s="244"/>
      <c r="M277" s="244"/>
      <c r="N277" s="244"/>
      <c r="O277" s="244"/>
      <c r="P277" s="244"/>
      <c r="Q277" s="244"/>
      <c r="R277" s="197">
        <f t="shared" si="15"/>
        <v>0</v>
      </c>
      <c r="S277" s="198"/>
      <c r="T277" s="199"/>
      <c r="U277" s="243"/>
      <c r="V277" s="243"/>
      <c r="W277" s="243"/>
      <c r="BA277"/>
      <c r="BB277"/>
    </row>
    <row r="278" spans="1:54" s="188" customFormat="1" ht="13.5">
      <c r="A278" s="223"/>
      <c r="B278" s="177"/>
      <c r="C278" s="180" t="str">
        <f>IFERROR(IF(VLOOKUP($B278,勘定科目!$A:$H,HLOOKUP($E$5,勘定科目!$F$1:$H$2,2,0),0)="","",VLOOKUP($B278,勘定科目!$A:$E,2,0)),"")</f>
        <v/>
      </c>
      <c r="D278" s="236" t="str">
        <f>IF(C278="","",VLOOKUP($B278,勘定科目!$A:$E,4,0))</f>
        <v/>
      </c>
      <c r="E278" s="242"/>
      <c r="F278" s="191"/>
      <c r="G278" s="244"/>
      <c r="H278" s="244"/>
      <c r="I278" s="244"/>
      <c r="J278" s="244"/>
      <c r="K278" s="244"/>
      <c r="L278" s="244"/>
      <c r="M278" s="244"/>
      <c r="N278" s="244"/>
      <c r="O278" s="244"/>
      <c r="P278" s="244"/>
      <c r="Q278" s="244"/>
      <c r="R278" s="197">
        <f t="shared" si="15"/>
        <v>0</v>
      </c>
      <c r="S278" s="198"/>
      <c r="T278" s="199"/>
      <c r="U278" s="243"/>
      <c r="V278" s="243"/>
      <c r="W278" s="243"/>
      <c r="BA278"/>
      <c r="BB278"/>
    </row>
    <row r="279" spans="1:54" s="188" customFormat="1" ht="13.5">
      <c r="A279" s="223"/>
      <c r="B279" s="177"/>
      <c r="C279" s="180" t="str">
        <f>IFERROR(IF(VLOOKUP($B279,勘定科目!$A:$H,HLOOKUP($E$5,勘定科目!$F$1:$H$2,2,0),0)="","",VLOOKUP($B279,勘定科目!$A:$E,2,0)),"")</f>
        <v/>
      </c>
      <c r="D279" s="236" t="str">
        <f>IF(C279="","",VLOOKUP($B279,勘定科目!$A:$E,4,0))</f>
        <v/>
      </c>
      <c r="E279" s="242"/>
      <c r="F279" s="191"/>
      <c r="G279" s="244"/>
      <c r="H279" s="244"/>
      <c r="I279" s="244"/>
      <c r="J279" s="244"/>
      <c r="K279" s="244"/>
      <c r="L279" s="244"/>
      <c r="M279" s="244"/>
      <c r="N279" s="244"/>
      <c r="O279" s="244"/>
      <c r="P279" s="244"/>
      <c r="Q279" s="244"/>
      <c r="R279" s="197">
        <f t="shared" si="15"/>
        <v>0</v>
      </c>
      <c r="S279" s="198"/>
      <c r="T279" s="199"/>
      <c r="U279" s="243"/>
      <c r="V279" s="243"/>
      <c r="W279" s="243"/>
      <c r="BA279"/>
      <c r="BB279"/>
    </row>
    <row r="280" spans="1:54" s="188" customFormat="1" ht="13.5">
      <c r="A280" s="223"/>
      <c r="B280" s="177"/>
      <c r="C280" s="180" t="str">
        <f>IFERROR(IF(VLOOKUP($B280,勘定科目!$A:$H,HLOOKUP($E$5,勘定科目!$F$1:$H$2,2,0),0)="","",VLOOKUP($B280,勘定科目!$A:$E,2,0)),"")</f>
        <v/>
      </c>
      <c r="D280" s="236" t="str">
        <f>IF(C280="","",VLOOKUP($B280,勘定科目!$A:$E,4,0))</f>
        <v/>
      </c>
      <c r="E280" s="242"/>
      <c r="F280" s="191"/>
      <c r="G280" s="244"/>
      <c r="H280" s="244"/>
      <c r="I280" s="244"/>
      <c r="J280" s="244"/>
      <c r="K280" s="244"/>
      <c r="L280" s="244"/>
      <c r="M280" s="244"/>
      <c r="N280" s="244"/>
      <c r="O280" s="244"/>
      <c r="P280" s="244"/>
      <c r="Q280" s="244"/>
      <c r="R280" s="197">
        <f t="shared" si="15"/>
        <v>0</v>
      </c>
      <c r="S280" s="198"/>
      <c r="T280" s="199"/>
      <c r="U280" s="243"/>
      <c r="V280" s="243"/>
      <c r="W280" s="243"/>
      <c r="BA280"/>
      <c r="BB280"/>
    </row>
    <row r="281" spans="1:54" s="188" customFormat="1" ht="13.5">
      <c r="A281" s="223"/>
      <c r="B281" s="177"/>
      <c r="C281" s="180" t="str">
        <f>IFERROR(IF(VLOOKUP($B281,勘定科目!$A:$H,HLOOKUP($E$5,勘定科目!$F$1:$H$2,2,0),0)="","",VLOOKUP($B281,勘定科目!$A:$E,2,0)),"")</f>
        <v/>
      </c>
      <c r="D281" s="236" t="str">
        <f>IF(C281="","",VLOOKUP($B281,勘定科目!$A:$E,4,0))</f>
        <v/>
      </c>
      <c r="E281" s="242"/>
      <c r="F281" s="191"/>
      <c r="G281" s="244"/>
      <c r="H281" s="244"/>
      <c r="I281" s="244"/>
      <c r="J281" s="244"/>
      <c r="K281" s="244"/>
      <c r="L281" s="244"/>
      <c r="M281" s="244"/>
      <c r="N281" s="244"/>
      <c r="O281" s="244"/>
      <c r="P281" s="244"/>
      <c r="Q281" s="244"/>
      <c r="R281" s="197">
        <f t="shared" si="15"/>
        <v>0</v>
      </c>
      <c r="S281" s="198"/>
      <c r="T281" s="199"/>
      <c r="U281" s="243"/>
      <c r="V281" s="243"/>
      <c r="W281" s="243"/>
      <c r="BA281"/>
      <c r="BB281"/>
    </row>
    <row r="282" spans="1:54" s="188" customFormat="1" ht="13.5">
      <c r="A282" s="223"/>
      <c r="B282" s="177"/>
      <c r="C282" s="180" t="str">
        <f>IFERROR(IF(VLOOKUP($B282,勘定科目!$A:$H,HLOOKUP($E$5,勘定科目!$F$1:$H$2,2,0),0)="","",VLOOKUP($B282,勘定科目!$A:$E,2,0)),"")</f>
        <v/>
      </c>
      <c r="D282" s="236" t="str">
        <f>IF(C282="","",VLOOKUP($B282,勘定科目!$A:$E,4,0))</f>
        <v/>
      </c>
      <c r="E282" s="242"/>
      <c r="F282" s="191"/>
      <c r="G282" s="244"/>
      <c r="H282" s="244"/>
      <c r="I282" s="244"/>
      <c r="J282" s="244"/>
      <c r="K282" s="244"/>
      <c r="L282" s="244"/>
      <c r="M282" s="244"/>
      <c r="N282" s="244"/>
      <c r="O282" s="244"/>
      <c r="P282" s="244"/>
      <c r="Q282" s="244"/>
      <c r="R282" s="197">
        <f t="shared" si="15"/>
        <v>0</v>
      </c>
      <c r="S282" s="198"/>
      <c r="T282" s="199"/>
      <c r="U282" s="243"/>
      <c r="V282" s="243"/>
      <c r="W282" s="243"/>
      <c r="BA282"/>
      <c r="BB282"/>
    </row>
    <row r="283" spans="1:54" s="188" customFormat="1" ht="13.5">
      <c r="A283" s="223"/>
      <c r="B283" s="177"/>
      <c r="C283" s="180" t="str">
        <f>IFERROR(IF(VLOOKUP($B283,勘定科目!$A:$H,HLOOKUP($E$5,勘定科目!$F$1:$H$2,2,0),0)="","",VLOOKUP($B283,勘定科目!$A:$E,2,0)),"")</f>
        <v/>
      </c>
      <c r="D283" s="236" t="str">
        <f>IF(C283="","",VLOOKUP($B283,勘定科目!$A:$E,4,0))</f>
        <v/>
      </c>
      <c r="E283" s="242"/>
      <c r="F283" s="191"/>
      <c r="G283" s="244"/>
      <c r="H283" s="244"/>
      <c r="I283" s="244"/>
      <c r="J283" s="244"/>
      <c r="K283" s="244"/>
      <c r="L283" s="244"/>
      <c r="M283" s="244"/>
      <c r="N283" s="244"/>
      <c r="O283" s="244"/>
      <c r="P283" s="244"/>
      <c r="Q283" s="244"/>
      <c r="R283" s="197">
        <f t="shared" si="15"/>
        <v>0</v>
      </c>
      <c r="S283" s="198"/>
      <c r="T283" s="199"/>
      <c r="U283" s="243"/>
      <c r="V283" s="243"/>
      <c r="W283" s="243"/>
      <c r="BA283"/>
      <c r="BB283"/>
    </row>
    <row r="284" spans="1:54" s="188" customFormat="1" ht="13.5">
      <c r="A284" s="223"/>
      <c r="B284" s="177"/>
      <c r="C284" s="180" t="str">
        <f>IFERROR(IF(VLOOKUP($B284,勘定科目!$A:$H,HLOOKUP($E$5,勘定科目!$F$1:$H$2,2,0),0)="","",VLOOKUP($B284,勘定科目!$A:$E,2,0)),"")</f>
        <v/>
      </c>
      <c r="D284" s="236" t="str">
        <f>IF(C284="","",VLOOKUP($B284,勘定科目!$A:$E,4,0))</f>
        <v/>
      </c>
      <c r="E284" s="242"/>
      <c r="F284" s="191"/>
      <c r="G284" s="244"/>
      <c r="H284" s="244"/>
      <c r="I284" s="244"/>
      <c r="J284" s="244"/>
      <c r="K284" s="244"/>
      <c r="L284" s="244"/>
      <c r="M284" s="244"/>
      <c r="N284" s="244"/>
      <c r="O284" s="244"/>
      <c r="P284" s="244"/>
      <c r="Q284" s="244"/>
      <c r="R284" s="197">
        <f t="shared" si="15"/>
        <v>0</v>
      </c>
      <c r="S284" s="198"/>
      <c r="T284" s="199"/>
      <c r="U284" s="243"/>
      <c r="V284" s="243"/>
      <c r="W284" s="243"/>
      <c r="BA284"/>
      <c r="BB284"/>
    </row>
    <row r="285" spans="1:54" s="188" customFormat="1" ht="13.5">
      <c r="A285" s="223"/>
      <c r="B285" s="177"/>
      <c r="C285" s="180" t="str">
        <f>IFERROR(IF(VLOOKUP($B285,勘定科目!$A:$H,HLOOKUP($E$5,勘定科目!$F$1:$H$2,2,0),0)="","",VLOOKUP($B285,勘定科目!$A:$E,2,0)),"")</f>
        <v/>
      </c>
      <c r="D285" s="236" t="str">
        <f>IF(C285="","",VLOOKUP($B285,勘定科目!$A:$E,4,0))</f>
        <v/>
      </c>
      <c r="E285" s="242"/>
      <c r="F285" s="191"/>
      <c r="G285" s="244"/>
      <c r="H285" s="244"/>
      <c r="I285" s="244"/>
      <c r="J285" s="244"/>
      <c r="K285" s="244"/>
      <c r="L285" s="244"/>
      <c r="M285" s="244"/>
      <c r="N285" s="244"/>
      <c r="O285" s="244"/>
      <c r="P285" s="244"/>
      <c r="Q285" s="244"/>
      <c r="R285" s="197">
        <f t="shared" si="15"/>
        <v>0</v>
      </c>
      <c r="S285" s="198"/>
      <c r="T285" s="199"/>
      <c r="U285" s="243"/>
      <c r="V285" s="243"/>
      <c r="W285" s="243"/>
      <c r="BA285"/>
      <c r="BB285"/>
    </row>
    <row r="286" spans="1:54" s="188" customFormat="1" ht="13.5">
      <c r="A286" s="223"/>
      <c r="B286" s="177"/>
      <c r="C286" s="180" t="str">
        <f>IFERROR(IF(VLOOKUP($B286,勘定科目!$A:$H,HLOOKUP($E$5,勘定科目!$F$1:$H$2,2,0),0)="","",VLOOKUP($B286,勘定科目!$A:$E,2,0)),"")</f>
        <v/>
      </c>
      <c r="D286" s="236" t="str">
        <f>IF(C286="","",VLOOKUP($B286,勘定科目!$A:$E,4,0))</f>
        <v/>
      </c>
      <c r="E286" s="242"/>
      <c r="F286" s="191"/>
      <c r="G286" s="244"/>
      <c r="H286" s="244"/>
      <c r="I286" s="244"/>
      <c r="J286" s="244"/>
      <c r="K286" s="244"/>
      <c r="L286" s="244"/>
      <c r="M286" s="244"/>
      <c r="N286" s="244"/>
      <c r="O286" s="244"/>
      <c r="P286" s="244"/>
      <c r="Q286" s="244"/>
      <c r="R286" s="197">
        <f t="shared" si="15"/>
        <v>0</v>
      </c>
      <c r="S286" s="198"/>
      <c r="T286" s="199"/>
      <c r="U286" s="243"/>
      <c r="V286" s="243"/>
      <c r="W286" s="243"/>
      <c r="BA286"/>
      <c r="BB286"/>
    </row>
    <row r="287" spans="1:54" s="188" customFormat="1" ht="13.5">
      <c r="A287" s="223"/>
      <c r="B287" s="177"/>
      <c r="C287" s="180" t="str">
        <f>IFERROR(IF(VLOOKUP($B287,勘定科目!$A:$H,HLOOKUP($E$5,勘定科目!$F$1:$H$2,2,0),0)="","",VLOOKUP($B287,勘定科目!$A:$E,2,0)),"")</f>
        <v/>
      </c>
      <c r="D287" s="236" t="str">
        <f>IF(C287="","",VLOOKUP($B287,勘定科目!$A:$E,4,0))</f>
        <v/>
      </c>
      <c r="E287" s="242"/>
      <c r="F287" s="191"/>
      <c r="G287" s="244"/>
      <c r="H287" s="244"/>
      <c r="I287" s="244"/>
      <c r="J287" s="244"/>
      <c r="K287" s="244"/>
      <c r="L287" s="244"/>
      <c r="M287" s="244"/>
      <c r="N287" s="244"/>
      <c r="O287" s="244"/>
      <c r="P287" s="244"/>
      <c r="Q287" s="244"/>
      <c r="R287" s="197">
        <f t="shared" si="15"/>
        <v>0</v>
      </c>
      <c r="S287" s="198"/>
      <c r="T287" s="199"/>
      <c r="U287" s="243"/>
      <c r="V287" s="243"/>
      <c r="W287" s="243"/>
      <c r="BA287"/>
      <c r="BB287"/>
    </row>
    <row r="288" spans="1:54" s="188" customFormat="1" ht="13.5">
      <c r="A288" s="223"/>
      <c r="B288" s="177"/>
      <c r="C288" s="180" t="str">
        <f>IFERROR(IF(VLOOKUP($B288,勘定科目!$A:$H,HLOOKUP($E$5,勘定科目!$F$1:$H$2,2,0),0)="","",VLOOKUP($B288,勘定科目!$A:$E,2,0)),"")</f>
        <v/>
      </c>
      <c r="D288" s="236" t="str">
        <f>IF(C288="","",VLOOKUP($B288,勘定科目!$A:$E,4,0))</f>
        <v/>
      </c>
      <c r="E288" s="242"/>
      <c r="F288" s="191"/>
      <c r="G288" s="244"/>
      <c r="H288" s="244"/>
      <c r="I288" s="244"/>
      <c r="J288" s="244"/>
      <c r="K288" s="244"/>
      <c r="L288" s="244"/>
      <c r="M288" s="244"/>
      <c r="N288" s="244"/>
      <c r="O288" s="244"/>
      <c r="P288" s="244"/>
      <c r="Q288" s="244"/>
      <c r="R288" s="197">
        <f t="shared" si="15"/>
        <v>0</v>
      </c>
      <c r="S288" s="198"/>
      <c r="T288" s="199"/>
      <c r="U288" s="243"/>
      <c r="V288" s="243"/>
      <c r="W288" s="243"/>
      <c r="BA288"/>
      <c r="BB288"/>
    </row>
    <row r="289" spans="1:54" s="188" customFormat="1" ht="13.5">
      <c r="A289" s="223"/>
      <c r="B289" s="177"/>
      <c r="C289" s="180" t="str">
        <f>IFERROR(IF(VLOOKUP($B289,勘定科目!$A:$H,HLOOKUP($E$5,勘定科目!$F$1:$H$2,2,0),0)="","",VLOOKUP($B289,勘定科目!$A:$E,2,0)),"")</f>
        <v/>
      </c>
      <c r="D289" s="236" t="str">
        <f>IF(C289="","",VLOOKUP($B289,勘定科目!$A:$E,4,0))</f>
        <v/>
      </c>
      <c r="E289" s="242"/>
      <c r="F289" s="191"/>
      <c r="G289" s="244"/>
      <c r="H289" s="244"/>
      <c r="I289" s="244"/>
      <c r="J289" s="244"/>
      <c r="K289" s="244"/>
      <c r="L289" s="244"/>
      <c r="M289" s="244"/>
      <c r="N289" s="244"/>
      <c r="O289" s="244"/>
      <c r="P289" s="244"/>
      <c r="Q289" s="244"/>
      <c r="R289" s="197">
        <f t="shared" si="15"/>
        <v>0</v>
      </c>
      <c r="S289" s="198"/>
      <c r="T289" s="199"/>
      <c r="U289" s="243"/>
      <c r="V289" s="243"/>
      <c r="W289" s="243"/>
      <c r="BA289"/>
      <c r="BB289"/>
    </row>
    <row r="290" spans="1:54" s="188" customFormat="1" ht="13.5">
      <c r="A290" s="223"/>
      <c r="B290" s="177"/>
      <c r="C290" s="180" t="str">
        <f>IFERROR(IF(VLOOKUP($B290,勘定科目!$A:$H,HLOOKUP($E$5,勘定科目!$F$1:$H$2,2,0),0)="","",VLOOKUP($B290,勘定科目!$A:$E,2,0)),"")</f>
        <v/>
      </c>
      <c r="D290" s="236" t="str">
        <f>IF(C290="","",VLOOKUP($B290,勘定科目!$A:$E,4,0))</f>
        <v/>
      </c>
      <c r="E290" s="242"/>
      <c r="F290" s="191"/>
      <c r="G290" s="244"/>
      <c r="H290" s="244"/>
      <c r="I290" s="244"/>
      <c r="J290" s="244"/>
      <c r="K290" s="244"/>
      <c r="L290" s="244"/>
      <c r="M290" s="244"/>
      <c r="N290" s="244"/>
      <c r="O290" s="244"/>
      <c r="P290" s="244"/>
      <c r="Q290" s="244"/>
      <c r="R290" s="197">
        <f t="shared" si="15"/>
        <v>0</v>
      </c>
      <c r="S290" s="198"/>
      <c r="T290" s="199"/>
      <c r="U290" s="243"/>
      <c r="V290" s="243"/>
      <c r="W290" s="243"/>
      <c r="BA290"/>
      <c r="BB290"/>
    </row>
    <row r="291" spans="1:54" s="188" customFormat="1" ht="13.5">
      <c r="A291" s="223"/>
      <c r="B291" s="177"/>
      <c r="C291" s="180" t="str">
        <f>IFERROR(IF(VLOOKUP($B291,勘定科目!$A:$H,HLOOKUP($E$5,勘定科目!$F$1:$H$2,2,0),0)="","",VLOOKUP($B291,勘定科目!$A:$E,2,0)),"")</f>
        <v/>
      </c>
      <c r="D291" s="236" t="str">
        <f>IF(C291="","",VLOOKUP($B291,勘定科目!$A:$E,4,0))</f>
        <v/>
      </c>
      <c r="E291" s="242"/>
      <c r="F291" s="191"/>
      <c r="G291" s="244"/>
      <c r="H291" s="244"/>
      <c r="I291" s="244"/>
      <c r="J291" s="244"/>
      <c r="K291" s="244"/>
      <c r="L291" s="244"/>
      <c r="M291" s="244"/>
      <c r="N291" s="244"/>
      <c r="O291" s="244"/>
      <c r="P291" s="244"/>
      <c r="Q291" s="244"/>
      <c r="R291" s="197">
        <f t="shared" si="15"/>
        <v>0</v>
      </c>
      <c r="S291" s="198"/>
      <c r="T291" s="199"/>
      <c r="U291" s="243"/>
      <c r="V291" s="243"/>
      <c r="W291" s="243"/>
      <c r="BA291"/>
      <c r="BB291"/>
    </row>
    <row r="292" spans="1:54" s="188" customFormat="1" ht="13.5">
      <c r="A292" s="223"/>
      <c r="B292" s="177"/>
      <c r="C292" s="180" t="str">
        <f>IFERROR(IF(VLOOKUP($B292,勘定科目!$A:$H,HLOOKUP($E$5,勘定科目!$F$1:$H$2,2,0),0)="","",VLOOKUP($B292,勘定科目!$A:$E,2,0)),"")</f>
        <v/>
      </c>
      <c r="D292" s="236" t="str">
        <f>IF(C292="","",VLOOKUP($B292,勘定科目!$A:$E,4,0))</f>
        <v/>
      </c>
      <c r="E292" s="242"/>
      <c r="F292" s="191"/>
      <c r="G292" s="244"/>
      <c r="H292" s="244"/>
      <c r="I292" s="244"/>
      <c r="J292" s="244"/>
      <c r="K292" s="244"/>
      <c r="L292" s="244"/>
      <c r="M292" s="244"/>
      <c r="N292" s="244"/>
      <c r="O292" s="244"/>
      <c r="P292" s="244"/>
      <c r="Q292" s="244"/>
      <c r="R292" s="197">
        <f t="shared" si="15"/>
        <v>0</v>
      </c>
      <c r="S292" s="198"/>
      <c r="T292" s="199"/>
      <c r="U292" s="243"/>
      <c r="V292" s="243"/>
      <c r="W292" s="243"/>
      <c r="BA292"/>
      <c r="BB292"/>
    </row>
    <row r="293" spans="1:54" s="188" customFormat="1" ht="13.5">
      <c r="A293" s="223"/>
      <c r="B293" s="177"/>
      <c r="C293" s="180" t="str">
        <f>IFERROR(IF(VLOOKUP($B293,勘定科目!$A:$H,HLOOKUP($E$5,勘定科目!$F$1:$H$2,2,0),0)="","",VLOOKUP($B293,勘定科目!$A:$E,2,0)),"")</f>
        <v/>
      </c>
      <c r="D293" s="236" t="str">
        <f>IF(C293="","",VLOOKUP($B293,勘定科目!$A:$E,4,0))</f>
        <v/>
      </c>
      <c r="E293" s="242"/>
      <c r="F293" s="191"/>
      <c r="G293" s="244"/>
      <c r="H293" s="244"/>
      <c r="I293" s="244"/>
      <c r="J293" s="244"/>
      <c r="K293" s="244"/>
      <c r="L293" s="244"/>
      <c r="M293" s="244"/>
      <c r="N293" s="244"/>
      <c r="O293" s="244"/>
      <c r="P293" s="244"/>
      <c r="Q293" s="244"/>
      <c r="R293" s="197">
        <f t="shared" si="15"/>
        <v>0</v>
      </c>
      <c r="S293" s="198"/>
      <c r="T293" s="199"/>
      <c r="U293" s="243"/>
      <c r="V293" s="243"/>
      <c r="W293" s="243"/>
      <c r="BA293"/>
      <c r="BB293"/>
    </row>
    <row r="294" spans="1:54" s="188" customFormat="1" ht="13.5">
      <c r="A294" s="223"/>
      <c r="B294" s="177"/>
      <c r="C294" s="180" t="str">
        <f>IFERROR(IF(VLOOKUP($B294,勘定科目!$A:$H,HLOOKUP($E$5,勘定科目!$F$1:$H$2,2,0),0)="","",VLOOKUP($B294,勘定科目!$A:$E,2,0)),"")</f>
        <v/>
      </c>
      <c r="D294" s="236" t="str">
        <f>IF(C294="","",VLOOKUP($B294,勘定科目!$A:$E,4,0))</f>
        <v/>
      </c>
      <c r="E294" s="242"/>
      <c r="F294" s="191"/>
      <c r="G294" s="244"/>
      <c r="H294" s="244"/>
      <c r="I294" s="244"/>
      <c r="J294" s="244"/>
      <c r="K294" s="244"/>
      <c r="L294" s="244"/>
      <c r="M294" s="244"/>
      <c r="N294" s="244"/>
      <c r="O294" s="244"/>
      <c r="P294" s="244"/>
      <c r="Q294" s="244"/>
      <c r="R294" s="197">
        <f t="shared" si="15"/>
        <v>0</v>
      </c>
      <c r="S294" s="198"/>
      <c r="T294" s="199"/>
      <c r="U294" s="243"/>
      <c r="V294" s="243"/>
      <c r="W294" s="243"/>
      <c r="BA294"/>
      <c r="BB294"/>
    </row>
    <row r="295" spans="1:54" s="188" customFormat="1" ht="13.5">
      <c r="A295" s="223"/>
      <c r="B295" s="177"/>
      <c r="C295" s="180" t="str">
        <f>IFERROR(IF(VLOOKUP($B295,勘定科目!$A:$H,HLOOKUP($E$5,勘定科目!$F$1:$H$2,2,0),0)="","",VLOOKUP($B295,勘定科目!$A:$E,2,0)),"")</f>
        <v/>
      </c>
      <c r="D295" s="236" t="str">
        <f>IF(C295="","",VLOOKUP($B295,勘定科目!$A:$E,4,0))</f>
        <v/>
      </c>
      <c r="E295" s="242"/>
      <c r="F295" s="191"/>
      <c r="G295" s="244"/>
      <c r="H295" s="244"/>
      <c r="I295" s="244"/>
      <c r="J295" s="244"/>
      <c r="K295" s="244"/>
      <c r="L295" s="244"/>
      <c r="M295" s="244"/>
      <c r="N295" s="244"/>
      <c r="O295" s="244"/>
      <c r="P295" s="244"/>
      <c r="Q295" s="244"/>
      <c r="R295" s="197">
        <f t="shared" si="15"/>
        <v>0</v>
      </c>
      <c r="S295" s="198"/>
      <c r="T295" s="199"/>
      <c r="U295" s="243"/>
      <c r="V295" s="243"/>
      <c r="W295" s="243"/>
      <c r="BA295"/>
      <c r="BB295"/>
    </row>
    <row r="296" spans="1:54" s="188" customFormat="1" ht="13.5">
      <c r="A296" s="223"/>
      <c r="B296" s="177"/>
      <c r="C296" s="180" t="str">
        <f>IFERROR(IF(VLOOKUP($B296,勘定科目!$A:$H,HLOOKUP($E$5,勘定科目!$F$1:$H$2,2,0),0)="","",VLOOKUP($B296,勘定科目!$A:$E,2,0)),"")</f>
        <v/>
      </c>
      <c r="D296" s="236" t="str">
        <f>IF(C296="","",VLOOKUP($B296,勘定科目!$A:$E,4,0))</f>
        <v/>
      </c>
      <c r="E296" s="242"/>
      <c r="F296" s="191"/>
      <c r="G296" s="244"/>
      <c r="H296" s="244"/>
      <c r="I296" s="244"/>
      <c r="J296" s="244"/>
      <c r="K296" s="244"/>
      <c r="L296" s="244"/>
      <c r="M296" s="244"/>
      <c r="N296" s="244"/>
      <c r="O296" s="244"/>
      <c r="P296" s="244"/>
      <c r="Q296" s="244"/>
      <c r="R296" s="197">
        <f t="shared" si="15"/>
        <v>0</v>
      </c>
      <c r="S296" s="198"/>
      <c r="T296" s="199"/>
      <c r="U296" s="243"/>
      <c r="V296" s="243"/>
      <c r="W296" s="243"/>
      <c r="BA296"/>
      <c r="BB296"/>
    </row>
    <row r="297" spans="1:54" s="188" customFormat="1" ht="13.5">
      <c r="A297" s="223"/>
      <c r="B297" s="177"/>
      <c r="C297" s="180" t="str">
        <f>IFERROR(IF(VLOOKUP($B297,勘定科目!$A:$H,HLOOKUP($E$5,勘定科目!$F$1:$H$2,2,0),0)="","",VLOOKUP($B297,勘定科目!$A:$E,2,0)),"")</f>
        <v/>
      </c>
      <c r="D297" s="236" t="str">
        <f>IF(C297="","",VLOOKUP($B297,勘定科目!$A:$E,4,0))</f>
        <v/>
      </c>
      <c r="E297" s="242"/>
      <c r="F297" s="191"/>
      <c r="G297" s="244"/>
      <c r="H297" s="244"/>
      <c r="I297" s="244"/>
      <c r="J297" s="244"/>
      <c r="K297" s="244"/>
      <c r="L297" s="244"/>
      <c r="M297" s="244"/>
      <c r="N297" s="244"/>
      <c r="O297" s="244"/>
      <c r="P297" s="244"/>
      <c r="Q297" s="244"/>
      <c r="R297" s="197">
        <f t="shared" si="15"/>
        <v>0</v>
      </c>
      <c r="S297" s="198"/>
      <c r="T297" s="199"/>
      <c r="U297" s="243"/>
      <c r="V297" s="243"/>
      <c r="W297" s="243"/>
      <c r="BA297"/>
      <c r="BB297"/>
    </row>
    <row r="298" spans="1:54" s="188" customFormat="1" ht="13.5">
      <c r="A298" s="223"/>
      <c r="B298" s="177"/>
      <c r="C298" s="180" t="str">
        <f>IFERROR(IF(VLOOKUP($B298,勘定科目!$A:$H,HLOOKUP($E$5,勘定科目!$F$1:$H$2,2,0),0)="","",VLOOKUP($B298,勘定科目!$A:$E,2,0)),"")</f>
        <v/>
      </c>
      <c r="D298" s="236" t="str">
        <f>IF(C298="","",VLOOKUP($B298,勘定科目!$A:$E,4,0))</f>
        <v/>
      </c>
      <c r="E298" s="242"/>
      <c r="F298" s="191"/>
      <c r="G298" s="244"/>
      <c r="H298" s="244"/>
      <c r="I298" s="244"/>
      <c r="J298" s="244"/>
      <c r="K298" s="244"/>
      <c r="L298" s="244"/>
      <c r="M298" s="244"/>
      <c r="N298" s="244"/>
      <c r="O298" s="244"/>
      <c r="P298" s="244"/>
      <c r="Q298" s="244"/>
      <c r="R298" s="197">
        <f t="shared" si="15"/>
        <v>0</v>
      </c>
      <c r="S298" s="198"/>
      <c r="T298" s="199"/>
      <c r="U298" s="243"/>
      <c r="V298" s="243"/>
      <c r="W298" s="243"/>
      <c r="BA298"/>
      <c r="BB298"/>
    </row>
    <row r="299" spans="1:54" s="188" customFormat="1" ht="13.5">
      <c r="A299" s="223"/>
      <c r="B299" s="177"/>
      <c r="C299" s="180" t="str">
        <f>IFERROR(IF(VLOOKUP($B299,勘定科目!$A:$H,HLOOKUP($E$5,勘定科目!$F$1:$H$2,2,0),0)="","",VLOOKUP($B299,勘定科目!$A:$E,2,0)),"")</f>
        <v/>
      </c>
      <c r="D299" s="236" t="str">
        <f>IF(C299="","",VLOOKUP($B299,勘定科目!$A:$E,4,0))</f>
        <v/>
      </c>
      <c r="E299" s="242"/>
      <c r="F299" s="191"/>
      <c r="G299" s="244"/>
      <c r="H299" s="244"/>
      <c r="I299" s="244"/>
      <c r="J299" s="244"/>
      <c r="K299" s="244"/>
      <c r="L299" s="244"/>
      <c r="M299" s="244"/>
      <c r="N299" s="244"/>
      <c r="O299" s="244"/>
      <c r="P299" s="244"/>
      <c r="Q299" s="244"/>
      <c r="R299" s="197">
        <f t="shared" si="15"/>
        <v>0</v>
      </c>
      <c r="S299" s="198"/>
      <c r="T299" s="199"/>
      <c r="U299" s="243"/>
      <c r="V299" s="243"/>
      <c r="W299" s="243"/>
      <c r="BA299"/>
      <c r="BB299"/>
    </row>
    <row r="300" spans="1:54" s="188" customFormat="1" ht="13.5">
      <c r="A300" s="223"/>
      <c r="B300" s="177"/>
      <c r="C300" s="180" t="str">
        <f>IFERROR(IF(VLOOKUP($B300,勘定科目!$A:$H,HLOOKUP($E$5,勘定科目!$F$1:$H$2,2,0),0)="","",VLOOKUP($B300,勘定科目!$A:$E,2,0)),"")</f>
        <v/>
      </c>
      <c r="D300" s="236" t="str">
        <f>IF(C300="","",VLOOKUP($B300,勘定科目!$A:$E,4,0))</f>
        <v/>
      </c>
      <c r="E300" s="242"/>
      <c r="F300" s="191"/>
      <c r="G300" s="244"/>
      <c r="H300" s="244"/>
      <c r="I300" s="244"/>
      <c r="J300" s="244"/>
      <c r="K300" s="244"/>
      <c r="L300" s="244"/>
      <c r="M300" s="244"/>
      <c r="N300" s="244"/>
      <c r="O300" s="244"/>
      <c r="P300" s="244"/>
      <c r="Q300" s="244"/>
      <c r="R300" s="197">
        <f t="shared" si="15"/>
        <v>0</v>
      </c>
      <c r="S300" s="198"/>
      <c r="T300" s="199"/>
      <c r="U300" s="243"/>
      <c r="V300" s="243"/>
      <c r="W300" s="243"/>
      <c r="BA300"/>
      <c r="BB300"/>
    </row>
    <row r="301" spans="1:54" s="188" customFormat="1" ht="13.5">
      <c r="A301" s="223"/>
      <c r="B301" s="177"/>
      <c r="C301" s="180" t="str">
        <f>IFERROR(IF(VLOOKUP($B301,勘定科目!$A:$H,HLOOKUP($E$5,勘定科目!$F$1:$H$2,2,0),0)="","",VLOOKUP($B301,勘定科目!$A:$E,2,0)),"")</f>
        <v/>
      </c>
      <c r="D301" s="236" t="str">
        <f>IF(C301="","",VLOOKUP($B301,勘定科目!$A:$E,4,0))</f>
        <v/>
      </c>
      <c r="E301" s="242"/>
      <c r="F301" s="191"/>
      <c r="G301" s="244"/>
      <c r="H301" s="244"/>
      <c r="I301" s="244"/>
      <c r="J301" s="244"/>
      <c r="K301" s="244"/>
      <c r="L301" s="244"/>
      <c r="M301" s="244"/>
      <c r="N301" s="244"/>
      <c r="O301" s="244"/>
      <c r="P301" s="244"/>
      <c r="Q301" s="244"/>
      <c r="R301" s="197">
        <f t="shared" si="15"/>
        <v>0</v>
      </c>
      <c r="S301" s="198"/>
      <c r="T301" s="199"/>
      <c r="U301" s="243"/>
      <c r="V301" s="243"/>
      <c r="W301" s="243"/>
      <c r="BA301"/>
      <c r="BB301"/>
    </row>
    <row r="302" spans="1:54" s="188" customFormat="1" ht="13.5">
      <c r="A302" s="223"/>
      <c r="B302" s="177"/>
      <c r="C302" s="180" t="str">
        <f>IFERROR(IF(VLOOKUP($B302,勘定科目!$A:$H,HLOOKUP($E$5,勘定科目!$F$1:$H$2,2,0),0)="","",VLOOKUP($B302,勘定科目!$A:$E,2,0)),"")</f>
        <v/>
      </c>
      <c r="D302" s="236" t="str">
        <f>IF(C302="","",VLOOKUP($B302,勘定科目!$A:$E,4,0))</f>
        <v/>
      </c>
      <c r="E302" s="242"/>
      <c r="F302" s="191"/>
      <c r="G302" s="244"/>
      <c r="H302" s="244"/>
      <c r="I302" s="244"/>
      <c r="J302" s="244"/>
      <c r="K302" s="244"/>
      <c r="L302" s="244"/>
      <c r="M302" s="244"/>
      <c r="N302" s="244"/>
      <c r="O302" s="244"/>
      <c r="P302" s="244"/>
      <c r="Q302" s="244"/>
      <c r="R302" s="197">
        <f t="shared" si="15"/>
        <v>0</v>
      </c>
      <c r="S302" s="198"/>
      <c r="T302" s="199"/>
      <c r="U302" s="243"/>
      <c r="V302" s="243"/>
      <c r="W302" s="243"/>
      <c r="BA302"/>
      <c r="BB302"/>
    </row>
    <row r="303" spans="1:54" s="188" customFormat="1" ht="13.5">
      <c r="A303" s="223"/>
      <c r="B303" s="177"/>
      <c r="C303" s="180" t="str">
        <f>IFERROR(IF(VLOOKUP($B303,勘定科目!$A:$H,HLOOKUP($E$5,勘定科目!$F$1:$H$2,2,0),0)="","",VLOOKUP($B303,勘定科目!$A:$E,2,0)),"")</f>
        <v/>
      </c>
      <c r="D303" s="236" t="str">
        <f>IF(C303="","",VLOOKUP($B303,勘定科目!$A:$E,4,0))</f>
        <v/>
      </c>
      <c r="E303" s="242"/>
      <c r="F303" s="191"/>
      <c r="G303" s="244"/>
      <c r="H303" s="244"/>
      <c r="I303" s="244"/>
      <c r="J303" s="244"/>
      <c r="K303" s="244"/>
      <c r="L303" s="244"/>
      <c r="M303" s="244"/>
      <c r="N303" s="244"/>
      <c r="O303" s="244"/>
      <c r="P303" s="244"/>
      <c r="Q303" s="244"/>
      <c r="R303" s="197">
        <f t="shared" si="15"/>
        <v>0</v>
      </c>
      <c r="S303" s="198"/>
      <c r="T303" s="199"/>
      <c r="U303" s="243"/>
      <c r="V303" s="243"/>
      <c r="W303" s="243"/>
      <c r="BA303"/>
      <c r="BB303"/>
    </row>
    <row r="304" spans="1:54" s="188" customFormat="1" ht="13.5">
      <c r="A304" s="223"/>
      <c r="B304" s="177"/>
      <c r="C304" s="180" t="str">
        <f>IFERROR(IF(VLOOKUP($B304,勘定科目!$A:$H,HLOOKUP($E$5,勘定科目!$F$1:$H$2,2,0),0)="","",VLOOKUP($B304,勘定科目!$A:$E,2,0)),"")</f>
        <v/>
      </c>
      <c r="D304" s="236" t="str">
        <f>IF(C304="","",VLOOKUP($B304,勘定科目!$A:$E,4,0))</f>
        <v/>
      </c>
      <c r="E304" s="242"/>
      <c r="F304" s="191"/>
      <c r="G304" s="244"/>
      <c r="H304" s="244"/>
      <c r="I304" s="244"/>
      <c r="J304" s="244"/>
      <c r="K304" s="244"/>
      <c r="L304" s="244"/>
      <c r="M304" s="244"/>
      <c r="N304" s="244"/>
      <c r="O304" s="244"/>
      <c r="P304" s="244"/>
      <c r="Q304" s="244"/>
      <c r="R304" s="197">
        <f t="shared" si="15"/>
        <v>0</v>
      </c>
      <c r="S304" s="198"/>
      <c r="T304" s="199"/>
      <c r="U304" s="243"/>
      <c r="V304" s="243"/>
      <c r="W304" s="243"/>
      <c r="BA304"/>
      <c r="BB304"/>
    </row>
    <row r="305" spans="1:54" s="188" customFormat="1" ht="13.5">
      <c r="A305" s="223"/>
      <c r="B305" s="177"/>
      <c r="C305" s="180" t="str">
        <f>IFERROR(IF(VLOOKUP($B305,勘定科目!$A:$H,HLOOKUP($E$5,勘定科目!$F$1:$H$2,2,0),0)="","",VLOOKUP($B305,勘定科目!$A:$E,2,0)),"")</f>
        <v/>
      </c>
      <c r="D305" s="236" t="str">
        <f>IF(C305="","",VLOOKUP($B305,勘定科目!$A:$E,4,0))</f>
        <v/>
      </c>
      <c r="E305" s="242"/>
      <c r="F305" s="191"/>
      <c r="G305" s="244"/>
      <c r="H305" s="244"/>
      <c r="I305" s="244"/>
      <c r="J305" s="244"/>
      <c r="K305" s="244"/>
      <c r="L305" s="244"/>
      <c r="M305" s="244"/>
      <c r="N305" s="244"/>
      <c r="O305" s="244"/>
      <c r="P305" s="244"/>
      <c r="Q305" s="244"/>
      <c r="R305" s="197">
        <f t="shared" si="15"/>
        <v>0</v>
      </c>
      <c r="S305" s="198"/>
      <c r="T305" s="199"/>
      <c r="U305" s="243"/>
      <c r="V305" s="243"/>
      <c r="W305" s="243"/>
      <c r="BA305"/>
      <c r="BB305"/>
    </row>
    <row r="306" spans="1:54" s="188" customFormat="1" ht="13.5">
      <c r="A306" s="223"/>
      <c r="B306" s="177"/>
      <c r="C306" s="180" t="str">
        <f>IFERROR(IF(VLOOKUP($B306,勘定科目!$A:$H,HLOOKUP($E$5,勘定科目!$F$1:$H$2,2,0),0)="","",VLOOKUP($B306,勘定科目!$A:$E,2,0)),"")</f>
        <v/>
      </c>
      <c r="D306" s="236" t="str">
        <f>IF(C306="","",VLOOKUP($B306,勘定科目!$A:$E,4,0))</f>
        <v/>
      </c>
      <c r="E306" s="242"/>
      <c r="F306" s="191"/>
      <c r="G306" s="244"/>
      <c r="H306" s="244"/>
      <c r="I306" s="244"/>
      <c r="J306" s="244"/>
      <c r="K306" s="244"/>
      <c r="L306" s="244"/>
      <c r="M306" s="244"/>
      <c r="N306" s="244"/>
      <c r="O306" s="244"/>
      <c r="P306" s="244"/>
      <c r="Q306" s="244"/>
      <c r="R306" s="197">
        <f t="shared" si="15"/>
        <v>0</v>
      </c>
      <c r="S306" s="198"/>
      <c r="T306" s="199"/>
      <c r="U306" s="243"/>
      <c r="V306" s="243"/>
      <c r="W306" s="243"/>
      <c r="BA306"/>
      <c r="BB306"/>
    </row>
    <row r="307" spans="1:54" s="188" customFormat="1" ht="13.5">
      <c r="A307" s="223"/>
      <c r="B307" s="177"/>
      <c r="C307" s="180" t="str">
        <f>IFERROR(IF(VLOOKUP($B307,勘定科目!$A:$H,HLOOKUP($E$5,勘定科目!$F$1:$H$2,2,0),0)="","",VLOOKUP($B307,勘定科目!$A:$E,2,0)),"")</f>
        <v/>
      </c>
      <c r="D307" s="236" t="str">
        <f>IF(C307="","",VLOOKUP($B307,勘定科目!$A:$E,4,0))</f>
        <v/>
      </c>
      <c r="E307" s="242"/>
      <c r="F307" s="191"/>
      <c r="G307" s="244"/>
      <c r="H307" s="244"/>
      <c r="I307" s="244"/>
      <c r="J307" s="244"/>
      <c r="K307" s="244"/>
      <c r="L307" s="244"/>
      <c r="M307" s="244"/>
      <c r="N307" s="244"/>
      <c r="O307" s="244"/>
      <c r="P307" s="244"/>
      <c r="Q307" s="244"/>
      <c r="R307" s="197">
        <f t="shared" si="15"/>
        <v>0</v>
      </c>
      <c r="S307" s="198"/>
      <c r="T307" s="199"/>
      <c r="U307" s="243"/>
      <c r="V307" s="243"/>
      <c r="W307" s="243"/>
      <c r="BA307"/>
      <c r="BB307"/>
    </row>
    <row r="308" spans="1:54" s="188" customFormat="1" ht="13.5">
      <c r="A308" s="223"/>
      <c r="B308" s="177"/>
      <c r="C308" s="180" t="str">
        <f>IFERROR(IF(VLOOKUP($B308,勘定科目!$A:$H,HLOOKUP($E$5,勘定科目!$F$1:$H$2,2,0),0)="","",VLOOKUP($B308,勘定科目!$A:$E,2,0)),"")</f>
        <v/>
      </c>
      <c r="D308" s="236" t="str">
        <f>IF(C308="","",VLOOKUP($B308,勘定科目!$A:$E,4,0))</f>
        <v/>
      </c>
      <c r="E308" s="242"/>
      <c r="F308" s="191"/>
      <c r="G308" s="244"/>
      <c r="H308" s="244"/>
      <c r="I308" s="244"/>
      <c r="J308" s="244"/>
      <c r="K308" s="244"/>
      <c r="L308" s="244"/>
      <c r="M308" s="244"/>
      <c r="N308" s="244"/>
      <c r="O308" s="244"/>
      <c r="P308" s="244"/>
      <c r="Q308" s="244"/>
      <c r="R308" s="197">
        <f t="shared" si="15"/>
        <v>0</v>
      </c>
      <c r="S308" s="198"/>
      <c r="T308" s="199"/>
      <c r="U308" s="243"/>
      <c r="V308" s="243"/>
      <c r="W308" s="243"/>
      <c r="BA308"/>
      <c r="BB308"/>
    </row>
    <row r="309" spans="1:54" s="188" customFormat="1" ht="13.5">
      <c r="A309" s="223"/>
      <c r="B309" s="177"/>
      <c r="C309" s="180" t="str">
        <f>IFERROR(IF(VLOOKUP($B309,勘定科目!$A:$H,HLOOKUP($E$5,勘定科目!$F$1:$H$2,2,0),0)="","",VLOOKUP($B309,勘定科目!$A:$E,2,0)),"")</f>
        <v/>
      </c>
      <c r="D309" s="236" t="str">
        <f>IF(C309="","",VLOOKUP($B309,勘定科目!$A:$E,4,0))</f>
        <v/>
      </c>
      <c r="E309" s="242"/>
      <c r="F309" s="191"/>
      <c r="G309" s="244"/>
      <c r="H309" s="244"/>
      <c r="I309" s="244"/>
      <c r="J309" s="244"/>
      <c r="K309" s="244"/>
      <c r="L309" s="244"/>
      <c r="M309" s="244"/>
      <c r="N309" s="244"/>
      <c r="O309" s="244"/>
      <c r="P309" s="244"/>
      <c r="Q309" s="244"/>
      <c r="R309" s="197">
        <f t="shared" ref="R309:R372" si="16">SUM(F309:Q309)</f>
        <v>0</v>
      </c>
      <c r="S309" s="198"/>
      <c r="T309" s="199"/>
      <c r="U309" s="243"/>
      <c r="V309" s="243"/>
      <c r="W309" s="243"/>
      <c r="BA309"/>
      <c r="BB309"/>
    </row>
    <row r="310" spans="1:54" s="188" customFormat="1" ht="13.5">
      <c r="A310" s="223"/>
      <c r="B310" s="177"/>
      <c r="C310" s="180" t="str">
        <f>IFERROR(IF(VLOOKUP($B310,勘定科目!$A:$H,HLOOKUP($E$5,勘定科目!$F$1:$H$2,2,0),0)="","",VLOOKUP($B310,勘定科目!$A:$E,2,0)),"")</f>
        <v/>
      </c>
      <c r="D310" s="236" t="str">
        <f>IF(C310="","",VLOOKUP($B310,勘定科目!$A:$E,4,0))</f>
        <v/>
      </c>
      <c r="E310" s="242"/>
      <c r="F310" s="191"/>
      <c r="G310" s="244"/>
      <c r="H310" s="244"/>
      <c r="I310" s="244"/>
      <c r="J310" s="244"/>
      <c r="K310" s="244"/>
      <c r="L310" s="244"/>
      <c r="M310" s="244"/>
      <c r="N310" s="244"/>
      <c r="O310" s="244"/>
      <c r="P310" s="244"/>
      <c r="Q310" s="244"/>
      <c r="R310" s="197">
        <f t="shared" si="16"/>
        <v>0</v>
      </c>
      <c r="S310" s="198"/>
      <c r="T310" s="199"/>
      <c r="U310" s="243"/>
      <c r="V310" s="243"/>
      <c r="W310" s="243"/>
      <c r="BA310"/>
      <c r="BB310"/>
    </row>
    <row r="311" spans="1:54" s="188" customFormat="1" ht="13.5">
      <c r="A311" s="223"/>
      <c r="B311" s="177"/>
      <c r="C311" s="180" t="str">
        <f>IFERROR(IF(VLOOKUP($B311,勘定科目!$A:$H,HLOOKUP($E$5,勘定科目!$F$1:$H$2,2,0),0)="","",VLOOKUP($B311,勘定科目!$A:$E,2,0)),"")</f>
        <v/>
      </c>
      <c r="D311" s="236" t="str">
        <f>IF(C311="","",VLOOKUP($B311,勘定科目!$A:$E,4,0))</f>
        <v/>
      </c>
      <c r="E311" s="242"/>
      <c r="F311" s="191"/>
      <c r="G311" s="244"/>
      <c r="H311" s="244"/>
      <c r="I311" s="244"/>
      <c r="J311" s="244"/>
      <c r="K311" s="244"/>
      <c r="L311" s="244"/>
      <c r="M311" s="244"/>
      <c r="N311" s="244"/>
      <c r="O311" s="244"/>
      <c r="P311" s="244"/>
      <c r="Q311" s="244"/>
      <c r="R311" s="197">
        <f t="shared" si="16"/>
        <v>0</v>
      </c>
      <c r="S311" s="198"/>
      <c r="T311" s="199"/>
      <c r="U311" s="243"/>
      <c r="V311" s="243"/>
      <c r="W311" s="243"/>
      <c r="BA311"/>
      <c r="BB311"/>
    </row>
    <row r="312" spans="1:54" s="188" customFormat="1" ht="13.5">
      <c r="A312" s="223"/>
      <c r="B312" s="177"/>
      <c r="C312" s="180" t="str">
        <f>IFERROR(IF(VLOOKUP($B312,勘定科目!$A:$H,HLOOKUP($E$5,勘定科目!$F$1:$H$2,2,0),0)="","",VLOOKUP($B312,勘定科目!$A:$E,2,0)),"")</f>
        <v/>
      </c>
      <c r="D312" s="236" t="str">
        <f>IF(C312="","",VLOOKUP($B312,勘定科目!$A:$E,4,0))</f>
        <v/>
      </c>
      <c r="E312" s="242"/>
      <c r="F312" s="191"/>
      <c r="G312" s="244"/>
      <c r="H312" s="244"/>
      <c r="I312" s="244"/>
      <c r="J312" s="244"/>
      <c r="K312" s="244"/>
      <c r="L312" s="244"/>
      <c r="M312" s="244"/>
      <c r="N312" s="244"/>
      <c r="O312" s="244"/>
      <c r="P312" s="244"/>
      <c r="Q312" s="244"/>
      <c r="R312" s="197">
        <f t="shared" si="16"/>
        <v>0</v>
      </c>
      <c r="S312" s="198"/>
      <c r="T312" s="199"/>
      <c r="U312" s="243"/>
      <c r="V312" s="243"/>
      <c r="W312" s="243"/>
      <c r="BA312"/>
      <c r="BB312"/>
    </row>
    <row r="313" spans="1:54" s="188" customFormat="1" ht="13.5">
      <c r="A313" s="223"/>
      <c r="B313" s="177"/>
      <c r="C313" s="180" t="str">
        <f>IFERROR(IF(VLOOKUP($B313,勘定科目!$A:$H,HLOOKUP($E$5,勘定科目!$F$1:$H$2,2,0),0)="","",VLOOKUP($B313,勘定科目!$A:$E,2,0)),"")</f>
        <v/>
      </c>
      <c r="D313" s="236" t="str">
        <f>IF(C313="","",VLOOKUP($B313,勘定科目!$A:$E,4,0))</f>
        <v/>
      </c>
      <c r="E313" s="242"/>
      <c r="F313" s="191"/>
      <c r="G313" s="244"/>
      <c r="H313" s="244"/>
      <c r="I313" s="244"/>
      <c r="J313" s="244"/>
      <c r="K313" s="244"/>
      <c r="L313" s="244"/>
      <c r="M313" s="244"/>
      <c r="N313" s="244"/>
      <c r="O313" s="244"/>
      <c r="P313" s="244"/>
      <c r="Q313" s="244"/>
      <c r="R313" s="197">
        <f t="shared" si="16"/>
        <v>0</v>
      </c>
      <c r="S313" s="198"/>
      <c r="T313" s="199"/>
      <c r="U313" s="243"/>
      <c r="V313" s="243"/>
      <c r="W313" s="243"/>
      <c r="BA313"/>
      <c r="BB313"/>
    </row>
    <row r="314" spans="1:54" s="188" customFormat="1" ht="13.5">
      <c r="A314" s="223"/>
      <c r="B314" s="177"/>
      <c r="C314" s="180" t="str">
        <f>IFERROR(IF(VLOOKUP($B314,勘定科目!$A:$H,HLOOKUP($E$5,勘定科目!$F$1:$H$2,2,0),0)="","",VLOOKUP($B314,勘定科目!$A:$E,2,0)),"")</f>
        <v/>
      </c>
      <c r="D314" s="236" t="str">
        <f>IF(C314="","",VLOOKUP($B314,勘定科目!$A:$E,4,0))</f>
        <v/>
      </c>
      <c r="E314" s="242"/>
      <c r="F314" s="191"/>
      <c r="G314" s="244"/>
      <c r="H314" s="244"/>
      <c r="I314" s="244"/>
      <c r="J314" s="244"/>
      <c r="K314" s="244"/>
      <c r="L314" s="244"/>
      <c r="M314" s="244"/>
      <c r="N314" s="244"/>
      <c r="O314" s="244"/>
      <c r="P314" s="244"/>
      <c r="Q314" s="244"/>
      <c r="R314" s="197">
        <f t="shared" si="16"/>
        <v>0</v>
      </c>
      <c r="S314" s="198"/>
      <c r="T314" s="199"/>
      <c r="U314" s="243"/>
      <c r="V314" s="243"/>
      <c r="W314" s="243"/>
      <c r="BA314"/>
      <c r="BB314"/>
    </row>
    <row r="315" spans="1:54" s="188" customFormat="1" ht="13.5">
      <c r="A315" s="223"/>
      <c r="B315" s="177"/>
      <c r="C315" s="180" t="str">
        <f>IFERROR(IF(VLOOKUP($B315,勘定科目!$A:$H,HLOOKUP($E$5,勘定科目!$F$1:$H$2,2,0),0)="","",VLOOKUP($B315,勘定科目!$A:$E,2,0)),"")</f>
        <v/>
      </c>
      <c r="D315" s="236" t="str">
        <f>IF(C315="","",VLOOKUP($B315,勘定科目!$A:$E,4,0))</f>
        <v/>
      </c>
      <c r="E315" s="242"/>
      <c r="F315" s="191"/>
      <c r="G315" s="244"/>
      <c r="H315" s="244"/>
      <c r="I315" s="244"/>
      <c r="J315" s="244"/>
      <c r="K315" s="244"/>
      <c r="L315" s="244"/>
      <c r="M315" s="244"/>
      <c r="N315" s="244"/>
      <c r="O315" s="244"/>
      <c r="P315" s="244"/>
      <c r="Q315" s="244"/>
      <c r="R315" s="197">
        <f t="shared" si="16"/>
        <v>0</v>
      </c>
      <c r="S315" s="198"/>
      <c r="T315" s="199"/>
      <c r="U315" s="243"/>
      <c r="V315" s="243"/>
      <c r="W315" s="243"/>
      <c r="BA315"/>
      <c r="BB315"/>
    </row>
    <row r="316" spans="1:54" s="188" customFormat="1" ht="13.5">
      <c r="A316" s="179"/>
      <c r="B316" s="175"/>
      <c r="C316" s="180" t="str">
        <f>IFERROR(IF(VLOOKUP($B316,勘定科目!$A:$H,HLOOKUP($E$5,勘定科目!$F$1:$H$2,2,0),0)="","",VLOOKUP($B316,勘定科目!$A:$E,2,0)),"")</f>
        <v/>
      </c>
      <c r="D316" s="236" t="str">
        <f>IF(C316="","",VLOOKUP($B316,勘定科目!$A:$E,4,0))</f>
        <v/>
      </c>
      <c r="E316" s="242"/>
      <c r="F316" s="237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197">
        <f t="shared" si="16"/>
        <v>0</v>
      </c>
      <c r="S316" s="198"/>
      <c r="T316" s="199"/>
      <c r="U316" s="243"/>
      <c r="V316" s="243"/>
      <c r="W316" s="243"/>
      <c r="BA316"/>
      <c r="BB316"/>
    </row>
    <row r="317" spans="1:54" s="188" customFormat="1" ht="13.5">
      <c r="A317" s="179"/>
      <c r="B317" s="175"/>
      <c r="C317" s="180" t="str">
        <f>IFERROR(IF(VLOOKUP($B317,勘定科目!$A:$H,HLOOKUP($E$5,勘定科目!$F$1:$H$2,2,0),0)="","",VLOOKUP($B317,勘定科目!$A:$E,2,0)),"")</f>
        <v/>
      </c>
      <c r="D317" s="236" t="str">
        <f>IF(C317="","",VLOOKUP($B317,勘定科目!$A:$E,4,0))</f>
        <v/>
      </c>
      <c r="E317" s="242"/>
      <c r="F317" s="237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197">
        <f t="shared" si="16"/>
        <v>0</v>
      </c>
      <c r="S317" s="198"/>
      <c r="T317" s="199"/>
      <c r="U317" s="243"/>
      <c r="V317" s="243"/>
      <c r="W317" s="243"/>
      <c r="BA317"/>
      <c r="BB317"/>
    </row>
    <row r="318" spans="1:54" s="188" customFormat="1" ht="13.5">
      <c r="A318" s="179"/>
      <c r="B318" s="175"/>
      <c r="C318" s="180" t="str">
        <f>IFERROR(IF(VLOOKUP($B318,勘定科目!$A:$H,HLOOKUP($E$5,勘定科目!$F$1:$H$2,2,0),0)="","",VLOOKUP($B318,勘定科目!$A:$E,2,0)),"")</f>
        <v/>
      </c>
      <c r="D318" s="236" t="str">
        <f>IF(C318="","",VLOOKUP($B318,勘定科目!$A:$E,4,0))</f>
        <v/>
      </c>
      <c r="E318" s="242"/>
      <c r="F318" s="237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197">
        <f t="shared" si="16"/>
        <v>0</v>
      </c>
      <c r="S318" s="198"/>
      <c r="T318" s="199"/>
      <c r="U318" s="243"/>
      <c r="V318" s="243"/>
      <c r="W318" s="243"/>
      <c r="BA318"/>
      <c r="BB318"/>
    </row>
    <row r="319" spans="1:54" s="188" customFormat="1" ht="13.5">
      <c r="A319" s="179"/>
      <c r="B319" s="175"/>
      <c r="C319" s="180" t="str">
        <f>IFERROR(IF(VLOOKUP($B319,勘定科目!$A:$H,HLOOKUP($E$5,勘定科目!$F$1:$H$2,2,0),0)="","",VLOOKUP($B319,勘定科目!$A:$E,2,0)),"")</f>
        <v/>
      </c>
      <c r="D319" s="236" t="str">
        <f>IF(C319="","",VLOOKUP($B319,勘定科目!$A:$E,4,0))</f>
        <v/>
      </c>
      <c r="E319" s="242"/>
      <c r="F319" s="237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197">
        <f t="shared" si="16"/>
        <v>0</v>
      </c>
      <c r="S319" s="198"/>
      <c r="T319" s="199"/>
      <c r="U319" s="243"/>
      <c r="V319" s="243"/>
      <c r="W319" s="243"/>
      <c r="BA319"/>
      <c r="BB319"/>
    </row>
    <row r="320" spans="1:54" s="188" customFormat="1" ht="13.5">
      <c r="A320" s="179"/>
      <c r="B320" s="175"/>
      <c r="C320" s="180" t="str">
        <f>IFERROR(IF(VLOOKUP($B320,勘定科目!$A:$H,HLOOKUP($E$5,勘定科目!$F$1:$H$2,2,0),0)="","",VLOOKUP($B320,勘定科目!$A:$E,2,0)),"")</f>
        <v/>
      </c>
      <c r="D320" s="236" t="str">
        <f>IF(C320="","",VLOOKUP($B320,勘定科目!$A:$E,4,0))</f>
        <v/>
      </c>
      <c r="E320" s="242"/>
      <c r="F320" s="237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197">
        <f t="shared" si="16"/>
        <v>0</v>
      </c>
      <c r="S320" s="198"/>
      <c r="T320" s="199"/>
      <c r="U320" s="243"/>
      <c r="V320" s="243"/>
      <c r="W320" s="243"/>
      <c r="BA320"/>
      <c r="BB320"/>
    </row>
    <row r="321" spans="1:54" s="188" customFormat="1" ht="13.5">
      <c r="A321" s="179"/>
      <c r="B321" s="175"/>
      <c r="C321" s="180" t="str">
        <f>IFERROR(IF(VLOOKUP($B321,勘定科目!$A:$H,HLOOKUP($E$5,勘定科目!$F$1:$H$2,2,0),0)="","",VLOOKUP($B321,勘定科目!$A:$E,2,0)),"")</f>
        <v/>
      </c>
      <c r="D321" s="236" t="str">
        <f>IF(C321="","",VLOOKUP($B321,勘定科目!$A:$E,4,0))</f>
        <v/>
      </c>
      <c r="E321" s="242"/>
      <c r="F321" s="237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197">
        <f t="shared" si="16"/>
        <v>0</v>
      </c>
      <c r="S321" s="198"/>
      <c r="T321" s="199"/>
      <c r="U321" s="243"/>
      <c r="V321" s="243"/>
      <c r="W321" s="243"/>
      <c r="BA321"/>
      <c r="BB321"/>
    </row>
    <row r="322" spans="1:54" s="188" customFormat="1" ht="13.5">
      <c r="A322" s="179"/>
      <c r="B322" s="175"/>
      <c r="C322" s="180" t="str">
        <f>IFERROR(IF(VLOOKUP($B322,勘定科目!$A:$H,HLOOKUP($E$5,勘定科目!$F$1:$H$2,2,0),0)="","",VLOOKUP($B322,勘定科目!$A:$E,2,0)),"")</f>
        <v/>
      </c>
      <c r="D322" s="236" t="str">
        <f>IF(C322="","",VLOOKUP($B322,勘定科目!$A:$E,4,0))</f>
        <v/>
      </c>
      <c r="E322" s="242"/>
      <c r="F322" s="237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197">
        <f t="shared" si="16"/>
        <v>0</v>
      </c>
      <c r="S322" s="198"/>
      <c r="T322" s="199"/>
      <c r="U322" s="243"/>
      <c r="V322" s="243"/>
      <c r="W322" s="243"/>
      <c r="BA322"/>
      <c r="BB322"/>
    </row>
    <row r="323" spans="1:54" s="188" customFormat="1" ht="13.5">
      <c r="A323" s="179"/>
      <c r="B323" s="175"/>
      <c r="C323" s="180" t="str">
        <f>IFERROR(IF(VLOOKUP($B323,勘定科目!$A:$H,HLOOKUP($E$5,勘定科目!$F$1:$H$2,2,0),0)="","",VLOOKUP($B323,勘定科目!$A:$E,2,0)),"")</f>
        <v/>
      </c>
      <c r="D323" s="236" t="str">
        <f>IF(C323="","",VLOOKUP($B323,勘定科目!$A:$E,4,0))</f>
        <v/>
      </c>
      <c r="E323" s="242"/>
      <c r="F323" s="237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197">
        <f t="shared" si="16"/>
        <v>0</v>
      </c>
      <c r="S323" s="198"/>
      <c r="T323" s="199"/>
      <c r="U323" s="243"/>
      <c r="V323" s="243"/>
      <c r="W323" s="243"/>
      <c r="BA323"/>
      <c r="BB323"/>
    </row>
    <row r="324" spans="1:54" s="188" customFormat="1" ht="13.5">
      <c r="A324" s="179"/>
      <c r="B324" s="175"/>
      <c r="C324" s="180" t="str">
        <f>IFERROR(IF(VLOOKUP($B324,勘定科目!$A:$H,HLOOKUP($E$5,勘定科目!$F$1:$H$2,2,0),0)="","",VLOOKUP($B324,勘定科目!$A:$E,2,0)),"")</f>
        <v/>
      </c>
      <c r="D324" s="236" t="str">
        <f>IF(C324="","",VLOOKUP($B324,勘定科目!$A:$E,4,0))</f>
        <v/>
      </c>
      <c r="E324" s="242"/>
      <c r="F324" s="237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197">
        <f t="shared" si="16"/>
        <v>0</v>
      </c>
      <c r="S324" s="198"/>
      <c r="T324" s="199"/>
      <c r="U324" s="243"/>
      <c r="V324" s="243"/>
      <c r="W324" s="243"/>
      <c r="BA324"/>
      <c r="BB324"/>
    </row>
    <row r="325" spans="1:54" s="188" customFormat="1" ht="13.5">
      <c r="A325" s="179"/>
      <c r="B325" s="175"/>
      <c r="C325" s="180" t="str">
        <f>IFERROR(IF(VLOOKUP($B325,勘定科目!$A:$H,HLOOKUP($E$5,勘定科目!$F$1:$H$2,2,0),0)="","",VLOOKUP($B325,勘定科目!$A:$E,2,0)),"")</f>
        <v/>
      </c>
      <c r="D325" s="236" t="str">
        <f>IF(C325="","",VLOOKUP($B325,勘定科目!$A:$E,4,0))</f>
        <v/>
      </c>
      <c r="E325" s="242"/>
      <c r="F325" s="237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197">
        <f t="shared" si="16"/>
        <v>0</v>
      </c>
      <c r="S325" s="198"/>
      <c r="T325" s="199"/>
      <c r="U325" s="243"/>
      <c r="V325" s="243"/>
      <c r="W325" s="243"/>
      <c r="BA325"/>
      <c r="BB325"/>
    </row>
    <row r="326" spans="1:54" s="188" customFormat="1" ht="13.5">
      <c r="A326" s="179"/>
      <c r="B326" s="175"/>
      <c r="C326" s="180" t="str">
        <f>IFERROR(IF(VLOOKUP($B326,勘定科目!$A:$H,HLOOKUP($E$5,勘定科目!$F$1:$H$2,2,0),0)="","",VLOOKUP($B326,勘定科目!$A:$E,2,0)),"")</f>
        <v/>
      </c>
      <c r="D326" s="236" t="str">
        <f>IF(C326="","",VLOOKUP($B326,勘定科目!$A:$E,4,0))</f>
        <v/>
      </c>
      <c r="E326" s="242"/>
      <c r="F326" s="237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197">
        <f t="shared" si="16"/>
        <v>0</v>
      </c>
      <c r="S326" s="198"/>
      <c r="T326" s="199"/>
      <c r="U326" s="243"/>
      <c r="V326" s="243"/>
      <c r="W326" s="243"/>
      <c r="BA326"/>
      <c r="BB326"/>
    </row>
    <row r="327" spans="1:54" s="188" customFormat="1" ht="13.5">
      <c r="A327" s="179"/>
      <c r="B327" s="175"/>
      <c r="C327" s="180" t="str">
        <f>IFERROR(IF(VLOOKUP($B327,勘定科目!$A:$H,HLOOKUP($E$5,勘定科目!$F$1:$H$2,2,0),0)="","",VLOOKUP($B327,勘定科目!$A:$E,2,0)),"")</f>
        <v/>
      </c>
      <c r="D327" s="236" t="str">
        <f>IF(C327="","",VLOOKUP($B327,勘定科目!$A:$E,4,0))</f>
        <v/>
      </c>
      <c r="E327" s="242"/>
      <c r="F327" s="237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197">
        <f t="shared" si="16"/>
        <v>0</v>
      </c>
      <c r="S327" s="198"/>
      <c r="T327" s="199"/>
      <c r="U327" s="243"/>
      <c r="V327" s="243"/>
      <c r="W327" s="243"/>
      <c r="BA327"/>
      <c r="BB327"/>
    </row>
    <row r="328" spans="1:54" s="188" customFormat="1" ht="13.5">
      <c r="A328" s="179"/>
      <c r="B328" s="175"/>
      <c r="C328" s="180" t="str">
        <f>IFERROR(IF(VLOOKUP($B328,勘定科目!$A:$H,HLOOKUP($E$5,勘定科目!$F$1:$H$2,2,0),0)="","",VLOOKUP($B328,勘定科目!$A:$E,2,0)),"")</f>
        <v/>
      </c>
      <c r="D328" s="236" t="str">
        <f>IF(C328="","",VLOOKUP($B328,勘定科目!$A:$E,4,0))</f>
        <v/>
      </c>
      <c r="E328" s="242"/>
      <c r="F328" s="237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197">
        <f t="shared" si="16"/>
        <v>0</v>
      </c>
      <c r="S328" s="198"/>
      <c r="T328" s="199"/>
      <c r="U328" s="243"/>
      <c r="V328" s="243"/>
      <c r="W328" s="243"/>
      <c r="BA328"/>
      <c r="BB328"/>
    </row>
    <row r="329" spans="1:54" s="188" customFormat="1" ht="13.5">
      <c r="A329" s="179"/>
      <c r="B329" s="175"/>
      <c r="C329" s="180" t="str">
        <f>IFERROR(IF(VLOOKUP($B329,勘定科目!$A:$H,HLOOKUP($E$5,勘定科目!$F$1:$H$2,2,0),0)="","",VLOOKUP($B329,勘定科目!$A:$E,2,0)),"")</f>
        <v/>
      </c>
      <c r="D329" s="236" t="str">
        <f>IF(C329="","",VLOOKUP($B329,勘定科目!$A:$E,4,0))</f>
        <v/>
      </c>
      <c r="E329" s="242"/>
      <c r="F329" s="237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197">
        <f t="shared" si="16"/>
        <v>0</v>
      </c>
      <c r="S329" s="198"/>
      <c r="T329" s="199"/>
      <c r="U329" s="243"/>
      <c r="V329" s="243"/>
      <c r="W329" s="243"/>
      <c r="BA329"/>
      <c r="BB329"/>
    </row>
    <row r="330" spans="1:54" s="188" customFormat="1" ht="13.5">
      <c r="A330" s="179"/>
      <c r="B330" s="175"/>
      <c r="C330" s="180" t="str">
        <f>IFERROR(IF(VLOOKUP($B330,勘定科目!$A:$H,HLOOKUP($E$5,勘定科目!$F$1:$H$2,2,0),0)="","",VLOOKUP($B330,勘定科目!$A:$E,2,0)),"")</f>
        <v/>
      </c>
      <c r="D330" s="236" t="str">
        <f>IF(C330="","",VLOOKUP($B330,勘定科目!$A:$E,4,0))</f>
        <v/>
      </c>
      <c r="E330" s="242"/>
      <c r="F330" s="237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197">
        <f t="shared" si="16"/>
        <v>0</v>
      </c>
      <c r="S330" s="198"/>
      <c r="T330" s="199"/>
      <c r="U330" s="243"/>
      <c r="V330" s="243"/>
      <c r="W330" s="243"/>
      <c r="BA330"/>
      <c r="BB330"/>
    </row>
    <row r="331" spans="1:54" s="188" customFormat="1" ht="13.5">
      <c r="A331" s="179"/>
      <c r="B331" s="175"/>
      <c r="C331" s="180" t="str">
        <f>IFERROR(IF(VLOOKUP($B331,勘定科目!$A:$H,HLOOKUP($E$5,勘定科目!$F$1:$H$2,2,0),0)="","",VLOOKUP($B331,勘定科目!$A:$E,2,0)),"")</f>
        <v/>
      </c>
      <c r="D331" s="236" t="str">
        <f>IF(C331="","",VLOOKUP($B331,勘定科目!$A:$E,4,0))</f>
        <v/>
      </c>
      <c r="E331" s="242"/>
      <c r="F331" s="237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197">
        <f t="shared" si="16"/>
        <v>0</v>
      </c>
      <c r="S331" s="198"/>
      <c r="T331" s="199"/>
      <c r="U331" s="243"/>
      <c r="V331" s="243"/>
      <c r="W331" s="243"/>
      <c r="BA331"/>
      <c r="BB331"/>
    </row>
    <row r="332" spans="1:54" s="188" customFormat="1" ht="13.5">
      <c r="A332" s="179"/>
      <c r="B332" s="175"/>
      <c r="C332" s="180" t="str">
        <f>IFERROR(IF(VLOOKUP($B332,勘定科目!$A:$H,HLOOKUP($E$5,勘定科目!$F$1:$H$2,2,0),0)="","",VLOOKUP($B332,勘定科目!$A:$E,2,0)),"")</f>
        <v/>
      </c>
      <c r="D332" s="236" t="str">
        <f>IF(C332="","",VLOOKUP($B332,勘定科目!$A:$E,4,0))</f>
        <v/>
      </c>
      <c r="E332" s="242"/>
      <c r="F332" s="237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197">
        <f t="shared" si="16"/>
        <v>0</v>
      </c>
      <c r="S332" s="198"/>
      <c r="T332" s="199"/>
      <c r="U332" s="243"/>
      <c r="V332" s="243"/>
      <c r="W332" s="243"/>
      <c r="BA332"/>
      <c r="BB332"/>
    </row>
    <row r="333" spans="1:54" s="188" customFormat="1" ht="13.5">
      <c r="A333" s="179"/>
      <c r="B333" s="175"/>
      <c r="C333" s="180" t="str">
        <f>IFERROR(IF(VLOOKUP($B333,勘定科目!$A:$H,HLOOKUP($E$5,勘定科目!$F$1:$H$2,2,0),0)="","",VLOOKUP($B333,勘定科目!$A:$E,2,0)),"")</f>
        <v/>
      </c>
      <c r="D333" s="236" t="str">
        <f>IF(C333="","",VLOOKUP($B333,勘定科目!$A:$E,4,0))</f>
        <v/>
      </c>
      <c r="E333" s="242"/>
      <c r="F333" s="237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197">
        <f t="shared" si="16"/>
        <v>0</v>
      </c>
      <c r="S333" s="198"/>
      <c r="T333" s="199"/>
      <c r="U333" s="243"/>
      <c r="V333" s="243"/>
      <c r="W333" s="243"/>
      <c r="BA333"/>
      <c r="BB333"/>
    </row>
    <row r="334" spans="1:54" s="188" customFormat="1" ht="13.5">
      <c r="A334" s="179"/>
      <c r="B334" s="175"/>
      <c r="C334" s="180" t="str">
        <f>IFERROR(IF(VLOOKUP($B334,勘定科目!$A:$H,HLOOKUP($E$5,勘定科目!$F$1:$H$2,2,0),0)="","",VLOOKUP($B334,勘定科目!$A:$E,2,0)),"")</f>
        <v/>
      </c>
      <c r="D334" s="236" t="str">
        <f>IF(C334="","",VLOOKUP($B334,勘定科目!$A:$E,4,0))</f>
        <v/>
      </c>
      <c r="E334" s="242"/>
      <c r="F334" s="237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197">
        <f t="shared" si="16"/>
        <v>0</v>
      </c>
      <c r="S334" s="198"/>
      <c r="T334" s="199"/>
      <c r="U334" s="243"/>
      <c r="V334" s="243"/>
      <c r="W334" s="243"/>
      <c r="BA334"/>
      <c r="BB334"/>
    </row>
    <row r="335" spans="1:54" s="188" customFormat="1" ht="13.5">
      <c r="A335" s="179"/>
      <c r="B335" s="175"/>
      <c r="C335" s="180" t="str">
        <f>IFERROR(IF(VLOOKUP($B335,勘定科目!$A:$H,HLOOKUP($E$5,勘定科目!$F$1:$H$2,2,0),0)="","",VLOOKUP($B335,勘定科目!$A:$E,2,0)),"")</f>
        <v/>
      </c>
      <c r="D335" s="236" t="str">
        <f>IF(C335="","",VLOOKUP($B335,勘定科目!$A:$E,4,0))</f>
        <v/>
      </c>
      <c r="E335" s="242"/>
      <c r="F335" s="237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197">
        <f t="shared" si="16"/>
        <v>0</v>
      </c>
      <c r="S335" s="198"/>
      <c r="T335" s="199"/>
      <c r="U335" s="243"/>
      <c r="V335" s="243"/>
      <c r="W335" s="243"/>
      <c r="BA335"/>
      <c r="BB335"/>
    </row>
    <row r="336" spans="1:54" s="188" customFormat="1" ht="13.5">
      <c r="A336" s="179"/>
      <c r="B336" s="175"/>
      <c r="C336" s="180" t="str">
        <f>IFERROR(IF(VLOOKUP($B336,勘定科目!$A:$H,HLOOKUP($E$5,勘定科目!$F$1:$H$2,2,0),0)="","",VLOOKUP($B336,勘定科目!$A:$E,2,0)),"")</f>
        <v/>
      </c>
      <c r="D336" s="236" t="str">
        <f>IF(C336="","",VLOOKUP($B336,勘定科目!$A:$E,4,0))</f>
        <v/>
      </c>
      <c r="E336" s="242"/>
      <c r="F336" s="237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197">
        <f t="shared" si="16"/>
        <v>0</v>
      </c>
      <c r="S336" s="198"/>
      <c r="T336" s="199"/>
      <c r="U336" s="243"/>
      <c r="V336" s="243"/>
      <c r="W336" s="243"/>
      <c r="BA336"/>
      <c r="BB336"/>
    </row>
    <row r="337" spans="1:54" s="188" customFormat="1" ht="13.5">
      <c r="A337" s="179"/>
      <c r="B337" s="175"/>
      <c r="C337" s="180" t="str">
        <f>IFERROR(IF(VLOOKUP($B337,勘定科目!$A:$H,HLOOKUP($E$5,勘定科目!$F$1:$H$2,2,0),0)="","",VLOOKUP($B337,勘定科目!$A:$E,2,0)),"")</f>
        <v/>
      </c>
      <c r="D337" s="236" t="str">
        <f>IF(C337="","",VLOOKUP($B337,勘定科目!$A:$E,4,0))</f>
        <v/>
      </c>
      <c r="E337" s="242"/>
      <c r="F337" s="237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197">
        <f t="shared" si="16"/>
        <v>0</v>
      </c>
      <c r="S337" s="198"/>
      <c r="T337" s="199"/>
      <c r="U337" s="243"/>
      <c r="V337" s="243"/>
      <c r="W337" s="243"/>
      <c r="BA337"/>
      <c r="BB337"/>
    </row>
    <row r="338" spans="1:54" s="188" customFormat="1" ht="13.5">
      <c r="A338" s="179"/>
      <c r="B338" s="175"/>
      <c r="C338" s="180" t="str">
        <f>IFERROR(IF(VLOOKUP($B338,勘定科目!$A:$H,HLOOKUP($E$5,勘定科目!$F$1:$H$2,2,0),0)="","",VLOOKUP($B338,勘定科目!$A:$E,2,0)),"")</f>
        <v/>
      </c>
      <c r="D338" s="236" t="str">
        <f>IF(C338="","",VLOOKUP($B338,勘定科目!$A:$E,4,0))</f>
        <v/>
      </c>
      <c r="E338" s="242"/>
      <c r="F338" s="237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197">
        <f t="shared" si="16"/>
        <v>0</v>
      </c>
      <c r="S338" s="198"/>
      <c r="T338" s="199"/>
      <c r="U338" s="243"/>
      <c r="V338" s="243"/>
      <c r="W338" s="243"/>
      <c r="BA338"/>
      <c r="BB338"/>
    </row>
    <row r="339" spans="1:54" s="188" customFormat="1" ht="13.5">
      <c r="A339" s="179"/>
      <c r="B339" s="175"/>
      <c r="C339" s="180" t="str">
        <f>IFERROR(IF(VLOOKUP($B339,勘定科目!$A:$H,HLOOKUP($E$5,勘定科目!$F$1:$H$2,2,0),0)="","",VLOOKUP($B339,勘定科目!$A:$E,2,0)),"")</f>
        <v/>
      </c>
      <c r="D339" s="236" t="str">
        <f>IF(C339="","",VLOOKUP($B339,勘定科目!$A:$E,4,0))</f>
        <v/>
      </c>
      <c r="E339" s="242"/>
      <c r="F339" s="237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197">
        <f t="shared" si="16"/>
        <v>0</v>
      </c>
      <c r="S339" s="198"/>
      <c r="T339" s="199"/>
      <c r="U339" s="243"/>
      <c r="V339" s="243"/>
      <c r="W339" s="243"/>
      <c r="BA339"/>
      <c r="BB339"/>
    </row>
    <row r="340" spans="1:54" s="188" customFormat="1" ht="13.5">
      <c r="A340" s="179"/>
      <c r="B340" s="175"/>
      <c r="C340" s="180" t="str">
        <f>IFERROR(IF(VLOOKUP($B340,勘定科目!$A:$H,HLOOKUP($E$5,勘定科目!$F$1:$H$2,2,0),0)="","",VLOOKUP($B340,勘定科目!$A:$E,2,0)),"")</f>
        <v/>
      </c>
      <c r="D340" s="236" t="str">
        <f>IF(C340="","",VLOOKUP($B340,勘定科目!$A:$E,4,0))</f>
        <v/>
      </c>
      <c r="E340" s="242"/>
      <c r="F340" s="237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197">
        <f t="shared" si="16"/>
        <v>0</v>
      </c>
      <c r="S340" s="198"/>
      <c r="T340" s="199"/>
      <c r="U340" s="243"/>
      <c r="V340" s="243"/>
      <c r="W340" s="243"/>
      <c r="BA340"/>
      <c r="BB340"/>
    </row>
    <row r="341" spans="1:54" s="188" customFormat="1" ht="13.5">
      <c r="A341" s="179"/>
      <c r="B341" s="175"/>
      <c r="C341" s="180" t="str">
        <f>IFERROR(IF(VLOOKUP($B341,勘定科目!$A:$H,HLOOKUP($E$5,勘定科目!$F$1:$H$2,2,0),0)="","",VLOOKUP($B341,勘定科目!$A:$E,2,0)),"")</f>
        <v/>
      </c>
      <c r="D341" s="236" t="str">
        <f>IF(C341="","",VLOOKUP($B341,勘定科目!$A:$E,4,0))</f>
        <v/>
      </c>
      <c r="E341" s="242"/>
      <c r="F341" s="237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197">
        <f t="shared" si="16"/>
        <v>0</v>
      </c>
      <c r="S341" s="198"/>
      <c r="T341" s="199"/>
      <c r="U341" s="243"/>
      <c r="V341" s="243"/>
      <c r="W341" s="243"/>
      <c r="BA341"/>
      <c r="BB341"/>
    </row>
    <row r="342" spans="1:54" s="188" customFormat="1" ht="13.5">
      <c r="A342" s="179"/>
      <c r="B342" s="175"/>
      <c r="C342" s="180" t="str">
        <f>IFERROR(IF(VLOOKUP($B342,勘定科目!$A:$H,HLOOKUP($E$5,勘定科目!$F$1:$H$2,2,0),0)="","",VLOOKUP($B342,勘定科目!$A:$E,2,0)),"")</f>
        <v/>
      </c>
      <c r="D342" s="236" t="str">
        <f>IF(C342="","",VLOOKUP($B342,勘定科目!$A:$E,4,0))</f>
        <v/>
      </c>
      <c r="E342" s="242"/>
      <c r="F342" s="237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197">
        <f t="shared" si="16"/>
        <v>0</v>
      </c>
      <c r="S342" s="198"/>
      <c r="T342" s="199"/>
      <c r="U342" s="243"/>
      <c r="V342" s="243"/>
      <c r="W342" s="243"/>
      <c r="BA342"/>
      <c r="BB342"/>
    </row>
    <row r="343" spans="1:54" s="188" customFormat="1" ht="13.5">
      <c r="A343" s="179"/>
      <c r="B343" s="175"/>
      <c r="C343" s="180" t="str">
        <f>IFERROR(IF(VLOOKUP($B343,勘定科目!$A:$H,HLOOKUP($E$5,勘定科目!$F$1:$H$2,2,0),0)="","",VLOOKUP($B343,勘定科目!$A:$E,2,0)),"")</f>
        <v/>
      </c>
      <c r="D343" s="236" t="str">
        <f>IF(C343="","",VLOOKUP($B343,勘定科目!$A:$E,4,0))</f>
        <v/>
      </c>
      <c r="E343" s="242"/>
      <c r="F343" s="237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197">
        <f t="shared" si="16"/>
        <v>0</v>
      </c>
      <c r="S343" s="198"/>
      <c r="T343" s="199"/>
      <c r="U343" s="243"/>
      <c r="V343" s="243"/>
      <c r="W343" s="243"/>
      <c r="BA343"/>
      <c r="BB343"/>
    </row>
    <row r="344" spans="1:54" s="188" customFormat="1" ht="13.5">
      <c r="A344" s="179"/>
      <c r="B344" s="175"/>
      <c r="C344" s="180" t="str">
        <f>IFERROR(IF(VLOOKUP($B344,勘定科目!$A:$H,HLOOKUP($E$5,勘定科目!$F$1:$H$2,2,0),0)="","",VLOOKUP($B344,勘定科目!$A:$E,2,0)),"")</f>
        <v/>
      </c>
      <c r="D344" s="236" t="str">
        <f>IF(C344="","",VLOOKUP($B344,勘定科目!$A:$E,4,0))</f>
        <v/>
      </c>
      <c r="E344" s="242"/>
      <c r="F344" s="237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197">
        <f t="shared" si="16"/>
        <v>0</v>
      </c>
      <c r="S344" s="198"/>
      <c r="T344" s="199"/>
      <c r="U344" s="243"/>
      <c r="V344" s="243"/>
      <c r="W344" s="243"/>
      <c r="BA344"/>
      <c r="BB344"/>
    </row>
    <row r="345" spans="1:54" s="188" customFormat="1" ht="13.5">
      <c r="A345" s="179"/>
      <c r="B345" s="175"/>
      <c r="C345" s="180" t="str">
        <f>IFERROR(IF(VLOOKUP($B345,勘定科目!$A:$H,HLOOKUP($E$5,勘定科目!$F$1:$H$2,2,0),0)="","",VLOOKUP($B345,勘定科目!$A:$E,2,0)),"")</f>
        <v/>
      </c>
      <c r="D345" s="236" t="str">
        <f>IF(C345="","",VLOOKUP($B345,勘定科目!$A:$E,4,0))</f>
        <v/>
      </c>
      <c r="E345" s="242"/>
      <c r="F345" s="237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197">
        <f t="shared" si="16"/>
        <v>0</v>
      </c>
      <c r="S345" s="198"/>
      <c r="T345" s="199"/>
      <c r="U345" s="243"/>
      <c r="V345" s="243"/>
      <c r="W345" s="243"/>
      <c r="BA345"/>
      <c r="BB345"/>
    </row>
    <row r="346" spans="1:54" s="188" customFormat="1" ht="13.5">
      <c r="A346" s="179"/>
      <c r="B346" s="175"/>
      <c r="C346" s="180" t="str">
        <f>IFERROR(IF(VLOOKUP($B346,勘定科目!$A:$H,HLOOKUP($E$5,勘定科目!$F$1:$H$2,2,0),0)="","",VLOOKUP($B346,勘定科目!$A:$E,2,0)),"")</f>
        <v/>
      </c>
      <c r="D346" s="236" t="str">
        <f>IF(C346="","",VLOOKUP($B346,勘定科目!$A:$E,4,0))</f>
        <v/>
      </c>
      <c r="E346" s="242"/>
      <c r="F346" s="237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197">
        <f t="shared" si="16"/>
        <v>0</v>
      </c>
      <c r="S346" s="198"/>
      <c r="T346" s="199"/>
      <c r="U346" s="243"/>
      <c r="V346" s="243"/>
      <c r="W346" s="243"/>
      <c r="BA346"/>
      <c r="BB346"/>
    </row>
    <row r="347" spans="1:54" s="188" customFormat="1" ht="13.5">
      <c r="A347" s="179"/>
      <c r="B347" s="175"/>
      <c r="C347" s="180" t="str">
        <f>IFERROR(IF(VLOOKUP($B347,勘定科目!$A:$H,HLOOKUP($E$5,勘定科目!$F$1:$H$2,2,0),0)="","",VLOOKUP($B347,勘定科目!$A:$E,2,0)),"")</f>
        <v/>
      </c>
      <c r="D347" s="236" t="str">
        <f>IF(C347="","",VLOOKUP($B347,勘定科目!$A:$E,4,0))</f>
        <v/>
      </c>
      <c r="E347" s="242"/>
      <c r="F347" s="237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197">
        <f t="shared" si="16"/>
        <v>0</v>
      </c>
      <c r="S347" s="198"/>
      <c r="T347" s="199"/>
      <c r="U347" s="243"/>
      <c r="V347" s="243"/>
      <c r="W347" s="243"/>
      <c r="BA347"/>
      <c r="BB347"/>
    </row>
    <row r="348" spans="1:54" s="188" customFormat="1" ht="13.5">
      <c r="A348" s="179"/>
      <c r="B348" s="175"/>
      <c r="C348" s="180" t="str">
        <f>IFERROR(IF(VLOOKUP($B348,勘定科目!$A:$H,HLOOKUP($E$5,勘定科目!$F$1:$H$2,2,0),0)="","",VLOOKUP($B348,勘定科目!$A:$E,2,0)),"")</f>
        <v/>
      </c>
      <c r="D348" s="236" t="str">
        <f>IF(C348="","",VLOOKUP($B348,勘定科目!$A:$E,4,0))</f>
        <v/>
      </c>
      <c r="E348" s="242"/>
      <c r="F348" s="237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197">
        <f t="shared" si="16"/>
        <v>0</v>
      </c>
      <c r="S348" s="198"/>
      <c r="T348" s="199"/>
      <c r="U348" s="243"/>
      <c r="V348" s="243"/>
      <c r="W348" s="243"/>
      <c r="BA348"/>
      <c r="BB348"/>
    </row>
    <row r="349" spans="1:54" s="188" customFormat="1" ht="13.5">
      <c r="A349" s="179"/>
      <c r="B349" s="175"/>
      <c r="C349" s="180" t="str">
        <f>IFERROR(IF(VLOOKUP($B349,勘定科目!$A:$H,HLOOKUP($E$5,勘定科目!$F$1:$H$2,2,0),0)="","",VLOOKUP($B349,勘定科目!$A:$E,2,0)),"")</f>
        <v/>
      </c>
      <c r="D349" s="236" t="str">
        <f>IF(C349="","",VLOOKUP($B349,勘定科目!$A:$E,4,0))</f>
        <v/>
      </c>
      <c r="E349" s="242"/>
      <c r="F349" s="237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197">
        <f t="shared" si="16"/>
        <v>0</v>
      </c>
      <c r="S349" s="198"/>
      <c r="T349" s="199"/>
      <c r="U349" s="243"/>
      <c r="V349" s="243"/>
      <c r="W349" s="243"/>
      <c r="BA349"/>
      <c r="BB349"/>
    </row>
    <row r="350" spans="1:54" s="188" customFormat="1" ht="13.5">
      <c r="A350" s="179"/>
      <c r="B350" s="175"/>
      <c r="C350" s="180" t="str">
        <f>IFERROR(IF(VLOOKUP($B350,勘定科目!$A:$H,HLOOKUP($E$5,勘定科目!$F$1:$H$2,2,0),0)="","",VLOOKUP($B350,勘定科目!$A:$E,2,0)),"")</f>
        <v/>
      </c>
      <c r="D350" s="236" t="str">
        <f>IF(C350="","",VLOOKUP($B350,勘定科目!$A:$E,4,0))</f>
        <v/>
      </c>
      <c r="E350" s="242"/>
      <c r="F350" s="237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197">
        <f t="shared" si="16"/>
        <v>0</v>
      </c>
      <c r="S350" s="198"/>
      <c r="T350" s="199"/>
      <c r="U350" s="243"/>
      <c r="V350" s="243"/>
      <c r="W350" s="243"/>
      <c r="BA350"/>
      <c r="BB350"/>
    </row>
    <row r="351" spans="1:54" s="188" customFormat="1" ht="13.5">
      <c r="A351" s="179"/>
      <c r="B351" s="175"/>
      <c r="C351" s="180" t="str">
        <f>IFERROR(IF(VLOOKUP($B351,勘定科目!$A:$H,HLOOKUP($E$5,勘定科目!$F$1:$H$2,2,0),0)="","",VLOOKUP($B351,勘定科目!$A:$E,2,0)),"")</f>
        <v/>
      </c>
      <c r="D351" s="236" t="str">
        <f>IF(C351="","",VLOOKUP($B351,勘定科目!$A:$E,4,0))</f>
        <v/>
      </c>
      <c r="E351" s="242"/>
      <c r="F351" s="237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197">
        <f t="shared" si="16"/>
        <v>0</v>
      </c>
      <c r="S351" s="198"/>
      <c r="T351" s="199"/>
      <c r="U351" s="243"/>
      <c r="V351" s="243"/>
      <c r="W351" s="243"/>
      <c r="BA351"/>
      <c r="BB351"/>
    </row>
    <row r="352" spans="1:54" s="188" customFormat="1" ht="13.5">
      <c r="A352" s="179"/>
      <c r="B352" s="175"/>
      <c r="C352" s="180" t="str">
        <f>IFERROR(IF(VLOOKUP($B352,勘定科目!$A:$H,HLOOKUP($E$5,勘定科目!$F$1:$H$2,2,0),0)="","",VLOOKUP($B352,勘定科目!$A:$E,2,0)),"")</f>
        <v/>
      </c>
      <c r="D352" s="236" t="str">
        <f>IF(C352="","",VLOOKUP($B352,勘定科目!$A:$E,4,0))</f>
        <v/>
      </c>
      <c r="E352" s="242"/>
      <c r="F352" s="237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197">
        <f t="shared" si="16"/>
        <v>0</v>
      </c>
      <c r="S352" s="198"/>
      <c r="T352" s="199"/>
      <c r="U352" s="243"/>
      <c r="V352" s="243"/>
      <c r="W352" s="243"/>
      <c r="BA352"/>
      <c r="BB352"/>
    </row>
    <row r="353" spans="1:54" s="188" customFormat="1" ht="13.5">
      <c r="A353" s="179"/>
      <c r="B353" s="175"/>
      <c r="C353" s="180" t="str">
        <f>IFERROR(IF(VLOOKUP($B353,勘定科目!$A:$H,HLOOKUP($E$5,勘定科目!$F$1:$H$2,2,0),0)="","",VLOOKUP($B353,勘定科目!$A:$E,2,0)),"")</f>
        <v/>
      </c>
      <c r="D353" s="236" t="str">
        <f>IF(C353="","",VLOOKUP($B353,勘定科目!$A:$E,4,0))</f>
        <v/>
      </c>
      <c r="E353" s="242"/>
      <c r="F353" s="237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197">
        <f t="shared" si="16"/>
        <v>0</v>
      </c>
      <c r="S353" s="198"/>
      <c r="T353" s="199"/>
      <c r="U353" s="243"/>
      <c r="V353" s="243"/>
      <c r="W353" s="243"/>
      <c r="BA353"/>
      <c r="BB353"/>
    </row>
    <row r="354" spans="1:54" s="188" customFormat="1" ht="13.5">
      <c r="A354" s="179"/>
      <c r="B354" s="175"/>
      <c r="C354" s="180" t="str">
        <f>IFERROR(IF(VLOOKUP($B354,勘定科目!$A:$H,HLOOKUP($E$5,勘定科目!$F$1:$H$2,2,0),0)="","",VLOOKUP($B354,勘定科目!$A:$E,2,0)),"")</f>
        <v/>
      </c>
      <c r="D354" s="236" t="str">
        <f>IF(C354="","",VLOOKUP($B354,勘定科目!$A:$E,4,0))</f>
        <v/>
      </c>
      <c r="E354" s="242"/>
      <c r="F354" s="237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197">
        <f t="shared" si="16"/>
        <v>0</v>
      </c>
      <c r="S354" s="198"/>
      <c r="T354" s="199"/>
      <c r="U354" s="243"/>
      <c r="V354" s="243"/>
      <c r="W354" s="243"/>
      <c r="BA354"/>
      <c r="BB354"/>
    </row>
    <row r="355" spans="1:54" s="188" customFormat="1" ht="13.5">
      <c r="A355" s="179"/>
      <c r="B355" s="175"/>
      <c r="C355" s="180" t="str">
        <f>IFERROR(IF(VLOOKUP($B355,勘定科目!$A:$H,HLOOKUP($E$5,勘定科目!$F$1:$H$2,2,0),0)="","",VLOOKUP($B355,勘定科目!$A:$E,2,0)),"")</f>
        <v/>
      </c>
      <c r="D355" s="236" t="str">
        <f>IF(C355="","",VLOOKUP($B355,勘定科目!$A:$E,4,0))</f>
        <v/>
      </c>
      <c r="E355" s="242"/>
      <c r="F355" s="237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197">
        <f t="shared" si="16"/>
        <v>0</v>
      </c>
      <c r="S355" s="198"/>
      <c r="T355" s="199"/>
      <c r="U355" s="243"/>
      <c r="V355" s="243"/>
      <c r="W355" s="243"/>
      <c r="BA355"/>
      <c r="BB355"/>
    </row>
    <row r="356" spans="1:54" s="188" customFormat="1" ht="13.5">
      <c r="A356" s="179"/>
      <c r="B356" s="175"/>
      <c r="C356" s="180" t="str">
        <f>IFERROR(IF(VLOOKUP($B356,勘定科目!$A:$H,HLOOKUP($E$5,勘定科目!$F$1:$H$2,2,0),0)="","",VLOOKUP($B356,勘定科目!$A:$E,2,0)),"")</f>
        <v/>
      </c>
      <c r="D356" s="236" t="str">
        <f>IF(C356="","",VLOOKUP($B356,勘定科目!$A:$E,4,0))</f>
        <v/>
      </c>
      <c r="E356" s="242"/>
      <c r="F356" s="237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197">
        <f t="shared" si="16"/>
        <v>0</v>
      </c>
      <c r="S356" s="198"/>
      <c r="T356" s="199"/>
      <c r="U356" s="243"/>
      <c r="V356" s="243"/>
      <c r="W356" s="243"/>
      <c r="BA356"/>
      <c r="BB356"/>
    </row>
    <row r="357" spans="1:54" s="188" customFormat="1" ht="13.5">
      <c r="A357" s="179"/>
      <c r="B357" s="175"/>
      <c r="C357" s="180" t="str">
        <f>IFERROR(IF(VLOOKUP($B357,勘定科目!$A:$H,HLOOKUP($E$5,勘定科目!$F$1:$H$2,2,0),0)="","",VLOOKUP($B357,勘定科目!$A:$E,2,0)),"")</f>
        <v/>
      </c>
      <c r="D357" s="236" t="str">
        <f>IF(C357="","",VLOOKUP($B357,勘定科目!$A:$E,4,0))</f>
        <v/>
      </c>
      <c r="E357" s="242"/>
      <c r="F357" s="237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197">
        <f t="shared" si="16"/>
        <v>0</v>
      </c>
      <c r="S357" s="198"/>
      <c r="T357" s="199"/>
      <c r="U357" s="243"/>
      <c r="V357" s="243"/>
      <c r="W357" s="243"/>
      <c r="BA357"/>
      <c r="BB357"/>
    </row>
    <row r="358" spans="1:54" s="188" customFormat="1" ht="13.5">
      <c r="A358" s="179"/>
      <c r="B358" s="175"/>
      <c r="C358" s="180" t="str">
        <f>IFERROR(IF(VLOOKUP($B358,勘定科目!$A:$H,HLOOKUP($E$5,勘定科目!$F$1:$H$2,2,0),0)="","",VLOOKUP($B358,勘定科目!$A:$E,2,0)),"")</f>
        <v/>
      </c>
      <c r="D358" s="236" t="str">
        <f>IF(C358="","",VLOOKUP($B358,勘定科目!$A:$E,4,0))</f>
        <v/>
      </c>
      <c r="E358" s="242"/>
      <c r="F358" s="237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197">
        <f t="shared" si="16"/>
        <v>0</v>
      </c>
      <c r="S358" s="198"/>
      <c r="T358" s="199"/>
      <c r="U358" s="243"/>
      <c r="V358" s="243"/>
      <c r="W358" s="243"/>
      <c r="BA358"/>
      <c r="BB358"/>
    </row>
    <row r="359" spans="1:54" s="188" customFormat="1" ht="13.5">
      <c r="A359" s="179"/>
      <c r="B359" s="175"/>
      <c r="C359" s="180" t="str">
        <f>IFERROR(IF(VLOOKUP($B359,勘定科目!$A:$H,HLOOKUP($E$5,勘定科目!$F$1:$H$2,2,0),0)="","",VLOOKUP($B359,勘定科目!$A:$E,2,0)),"")</f>
        <v/>
      </c>
      <c r="D359" s="236" t="str">
        <f>IF(C359="","",VLOOKUP($B359,勘定科目!$A:$E,4,0))</f>
        <v/>
      </c>
      <c r="E359" s="242"/>
      <c r="F359" s="237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197">
        <f t="shared" si="16"/>
        <v>0</v>
      </c>
      <c r="S359" s="198"/>
      <c r="T359" s="199"/>
      <c r="U359" s="243"/>
      <c r="V359" s="243"/>
      <c r="W359" s="243"/>
      <c r="BA359"/>
      <c r="BB359"/>
    </row>
    <row r="360" spans="1:54" s="188" customFormat="1" ht="13.5">
      <c r="A360" s="179"/>
      <c r="B360" s="175"/>
      <c r="C360" s="180" t="str">
        <f>IFERROR(IF(VLOOKUP($B360,勘定科目!$A:$H,HLOOKUP($E$5,勘定科目!$F$1:$H$2,2,0),0)="","",VLOOKUP($B360,勘定科目!$A:$E,2,0)),"")</f>
        <v/>
      </c>
      <c r="D360" s="236" t="str">
        <f>IF(C360="","",VLOOKUP($B360,勘定科目!$A:$E,4,0))</f>
        <v/>
      </c>
      <c r="E360" s="242"/>
      <c r="F360" s="237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197">
        <f t="shared" si="16"/>
        <v>0</v>
      </c>
      <c r="S360" s="198"/>
      <c r="T360" s="199"/>
      <c r="U360" s="243"/>
      <c r="V360" s="243"/>
      <c r="W360" s="243"/>
      <c r="BA360"/>
      <c r="BB360"/>
    </row>
    <row r="361" spans="1:54" s="188" customFormat="1" ht="13.5">
      <c r="A361" s="179"/>
      <c r="B361" s="175"/>
      <c r="C361" s="180" t="str">
        <f>IFERROR(IF(VLOOKUP($B361,勘定科目!$A:$H,HLOOKUP($E$5,勘定科目!$F$1:$H$2,2,0),0)="","",VLOOKUP($B361,勘定科目!$A:$E,2,0)),"")</f>
        <v/>
      </c>
      <c r="D361" s="236" t="str">
        <f>IF(C361="","",VLOOKUP($B361,勘定科目!$A:$E,4,0))</f>
        <v/>
      </c>
      <c r="E361" s="242"/>
      <c r="F361" s="237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197">
        <f t="shared" si="16"/>
        <v>0</v>
      </c>
      <c r="S361" s="198"/>
      <c r="T361" s="199"/>
      <c r="U361" s="243"/>
      <c r="V361" s="243"/>
      <c r="W361" s="243"/>
      <c r="BA361"/>
      <c r="BB361"/>
    </row>
    <row r="362" spans="1:54" s="188" customFormat="1" ht="13.5">
      <c r="A362" s="179"/>
      <c r="B362" s="175"/>
      <c r="C362" s="180" t="str">
        <f>IFERROR(IF(VLOOKUP($B362,勘定科目!$A:$H,HLOOKUP($E$5,勘定科目!$F$1:$H$2,2,0),0)="","",VLOOKUP($B362,勘定科目!$A:$E,2,0)),"")</f>
        <v/>
      </c>
      <c r="D362" s="236" t="str">
        <f>IF(C362="","",VLOOKUP($B362,勘定科目!$A:$E,4,0))</f>
        <v/>
      </c>
      <c r="E362" s="242"/>
      <c r="F362" s="237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197">
        <f t="shared" si="16"/>
        <v>0</v>
      </c>
      <c r="S362" s="198"/>
      <c r="T362" s="199"/>
      <c r="U362" s="243"/>
      <c r="V362" s="243"/>
      <c r="W362" s="243"/>
      <c r="BA362"/>
      <c r="BB362"/>
    </row>
    <row r="363" spans="1:54" s="188" customFormat="1" ht="13.5">
      <c r="A363" s="179"/>
      <c r="B363" s="175"/>
      <c r="C363" s="180" t="str">
        <f>IFERROR(IF(VLOOKUP($B363,勘定科目!$A:$H,HLOOKUP($E$5,勘定科目!$F$1:$H$2,2,0),0)="","",VLOOKUP($B363,勘定科目!$A:$E,2,0)),"")</f>
        <v/>
      </c>
      <c r="D363" s="236" t="str">
        <f>IF(C363="","",VLOOKUP($B363,勘定科目!$A:$E,4,0))</f>
        <v/>
      </c>
      <c r="E363" s="242"/>
      <c r="F363" s="237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197">
        <f t="shared" si="16"/>
        <v>0</v>
      </c>
      <c r="S363" s="198"/>
      <c r="T363" s="199"/>
      <c r="U363" s="243"/>
      <c r="V363" s="243"/>
      <c r="W363" s="243"/>
      <c r="BA363"/>
      <c r="BB363"/>
    </row>
    <row r="364" spans="1:54" s="188" customFormat="1" ht="13.5">
      <c r="A364" s="179"/>
      <c r="B364" s="175"/>
      <c r="C364" s="180" t="str">
        <f>IFERROR(IF(VLOOKUP($B364,勘定科目!$A:$H,HLOOKUP($E$5,勘定科目!$F$1:$H$2,2,0),0)="","",VLOOKUP($B364,勘定科目!$A:$E,2,0)),"")</f>
        <v/>
      </c>
      <c r="D364" s="236" t="str">
        <f>IF(C364="","",VLOOKUP($B364,勘定科目!$A:$E,4,0))</f>
        <v/>
      </c>
      <c r="E364" s="242"/>
      <c r="F364" s="237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197">
        <f t="shared" si="16"/>
        <v>0</v>
      </c>
      <c r="S364" s="198"/>
      <c r="T364" s="199"/>
      <c r="U364" s="243"/>
      <c r="V364" s="243"/>
      <c r="W364" s="243"/>
      <c r="BA364"/>
      <c r="BB364"/>
    </row>
    <row r="365" spans="1:54" s="188" customFormat="1" ht="13.5">
      <c r="A365" s="179"/>
      <c r="B365" s="175"/>
      <c r="C365" s="180" t="str">
        <f>IFERROR(IF(VLOOKUP($B365,勘定科目!$A:$H,HLOOKUP($E$5,勘定科目!$F$1:$H$2,2,0),0)="","",VLOOKUP($B365,勘定科目!$A:$E,2,0)),"")</f>
        <v/>
      </c>
      <c r="D365" s="236" t="str">
        <f>IF(C365="","",VLOOKUP($B365,勘定科目!$A:$E,4,0))</f>
        <v/>
      </c>
      <c r="E365" s="242"/>
      <c r="F365" s="237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197">
        <f t="shared" si="16"/>
        <v>0</v>
      </c>
      <c r="S365" s="198"/>
      <c r="T365" s="199"/>
      <c r="U365" s="243"/>
      <c r="V365" s="243"/>
      <c r="W365" s="243"/>
      <c r="BA365"/>
      <c r="BB365"/>
    </row>
    <row r="366" spans="1:54" s="188" customFormat="1" ht="13.5">
      <c r="A366" s="179"/>
      <c r="B366" s="175"/>
      <c r="C366" s="180" t="str">
        <f>IFERROR(IF(VLOOKUP($B366,勘定科目!$A:$H,HLOOKUP($E$5,勘定科目!$F$1:$H$2,2,0),0)="","",VLOOKUP($B366,勘定科目!$A:$E,2,0)),"")</f>
        <v/>
      </c>
      <c r="D366" s="236" t="str">
        <f>IF(C366="","",VLOOKUP($B366,勘定科目!$A:$E,4,0))</f>
        <v/>
      </c>
      <c r="E366" s="242"/>
      <c r="F366" s="237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197">
        <f t="shared" si="16"/>
        <v>0</v>
      </c>
      <c r="S366" s="198"/>
      <c r="T366" s="199"/>
      <c r="U366" s="243"/>
      <c r="V366" s="243"/>
      <c r="W366" s="243"/>
      <c r="BA366"/>
      <c r="BB366"/>
    </row>
    <row r="367" spans="1:54" s="188" customFormat="1" ht="13.5">
      <c r="A367" s="179"/>
      <c r="B367" s="175"/>
      <c r="C367" s="180" t="str">
        <f>IFERROR(IF(VLOOKUP($B367,勘定科目!$A:$H,HLOOKUP($E$5,勘定科目!$F$1:$H$2,2,0),0)="","",VLOOKUP($B367,勘定科目!$A:$E,2,0)),"")</f>
        <v/>
      </c>
      <c r="D367" s="236" t="str">
        <f>IF(C367="","",VLOOKUP($B367,勘定科目!$A:$E,4,0))</f>
        <v/>
      </c>
      <c r="E367" s="242"/>
      <c r="F367" s="237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197">
        <f t="shared" si="16"/>
        <v>0</v>
      </c>
      <c r="S367" s="198"/>
      <c r="T367" s="199"/>
      <c r="U367" s="243"/>
      <c r="V367" s="243"/>
      <c r="W367" s="243"/>
      <c r="BA367"/>
      <c r="BB367"/>
    </row>
    <row r="368" spans="1:54" s="188" customFormat="1" ht="13.5">
      <c r="A368" s="179"/>
      <c r="B368" s="175"/>
      <c r="C368" s="180" t="str">
        <f>IFERROR(IF(VLOOKUP($B368,勘定科目!$A:$H,HLOOKUP($E$5,勘定科目!$F$1:$H$2,2,0),0)="","",VLOOKUP($B368,勘定科目!$A:$E,2,0)),"")</f>
        <v/>
      </c>
      <c r="D368" s="236" t="str">
        <f>IF(C368="","",VLOOKUP($B368,勘定科目!$A:$E,4,0))</f>
        <v/>
      </c>
      <c r="E368" s="242"/>
      <c r="F368" s="237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197">
        <f t="shared" si="16"/>
        <v>0</v>
      </c>
      <c r="S368" s="198"/>
      <c r="T368" s="199"/>
      <c r="U368" s="243"/>
      <c r="V368" s="243"/>
      <c r="W368" s="243"/>
      <c r="BA368"/>
      <c r="BB368"/>
    </row>
    <row r="369" spans="1:54" s="188" customFormat="1" ht="13.5">
      <c r="A369" s="179"/>
      <c r="B369" s="175"/>
      <c r="C369" s="180" t="str">
        <f>IFERROR(IF(VLOOKUP($B369,勘定科目!$A:$H,HLOOKUP($E$5,勘定科目!$F$1:$H$2,2,0),0)="","",VLOOKUP($B369,勘定科目!$A:$E,2,0)),"")</f>
        <v/>
      </c>
      <c r="D369" s="236" t="str">
        <f>IF(C369="","",VLOOKUP($B369,勘定科目!$A:$E,4,0))</f>
        <v/>
      </c>
      <c r="E369" s="242"/>
      <c r="F369" s="237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197">
        <f t="shared" si="16"/>
        <v>0</v>
      </c>
      <c r="S369" s="198"/>
      <c r="T369" s="199"/>
      <c r="U369" s="243"/>
      <c r="V369" s="243"/>
      <c r="W369" s="243"/>
      <c r="BA369"/>
      <c r="BB369"/>
    </row>
    <row r="370" spans="1:54" s="188" customFormat="1" ht="13.5">
      <c r="A370" s="179"/>
      <c r="B370" s="175"/>
      <c r="C370" s="180" t="str">
        <f>IFERROR(IF(VLOOKUP($B370,勘定科目!$A:$H,HLOOKUP($E$5,勘定科目!$F$1:$H$2,2,0),0)="","",VLOOKUP($B370,勘定科目!$A:$E,2,0)),"")</f>
        <v/>
      </c>
      <c r="D370" s="236" t="str">
        <f>IF(C370="","",VLOOKUP($B370,勘定科目!$A:$E,4,0))</f>
        <v/>
      </c>
      <c r="E370" s="242"/>
      <c r="F370" s="237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197">
        <f t="shared" si="16"/>
        <v>0</v>
      </c>
      <c r="S370" s="198"/>
      <c r="T370" s="199"/>
      <c r="U370" s="243"/>
      <c r="V370" s="243"/>
      <c r="W370" s="243"/>
      <c r="BA370"/>
      <c r="BB370"/>
    </row>
    <row r="371" spans="1:54" s="188" customFormat="1" ht="13.5">
      <c r="A371" s="179"/>
      <c r="B371" s="175"/>
      <c r="C371" s="180" t="str">
        <f>IFERROR(IF(VLOOKUP($B371,勘定科目!$A:$H,HLOOKUP($E$5,勘定科目!$F$1:$H$2,2,0),0)="","",VLOOKUP($B371,勘定科目!$A:$E,2,0)),"")</f>
        <v/>
      </c>
      <c r="D371" s="236" t="str">
        <f>IF(C371="","",VLOOKUP($B371,勘定科目!$A:$E,4,0))</f>
        <v/>
      </c>
      <c r="E371" s="242"/>
      <c r="F371" s="237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197">
        <f t="shared" si="16"/>
        <v>0</v>
      </c>
      <c r="S371" s="198"/>
      <c r="T371" s="199"/>
      <c r="U371" s="243"/>
      <c r="V371" s="243"/>
      <c r="W371" s="243"/>
      <c r="BA371"/>
      <c r="BB371"/>
    </row>
    <row r="372" spans="1:54" s="188" customFormat="1" ht="13.5">
      <c r="A372" s="179"/>
      <c r="B372" s="175"/>
      <c r="C372" s="180" t="str">
        <f>IFERROR(IF(VLOOKUP($B372,勘定科目!$A:$H,HLOOKUP($E$5,勘定科目!$F$1:$H$2,2,0),0)="","",VLOOKUP($B372,勘定科目!$A:$E,2,0)),"")</f>
        <v/>
      </c>
      <c r="D372" s="236" t="str">
        <f>IF(C372="","",VLOOKUP($B372,勘定科目!$A:$E,4,0))</f>
        <v/>
      </c>
      <c r="E372" s="242"/>
      <c r="F372" s="237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197">
        <f t="shared" si="16"/>
        <v>0</v>
      </c>
      <c r="S372" s="198"/>
      <c r="T372" s="199"/>
      <c r="U372" s="243"/>
      <c r="V372" s="243"/>
      <c r="W372" s="243"/>
      <c r="BA372"/>
      <c r="BB372"/>
    </row>
    <row r="373" spans="1:54" s="188" customFormat="1" ht="13.5">
      <c r="A373" s="179"/>
      <c r="B373" s="175"/>
      <c r="C373" s="180" t="str">
        <f>IFERROR(IF(VLOOKUP($B373,勘定科目!$A:$H,HLOOKUP($E$5,勘定科目!$F$1:$H$2,2,0),0)="","",VLOOKUP($B373,勘定科目!$A:$E,2,0)),"")</f>
        <v/>
      </c>
      <c r="D373" s="236" t="str">
        <f>IF(C373="","",VLOOKUP($B373,勘定科目!$A:$E,4,0))</f>
        <v/>
      </c>
      <c r="E373" s="242"/>
      <c r="F373" s="237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197">
        <f t="shared" ref="R373:R436" si="17">SUM(F373:Q373)</f>
        <v>0</v>
      </c>
      <c r="S373" s="198"/>
      <c r="T373" s="199"/>
      <c r="U373" s="243"/>
      <c r="V373" s="243"/>
      <c r="W373" s="243"/>
      <c r="BA373"/>
      <c r="BB373"/>
    </row>
    <row r="374" spans="1:54" s="188" customFormat="1" ht="13.5">
      <c r="A374" s="179"/>
      <c r="B374" s="175"/>
      <c r="C374" s="180" t="str">
        <f>IFERROR(IF(VLOOKUP($B374,勘定科目!$A:$H,HLOOKUP($E$5,勘定科目!$F$1:$H$2,2,0),0)="","",VLOOKUP($B374,勘定科目!$A:$E,2,0)),"")</f>
        <v/>
      </c>
      <c r="D374" s="236" t="str">
        <f>IF(C374="","",VLOOKUP($B374,勘定科目!$A:$E,4,0))</f>
        <v/>
      </c>
      <c r="E374" s="242"/>
      <c r="F374" s="237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197">
        <f t="shared" si="17"/>
        <v>0</v>
      </c>
      <c r="S374" s="198"/>
      <c r="T374" s="199"/>
      <c r="U374" s="243"/>
      <c r="V374" s="243"/>
      <c r="W374" s="243"/>
      <c r="BA374"/>
      <c r="BB374"/>
    </row>
    <row r="375" spans="1:54" s="188" customFormat="1" ht="13.5">
      <c r="A375" s="179"/>
      <c r="B375" s="175"/>
      <c r="C375" s="180" t="str">
        <f>IFERROR(IF(VLOOKUP($B375,勘定科目!$A:$H,HLOOKUP($E$5,勘定科目!$F$1:$H$2,2,0),0)="","",VLOOKUP($B375,勘定科目!$A:$E,2,0)),"")</f>
        <v/>
      </c>
      <c r="D375" s="236" t="str">
        <f>IF(C375="","",VLOOKUP($B375,勘定科目!$A:$E,4,0))</f>
        <v/>
      </c>
      <c r="E375" s="242"/>
      <c r="F375" s="237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197">
        <f t="shared" si="17"/>
        <v>0</v>
      </c>
      <c r="S375" s="198"/>
      <c r="T375" s="199"/>
      <c r="U375" s="243"/>
      <c r="V375" s="243"/>
      <c r="W375" s="243"/>
      <c r="BA375"/>
      <c r="BB375"/>
    </row>
    <row r="376" spans="1:54" s="188" customFormat="1" ht="13.5">
      <c r="A376" s="179"/>
      <c r="B376" s="175"/>
      <c r="C376" s="180" t="str">
        <f>IFERROR(IF(VLOOKUP($B376,勘定科目!$A:$H,HLOOKUP($E$5,勘定科目!$F$1:$H$2,2,0),0)="","",VLOOKUP($B376,勘定科目!$A:$E,2,0)),"")</f>
        <v/>
      </c>
      <c r="D376" s="236" t="str">
        <f>IF(C376="","",VLOOKUP($B376,勘定科目!$A:$E,4,0))</f>
        <v/>
      </c>
      <c r="E376" s="242"/>
      <c r="F376" s="237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197">
        <f t="shared" si="17"/>
        <v>0</v>
      </c>
      <c r="S376" s="198"/>
      <c r="T376" s="199"/>
      <c r="U376" s="243"/>
      <c r="V376" s="243"/>
      <c r="W376" s="243"/>
      <c r="BA376"/>
      <c r="BB376"/>
    </row>
    <row r="377" spans="1:54" s="188" customFormat="1" ht="13.5">
      <c r="A377" s="179"/>
      <c r="B377" s="175"/>
      <c r="C377" s="180" t="str">
        <f>IFERROR(IF(VLOOKUP($B377,勘定科目!$A:$H,HLOOKUP($E$5,勘定科目!$F$1:$H$2,2,0),0)="","",VLOOKUP($B377,勘定科目!$A:$E,2,0)),"")</f>
        <v/>
      </c>
      <c r="D377" s="236" t="str">
        <f>IF(C377="","",VLOOKUP($B377,勘定科目!$A:$E,4,0))</f>
        <v/>
      </c>
      <c r="E377" s="242"/>
      <c r="F377" s="237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197">
        <f t="shared" si="17"/>
        <v>0</v>
      </c>
      <c r="S377" s="198"/>
      <c r="T377" s="199"/>
      <c r="U377" s="243"/>
      <c r="V377" s="243"/>
      <c r="W377" s="243"/>
      <c r="BA377"/>
      <c r="BB377"/>
    </row>
    <row r="378" spans="1:54" s="188" customFormat="1" ht="13.5">
      <c r="A378" s="179"/>
      <c r="B378" s="175"/>
      <c r="C378" s="180" t="str">
        <f>IFERROR(IF(VLOOKUP($B378,勘定科目!$A:$H,HLOOKUP($E$5,勘定科目!$F$1:$H$2,2,0),0)="","",VLOOKUP($B378,勘定科目!$A:$E,2,0)),"")</f>
        <v/>
      </c>
      <c r="D378" s="236" t="str">
        <f>IF(C378="","",VLOOKUP($B378,勘定科目!$A:$E,4,0))</f>
        <v/>
      </c>
      <c r="E378" s="242"/>
      <c r="F378" s="237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197">
        <f t="shared" si="17"/>
        <v>0</v>
      </c>
      <c r="S378" s="198"/>
      <c r="T378" s="199"/>
      <c r="U378" s="243"/>
      <c r="V378" s="243"/>
      <c r="W378" s="243"/>
      <c r="BA378"/>
      <c r="BB378"/>
    </row>
    <row r="379" spans="1:54" s="188" customFormat="1" ht="13.5">
      <c r="A379" s="179"/>
      <c r="B379" s="175"/>
      <c r="C379" s="180" t="str">
        <f>IFERROR(IF(VLOOKUP($B379,勘定科目!$A:$H,HLOOKUP($E$5,勘定科目!$F$1:$H$2,2,0),0)="","",VLOOKUP($B379,勘定科目!$A:$E,2,0)),"")</f>
        <v/>
      </c>
      <c r="D379" s="236" t="str">
        <f>IF(C379="","",VLOOKUP($B379,勘定科目!$A:$E,4,0))</f>
        <v/>
      </c>
      <c r="E379" s="242"/>
      <c r="F379" s="237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197">
        <f t="shared" si="17"/>
        <v>0</v>
      </c>
      <c r="S379" s="198"/>
      <c r="T379" s="199"/>
      <c r="U379" s="243"/>
      <c r="V379" s="243"/>
      <c r="W379" s="243"/>
      <c r="BA379"/>
      <c r="BB379"/>
    </row>
    <row r="380" spans="1:54" s="188" customFormat="1" ht="13.5">
      <c r="A380" s="179"/>
      <c r="B380" s="175"/>
      <c r="C380" s="180" t="str">
        <f>IFERROR(IF(VLOOKUP($B380,勘定科目!$A:$H,HLOOKUP($E$5,勘定科目!$F$1:$H$2,2,0),0)="","",VLOOKUP($B380,勘定科目!$A:$E,2,0)),"")</f>
        <v/>
      </c>
      <c r="D380" s="236" t="str">
        <f>IF(C380="","",VLOOKUP($B380,勘定科目!$A:$E,4,0))</f>
        <v/>
      </c>
      <c r="E380" s="242"/>
      <c r="F380" s="237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197">
        <f t="shared" si="17"/>
        <v>0</v>
      </c>
      <c r="S380" s="198"/>
      <c r="T380" s="199"/>
      <c r="U380" s="243"/>
      <c r="V380" s="243"/>
      <c r="W380" s="243"/>
      <c r="BA380"/>
      <c r="BB380"/>
    </row>
    <row r="381" spans="1:54" s="188" customFormat="1" ht="13.5">
      <c r="A381" s="179"/>
      <c r="B381" s="175"/>
      <c r="C381" s="180" t="str">
        <f>IFERROR(IF(VLOOKUP($B381,勘定科目!$A:$H,HLOOKUP($E$5,勘定科目!$F$1:$H$2,2,0),0)="","",VLOOKUP($B381,勘定科目!$A:$E,2,0)),"")</f>
        <v/>
      </c>
      <c r="D381" s="236" t="str">
        <f>IF(C381="","",VLOOKUP($B381,勘定科目!$A:$E,4,0))</f>
        <v/>
      </c>
      <c r="E381" s="242"/>
      <c r="F381" s="237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197">
        <f t="shared" si="17"/>
        <v>0</v>
      </c>
      <c r="S381" s="198"/>
      <c r="T381" s="199"/>
      <c r="U381" s="243"/>
      <c r="V381" s="243"/>
      <c r="W381" s="243"/>
      <c r="BA381"/>
      <c r="BB381"/>
    </row>
    <row r="382" spans="1:54" s="188" customFormat="1" ht="13.5">
      <c r="A382" s="179"/>
      <c r="B382" s="175"/>
      <c r="C382" s="180" t="str">
        <f>IFERROR(IF(VLOOKUP($B382,勘定科目!$A:$H,HLOOKUP($E$5,勘定科目!$F$1:$H$2,2,0),0)="","",VLOOKUP($B382,勘定科目!$A:$E,2,0)),"")</f>
        <v/>
      </c>
      <c r="D382" s="236" t="str">
        <f>IF(C382="","",VLOOKUP($B382,勘定科目!$A:$E,4,0))</f>
        <v/>
      </c>
      <c r="E382" s="242"/>
      <c r="F382" s="237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197">
        <f t="shared" si="17"/>
        <v>0</v>
      </c>
      <c r="S382" s="198"/>
      <c r="T382" s="199"/>
      <c r="U382" s="243"/>
      <c r="V382" s="243"/>
      <c r="W382" s="243"/>
      <c r="BA382"/>
      <c r="BB382"/>
    </row>
    <row r="383" spans="1:54" s="188" customFormat="1" ht="13.5">
      <c r="A383" s="179"/>
      <c r="B383" s="175"/>
      <c r="C383" s="180" t="str">
        <f>IFERROR(IF(VLOOKUP($B383,勘定科目!$A:$H,HLOOKUP($E$5,勘定科目!$F$1:$H$2,2,0),0)="","",VLOOKUP($B383,勘定科目!$A:$E,2,0)),"")</f>
        <v/>
      </c>
      <c r="D383" s="236" t="str">
        <f>IF(C383="","",VLOOKUP($B383,勘定科目!$A:$E,4,0))</f>
        <v/>
      </c>
      <c r="E383" s="242"/>
      <c r="F383" s="237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197">
        <f t="shared" si="17"/>
        <v>0</v>
      </c>
      <c r="S383" s="198"/>
      <c r="T383" s="199"/>
      <c r="U383" s="243"/>
      <c r="V383" s="243"/>
      <c r="W383" s="243"/>
      <c r="BA383"/>
      <c r="BB383"/>
    </row>
    <row r="384" spans="1:54" s="188" customFormat="1" ht="13.5">
      <c r="A384" s="179"/>
      <c r="B384" s="175"/>
      <c r="C384" s="180" t="str">
        <f>IFERROR(IF(VLOOKUP($B384,勘定科目!$A:$H,HLOOKUP($E$5,勘定科目!$F$1:$H$2,2,0),0)="","",VLOOKUP($B384,勘定科目!$A:$E,2,0)),"")</f>
        <v/>
      </c>
      <c r="D384" s="236" t="str">
        <f>IF(C384="","",VLOOKUP($B384,勘定科目!$A:$E,4,0))</f>
        <v/>
      </c>
      <c r="E384" s="242"/>
      <c r="F384" s="237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197">
        <f t="shared" si="17"/>
        <v>0</v>
      </c>
      <c r="S384" s="198"/>
      <c r="T384" s="199"/>
      <c r="U384" s="243"/>
      <c r="V384" s="243"/>
      <c r="W384" s="243"/>
      <c r="BA384"/>
      <c r="BB384"/>
    </row>
    <row r="385" spans="1:54" s="188" customFormat="1" ht="13.5">
      <c r="A385" s="179"/>
      <c r="B385" s="175"/>
      <c r="C385" s="180" t="str">
        <f>IFERROR(IF(VLOOKUP($B385,勘定科目!$A:$H,HLOOKUP($E$5,勘定科目!$F$1:$H$2,2,0),0)="","",VLOOKUP($B385,勘定科目!$A:$E,2,0)),"")</f>
        <v/>
      </c>
      <c r="D385" s="236" t="str">
        <f>IF(C385="","",VLOOKUP($B385,勘定科目!$A:$E,4,0))</f>
        <v/>
      </c>
      <c r="E385" s="242"/>
      <c r="F385" s="237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197">
        <f t="shared" si="17"/>
        <v>0</v>
      </c>
      <c r="S385" s="198"/>
      <c r="T385" s="199"/>
      <c r="U385" s="243"/>
      <c r="V385" s="243"/>
      <c r="W385" s="243"/>
      <c r="BA385"/>
      <c r="BB385"/>
    </row>
    <row r="386" spans="1:54" s="188" customFormat="1" ht="13.5">
      <c r="A386" s="179"/>
      <c r="B386" s="175"/>
      <c r="C386" s="180" t="str">
        <f>IFERROR(IF(VLOOKUP($B386,勘定科目!$A:$H,HLOOKUP($E$5,勘定科目!$F$1:$H$2,2,0),0)="","",VLOOKUP($B386,勘定科目!$A:$E,2,0)),"")</f>
        <v/>
      </c>
      <c r="D386" s="236" t="str">
        <f>IF(C386="","",VLOOKUP($B386,勘定科目!$A:$E,4,0))</f>
        <v/>
      </c>
      <c r="E386" s="242"/>
      <c r="F386" s="237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197">
        <f t="shared" si="17"/>
        <v>0</v>
      </c>
      <c r="S386" s="198"/>
      <c r="T386" s="199"/>
      <c r="U386" s="243"/>
      <c r="V386" s="243"/>
      <c r="W386" s="243"/>
      <c r="BA386"/>
      <c r="BB386"/>
    </row>
    <row r="387" spans="1:54" s="188" customFormat="1" ht="13.5">
      <c r="A387" s="179"/>
      <c r="B387" s="175"/>
      <c r="C387" s="180" t="str">
        <f>IFERROR(IF(VLOOKUP($B387,勘定科目!$A:$H,HLOOKUP($E$5,勘定科目!$F$1:$H$2,2,0),0)="","",VLOOKUP($B387,勘定科目!$A:$E,2,0)),"")</f>
        <v/>
      </c>
      <c r="D387" s="236" t="str">
        <f>IF(C387="","",VLOOKUP($B387,勘定科目!$A:$E,4,0))</f>
        <v/>
      </c>
      <c r="E387" s="242"/>
      <c r="F387" s="237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197">
        <f t="shared" si="17"/>
        <v>0</v>
      </c>
      <c r="S387" s="198"/>
      <c r="T387" s="199"/>
      <c r="U387" s="243"/>
      <c r="V387" s="243"/>
      <c r="W387" s="243"/>
      <c r="BA387"/>
      <c r="BB387"/>
    </row>
    <row r="388" spans="1:54" s="188" customFormat="1" ht="13.5">
      <c r="A388" s="179"/>
      <c r="B388" s="175"/>
      <c r="C388" s="180" t="str">
        <f>IFERROR(IF(VLOOKUP($B388,勘定科目!$A:$H,HLOOKUP($E$5,勘定科目!$F$1:$H$2,2,0),0)="","",VLOOKUP($B388,勘定科目!$A:$E,2,0)),"")</f>
        <v/>
      </c>
      <c r="D388" s="236" t="str">
        <f>IF(C388="","",VLOOKUP($B388,勘定科目!$A:$E,4,0))</f>
        <v/>
      </c>
      <c r="E388" s="242"/>
      <c r="F388" s="237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197">
        <f t="shared" si="17"/>
        <v>0</v>
      </c>
      <c r="S388" s="198"/>
      <c r="T388" s="199"/>
      <c r="U388" s="243"/>
      <c r="V388" s="243"/>
      <c r="W388" s="243"/>
      <c r="BA388"/>
      <c r="BB388"/>
    </row>
    <row r="389" spans="1:54" s="188" customFormat="1" ht="13.5">
      <c r="A389" s="179"/>
      <c r="B389" s="175"/>
      <c r="C389" s="180" t="str">
        <f>IFERROR(IF(VLOOKUP($B389,勘定科目!$A:$H,HLOOKUP($E$5,勘定科目!$F$1:$H$2,2,0),0)="","",VLOOKUP($B389,勘定科目!$A:$E,2,0)),"")</f>
        <v/>
      </c>
      <c r="D389" s="236" t="str">
        <f>IF(C389="","",VLOOKUP($B389,勘定科目!$A:$E,4,0))</f>
        <v/>
      </c>
      <c r="E389" s="242"/>
      <c r="F389" s="237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197">
        <f t="shared" si="17"/>
        <v>0</v>
      </c>
      <c r="S389" s="198"/>
      <c r="T389" s="199"/>
      <c r="U389" s="243"/>
      <c r="V389" s="243"/>
      <c r="W389" s="243"/>
      <c r="BA389"/>
      <c r="BB389"/>
    </row>
    <row r="390" spans="1:54" s="188" customFormat="1" ht="13.5">
      <c r="A390" s="179"/>
      <c r="B390" s="175"/>
      <c r="C390" s="180" t="str">
        <f>IFERROR(IF(VLOOKUP($B390,勘定科目!$A:$H,HLOOKUP($E$5,勘定科目!$F$1:$H$2,2,0),0)="","",VLOOKUP($B390,勘定科目!$A:$E,2,0)),"")</f>
        <v/>
      </c>
      <c r="D390" s="236" t="str">
        <f>IF(C390="","",VLOOKUP($B390,勘定科目!$A:$E,4,0))</f>
        <v/>
      </c>
      <c r="E390" s="242"/>
      <c r="F390" s="237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197">
        <f t="shared" si="17"/>
        <v>0</v>
      </c>
      <c r="S390" s="198"/>
      <c r="T390" s="199"/>
      <c r="U390" s="243"/>
      <c r="V390" s="243"/>
      <c r="W390" s="243"/>
      <c r="BA390"/>
      <c r="BB390"/>
    </row>
    <row r="391" spans="1:54" s="188" customFormat="1" ht="13.5">
      <c r="A391" s="179"/>
      <c r="B391" s="175"/>
      <c r="C391" s="180" t="str">
        <f>IFERROR(IF(VLOOKUP($B391,勘定科目!$A:$H,HLOOKUP($E$5,勘定科目!$F$1:$H$2,2,0),0)="","",VLOOKUP($B391,勘定科目!$A:$E,2,0)),"")</f>
        <v/>
      </c>
      <c r="D391" s="236" t="str">
        <f>IF(C391="","",VLOOKUP($B391,勘定科目!$A:$E,4,0))</f>
        <v/>
      </c>
      <c r="E391" s="242"/>
      <c r="F391" s="237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197">
        <f t="shared" si="17"/>
        <v>0</v>
      </c>
      <c r="S391" s="198"/>
      <c r="T391" s="199"/>
      <c r="U391" s="243"/>
      <c r="V391" s="243"/>
      <c r="W391" s="243"/>
      <c r="BA391"/>
      <c r="BB391"/>
    </row>
    <row r="392" spans="1:54" s="188" customFormat="1" ht="13.5">
      <c r="A392" s="179"/>
      <c r="B392" s="175"/>
      <c r="C392" s="180" t="str">
        <f>IFERROR(IF(VLOOKUP($B392,勘定科目!$A:$H,HLOOKUP($E$5,勘定科目!$F$1:$H$2,2,0),0)="","",VLOOKUP($B392,勘定科目!$A:$E,2,0)),"")</f>
        <v/>
      </c>
      <c r="D392" s="236" t="str">
        <f>IF(C392="","",VLOOKUP($B392,勘定科目!$A:$E,4,0))</f>
        <v/>
      </c>
      <c r="E392" s="242"/>
      <c r="F392" s="237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197">
        <f t="shared" si="17"/>
        <v>0</v>
      </c>
      <c r="S392" s="198"/>
      <c r="T392" s="199"/>
      <c r="U392" s="243"/>
      <c r="V392" s="243"/>
      <c r="W392" s="243"/>
      <c r="BA392"/>
      <c r="BB392"/>
    </row>
    <row r="393" spans="1:54" s="188" customFormat="1" ht="13.5">
      <c r="A393" s="179"/>
      <c r="B393" s="175"/>
      <c r="C393" s="180" t="str">
        <f>IFERROR(IF(VLOOKUP($B393,勘定科目!$A:$H,HLOOKUP($E$5,勘定科目!$F$1:$H$2,2,0),0)="","",VLOOKUP($B393,勘定科目!$A:$E,2,0)),"")</f>
        <v/>
      </c>
      <c r="D393" s="236" t="str">
        <f>IF(C393="","",VLOOKUP($B393,勘定科目!$A:$E,4,0))</f>
        <v/>
      </c>
      <c r="E393" s="242"/>
      <c r="F393" s="237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197">
        <f t="shared" si="17"/>
        <v>0</v>
      </c>
      <c r="S393" s="198"/>
      <c r="T393" s="199"/>
      <c r="U393" s="243"/>
      <c r="V393" s="243"/>
      <c r="W393" s="243"/>
      <c r="BA393"/>
      <c r="BB393"/>
    </row>
    <row r="394" spans="1:54" s="188" customFormat="1" ht="13.5">
      <c r="A394" s="179"/>
      <c r="B394" s="175"/>
      <c r="C394" s="180" t="str">
        <f>IFERROR(IF(VLOOKUP($B394,勘定科目!$A:$H,HLOOKUP($E$5,勘定科目!$F$1:$H$2,2,0),0)="","",VLOOKUP($B394,勘定科目!$A:$E,2,0)),"")</f>
        <v/>
      </c>
      <c r="D394" s="236" t="str">
        <f>IF(C394="","",VLOOKUP($B394,勘定科目!$A:$E,4,0))</f>
        <v/>
      </c>
      <c r="E394" s="242"/>
      <c r="F394" s="237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197">
        <f t="shared" si="17"/>
        <v>0</v>
      </c>
      <c r="S394" s="198"/>
      <c r="T394" s="199"/>
      <c r="U394" s="243"/>
      <c r="V394" s="243"/>
      <c r="W394" s="243"/>
      <c r="BA394"/>
      <c r="BB394"/>
    </row>
    <row r="395" spans="1:54" s="188" customFormat="1" ht="13.5">
      <c r="A395" s="179"/>
      <c r="B395" s="175"/>
      <c r="C395" s="180" t="str">
        <f>IFERROR(IF(VLOOKUP($B395,勘定科目!$A:$H,HLOOKUP($E$5,勘定科目!$F$1:$H$2,2,0),0)="","",VLOOKUP($B395,勘定科目!$A:$E,2,0)),"")</f>
        <v/>
      </c>
      <c r="D395" s="236" t="str">
        <f>IF(C395="","",VLOOKUP($B395,勘定科目!$A:$E,4,0))</f>
        <v/>
      </c>
      <c r="E395" s="242"/>
      <c r="F395" s="237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197">
        <f t="shared" si="17"/>
        <v>0</v>
      </c>
      <c r="S395" s="198"/>
      <c r="T395" s="199"/>
      <c r="U395" s="243"/>
      <c r="V395" s="243"/>
      <c r="W395" s="243"/>
      <c r="BA395"/>
      <c r="BB395"/>
    </row>
    <row r="396" spans="1:54" s="188" customFormat="1" ht="13.5">
      <c r="A396" s="179"/>
      <c r="B396" s="175"/>
      <c r="C396" s="180" t="str">
        <f>IFERROR(IF(VLOOKUP($B396,勘定科目!$A:$H,HLOOKUP($E$5,勘定科目!$F$1:$H$2,2,0),0)="","",VLOOKUP($B396,勘定科目!$A:$E,2,0)),"")</f>
        <v/>
      </c>
      <c r="D396" s="236" t="str">
        <f>IF(C396="","",VLOOKUP($B396,勘定科目!$A:$E,4,0))</f>
        <v/>
      </c>
      <c r="E396" s="242"/>
      <c r="F396" s="237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197">
        <f t="shared" si="17"/>
        <v>0</v>
      </c>
      <c r="S396" s="198"/>
      <c r="T396" s="199"/>
      <c r="U396" s="243"/>
      <c r="V396" s="243"/>
      <c r="W396" s="243"/>
      <c r="BA396"/>
      <c r="BB396"/>
    </row>
    <row r="397" spans="1:54" s="188" customFormat="1" ht="13.5">
      <c r="A397" s="179"/>
      <c r="B397" s="175"/>
      <c r="C397" s="180" t="str">
        <f>IFERROR(IF(VLOOKUP($B397,勘定科目!$A:$H,HLOOKUP($E$5,勘定科目!$F$1:$H$2,2,0),0)="","",VLOOKUP($B397,勘定科目!$A:$E,2,0)),"")</f>
        <v/>
      </c>
      <c r="D397" s="236" t="str">
        <f>IF(C397="","",VLOOKUP($B397,勘定科目!$A:$E,4,0))</f>
        <v/>
      </c>
      <c r="E397" s="242"/>
      <c r="F397" s="237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197">
        <f t="shared" si="17"/>
        <v>0</v>
      </c>
      <c r="S397" s="198"/>
      <c r="T397" s="199"/>
      <c r="U397" s="243"/>
      <c r="V397" s="243"/>
      <c r="W397" s="243"/>
      <c r="BA397"/>
      <c r="BB397"/>
    </row>
    <row r="398" spans="1:54" s="188" customFormat="1" ht="13.5">
      <c r="A398" s="179"/>
      <c r="B398" s="175"/>
      <c r="C398" s="180" t="str">
        <f>IFERROR(IF(VLOOKUP($B398,勘定科目!$A:$H,HLOOKUP($E$5,勘定科目!$F$1:$H$2,2,0),0)="","",VLOOKUP($B398,勘定科目!$A:$E,2,0)),"")</f>
        <v/>
      </c>
      <c r="D398" s="236" t="str">
        <f>IF(C398="","",VLOOKUP($B398,勘定科目!$A:$E,4,0))</f>
        <v/>
      </c>
      <c r="E398" s="242"/>
      <c r="F398" s="237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197">
        <f t="shared" si="17"/>
        <v>0</v>
      </c>
      <c r="S398" s="198"/>
      <c r="T398" s="199"/>
      <c r="U398" s="243"/>
      <c r="V398" s="243"/>
      <c r="W398" s="243"/>
      <c r="BA398"/>
      <c r="BB398"/>
    </row>
    <row r="399" spans="1:54" s="188" customFormat="1" ht="13.5">
      <c r="A399" s="179"/>
      <c r="B399" s="175"/>
      <c r="C399" s="180" t="str">
        <f>IFERROR(IF(VLOOKUP($B399,勘定科目!$A:$H,HLOOKUP($E$5,勘定科目!$F$1:$H$2,2,0),0)="","",VLOOKUP($B399,勘定科目!$A:$E,2,0)),"")</f>
        <v/>
      </c>
      <c r="D399" s="236" t="str">
        <f>IF(C399="","",VLOOKUP($B399,勘定科目!$A:$E,4,0))</f>
        <v/>
      </c>
      <c r="E399" s="242"/>
      <c r="F399" s="237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197">
        <f t="shared" si="17"/>
        <v>0</v>
      </c>
      <c r="S399" s="198"/>
      <c r="T399" s="199"/>
      <c r="U399" s="243"/>
      <c r="V399" s="243"/>
      <c r="W399" s="243"/>
      <c r="BA399"/>
      <c r="BB399"/>
    </row>
    <row r="400" spans="1:54" s="188" customFormat="1" ht="13.5">
      <c r="A400" s="179"/>
      <c r="B400" s="175"/>
      <c r="C400" s="180" t="str">
        <f>IFERROR(IF(VLOOKUP($B400,勘定科目!$A:$H,HLOOKUP($E$5,勘定科目!$F$1:$H$2,2,0),0)="","",VLOOKUP($B400,勘定科目!$A:$E,2,0)),"")</f>
        <v/>
      </c>
      <c r="D400" s="236" t="str">
        <f>IF(C400="","",VLOOKUP($B400,勘定科目!$A:$E,4,0))</f>
        <v/>
      </c>
      <c r="E400" s="242"/>
      <c r="F400" s="237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197">
        <f t="shared" si="17"/>
        <v>0</v>
      </c>
      <c r="S400" s="198"/>
      <c r="T400" s="199"/>
      <c r="U400" s="243"/>
      <c r="V400" s="243"/>
      <c r="W400" s="243"/>
      <c r="BA400"/>
      <c r="BB400"/>
    </row>
    <row r="401" spans="1:54" s="188" customFormat="1" ht="13.5">
      <c r="A401" s="179"/>
      <c r="B401" s="175"/>
      <c r="C401" s="180" t="str">
        <f>IFERROR(IF(VLOOKUP($B401,勘定科目!$A:$H,HLOOKUP($E$5,勘定科目!$F$1:$H$2,2,0),0)="","",VLOOKUP($B401,勘定科目!$A:$E,2,0)),"")</f>
        <v/>
      </c>
      <c r="D401" s="236" t="str">
        <f>IF(C401="","",VLOOKUP($B401,勘定科目!$A:$E,4,0))</f>
        <v/>
      </c>
      <c r="E401" s="242"/>
      <c r="F401" s="237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197">
        <f t="shared" si="17"/>
        <v>0</v>
      </c>
      <c r="S401" s="198"/>
      <c r="T401" s="199"/>
      <c r="U401" s="243"/>
      <c r="V401" s="243"/>
      <c r="W401" s="243"/>
      <c r="BA401"/>
      <c r="BB401"/>
    </row>
    <row r="402" spans="1:54" s="188" customFormat="1" ht="13.5">
      <c r="A402" s="179"/>
      <c r="B402" s="175"/>
      <c r="C402" s="180" t="str">
        <f>IFERROR(IF(VLOOKUP($B402,勘定科目!$A:$H,HLOOKUP($E$5,勘定科目!$F$1:$H$2,2,0),0)="","",VLOOKUP($B402,勘定科目!$A:$E,2,0)),"")</f>
        <v/>
      </c>
      <c r="D402" s="236" t="str">
        <f>IF(C402="","",VLOOKUP($B402,勘定科目!$A:$E,4,0))</f>
        <v/>
      </c>
      <c r="E402" s="242"/>
      <c r="F402" s="237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197">
        <f t="shared" si="17"/>
        <v>0</v>
      </c>
      <c r="S402" s="198"/>
      <c r="T402" s="199"/>
      <c r="U402" s="243"/>
      <c r="V402" s="243"/>
      <c r="W402" s="243"/>
      <c r="BA402"/>
      <c r="BB402"/>
    </row>
    <row r="403" spans="1:54" s="188" customFormat="1" ht="13.5">
      <c r="A403" s="179"/>
      <c r="B403" s="175"/>
      <c r="C403" s="180" t="str">
        <f>IFERROR(IF(VLOOKUP($B403,勘定科目!$A:$H,HLOOKUP($E$5,勘定科目!$F$1:$H$2,2,0),0)="","",VLOOKUP($B403,勘定科目!$A:$E,2,0)),"")</f>
        <v/>
      </c>
      <c r="D403" s="236" t="str">
        <f>IF(C403="","",VLOOKUP($B403,勘定科目!$A:$E,4,0))</f>
        <v/>
      </c>
      <c r="E403" s="242"/>
      <c r="F403" s="237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197">
        <f t="shared" si="17"/>
        <v>0</v>
      </c>
      <c r="S403" s="198"/>
      <c r="T403" s="199"/>
      <c r="U403" s="243"/>
      <c r="V403" s="243"/>
      <c r="W403" s="243"/>
      <c r="BA403"/>
      <c r="BB403"/>
    </row>
    <row r="404" spans="1:54" s="188" customFormat="1" ht="13.5">
      <c r="A404" s="179"/>
      <c r="B404" s="175"/>
      <c r="C404" s="180" t="str">
        <f>IFERROR(IF(VLOOKUP($B404,勘定科目!$A:$H,HLOOKUP($E$5,勘定科目!$F$1:$H$2,2,0),0)="","",VLOOKUP($B404,勘定科目!$A:$E,2,0)),"")</f>
        <v/>
      </c>
      <c r="D404" s="236" t="str">
        <f>IF(C404="","",VLOOKUP($B404,勘定科目!$A:$E,4,0))</f>
        <v/>
      </c>
      <c r="E404" s="242"/>
      <c r="F404" s="237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197">
        <f t="shared" si="17"/>
        <v>0</v>
      </c>
      <c r="S404" s="198"/>
      <c r="T404" s="199"/>
      <c r="U404" s="243"/>
      <c r="V404" s="243"/>
      <c r="W404" s="243"/>
      <c r="BA404"/>
      <c r="BB404"/>
    </row>
    <row r="405" spans="1:54" s="188" customFormat="1" ht="13.5">
      <c r="A405" s="179"/>
      <c r="B405" s="175"/>
      <c r="C405" s="180" t="str">
        <f>IFERROR(IF(VLOOKUP($B405,勘定科目!$A:$H,HLOOKUP($E$5,勘定科目!$F$1:$H$2,2,0),0)="","",VLOOKUP($B405,勘定科目!$A:$E,2,0)),"")</f>
        <v/>
      </c>
      <c r="D405" s="236" t="str">
        <f>IF(C405="","",VLOOKUP($B405,勘定科目!$A:$E,4,0))</f>
        <v/>
      </c>
      <c r="E405" s="242"/>
      <c r="F405" s="237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197">
        <f t="shared" si="17"/>
        <v>0</v>
      </c>
      <c r="S405" s="198"/>
      <c r="T405" s="199"/>
      <c r="U405" s="243"/>
      <c r="V405" s="243"/>
      <c r="W405" s="243"/>
      <c r="BA405"/>
      <c r="BB405"/>
    </row>
    <row r="406" spans="1:54" s="188" customFormat="1" ht="13.5">
      <c r="A406" s="179"/>
      <c r="B406" s="175"/>
      <c r="C406" s="180" t="str">
        <f>IFERROR(IF(VLOOKUP($B406,勘定科目!$A:$H,HLOOKUP($E$5,勘定科目!$F$1:$H$2,2,0),0)="","",VLOOKUP($B406,勘定科目!$A:$E,2,0)),"")</f>
        <v/>
      </c>
      <c r="D406" s="236" t="str">
        <f>IF(C406="","",VLOOKUP($B406,勘定科目!$A:$E,4,0))</f>
        <v/>
      </c>
      <c r="E406" s="242"/>
      <c r="F406" s="237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197">
        <f t="shared" si="17"/>
        <v>0</v>
      </c>
      <c r="S406" s="198"/>
      <c r="T406" s="199"/>
      <c r="U406" s="243"/>
      <c r="V406" s="243"/>
      <c r="W406" s="243"/>
      <c r="BA406"/>
      <c r="BB406"/>
    </row>
    <row r="407" spans="1:54" s="188" customFormat="1" ht="13.5">
      <c r="A407" s="179"/>
      <c r="B407" s="175"/>
      <c r="C407" s="180" t="str">
        <f>IFERROR(IF(VLOOKUP($B407,勘定科目!$A:$H,HLOOKUP($E$5,勘定科目!$F$1:$H$2,2,0),0)="","",VLOOKUP($B407,勘定科目!$A:$E,2,0)),"")</f>
        <v/>
      </c>
      <c r="D407" s="236" t="str">
        <f>IF(C407="","",VLOOKUP($B407,勘定科目!$A:$E,4,0))</f>
        <v/>
      </c>
      <c r="E407" s="242"/>
      <c r="F407" s="237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197">
        <f t="shared" si="17"/>
        <v>0</v>
      </c>
      <c r="S407" s="198"/>
      <c r="T407" s="199"/>
      <c r="U407" s="243"/>
      <c r="V407" s="243"/>
      <c r="W407" s="243"/>
      <c r="BA407"/>
      <c r="BB407"/>
    </row>
    <row r="408" spans="1:54" s="188" customFormat="1" ht="13.5">
      <c r="A408" s="179"/>
      <c r="B408" s="175"/>
      <c r="C408" s="180" t="str">
        <f>IFERROR(IF(VLOOKUP($B408,勘定科目!$A:$H,HLOOKUP($E$5,勘定科目!$F$1:$H$2,2,0),0)="","",VLOOKUP($B408,勘定科目!$A:$E,2,0)),"")</f>
        <v/>
      </c>
      <c r="D408" s="236" t="str">
        <f>IF(C408="","",VLOOKUP($B408,勘定科目!$A:$E,4,0))</f>
        <v/>
      </c>
      <c r="E408" s="242"/>
      <c r="F408" s="237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197">
        <f t="shared" si="17"/>
        <v>0</v>
      </c>
      <c r="S408" s="198"/>
      <c r="T408" s="199"/>
      <c r="U408" s="243"/>
      <c r="V408" s="243"/>
      <c r="W408" s="243"/>
      <c r="BA408"/>
      <c r="BB408"/>
    </row>
    <row r="409" spans="1:54" s="188" customFormat="1" ht="13.5">
      <c r="A409" s="179"/>
      <c r="B409" s="175"/>
      <c r="C409" s="180" t="str">
        <f>IFERROR(IF(VLOOKUP($B409,勘定科目!$A:$H,HLOOKUP($E$5,勘定科目!$F$1:$H$2,2,0),0)="","",VLOOKUP($B409,勘定科目!$A:$E,2,0)),"")</f>
        <v/>
      </c>
      <c r="D409" s="236" t="str">
        <f>IF(C409="","",VLOOKUP($B409,勘定科目!$A:$E,4,0))</f>
        <v/>
      </c>
      <c r="E409" s="242"/>
      <c r="F409" s="237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197">
        <f t="shared" si="17"/>
        <v>0</v>
      </c>
      <c r="S409" s="198"/>
      <c r="T409" s="199"/>
      <c r="U409" s="243"/>
      <c r="V409" s="243"/>
      <c r="W409" s="243"/>
      <c r="BA409"/>
      <c r="BB409"/>
    </row>
    <row r="410" spans="1:54" s="188" customFormat="1" ht="13.5">
      <c r="A410" s="179"/>
      <c r="B410" s="175"/>
      <c r="C410" s="180" t="str">
        <f>IFERROR(IF(VLOOKUP($B410,勘定科目!$A:$H,HLOOKUP($E$5,勘定科目!$F$1:$H$2,2,0),0)="","",VLOOKUP($B410,勘定科目!$A:$E,2,0)),"")</f>
        <v/>
      </c>
      <c r="D410" s="236" t="str">
        <f>IF(C410="","",VLOOKUP($B410,勘定科目!$A:$E,4,0))</f>
        <v/>
      </c>
      <c r="E410" s="242"/>
      <c r="F410" s="237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197">
        <f t="shared" si="17"/>
        <v>0</v>
      </c>
      <c r="S410" s="198"/>
      <c r="T410" s="199"/>
      <c r="U410" s="243"/>
      <c r="V410" s="243"/>
      <c r="W410" s="243"/>
      <c r="BA410"/>
      <c r="BB410"/>
    </row>
    <row r="411" spans="1:54" s="188" customFormat="1" ht="13.5">
      <c r="A411" s="179"/>
      <c r="B411" s="175"/>
      <c r="C411" s="180" t="str">
        <f>IFERROR(IF(VLOOKUP($B411,勘定科目!$A:$H,HLOOKUP($E$5,勘定科目!$F$1:$H$2,2,0),0)="","",VLOOKUP($B411,勘定科目!$A:$E,2,0)),"")</f>
        <v/>
      </c>
      <c r="D411" s="236" t="str">
        <f>IF(C411="","",VLOOKUP($B411,勘定科目!$A:$E,4,0))</f>
        <v/>
      </c>
      <c r="E411" s="242"/>
      <c r="F411" s="237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197">
        <f t="shared" si="17"/>
        <v>0</v>
      </c>
      <c r="S411" s="198"/>
      <c r="T411" s="199"/>
      <c r="U411" s="243"/>
      <c r="V411" s="243"/>
      <c r="W411" s="243"/>
      <c r="BA411"/>
      <c r="BB411"/>
    </row>
    <row r="412" spans="1:54" s="188" customFormat="1" ht="13.5">
      <c r="A412" s="179"/>
      <c r="B412" s="175"/>
      <c r="C412" s="180" t="str">
        <f>IFERROR(IF(VLOOKUP($B412,勘定科目!$A:$H,HLOOKUP($E$5,勘定科目!$F$1:$H$2,2,0),0)="","",VLOOKUP($B412,勘定科目!$A:$E,2,0)),"")</f>
        <v/>
      </c>
      <c r="D412" s="236" t="str">
        <f>IF(C412="","",VLOOKUP($B412,勘定科目!$A:$E,4,0))</f>
        <v/>
      </c>
      <c r="E412" s="242"/>
      <c r="F412" s="237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197">
        <f t="shared" si="17"/>
        <v>0</v>
      </c>
      <c r="S412" s="198"/>
      <c r="T412" s="199"/>
      <c r="U412" s="243"/>
      <c r="V412" s="243"/>
      <c r="W412" s="243"/>
      <c r="BA412"/>
      <c r="BB412"/>
    </row>
    <row r="413" spans="1:54" s="188" customFormat="1" ht="13.5">
      <c r="A413" s="179"/>
      <c r="B413" s="175"/>
      <c r="C413" s="180" t="str">
        <f>IFERROR(IF(VLOOKUP($B413,勘定科目!$A:$H,HLOOKUP($E$5,勘定科目!$F$1:$H$2,2,0),0)="","",VLOOKUP($B413,勘定科目!$A:$E,2,0)),"")</f>
        <v/>
      </c>
      <c r="D413" s="236" t="str">
        <f>IF(C413="","",VLOOKUP($B413,勘定科目!$A:$E,4,0))</f>
        <v/>
      </c>
      <c r="E413" s="242"/>
      <c r="F413" s="237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197">
        <f t="shared" si="17"/>
        <v>0</v>
      </c>
      <c r="S413" s="198"/>
      <c r="T413" s="199"/>
      <c r="U413" s="243"/>
      <c r="V413" s="243"/>
      <c r="W413" s="243"/>
      <c r="BA413"/>
      <c r="BB413"/>
    </row>
    <row r="414" spans="1:54" s="188" customFormat="1" ht="13.5">
      <c r="A414" s="179"/>
      <c r="B414" s="175"/>
      <c r="C414" s="180" t="str">
        <f>IFERROR(IF(VLOOKUP($B414,勘定科目!$A:$H,HLOOKUP($E$5,勘定科目!$F$1:$H$2,2,0),0)="","",VLOOKUP($B414,勘定科目!$A:$E,2,0)),"")</f>
        <v/>
      </c>
      <c r="D414" s="236" t="str">
        <f>IF(C414="","",VLOOKUP($B414,勘定科目!$A:$E,4,0))</f>
        <v/>
      </c>
      <c r="E414" s="242"/>
      <c r="F414" s="237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197">
        <f t="shared" si="17"/>
        <v>0</v>
      </c>
      <c r="S414" s="198"/>
      <c r="T414" s="199"/>
      <c r="U414" s="243"/>
      <c r="V414" s="243"/>
      <c r="W414" s="243"/>
      <c r="BA414"/>
      <c r="BB414"/>
    </row>
    <row r="415" spans="1:54" s="188" customFormat="1" ht="13.5">
      <c r="A415" s="179"/>
      <c r="B415" s="175"/>
      <c r="C415" s="180" t="str">
        <f>IFERROR(IF(VLOOKUP($B415,勘定科目!$A:$H,HLOOKUP($E$5,勘定科目!$F$1:$H$2,2,0),0)="","",VLOOKUP($B415,勘定科目!$A:$E,2,0)),"")</f>
        <v/>
      </c>
      <c r="D415" s="236" t="str">
        <f>IF(C415="","",VLOOKUP($B415,勘定科目!$A:$E,4,0))</f>
        <v/>
      </c>
      <c r="E415" s="242"/>
      <c r="F415" s="237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197">
        <f t="shared" si="17"/>
        <v>0</v>
      </c>
      <c r="S415" s="198"/>
      <c r="T415" s="199"/>
      <c r="U415" s="243"/>
      <c r="V415" s="243"/>
      <c r="W415" s="243"/>
      <c r="BA415"/>
      <c r="BB415"/>
    </row>
    <row r="416" spans="1:54" s="188" customFormat="1" ht="13.5">
      <c r="A416" s="179"/>
      <c r="B416" s="175"/>
      <c r="C416" s="180" t="str">
        <f>IFERROR(IF(VLOOKUP($B416,勘定科目!$A:$H,HLOOKUP($E$5,勘定科目!$F$1:$H$2,2,0),0)="","",VLOOKUP($B416,勘定科目!$A:$E,2,0)),"")</f>
        <v/>
      </c>
      <c r="D416" s="236" t="str">
        <f>IF(C416="","",VLOOKUP($B416,勘定科目!$A:$E,4,0))</f>
        <v/>
      </c>
      <c r="E416" s="242"/>
      <c r="F416" s="237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197">
        <f t="shared" si="17"/>
        <v>0</v>
      </c>
      <c r="S416" s="198"/>
      <c r="T416" s="199"/>
      <c r="U416" s="243"/>
      <c r="V416" s="243"/>
      <c r="W416" s="243"/>
      <c r="BA416"/>
      <c r="BB416"/>
    </row>
    <row r="417" spans="1:54" s="188" customFormat="1" ht="13.5">
      <c r="A417" s="179"/>
      <c r="B417" s="175"/>
      <c r="C417" s="180" t="str">
        <f>IFERROR(IF(VLOOKUP($B417,勘定科目!$A:$H,HLOOKUP($E$5,勘定科目!$F$1:$H$2,2,0),0)="","",VLOOKUP($B417,勘定科目!$A:$E,2,0)),"")</f>
        <v/>
      </c>
      <c r="D417" s="236" t="str">
        <f>IF(C417="","",VLOOKUP($B417,勘定科目!$A:$E,4,0))</f>
        <v/>
      </c>
      <c r="E417" s="242"/>
      <c r="F417" s="237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197">
        <f t="shared" si="17"/>
        <v>0</v>
      </c>
      <c r="S417" s="198"/>
      <c r="T417" s="199"/>
      <c r="U417" s="243"/>
      <c r="V417" s="243"/>
      <c r="W417" s="243"/>
      <c r="BA417"/>
      <c r="BB417"/>
    </row>
    <row r="418" spans="1:54" s="188" customFormat="1" ht="13.5">
      <c r="A418" s="179"/>
      <c r="B418" s="175"/>
      <c r="C418" s="180" t="str">
        <f>IFERROR(IF(VLOOKUP($B418,勘定科目!$A:$H,HLOOKUP($E$5,勘定科目!$F$1:$H$2,2,0),0)="","",VLOOKUP($B418,勘定科目!$A:$E,2,0)),"")</f>
        <v/>
      </c>
      <c r="D418" s="236" t="str">
        <f>IF(C418="","",VLOOKUP($B418,勘定科目!$A:$E,4,0))</f>
        <v/>
      </c>
      <c r="E418" s="242"/>
      <c r="F418" s="237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197">
        <f t="shared" si="17"/>
        <v>0</v>
      </c>
      <c r="S418" s="198"/>
      <c r="T418" s="199"/>
      <c r="U418" s="243"/>
      <c r="V418" s="243"/>
      <c r="W418" s="243"/>
      <c r="BA418"/>
      <c r="BB418"/>
    </row>
    <row r="419" spans="1:54" s="188" customFormat="1" ht="13.5">
      <c r="A419" s="179"/>
      <c r="B419" s="175"/>
      <c r="C419" s="180" t="str">
        <f>IFERROR(IF(VLOOKUP($B419,勘定科目!$A:$H,HLOOKUP($E$5,勘定科目!$F$1:$H$2,2,0),0)="","",VLOOKUP($B419,勘定科目!$A:$E,2,0)),"")</f>
        <v/>
      </c>
      <c r="D419" s="236" t="str">
        <f>IF(C419="","",VLOOKUP($B419,勘定科目!$A:$E,4,0))</f>
        <v/>
      </c>
      <c r="E419" s="242"/>
      <c r="F419" s="237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197">
        <f t="shared" si="17"/>
        <v>0</v>
      </c>
      <c r="S419" s="198"/>
      <c r="T419" s="199"/>
      <c r="U419" s="243"/>
      <c r="V419" s="243"/>
      <c r="W419" s="243"/>
      <c r="BA419"/>
      <c r="BB419"/>
    </row>
    <row r="420" spans="1:54" s="188" customFormat="1" ht="13.5">
      <c r="A420" s="179"/>
      <c r="B420" s="175"/>
      <c r="C420" s="180" t="str">
        <f>IFERROR(IF(VLOOKUP($B420,勘定科目!$A:$H,HLOOKUP($E$5,勘定科目!$F$1:$H$2,2,0),0)="","",VLOOKUP($B420,勘定科目!$A:$E,2,0)),"")</f>
        <v/>
      </c>
      <c r="D420" s="236" t="str">
        <f>IF(C420="","",VLOOKUP($B420,勘定科目!$A:$E,4,0))</f>
        <v/>
      </c>
      <c r="E420" s="242"/>
      <c r="F420" s="237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197">
        <f t="shared" si="17"/>
        <v>0</v>
      </c>
      <c r="S420" s="198"/>
      <c r="T420" s="199"/>
      <c r="U420" s="243"/>
      <c r="V420" s="243"/>
      <c r="W420" s="243"/>
      <c r="BA420"/>
      <c r="BB420"/>
    </row>
    <row r="421" spans="1:54" s="188" customFormat="1" ht="13.5">
      <c r="A421" s="179"/>
      <c r="B421" s="175"/>
      <c r="C421" s="180" t="str">
        <f>IFERROR(IF(VLOOKUP($B421,勘定科目!$A:$H,HLOOKUP($E$5,勘定科目!$F$1:$H$2,2,0),0)="","",VLOOKUP($B421,勘定科目!$A:$E,2,0)),"")</f>
        <v/>
      </c>
      <c r="D421" s="236" t="str">
        <f>IF(C421="","",VLOOKUP($B421,勘定科目!$A:$E,4,0))</f>
        <v/>
      </c>
      <c r="E421" s="242"/>
      <c r="F421" s="237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197">
        <f t="shared" si="17"/>
        <v>0</v>
      </c>
      <c r="S421" s="198"/>
      <c r="T421" s="199"/>
      <c r="U421" s="243"/>
      <c r="V421" s="243"/>
      <c r="W421" s="243"/>
      <c r="BA421"/>
      <c r="BB421"/>
    </row>
    <row r="422" spans="1:54" s="188" customFormat="1" ht="13.5">
      <c r="A422" s="179"/>
      <c r="B422" s="175"/>
      <c r="C422" s="180" t="str">
        <f>IFERROR(IF(VLOOKUP($B422,勘定科目!$A:$H,HLOOKUP($E$5,勘定科目!$F$1:$H$2,2,0),0)="","",VLOOKUP($B422,勘定科目!$A:$E,2,0)),"")</f>
        <v/>
      </c>
      <c r="D422" s="236" t="str">
        <f>IF(C422="","",VLOOKUP($B422,勘定科目!$A:$E,4,0))</f>
        <v/>
      </c>
      <c r="E422" s="242"/>
      <c r="F422" s="237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197">
        <f t="shared" si="17"/>
        <v>0</v>
      </c>
      <c r="S422" s="198"/>
      <c r="T422" s="199"/>
      <c r="U422" s="243"/>
      <c r="V422" s="243"/>
      <c r="W422" s="243"/>
      <c r="BA422"/>
      <c r="BB422"/>
    </row>
    <row r="423" spans="1:54" s="188" customFormat="1" ht="13.5">
      <c r="A423" s="179"/>
      <c r="B423" s="175"/>
      <c r="C423" s="180" t="str">
        <f>IFERROR(IF(VLOOKUP($B423,勘定科目!$A:$H,HLOOKUP($E$5,勘定科目!$F$1:$H$2,2,0),0)="","",VLOOKUP($B423,勘定科目!$A:$E,2,0)),"")</f>
        <v/>
      </c>
      <c r="D423" s="236" t="str">
        <f>IF(C423="","",VLOOKUP($B423,勘定科目!$A:$E,4,0))</f>
        <v/>
      </c>
      <c r="E423" s="242"/>
      <c r="F423" s="237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197">
        <f t="shared" si="17"/>
        <v>0</v>
      </c>
      <c r="S423" s="198"/>
      <c r="T423" s="199"/>
      <c r="U423" s="243"/>
      <c r="V423" s="243"/>
      <c r="W423" s="243"/>
      <c r="BA423"/>
      <c r="BB423"/>
    </row>
    <row r="424" spans="1:54" s="188" customFormat="1" ht="13.5">
      <c r="A424" s="179"/>
      <c r="B424" s="175"/>
      <c r="C424" s="180" t="str">
        <f>IFERROR(IF(VLOOKUP($B424,勘定科目!$A:$H,HLOOKUP($E$5,勘定科目!$F$1:$H$2,2,0),0)="","",VLOOKUP($B424,勘定科目!$A:$E,2,0)),"")</f>
        <v/>
      </c>
      <c r="D424" s="236" t="str">
        <f>IF(C424="","",VLOOKUP($B424,勘定科目!$A:$E,4,0))</f>
        <v/>
      </c>
      <c r="E424" s="242"/>
      <c r="F424" s="237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197">
        <f t="shared" si="17"/>
        <v>0</v>
      </c>
      <c r="S424" s="198"/>
      <c r="T424" s="199"/>
      <c r="U424" s="243"/>
      <c r="V424" s="243"/>
      <c r="W424" s="243"/>
      <c r="BA424"/>
      <c r="BB424"/>
    </row>
    <row r="425" spans="1:54" s="188" customFormat="1" ht="13.5">
      <c r="A425" s="179"/>
      <c r="B425" s="175"/>
      <c r="C425" s="180" t="str">
        <f>IFERROR(IF(VLOOKUP($B425,勘定科目!$A:$H,HLOOKUP($E$5,勘定科目!$F$1:$H$2,2,0),0)="","",VLOOKUP($B425,勘定科目!$A:$E,2,0)),"")</f>
        <v/>
      </c>
      <c r="D425" s="236" t="str">
        <f>IF(C425="","",VLOOKUP($B425,勘定科目!$A:$E,4,0))</f>
        <v/>
      </c>
      <c r="E425" s="242"/>
      <c r="F425" s="237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197">
        <f t="shared" si="17"/>
        <v>0</v>
      </c>
      <c r="S425" s="198"/>
      <c r="T425" s="199"/>
      <c r="U425" s="243"/>
      <c r="V425" s="243"/>
      <c r="W425" s="243"/>
      <c r="BA425"/>
      <c r="BB425"/>
    </row>
    <row r="426" spans="1:54" s="188" customFormat="1" ht="13.5">
      <c r="A426" s="179"/>
      <c r="B426" s="175"/>
      <c r="C426" s="180" t="str">
        <f>IFERROR(IF(VLOOKUP($B426,勘定科目!$A:$H,HLOOKUP($E$5,勘定科目!$F$1:$H$2,2,0),0)="","",VLOOKUP($B426,勘定科目!$A:$E,2,0)),"")</f>
        <v/>
      </c>
      <c r="D426" s="236" t="str">
        <f>IF(C426="","",VLOOKUP($B426,勘定科目!$A:$E,4,0))</f>
        <v/>
      </c>
      <c r="E426" s="242"/>
      <c r="F426" s="237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197">
        <f t="shared" si="17"/>
        <v>0</v>
      </c>
      <c r="S426" s="198"/>
      <c r="T426" s="199"/>
      <c r="U426" s="243"/>
      <c r="V426" s="243"/>
      <c r="W426" s="243"/>
      <c r="BA426"/>
      <c r="BB426"/>
    </row>
    <row r="427" spans="1:54" s="188" customFormat="1" ht="13.5">
      <c r="A427" s="179"/>
      <c r="B427" s="175"/>
      <c r="C427" s="180" t="str">
        <f>IFERROR(IF(VLOOKUP($B427,勘定科目!$A:$H,HLOOKUP($E$5,勘定科目!$F$1:$H$2,2,0),0)="","",VLOOKUP($B427,勘定科目!$A:$E,2,0)),"")</f>
        <v/>
      </c>
      <c r="D427" s="236" t="str">
        <f>IF(C427="","",VLOOKUP($B427,勘定科目!$A:$E,4,0))</f>
        <v/>
      </c>
      <c r="E427" s="242"/>
      <c r="F427" s="237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197">
        <f t="shared" si="17"/>
        <v>0</v>
      </c>
      <c r="S427" s="198"/>
      <c r="T427" s="199"/>
      <c r="U427" s="243"/>
      <c r="V427" s="243"/>
      <c r="W427" s="243"/>
      <c r="BA427"/>
      <c r="BB427"/>
    </row>
    <row r="428" spans="1:54" s="188" customFormat="1" ht="13.5">
      <c r="A428" s="179"/>
      <c r="B428" s="175"/>
      <c r="C428" s="180" t="str">
        <f>IFERROR(IF(VLOOKUP($B428,勘定科目!$A:$H,HLOOKUP($E$5,勘定科目!$F$1:$H$2,2,0),0)="","",VLOOKUP($B428,勘定科目!$A:$E,2,0)),"")</f>
        <v/>
      </c>
      <c r="D428" s="236" t="str">
        <f>IF(C428="","",VLOOKUP($B428,勘定科目!$A:$E,4,0))</f>
        <v/>
      </c>
      <c r="E428" s="242"/>
      <c r="F428" s="237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197">
        <f t="shared" si="17"/>
        <v>0</v>
      </c>
      <c r="S428" s="198"/>
      <c r="T428" s="199"/>
      <c r="U428" s="243"/>
      <c r="V428" s="243"/>
      <c r="W428" s="243"/>
      <c r="BA428"/>
      <c r="BB428"/>
    </row>
    <row r="429" spans="1:54" s="188" customFormat="1" ht="13.5">
      <c r="A429" s="179"/>
      <c r="B429" s="175"/>
      <c r="C429" s="180" t="str">
        <f>IFERROR(IF(VLOOKUP($B429,勘定科目!$A:$H,HLOOKUP($E$5,勘定科目!$F$1:$H$2,2,0),0)="","",VLOOKUP($B429,勘定科目!$A:$E,2,0)),"")</f>
        <v/>
      </c>
      <c r="D429" s="236" t="str">
        <f>IF(C429="","",VLOOKUP($B429,勘定科目!$A:$E,4,0))</f>
        <v/>
      </c>
      <c r="E429" s="242"/>
      <c r="F429" s="237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197">
        <f t="shared" si="17"/>
        <v>0</v>
      </c>
      <c r="S429" s="198"/>
      <c r="T429" s="199"/>
      <c r="U429" s="243"/>
      <c r="V429" s="243"/>
      <c r="W429" s="243"/>
      <c r="BA429"/>
      <c r="BB429"/>
    </row>
    <row r="430" spans="1:54" s="188" customFormat="1" ht="13.5">
      <c r="A430" s="179"/>
      <c r="B430" s="175"/>
      <c r="C430" s="180" t="str">
        <f>IFERROR(IF(VLOOKUP($B430,勘定科目!$A:$H,HLOOKUP($E$5,勘定科目!$F$1:$H$2,2,0),0)="","",VLOOKUP($B430,勘定科目!$A:$E,2,0)),"")</f>
        <v/>
      </c>
      <c r="D430" s="236" t="str">
        <f>IF(C430="","",VLOOKUP($B430,勘定科目!$A:$E,4,0))</f>
        <v/>
      </c>
      <c r="E430" s="242"/>
      <c r="F430" s="237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197">
        <f t="shared" si="17"/>
        <v>0</v>
      </c>
      <c r="S430" s="198"/>
      <c r="T430" s="199"/>
      <c r="U430" s="243"/>
      <c r="V430" s="243"/>
      <c r="W430" s="243"/>
      <c r="BA430"/>
      <c r="BB430"/>
    </row>
    <row r="431" spans="1:54" s="188" customFormat="1" ht="13.5">
      <c r="A431" s="179"/>
      <c r="B431" s="175"/>
      <c r="C431" s="180" t="str">
        <f>IFERROR(IF(VLOOKUP($B431,勘定科目!$A:$H,HLOOKUP($E$5,勘定科目!$F$1:$H$2,2,0),0)="","",VLOOKUP($B431,勘定科目!$A:$E,2,0)),"")</f>
        <v/>
      </c>
      <c r="D431" s="236" t="str">
        <f>IF(C431="","",VLOOKUP($B431,勘定科目!$A:$E,4,0))</f>
        <v/>
      </c>
      <c r="E431" s="242"/>
      <c r="F431" s="237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197">
        <f t="shared" si="17"/>
        <v>0</v>
      </c>
      <c r="S431" s="198"/>
      <c r="T431" s="199"/>
      <c r="U431" s="243"/>
      <c r="V431" s="243"/>
      <c r="W431" s="243"/>
      <c r="BA431"/>
      <c r="BB431"/>
    </row>
    <row r="432" spans="1:54" s="188" customFormat="1" ht="13.5">
      <c r="A432" s="179"/>
      <c r="B432" s="175"/>
      <c r="C432" s="180" t="str">
        <f>IFERROR(IF(VLOOKUP($B432,勘定科目!$A:$H,HLOOKUP($E$5,勘定科目!$F$1:$H$2,2,0),0)="","",VLOOKUP($B432,勘定科目!$A:$E,2,0)),"")</f>
        <v/>
      </c>
      <c r="D432" s="236" t="str">
        <f>IF(C432="","",VLOOKUP($B432,勘定科目!$A:$E,4,0))</f>
        <v/>
      </c>
      <c r="E432" s="242"/>
      <c r="F432" s="237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197">
        <f t="shared" si="17"/>
        <v>0</v>
      </c>
      <c r="S432" s="198"/>
      <c r="T432" s="199"/>
      <c r="U432" s="243"/>
      <c r="V432" s="243"/>
      <c r="W432" s="243"/>
      <c r="BA432"/>
      <c r="BB432"/>
    </row>
    <row r="433" spans="1:54" s="188" customFormat="1" ht="13.5">
      <c r="A433" s="179"/>
      <c r="B433" s="175"/>
      <c r="C433" s="180" t="str">
        <f>IFERROR(IF(VLOOKUP($B433,勘定科目!$A:$H,HLOOKUP($E$5,勘定科目!$F$1:$H$2,2,0),0)="","",VLOOKUP($B433,勘定科目!$A:$E,2,0)),"")</f>
        <v/>
      </c>
      <c r="D433" s="236" t="str">
        <f>IF(C433="","",VLOOKUP($B433,勘定科目!$A:$E,4,0))</f>
        <v/>
      </c>
      <c r="E433" s="242"/>
      <c r="F433" s="237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197">
        <f t="shared" si="17"/>
        <v>0</v>
      </c>
      <c r="S433" s="198"/>
      <c r="T433" s="199"/>
      <c r="U433" s="243"/>
      <c r="V433" s="243"/>
      <c r="W433" s="243"/>
      <c r="BA433"/>
      <c r="BB433"/>
    </row>
    <row r="434" spans="1:54" s="188" customFormat="1" ht="13.5">
      <c r="A434" s="179"/>
      <c r="B434" s="175"/>
      <c r="C434" s="180" t="str">
        <f>IFERROR(IF(VLOOKUP($B434,勘定科目!$A:$H,HLOOKUP($E$5,勘定科目!$F$1:$H$2,2,0),0)="","",VLOOKUP($B434,勘定科目!$A:$E,2,0)),"")</f>
        <v/>
      </c>
      <c r="D434" s="236" t="str">
        <f>IF(C434="","",VLOOKUP($B434,勘定科目!$A:$E,4,0))</f>
        <v/>
      </c>
      <c r="E434" s="242"/>
      <c r="F434" s="237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197">
        <f t="shared" si="17"/>
        <v>0</v>
      </c>
      <c r="S434" s="198"/>
      <c r="T434" s="199"/>
      <c r="U434" s="243"/>
      <c r="V434" s="243"/>
      <c r="W434" s="243"/>
      <c r="BA434"/>
      <c r="BB434"/>
    </row>
    <row r="435" spans="1:54" s="188" customFormat="1" ht="13.5">
      <c r="A435" s="179"/>
      <c r="B435" s="175"/>
      <c r="C435" s="180" t="str">
        <f>IFERROR(IF(VLOOKUP($B435,勘定科目!$A:$H,HLOOKUP($E$5,勘定科目!$F$1:$H$2,2,0),0)="","",VLOOKUP($B435,勘定科目!$A:$E,2,0)),"")</f>
        <v/>
      </c>
      <c r="D435" s="236" t="str">
        <f>IF(C435="","",VLOOKUP($B435,勘定科目!$A:$E,4,0))</f>
        <v/>
      </c>
      <c r="E435" s="242"/>
      <c r="F435" s="237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197">
        <f t="shared" si="17"/>
        <v>0</v>
      </c>
      <c r="S435" s="198"/>
      <c r="T435" s="199"/>
      <c r="U435" s="243"/>
      <c r="V435" s="243"/>
      <c r="W435" s="243"/>
      <c r="BA435"/>
      <c r="BB435"/>
    </row>
    <row r="436" spans="1:54" s="188" customFormat="1" ht="13.5">
      <c r="A436" s="179"/>
      <c r="B436" s="175"/>
      <c r="C436" s="180" t="str">
        <f>IFERROR(IF(VLOOKUP($B436,勘定科目!$A:$H,HLOOKUP($E$5,勘定科目!$F$1:$H$2,2,0),0)="","",VLOOKUP($B436,勘定科目!$A:$E,2,0)),"")</f>
        <v/>
      </c>
      <c r="D436" s="236" t="str">
        <f>IF(C436="","",VLOOKUP($B436,勘定科目!$A:$E,4,0))</f>
        <v/>
      </c>
      <c r="E436" s="242"/>
      <c r="F436" s="237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197">
        <f t="shared" si="17"/>
        <v>0</v>
      </c>
      <c r="S436" s="198"/>
      <c r="T436" s="199"/>
      <c r="U436" s="243"/>
      <c r="V436" s="243"/>
      <c r="W436" s="243"/>
      <c r="BA436"/>
      <c r="BB436"/>
    </row>
    <row r="437" spans="1:54" s="188" customFormat="1" ht="13.5">
      <c r="A437" s="179"/>
      <c r="B437" s="175"/>
      <c r="C437" s="180" t="str">
        <f>IFERROR(IF(VLOOKUP($B437,勘定科目!$A:$H,HLOOKUP($E$5,勘定科目!$F$1:$H$2,2,0),0)="","",VLOOKUP($B437,勘定科目!$A:$E,2,0)),"")</f>
        <v/>
      </c>
      <c r="D437" s="236" t="str">
        <f>IF(C437="","",VLOOKUP($B437,勘定科目!$A:$E,4,0))</f>
        <v/>
      </c>
      <c r="E437" s="242"/>
      <c r="F437" s="237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197">
        <f t="shared" ref="R437:R500" si="18">SUM(F437:Q437)</f>
        <v>0</v>
      </c>
      <c r="S437" s="198"/>
      <c r="T437" s="199"/>
      <c r="U437" s="243"/>
      <c r="V437" s="243"/>
      <c r="W437" s="243"/>
      <c r="BA437"/>
      <c r="BB437"/>
    </row>
    <row r="438" spans="1:54" s="188" customFormat="1" ht="13.5">
      <c r="A438" s="179"/>
      <c r="B438" s="175"/>
      <c r="C438" s="180" t="str">
        <f>IFERROR(IF(VLOOKUP($B438,勘定科目!$A:$H,HLOOKUP($E$5,勘定科目!$F$1:$H$2,2,0),0)="","",VLOOKUP($B438,勘定科目!$A:$E,2,0)),"")</f>
        <v/>
      </c>
      <c r="D438" s="236" t="str">
        <f>IF(C438="","",VLOOKUP($B438,勘定科目!$A:$E,4,0))</f>
        <v/>
      </c>
      <c r="E438" s="242"/>
      <c r="F438" s="237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197">
        <f t="shared" si="18"/>
        <v>0</v>
      </c>
      <c r="S438" s="198"/>
      <c r="T438" s="199"/>
      <c r="U438" s="243"/>
      <c r="V438" s="243"/>
      <c r="W438" s="243"/>
      <c r="BA438"/>
      <c r="BB438"/>
    </row>
    <row r="439" spans="1:54" s="188" customFormat="1" ht="13.5">
      <c r="A439" s="179"/>
      <c r="B439" s="175"/>
      <c r="C439" s="180" t="str">
        <f>IFERROR(IF(VLOOKUP($B439,勘定科目!$A:$H,HLOOKUP($E$5,勘定科目!$F$1:$H$2,2,0),0)="","",VLOOKUP($B439,勘定科目!$A:$E,2,0)),"")</f>
        <v/>
      </c>
      <c r="D439" s="236" t="str">
        <f>IF(C439="","",VLOOKUP($B439,勘定科目!$A:$E,4,0))</f>
        <v/>
      </c>
      <c r="E439" s="242"/>
      <c r="F439" s="237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197">
        <f t="shared" si="18"/>
        <v>0</v>
      </c>
      <c r="S439" s="198"/>
      <c r="T439" s="199"/>
      <c r="U439" s="243"/>
      <c r="V439" s="243"/>
      <c r="W439" s="243"/>
      <c r="BA439"/>
      <c r="BB439"/>
    </row>
    <row r="440" spans="1:54" s="188" customFormat="1" ht="13.5">
      <c r="A440" s="179"/>
      <c r="B440" s="175"/>
      <c r="C440" s="180" t="str">
        <f>IFERROR(IF(VLOOKUP($B440,勘定科目!$A:$H,HLOOKUP($E$5,勘定科目!$F$1:$H$2,2,0),0)="","",VLOOKUP($B440,勘定科目!$A:$E,2,0)),"")</f>
        <v/>
      </c>
      <c r="D440" s="236" t="str">
        <f>IF(C440="","",VLOOKUP($B440,勘定科目!$A:$E,4,0))</f>
        <v/>
      </c>
      <c r="E440" s="242"/>
      <c r="F440" s="237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197">
        <f t="shared" si="18"/>
        <v>0</v>
      </c>
      <c r="S440" s="198"/>
      <c r="T440" s="199"/>
      <c r="U440" s="243"/>
      <c r="V440" s="243"/>
      <c r="W440" s="243"/>
      <c r="BA440"/>
      <c r="BB440"/>
    </row>
    <row r="441" spans="1:54" s="188" customFormat="1" ht="13.5">
      <c r="A441" s="179"/>
      <c r="B441" s="175"/>
      <c r="C441" s="180" t="str">
        <f>IFERROR(IF(VLOOKUP($B441,勘定科目!$A:$H,HLOOKUP($E$5,勘定科目!$F$1:$H$2,2,0),0)="","",VLOOKUP($B441,勘定科目!$A:$E,2,0)),"")</f>
        <v/>
      </c>
      <c r="D441" s="236" t="str">
        <f>IF(C441="","",VLOOKUP($B441,勘定科目!$A:$E,4,0))</f>
        <v/>
      </c>
      <c r="E441" s="242"/>
      <c r="F441" s="237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197">
        <f t="shared" si="18"/>
        <v>0</v>
      </c>
      <c r="S441" s="198"/>
      <c r="T441" s="199"/>
      <c r="U441" s="243"/>
      <c r="V441" s="243"/>
      <c r="W441" s="243"/>
      <c r="BA441"/>
      <c r="BB441"/>
    </row>
    <row r="442" spans="1:54" s="188" customFormat="1" ht="13.5">
      <c r="A442" s="179"/>
      <c r="B442" s="175"/>
      <c r="C442" s="180" t="str">
        <f>IFERROR(IF(VLOOKUP($B442,勘定科目!$A:$H,HLOOKUP($E$5,勘定科目!$F$1:$H$2,2,0),0)="","",VLOOKUP($B442,勘定科目!$A:$E,2,0)),"")</f>
        <v/>
      </c>
      <c r="D442" s="236" t="str">
        <f>IF(C442="","",VLOOKUP($B442,勘定科目!$A:$E,4,0))</f>
        <v/>
      </c>
      <c r="E442" s="242"/>
      <c r="F442" s="237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197">
        <f t="shared" si="18"/>
        <v>0</v>
      </c>
      <c r="S442" s="198"/>
      <c r="T442" s="199"/>
      <c r="U442" s="243"/>
      <c r="V442" s="243"/>
      <c r="W442" s="243"/>
      <c r="BA442"/>
      <c r="BB442"/>
    </row>
    <row r="443" spans="1:54" s="188" customFormat="1" ht="13.5">
      <c r="A443" s="179"/>
      <c r="B443" s="175"/>
      <c r="C443" s="180" t="str">
        <f>IFERROR(IF(VLOOKUP($B443,勘定科目!$A:$H,HLOOKUP($E$5,勘定科目!$F$1:$H$2,2,0),0)="","",VLOOKUP($B443,勘定科目!$A:$E,2,0)),"")</f>
        <v/>
      </c>
      <c r="D443" s="236" t="str">
        <f>IF(C443="","",VLOOKUP($B443,勘定科目!$A:$E,4,0))</f>
        <v/>
      </c>
      <c r="E443" s="242"/>
      <c r="F443" s="237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197">
        <f t="shared" si="18"/>
        <v>0</v>
      </c>
      <c r="S443" s="198"/>
      <c r="T443" s="199"/>
      <c r="U443" s="243"/>
      <c r="V443" s="243"/>
      <c r="W443" s="243"/>
      <c r="BA443"/>
      <c r="BB443"/>
    </row>
    <row r="444" spans="1:54" s="188" customFormat="1" ht="13.5">
      <c r="A444" s="179"/>
      <c r="B444" s="175"/>
      <c r="C444" s="180" t="str">
        <f>IFERROR(IF(VLOOKUP($B444,勘定科目!$A:$H,HLOOKUP($E$5,勘定科目!$F$1:$H$2,2,0),0)="","",VLOOKUP($B444,勘定科目!$A:$E,2,0)),"")</f>
        <v/>
      </c>
      <c r="D444" s="236" t="str">
        <f>IF(C444="","",VLOOKUP($B444,勘定科目!$A:$E,4,0))</f>
        <v/>
      </c>
      <c r="E444" s="242"/>
      <c r="F444" s="237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197">
        <f t="shared" si="18"/>
        <v>0</v>
      </c>
      <c r="S444" s="198"/>
      <c r="T444" s="199"/>
      <c r="U444" s="243"/>
      <c r="V444" s="243"/>
      <c r="W444" s="243"/>
      <c r="BA444"/>
      <c r="BB444"/>
    </row>
    <row r="445" spans="1:54" s="188" customFormat="1" ht="13.5">
      <c r="A445" s="179"/>
      <c r="B445" s="175"/>
      <c r="C445" s="180" t="str">
        <f>IFERROR(IF(VLOOKUP($B445,勘定科目!$A:$H,HLOOKUP($E$5,勘定科目!$F$1:$H$2,2,0),0)="","",VLOOKUP($B445,勘定科目!$A:$E,2,0)),"")</f>
        <v/>
      </c>
      <c r="D445" s="236" t="str">
        <f>IF(C445="","",VLOOKUP($B445,勘定科目!$A:$E,4,0))</f>
        <v/>
      </c>
      <c r="E445" s="242"/>
      <c r="F445" s="237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197">
        <f t="shared" si="18"/>
        <v>0</v>
      </c>
      <c r="S445" s="198"/>
      <c r="T445" s="199"/>
      <c r="U445" s="243"/>
      <c r="V445" s="243"/>
      <c r="W445" s="243"/>
      <c r="BA445"/>
      <c r="BB445"/>
    </row>
    <row r="446" spans="1:54" s="188" customFormat="1" ht="13.5">
      <c r="A446" s="179"/>
      <c r="B446" s="175"/>
      <c r="C446" s="180" t="str">
        <f>IFERROR(IF(VLOOKUP($B446,勘定科目!$A:$H,HLOOKUP($E$5,勘定科目!$F$1:$H$2,2,0),0)="","",VLOOKUP($B446,勘定科目!$A:$E,2,0)),"")</f>
        <v/>
      </c>
      <c r="D446" s="236" t="str">
        <f>IF(C446="","",VLOOKUP($B446,勘定科目!$A:$E,4,0))</f>
        <v/>
      </c>
      <c r="E446" s="242"/>
      <c r="F446" s="237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197">
        <f t="shared" si="18"/>
        <v>0</v>
      </c>
      <c r="S446" s="198"/>
      <c r="T446" s="199"/>
      <c r="U446" s="243"/>
      <c r="V446" s="243"/>
      <c r="W446" s="243"/>
      <c r="BA446"/>
      <c r="BB446"/>
    </row>
    <row r="447" spans="1:54" s="188" customFormat="1" ht="13.5">
      <c r="A447" s="179"/>
      <c r="B447" s="175"/>
      <c r="C447" s="180" t="str">
        <f>IFERROR(IF(VLOOKUP($B447,勘定科目!$A:$H,HLOOKUP($E$5,勘定科目!$F$1:$H$2,2,0),0)="","",VLOOKUP($B447,勘定科目!$A:$E,2,0)),"")</f>
        <v/>
      </c>
      <c r="D447" s="236" t="str">
        <f>IF(C447="","",VLOOKUP($B447,勘定科目!$A:$E,4,0))</f>
        <v/>
      </c>
      <c r="E447" s="242"/>
      <c r="F447" s="237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197">
        <f t="shared" si="18"/>
        <v>0</v>
      </c>
      <c r="S447" s="198"/>
      <c r="T447" s="199"/>
      <c r="U447" s="243"/>
      <c r="V447" s="243"/>
      <c r="W447" s="243"/>
      <c r="BA447"/>
      <c r="BB447"/>
    </row>
    <row r="448" spans="1:54" s="188" customFormat="1" ht="13.5">
      <c r="A448" s="179"/>
      <c r="B448" s="175"/>
      <c r="C448" s="180" t="str">
        <f>IFERROR(IF(VLOOKUP($B448,勘定科目!$A:$H,HLOOKUP($E$5,勘定科目!$F$1:$H$2,2,0),0)="","",VLOOKUP($B448,勘定科目!$A:$E,2,0)),"")</f>
        <v/>
      </c>
      <c r="D448" s="236" t="str">
        <f>IF(C448="","",VLOOKUP($B448,勘定科目!$A:$E,4,0))</f>
        <v/>
      </c>
      <c r="E448" s="242"/>
      <c r="F448" s="237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197">
        <f t="shared" si="18"/>
        <v>0</v>
      </c>
      <c r="S448" s="198"/>
      <c r="T448" s="199"/>
      <c r="U448" s="243"/>
      <c r="V448" s="243"/>
      <c r="W448" s="243"/>
      <c r="BA448"/>
      <c r="BB448"/>
    </row>
    <row r="449" spans="1:54" s="188" customFormat="1" ht="13.5">
      <c r="A449" s="179"/>
      <c r="B449" s="175"/>
      <c r="C449" s="180" t="str">
        <f>IFERROR(IF(VLOOKUP($B449,勘定科目!$A:$H,HLOOKUP($E$5,勘定科目!$F$1:$H$2,2,0),0)="","",VLOOKUP($B449,勘定科目!$A:$E,2,0)),"")</f>
        <v/>
      </c>
      <c r="D449" s="236" t="str">
        <f>IF(C449="","",VLOOKUP($B449,勘定科目!$A:$E,4,0))</f>
        <v/>
      </c>
      <c r="E449" s="242"/>
      <c r="F449" s="237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197">
        <f t="shared" si="18"/>
        <v>0</v>
      </c>
      <c r="S449" s="198"/>
      <c r="T449" s="199"/>
      <c r="U449" s="243"/>
      <c r="V449" s="243"/>
      <c r="W449" s="243"/>
      <c r="BA449"/>
      <c r="BB449"/>
    </row>
    <row r="450" spans="1:54" s="188" customFormat="1" ht="13.5">
      <c r="A450" s="179"/>
      <c r="B450" s="175"/>
      <c r="C450" s="180" t="str">
        <f>IFERROR(IF(VLOOKUP($B450,勘定科目!$A:$H,HLOOKUP($E$5,勘定科目!$F$1:$H$2,2,0),0)="","",VLOOKUP($B450,勘定科目!$A:$E,2,0)),"")</f>
        <v/>
      </c>
      <c r="D450" s="236" t="str">
        <f>IF(C450="","",VLOOKUP($B450,勘定科目!$A:$E,4,0))</f>
        <v/>
      </c>
      <c r="E450" s="242"/>
      <c r="F450" s="237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197">
        <f t="shared" si="18"/>
        <v>0</v>
      </c>
      <c r="S450" s="198"/>
      <c r="T450" s="199"/>
      <c r="U450" s="243"/>
      <c r="V450" s="243"/>
      <c r="W450" s="243"/>
      <c r="BA450"/>
      <c r="BB450"/>
    </row>
    <row r="451" spans="1:54" s="188" customFormat="1" ht="13.5">
      <c r="A451" s="179"/>
      <c r="B451" s="175"/>
      <c r="C451" s="180" t="str">
        <f>IFERROR(IF(VLOOKUP($B451,勘定科目!$A:$H,HLOOKUP($E$5,勘定科目!$F$1:$H$2,2,0),0)="","",VLOOKUP($B451,勘定科目!$A:$E,2,0)),"")</f>
        <v/>
      </c>
      <c r="D451" s="236" t="str">
        <f>IF(C451="","",VLOOKUP($B451,勘定科目!$A:$E,4,0))</f>
        <v/>
      </c>
      <c r="E451" s="242"/>
      <c r="F451" s="237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197">
        <f t="shared" si="18"/>
        <v>0</v>
      </c>
      <c r="S451" s="198"/>
      <c r="T451" s="199"/>
      <c r="U451" s="243"/>
      <c r="V451" s="243"/>
      <c r="W451" s="243"/>
      <c r="BA451"/>
      <c r="BB451"/>
    </row>
    <row r="452" spans="1:54" s="188" customFormat="1" ht="13.5">
      <c r="A452" s="179"/>
      <c r="B452" s="175"/>
      <c r="C452" s="180" t="str">
        <f>IFERROR(IF(VLOOKUP($B452,勘定科目!$A:$H,HLOOKUP($E$5,勘定科目!$F$1:$H$2,2,0),0)="","",VLOOKUP($B452,勘定科目!$A:$E,2,0)),"")</f>
        <v/>
      </c>
      <c r="D452" s="236" t="str">
        <f>IF(C452="","",VLOOKUP($B452,勘定科目!$A:$E,4,0))</f>
        <v/>
      </c>
      <c r="E452" s="242"/>
      <c r="F452" s="237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197">
        <f t="shared" si="18"/>
        <v>0</v>
      </c>
      <c r="S452" s="198"/>
      <c r="T452" s="199"/>
      <c r="U452" s="243"/>
      <c r="V452" s="243"/>
      <c r="W452" s="243"/>
      <c r="BA452"/>
      <c r="BB452"/>
    </row>
    <row r="453" spans="1:54" s="188" customFormat="1" ht="13.5">
      <c r="A453" s="179"/>
      <c r="B453" s="175"/>
      <c r="C453" s="180" t="str">
        <f>IFERROR(IF(VLOOKUP($B453,勘定科目!$A:$H,HLOOKUP($E$5,勘定科目!$F$1:$H$2,2,0),0)="","",VLOOKUP($B453,勘定科目!$A:$E,2,0)),"")</f>
        <v/>
      </c>
      <c r="D453" s="236" t="str">
        <f>IF(C453="","",VLOOKUP($B453,勘定科目!$A:$E,4,0))</f>
        <v/>
      </c>
      <c r="E453" s="242"/>
      <c r="F453" s="237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197">
        <f t="shared" si="18"/>
        <v>0</v>
      </c>
      <c r="S453" s="198"/>
      <c r="T453" s="199"/>
      <c r="U453" s="243"/>
      <c r="V453" s="243"/>
      <c r="W453" s="243"/>
      <c r="BA453"/>
      <c r="BB453"/>
    </row>
    <row r="454" spans="1:54" s="188" customFormat="1" ht="13.5">
      <c r="A454" s="179"/>
      <c r="B454" s="175"/>
      <c r="C454" s="180" t="str">
        <f>IFERROR(IF(VLOOKUP($B454,勘定科目!$A:$H,HLOOKUP($E$5,勘定科目!$F$1:$H$2,2,0),0)="","",VLOOKUP($B454,勘定科目!$A:$E,2,0)),"")</f>
        <v/>
      </c>
      <c r="D454" s="236" t="str">
        <f>IF(C454="","",VLOOKUP($B454,勘定科目!$A:$E,4,0))</f>
        <v/>
      </c>
      <c r="E454" s="242"/>
      <c r="F454" s="237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197">
        <f t="shared" si="18"/>
        <v>0</v>
      </c>
      <c r="S454" s="198"/>
      <c r="T454" s="199"/>
      <c r="U454" s="243"/>
      <c r="V454" s="243"/>
      <c r="W454" s="243"/>
      <c r="BA454"/>
      <c r="BB454"/>
    </row>
    <row r="455" spans="1:54" s="188" customFormat="1" ht="13.5">
      <c r="A455" s="179"/>
      <c r="B455" s="175"/>
      <c r="C455" s="180" t="str">
        <f>IFERROR(IF(VLOOKUP($B455,勘定科目!$A:$H,HLOOKUP($E$5,勘定科目!$F$1:$H$2,2,0),0)="","",VLOOKUP($B455,勘定科目!$A:$E,2,0)),"")</f>
        <v/>
      </c>
      <c r="D455" s="236" t="str">
        <f>IF(C455="","",VLOOKUP($B455,勘定科目!$A:$E,4,0))</f>
        <v/>
      </c>
      <c r="E455" s="242"/>
      <c r="F455" s="237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197">
        <f t="shared" si="18"/>
        <v>0</v>
      </c>
      <c r="S455" s="198"/>
      <c r="T455" s="199"/>
      <c r="U455" s="243"/>
      <c r="V455" s="243"/>
      <c r="W455" s="243"/>
      <c r="BA455"/>
      <c r="BB455"/>
    </row>
    <row r="456" spans="1:54" s="188" customFormat="1" ht="13.5">
      <c r="A456" s="179"/>
      <c r="B456" s="175"/>
      <c r="C456" s="180" t="str">
        <f>IFERROR(IF(VLOOKUP($B456,勘定科目!$A:$H,HLOOKUP($E$5,勘定科目!$F$1:$H$2,2,0),0)="","",VLOOKUP($B456,勘定科目!$A:$E,2,0)),"")</f>
        <v/>
      </c>
      <c r="D456" s="236" t="str">
        <f>IF(C456="","",VLOOKUP($B456,勘定科目!$A:$E,4,0))</f>
        <v/>
      </c>
      <c r="E456" s="242"/>
      <c r="F456" s="237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197">
        <f t="shared" si="18"/>
        <v>0</v>
      </c>
      <c r="S456" s="198"/>
      <c r="T456" s="199"/>
      <c r="U456" s="243"/>
      <c r="V456" s="243"/>
      <c r="W456" s="243"/>
      <c r="BA456"/>
      <c r="BB456"/>
    </row>
    <row r="457" spans="1:54" s="188" customFormat="1" ht="13.5">
      <c r="A457" s="179"/>
      <c r="B457" s="175"/>
      <c r="C457" s="180" t="str">
        <f>IFERROR(IF(VLOOKUP($B457,勘定科目!$A:$H,HLOOKUP($E$5,勘定科目!$F$1:$H$2,2,0),0)="","",VLOOKUP($B457,勘定科目!$A:$E,2,0)),"")</f>
        <v/>
      </c>
      <c r="D457" s="236" t="str">
        <f>IF(C457="","",VLOOKUP($B457,勘定科目!$A:$E,4,0))</f>
        <v/>
      </c>
      <c r="E457" s="242"/>
      <c r="F457" s="237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197">
        <f t="shared" si="18"/>
        <v>0</v>
      </c>
      <c r="S457" s="198"/>
      <c r="T457" s="199"/>
      <c r="U457" s="243"/>
      <c r="V457" s="243"/>
      <c r="W457" s="243"/>
      <c r="BA457"/>
      <c r="BB457"/>
    </row>
    <row r="458" spans="1:54" s="188" customFormat="1" ht="13.5">
      <c r="A458" s="179"/>
      <c r="B458" s="175"/>
      <c r="C458" s="180" t="str">
        <f>IFERROR(IF(VLOOKUP($B458,勘定科目!$A:$H,HLOOKUP($E$5,勘定科目!$F$1:$H$2,2,0),0)="","",VLOOKUP($B458,勘定科目!$A:$E,2,0)),"")</f>
        <v/>
      </c>
      <c r="D458" s="236" t="str">
        <f>IF(C458="","",VLOOKUP($B458,勘定科目!$A:$E,4,0))</f>
        <v/>
      </c>
      <c r="E458" s="242"/>
      <c r="F458" s="237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197">
        <f t="shared" si="18"/>
        <v>0</v>
      </c>
      <c r="S458" s="198"/>
      <c r="T458" s="199"/>
      <c r="U458" s="243"/>
      <c r="V458" s="243"/>
      <c r="W458" s="243"/>
      <c r="BA458"/>
      <c r="BB458"/>
    </row>
    <row r="459" spans="1:54" s="188" customFormat="1" ht="13.5">
      <c r="A459" s="179"/>
      <c r="B459" s="175"/>
      <c r="C459" s="180" t="str">
        <f>IFERROR(IF(VLOOKUP($B459,勘定科目!$A:$H,HLOOKUP($E$5,勘定科目!$F$1:$H$2,2,0),0)="","",VLOOKUP($B459,勘定科目!$A:$E,2,0)),"")</f>
        <v/>
      </c>
      <c r="D459" s="236" t="str">
        <f>IF(C459="","",VLOOKUP($B459,勘定科目!$A:$E,4,0))</f>
        <v/>
      </c>
      <c r="E459" s="242"/>
      <c r="F459" s="237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197">
        <f t="shared" si="18"/>
        <v>0</v>
      </c>
      <c r="S459" s="198"/>
      <c r="T459" s="199"/>
      <c r="U459" s="243"/>
      <c r="V459" s="243"/>
      <c r="W459" s="243"/>
      <c r="BA459"/>
      <c r="BB459"/>
    </row>
    <row r="460" spans="1:54" s="188" customFormat="1" ht="13.5">
      <c r="A460" s="179"/>
      <c r="B460" s="175"/>
      <c r="C460" s="180" t="str">
        <f>IFERROR(IF(VLOOKUP($B460,勘定科目!$A:$H,HLOOKUP($E$5,勘定科目!$F$1:$H$2,2,0),0)="","",VLOOKUP($B460,勘定科目!$A:$E,2,0)),"")</f>
        <v/>
      </c>
      <c r="D460" s="236" t="str">
        <f>IF(C460="","",VLOOKUP($B460,勘定科目!$A:$E,4,0))</f>
        <v/>
      </c>
      <c r="E460" s="242"/>
      <c r="F460" s="237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197">
        <f t="shared" si="18"/>
        <v>0</v>
      </c>
      <c r="S460" s="198"/>
      <c r="T460" s="199"/>
      <c r="U460" s="243"/>
      <c r="V460" s="243"/>
      <c r="W460" s="243"/>
      <c r="BA460"/>
      <c r="BB460"/>
    </row>
    <row r="461" spans="1:54" s="188" customFormat="1" ht="13.5">
      <c r="A461" s="179"/>
      <c r="B461" s="175"/>
      <c r="C461" s="180" t="str">
        <f>IFERROR(IF(VLOOKUP($B461,勘定科目!$A:$H,HLOOKUP($E$5,勘定科目!$F$1:$H$2,2,0),0)="","",VLOOKUP($B461,勘定科目!$A:$E,2,0)),"")</f>
        <v/>
      </c>
      <c r="D461" s="236" t="str">
        <f>IF(C461="","",VLOOKUP($B461,勘定科目!$A:$E,4,0))</f>
        <v/>
      </c>
      <c r="E461" s="242"/>
      <c r="F461" s="237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197">
        <f t="shared" si="18"/>
        <v>0</v>
      </c>
      <c r="S461" s="198"/>
      <c r="T461" s="199"/>
      <c r="U461" s="243"/>
      <c r="V461" s="243"/>
      <c r="W461" s="243"/>
      <c r="BA461"/>
      <c r="BB461"/>
    </row>
    <row r="462" spans="1:54" s="188" customFormat="1" ht="13.5">
      <c r="A462" s="179"/>
      <c r="B462" s="175"/>
      <c r="C462" s="180" t="str">
        <f>IFERROR(IF(VLOOKUP($B462,勘定科目!$A:$H,HLOOKUP($E$5,勘定科目!$F$1:$H$2,2,0),0)="","",VLOOKUP($B462,勘定科目!$A:$E,2,0)),"")</f>
        <v/>
      </c>
      <c r="D462" s="236" t="str">
        <f>IF(C462="","",VLOOKUP($B462,勘定科目!$A:$E,4,0))</f>
        <v/>
      </c>
      <c r="E462" s="242"/>
      <c r="F462" s="237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197">
        <f t="shared" si="18"/>
        <v>0</v>
      </c>
      <c r="S462" s="198"/>
      <c r="T462" s="199"/>
      <c r="U462" s="243"/>
      <c r="V462" s="243"/>
      <c r="W462" s="243"/>
      <c r="BA462"/>
      <c r="BB462"/>
    </row>
    <row r="463" spans="1:54" s="188" customFormat="1" ht="13.5">
      <c r="A463" s="179"/>
      <c r="B463" s="175"/>
      <c r="C463" s="180" t="str">
        <f>IFERROR(IF(VLOOKUP($B463,勘定科目!$A:$H,HLOOKUP($E$5,勘定科目!$F$1:$H$2,2,0),0)="","",VLOOKUP($B463,勘定科目!$A:$E,2,0)),"")</f>
        <v/>
      </c>
      <c r="D463" s="236" t="str">
        <f>IF(C463="","",VLOOKUP($B463,勘定科目!$A:$E,4,0))</f>
        <v/>
      </c>
      <c r="E463" s="242"/>
      <c r="F463" s="237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197">
        <f t="shared" si="18"/>
        <v>0</v>
      </c>
      <c r="S463" s="198"/>
      <c r="T463" s="199"/>
      <c r="U463" s="243"/>
      <c r="V463" s="243"/>
      <c r="W463" s="243"/>
      <c r="BA463"/>
      <c r="BB463"/>
    </row>
    <row r="464" spans="1:54" s="188" customFormat="1" ht="13.5">
      <c r="A464" s="179"/>
      <c r="B464" s="175"/>
      <c r="C464" s="180" t="str">
        <f>IFERROR(IF(VLOOKUP($B464,勘定科目!$A:$H,HLOOKUP($E$5,勘定科目!$F$1:$H$2,2,0),0)="","",VLOOKUP($B464,勘定科目!$A:$E,2,0)),"")</f>
        <v/>
      </c>
      <c r="D464" s="236" t="str">
        <f>IF(C464="","",VLOOKUP($B464,勘定科目!$A:$E,4,0))</f>
        <v/>
      </c>
      <c r="E464" s="242"/>
      <c r="F464" s="237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197">
        <f t="shared" si="18"/>
        <v>0</v>
      </c>
      <c r="S464" s="198"/>
      <c r="T464" s="199"/>
      <c r="U464" s="243"/>
      <c r="V464" s="243"/>
      <c r="W464" s="243"/>
      <c r="BA464"/>
      <c r="BB464"/>
    </row>
    <row r="465" spans="1:54" s="188" customFormat="1" ht="13.5">
      <c r="A465" s="179"/>
      <c r="B465" s="175"/>
      <c r="C465" s="180" t="str">
        <f>IFERROR(IF(VLOOKUP($B465,勘定科目!$A:$H,HLOOKUP($E$5,勘定科目!$F$1:$H$2,2,0),0)="","",VLOOKUP($B465,勘定科目!$A:$E,2,0)),"")</f>
        <v/>
      </c>
      <c r="D465" s="236" t="str">
        <f>IF(C465="","",VLOOKUP($B465,勘定科目!$A:$E,4,0))</f>
        <v/>
      </c>
      <c r="E465" s="242"/>
      <c r="F465" s="237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197">
        <f t="shared" si="18"/>
        <v>0</v>
      </c>
      <c r="S465" s="198"/>
      <c r="T465" s="199"/>
      <c r="U465" s="243"/>
      <c r="V465" s="243"/>
      <c r="W465" s="243"/>
      <c r="BA465"/>
      <c r="BB465"/>
    </row>
    <row r="466" spans="1:54" s="188" customFormat="1" ht="13.5">
      <c r="A466" s="179"/>
      <c r="B466" s="175"/>
      <c r="C466" s="180" t="str">
        <f>IFERROR(IF(VLOOKUP($B466,勘定科目!$A:$H,HLOOKUP($E$5,勘定科目!$F$1:$H$2,2,0),0)="","",VLOOKUP($B466,勘定科目!$A:$E,2,0)),"")</f>
        <v/>
      </c>
      <c r="D466" s="236" t="str">
        <f>IF(C466="","",VLOOKUP($B466,勘定科目!$A:$E,4,0))</f>
        <v/>
      </c>
      <c r="E466" s="242"/>
      <c r="F466" s="237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197">
        <f t="shared" si="18"/>
        <v>0</v>
      </c>
      <c r="S466" s="198"/>
      <c r="T466" s="199"/>
      <c r="U466" s="243"/>
      <c r="V466" s="243"/>
      <c r="W466" s="243"/>
      <c r="BA466"/>
      <c r="BB466"/>
    </row>
    <row r="467" spans="1:54" s="188" customFormat="1" ht="13.5">
      <c r="A467" s="179"/>
      <c r="B467" s="175"/>
      <c r="C467" s="180" t="str">
        <f>IFERROR(IF(VLOOKUP($B467,勘定科目!$A:$H,HLOOKUP($E$5,勘定科目!$F$1:$H$2,2,0),0)="","",VLOOKUP($B467,勘定科目!$A:$E,2,0)),"")</f>
        <v/>
      </c>
      <c r="D467" s="236" t="str">
        <f>IF(C467="","",VLOOKUP($B467,勘定科目!$A:$E,4,0))</f>
        <v/>
      </c>
      <c r="E467" s="242"/>
      <c r="F467" s="237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197">
        <f t="shared" si="18"/>
        <v>0</v>
      </c>
      <c r="S467" s="198"/>
      <c r="T467" s="199"/>
      <c r="U467" s="243"/>
      <c r="V467" s="243"/>
      <c r="W467" s="243"/>
      <c r="BA467"/>
      <c r="BB467"/>
    </row>
    <row r="468" spans="1:54" s="188" customFormat="1" ht="13.5">
      <c r="A468" s="179"/>
      <c r="B468" s="175"/>
      <c r="C468" s="180" t="str">
        <f>IFERROR(IF(VLOOKUP($B468,勘定科目!$A:$H,HLOOKUP($E$5,勘定科目!$F$1:$H$2,2,0),0)="","",VLOOKUP($B468,勘定科目!$A:$E,2,0)),"")</f>
        <v/>
      </c>
      <c r="D468" s="236" t="str">
        <f>IF(C468="","",VLOOKUP($B468,勘定科目!$A:$E,4,0))</f>
        <v/>
      </c>
      <c r="E468" s="242"/>
      <c r="F468" s="237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197">
        <f t="shared" si="18"/>
        <v>0</v>
      </c>
      <c r="S468" s="198"/>
      <c r="T468" s="199"/>
      <c r="U468" s="243"/>
      <c r="V468" s="243"/>
      <c r="W468" s="243"/>
      <c r="BA468"/>
      <c r="BB468"/>
    </row>
    <row r="469" spans="1:54" s="188" customFormat="1" ht="13.5">
      <c r="A469" s="179"/>
      <c r="B469" s="175"/>
      <c r="C469" s="180" t="str">
        <f>IFERROR(IF(VLOOKUP($B469,勘定科目!$A:$H,HLOOKUP($E$5,勘定科目!$F$1:$H$2,2,0),0)="","",VLOOKUP($B469,勘定科目!$A:$E,2,0)),"")</f>
        <v/>
      </c>
      <c r="D469" s="236" t="str">
        <f>IF(C469="","",VLOOKUP($B469,勘定科目!$A:$E,4,0))</f>
        <v/>
      </c>
      <c r="E469" s="242"/>
      <c r="F469" s="237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197">
        <f t="shared" si="18"/>
        <v>0</v>
      </c>
      <c r="S469" s="198"/>
      <c r="T469" s="199"/>
      <c r="U469" s="243"/>
      <c r="V469" s="243"/>
      <c r="W469" s="243"/>
      <c r="BA469"/>
      <c r="BB469"/>
    </row>
    <row r="470" spans="1:54" s="188" customFormat="1" ht="13.5">
      <c r="A470" s="179"/>
      <c r="B470" s="175"/>
      <c r="C470" s="180" t="str">
        <f>IFERROR(IF(VLOOKUP($B470,勘定科目!$A:$H,HLOOKUP($E$5,勘定科目!$F$1:$H$2,2,0),0)="","",VLOOKUP($B470,勘定科目!$A:$E,2,0)),"")</f>
        <v/>
      </c>
      <c r="D470" s="236" t="str">
        <f>IF(C470="","",VLOOKUP($B470,勘定科目!$A:$E,4,0))</f>
        <v/>
      </c>
      <c r="E470" s="242"/>
      <c r="F470" s="237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197">
        <f t="shared" si="18"/>
        <v>0</v>
      </c>
      <c r="S470" s="198"/>
      <c r="T470" s="199"/>
      <c r="U470" s="243"/>
      <c r="V470" s="243"/>
      <c r="W470" s="243"/>
      <c r="BA470"/>
      <c r="BB470"/>
    </row>
    <row r="471" spans="1:54" s="188" customFormat="1" ht="13.5">
      <c r="A471" s="179"/>
      <c r="B471" s="175"/>
      <c r="C471" s="180" t="str">
        <f>IFERROR(IF(VLOOKUP($B471,勘定科目!$A:$H,HLOOKUP($E$5,勘定科目!$F$1:$H$2,2,0),0)="","",VLOOKUP($B471,勘定科目!$A:$E,2,0)),"")</f>
        <v/>
      </c>
      <c r="D471" s="236" t="str">
        <f>IF(C471="","",VLOOKUP($B471,勘定科目!$A:$E,4,0))</f>
        <v/>
      </c>
      <c r="E471" s="242"/>
      <c r="F471" s="237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197">
        <f t="shared" si="18"/>
        <v>0</v>
      </c>
      <c r="S471" s="198"/>
      <c r="T471" s="199"/>
      <c r="U471" s="243"/>
      <c r="V471" s="243"/>
      <c r="W471" s="243"/>
      <c r="BA471"/>
      <c r="BB471"/>
    </row>
    <row r="472" spans="1:54" s="188" customFormat="1" ht="13.5">
      <c r="A472" s="179"/>
      <c r="B472" s="175"/>
      <c r="C472" s="180" t="str">
        <f>IFERROR(IF(VLOOKUP($B472,勘定科目!$A:$H,HLOOKUP($E$5,勘定科目!$F$1:$H$2,2,0),0)="","",VLOOKUP($B472,勘定科目!$A:$E,2,0)),"")</f>
        <v/>
      </c>
      <c r="D472" s="236" t="str">
        <f>IF(C472="","",VLOOKUP($B472,勘定科目!$A:$E,4,0))</f>
        <v/>
      </c>
      <c r="E472" s="242"/>
      <c r="F472" s="237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197">
        <f t="shared" si="18"/>
        <v>0</v>
      </c>
      <c r="S472" s="198"/>
      <c r="T472" s="199"/>
      <c r="U472" s="243"/>
      <c r="V472" s="243"/>
      <c r="W472" s="243"/>
      <c r="BA472"/>
      <c r="BB472"/>
    </row>
    <row r="473" spans="1:54" s="188" customFormat="1" ht="13.5">
      <c r="A473" s="179"/>
      <c r="B473" s="175"/>
      <c r="C473" s="180" t="str">
        <f>IFERROR(IF(VLOOKUP($B473,勘定科目!$A:$H,HLOOKUP($E$5,勘定科目!$F$1:$H$2,2,0),0)="","",VLOOKUP($B473,勘定科目!$A:$E,2,0)),"")</f>
        <v/>
      </c>
      <c r="D473" s="236" t="str">
        <f>IF(C473="","",VLOOKUP($B473,勘定科目!$A:$E,4,0))</f>
        <v/>
      </c>
      <c r="E473" s="242"/>
      <c r="F473" s="237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197">
        <f t="shared" si="18"/>
        <v>0</v>
      </c>
      <c r="S473" s="198"/>
      <c r="T473" s="199"/>
      <c r="U473" s="243"/>
      <c r="V473" s="243"/>
      <c r="W473" s="243"/>
      <c r="BA473"/>
      <c r="BB473"/>
    </row>
    <row r="474" spans="1:54" s="188" customFormat="1" ht="13.5">
      <c r="A474" s="179"/>
      <c r="B474" s="175"/>
      <c r="C474" s="180" t="str">
        <f>IFERROR(IF(VLOOKUP($B474,勘定科目!$A:$H,HLOOKUP($E$5,勘定科目!$F$1:$H$2,2,0),0)="","",VLOOKUP($B474,勘定科目!$A:$E,2,0)),"")</f>
        <v/>
      </c>
      <c r="D474" s="236" t="str">
        <f>IF(C474="","",VLOOKUP($B474,勘定科目!$A:$E,4,0))</f>
        <v/>
      </c>
      <c r="E474" s="242"/>
      <c r="F474" s="237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197">
        <f t="shared" si="18"/>
        <v>0</v>
      </c>
      <c r="S474" s="198"/>
      <c r="T474" s="199"/>
      <c r="U474" s="243"/>
      <c r="V474" s="243"/>
      <c r="W474" s="243"/>
      <c r="BA474"/>
      <c r="BB474"/>
    </row>
    <row r="475" spans="1:54" s="188" customFormat="1" ht="13.5">
      <c r="A475" s="179"/>
      <c r="B475" s="175"/>
      <c r="C475" s="180" t="str">
        <f>IFERROR(IF(VLOOKUP($B475,勘定科目!$A:$H,HLOOKUP($E$5,勘定科目!$F$1:$H$2,2,0),0)="","",VLOOKUP($B475,勘定科目!$A:$E,2,0)),"")</f>
        <v/>
      </c>
      <c r="D475" s="236" t="str">
        <f>IF(C475="","",VLOOKUP($B475,勘定科目!$A:$E,4,0))</f>
        <v/>
      </c>
      <c r="E475" s="242"/>
      <c r="F475" s="237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197">
        <f t="shared" si="18"/>
        <v>0</v>
      </c>
      <c r="S475" s="198"/>
      <c r="T475" s="199"/>
      <c r="U475" s="243"/>
      <c r="V475" s="243"/>
      <c r="W475" s="243"/>
      <c r="BA475"/>
      <c r="BB475"/>
    </row>
    <row r="476" spans="1:54" s="188" customFormat="1" ht="13.5">
      <c r="A476" s="179"/>
      <c r="B476" s="175"/>
      <c r="C476" s="180" t="str">
        <f>IFERROR(IF(VLOOKUP($B476,勘定科目!$A:$H,HLOOKUP($E$5,勘定科目!$F$1:$H$2,2,0),0)="","",VLOOKUP($B476,勘定科目!$A:$E,2,0)),"")</f>
        <v/>
      </c>
      <c r="D476" s="236" t="str">
        <f>IF(C476="","",VLOOKUP($B476,勘定科目!$A:$E,4,0))</f>
        <v/>
      </c>
      <c r="E476" s="242"/>
      <c r="F476" s="237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197">
        <f t="shared" si="18"/>
        <v>0</v>
      </c>
      <c r="S476" s="198"/>
      <c r="T476" s="199"/>
      <c r="U476" s="243"/>
      <c r="V476" s="243"/>
      <c r="W476" s="243"/>
      <c r="BA476"/>
      <c r="BB476"/>
    </row>
    <row r="477" spans="1:54" s="188" customFormat="1" ht="13.5">
      <c r="A477" s="179"/>
      <c r="B477" s="175"/>
      <c r="C477" s="180" t="str">
        <f>IFERROR(IF(VLOOKUP($B477,勘定科目!$A:$H,HLOOKUP($E$5,勘定科目!$F$1:$H$2,2,0),0)="","",VLOOKUP($B477,勘定科目!$A:$E,2,0)),"")</f>
        <v/>
      </c>
      <c r="D477" s="236" t="str">
        <f>IF(C477="","",VLOOKUP($B477,勘定科目!$A:$E,4,0))</f>
        <v/>
      </c>
      <c r="E477" s="242"/>
      <c r="F477" s="237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197">
        <f t="shared" si="18"/>
        <v>0</v>
      </c>
      <c r="S477" s="198"/>
      <c r="T477" s="199"/>
      <c r="U477" s="243"/>
      <c r="V477" s="243"/>
      <c r="W477" s="243"/>
      <c r="BA477"/>
      <c r="BB477"/>
    </row>
    <row r="478" spans="1:54" s="188" customFormat="1" ht="13.5">
      <c r="A478" s="179"/>
      <c r="B478" s="175"/>
      <c r="C478" s="180" t="str">
        <f>IFERROR(IF(VLOOKUP($B478,勘定科目!$A:$H,HLOOKUP($E$5,勘定科目!$F$1:$H$2,2,0),0)="","",VLOOKUP($B478,勘定科目!$A:$E,2,0)),"")</f>
        <v/>
      </c>
      <c r="D478" s="236" t="str">
        <f>IF(C478="","",VLOOKUP($B478,勘定科目!$A:$E,4,0))</f>
        <v/>
      </c>
      <c r="E478" s="242"/>
      <c r="F478" s="237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197">
        <f t="shared" si="18"/>
        <v>0</v>
      </c>
      <c r="S478" s="198"/>
      <c r="T478" s="199"/>
      <c r="U478" s="243"/>
      <c r="V478" s="243"/>
      <c r="W478" s="243"/>
      <c r="BA478"/>
      <c r="BB478"/>
    </row>
    <row r="479" spans="1:54" s="188" customFormat="1" ht="13.5">
      <c r="A479" s="179"/>
      <c r="B479" s="175"/>
      <c r="C479" s="180" t="str">
        <f>IFERROR(IF(VLOOKUP($B479,勘定科目!$A:$H,HLOOKUP($E$5,勘定科目!$F$1:$H$2,2,0),0)="","",VLOOKUP($B479,勘定科目!$A:$E,2,0)),"")</f>
        <v/>
      </c>
      <c r="D479" s="236" t="str">
        <f>IF(C479="","",VLOOKUP($B479,勘定科目!$A:$E,4,0))</f>
        <v/>
      </c>
      <c r="E479" s="242"/>
      <c r="F479" s="237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197">
        <f t="shared" si="18"/>
        <v>0</v>
      </c>
      <c r="S479" s="198"/>
      <c r="T479" s="199"/>
      <c r="U479" s="243"/>
      <c r="V479" s="243"/>
      <c r="W479" s="243"/>
      <c r="BA479"/>
      <c r="BB479"/>
    </row>
    <row r="480" spans="1:54" s="188" customFormat="1" ht="13.5">
      <c r="A480" s="179"/>
      <c r="B480" s="175"/>
      <c r="C480" s="180" t="str">
        <f>IFERROR(IF(VLOOKUP($B480,勘定科目!$A:$H,HLOOKUP($E$5,勘定科目!$F$1:$H$2,2,0),0)="","",VLOOKUP($B480,勘定科目!$A:$E,2,0)),"")</f>
        <v/>
      </c>
      <c r="D480" s="236" t="str">
        <f>IF(C480="","",VLOOKUP($B480,勘定科目!$A:$E,4,0))</f>
        <v/>
      </c>
      <c r="E480" s="242"/>
      <c r="F480" s="237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197">
        <f t="shared" si="18"/>
        <v>0</v>
      </c>
      <c r="S480" s="198"/>
      <c r="T480" s="199"/>
      <c r="U480" s="243"/>
      <c r="V480" s="243"/>
      <c r="W480" s="243"/>
      <c r="BA480"/>
      <c r="BB480"/>
    </row>
    <row r="481" spans="1:54" s="188" customFormat="1" ht="13.5">
      <c r="A481" s="179"/>
      <c r="B481" s="175"/>
      <c r="C481" s="180" t="str">
        <f>IFERROR(IF(VLOOKUP($B481,勘定科目!$A:$H,HLOOKUP($E$5,勘定科目!$F$1:$H$2,2,0),0)="","",VLOOKUP($B481,勘定科目!$A:$E,2,0)),"")</f>
        <v/>
      </c>
      <c r="D481" s="236" t="str">
        <f>IF(C481="","",VLOOKUP($B481,勘定科目!$A:$E,4,0))</f>
        <v/>
      </c>
      <c r="E481" s="242"/>
      <c r="F481" s="237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197">
        <f t="shared" si="18"/>
        <v>0</v>
      </c>
      <c r="S481" s="198"/>
      <c r="T481" s="199"/>
      <c r="U481" s="243"/>
      <c r="V481" s="243"/>
      <c r="W481" s="243"/>
      <c r="BA481"/>
      <c r="BB481"/>
    </row>
    <row r="482" spans="1:54" s="188" customFormat="1" ht="13.5">
      <c r="A482" s="179"/>
      <c r="B482" s="175"/>
      <c r="C482" s="180" t="str">
        <f>IFERROR(IF(VLOOKUP($B482,勘定科目!$A:$H,HLOOKUP($E$5,勘定科目!$F$1:$H$2,2,0),0)="","",VLOOKUP($B482,勘定科目!$A:$E,2,0)),"")</f>
        <v/>
      </c>
      <c r="D482" s="236" t="str">
        <f>IF(C482="","",VLOOKUP($B482,勘定科目!$A:$E,4,0))</f>
        <v/>
      </c>
      <c r="E482" s="242"/>
      <c r="F482" s="237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197">
        <f t="shared" si="18"/>
        <v>0</v>
      </c>
      <c r="S482" s="198"/>
      <c r="T482" s="199"/>
      <c r="U482" s="243"/>
      <c r="V482" s="243"/>
      <c r="W482" s="243"/>
      <c r="BA482"/>
      <c r="BB482"/>
    </row>
    <row r="483" spans="1:54" s="188" customFormat="1" ht="13.5">
      <c r="A483" s="179"/>
      <c r="B483" s="175"/>
      <c r="C483" s="180" t="str">
        <f>IFERROR(IF(VLOOKUP($B483,勘定科目!$A:$H,HLOOKUP($E$5,勘定科目!$F$1:$H$2,2,0),0)="","",VLOOKUP($B483,勘定科目!$A:$E,2,0)),"")</f>
        <v/>
      </c>
      <c r="D483" s="236" t="str">
        <f>IF(C483="","",VLOOKUP($B483,勘定科目!$A:$E,4,0))</f>
        <v/>
      </c>
      <c r="E483" s="242"/>
      <c r="F483" s="237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197">
        <f t="shared" si="18"/>
        <v>0</v>
      </c>
      <c r="S483" s="198"/>
      <c r="T483" s="199"/>
      <c r="U483" s="243"/>
      <c r="V483" s="243"/>
      <c r="W483" s="243"/>
      <c r="BA483"/>
      <c r="BB483"/>
    </row>
    <row r="484" spans="1:54" s="188" customFormat="1" ht="13.5">
      <c r="A484" s="179"/>
      <c r="B484" s="175"/>
      <c r="C484" s="180" t="str">
        <f>IFERROR(IF(VLOOKUP($B484,勘定科目!$A:$H,HLOOKUP($E$5,勘定科目!$F$1:$H$2,2,0),0)="","",VLOOKUP($B484,勘定科目!$A:$E,2,0)),"")</f>
        <v/>
      </c>
      <c r="D484" s="236" t="str">
        <f>IF(C484="","",VLOOKUP($B484,勘定科目!$A:$E,4,0))</f>
        <v/>
      </c>
      <c r="E484" s="242"/>
      <c r="F484" s="237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197">
        <f t="shared" si="18"/>
        <v>0</v>
      </c>
      <c r="S484" s="198"/>
      <c r="T484" s="199"/>
      <c r="U484" s="243"/>
      <c r="V484" s="243"/>
      <c r="W484" s="243"/>
      <c r="BA484"/>
      <c r="BB484"/>
    </row>
    <row r="485" spans="1:54" s="188" customFormat="1" ht="13.5">
      <c r="A485" s="179"/>
      <c r="B485" s="175"/>
      <c r="C485" s="180" t="str">
        <f>IFERROR(IF(VLOOKUP($B485,勘定科目!$A:$H,HLOOKUP($E$5,勘定科目!$F$1:$H$2,2,0),0)="","",VLOOKUP($B485,勘定科目!$A:$E,2,0)),"")</f>
        <v/>
      </c>
      <c r="D485" s="236" t="str">
        <f>IF(C485="","",VLOOKUP($B485,勘定科目!$A:$E,4,0))</f>
        <v/>
      </c>
      <c r="E485" s="242"/>
      <c r="F485" s="237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197">
        <f t="shared" si="18"/>
        <v>0</v>
      </c>
      <c r="S485" s="198"/>
      <c r="T485" s="199"/>
      <c r="U485" s="243"/>
      <c r="V485" s="243"/>
      <c r="W485" s="243"/>
      <c r="BA485"/>
      <c r="BB485"/>
    </row>
    <row r="486" spans="1:54" s="188" customFormat="1" ht="13.5">
      <c r="A486" s="179"/>
      <c r="B486" s="175"/>
      <c r="C486" s="180" t="str">
        <f>IFERROR(IF(VLOOKUP($B486,勘定科目!$A:$H,HLOOKUP($E$5,勘定科目!$F$1:$H$2,2,0),0)="","",VLOOKUP($B486,勘定科目!$A:$E,2,0)),"")</f>
        <v/>
      </c>
      <c r="D486" s="236" t="str">
        <f>IF(C486="","",VLOOKUP($B486,勘定科目!$A:$E,4,0))</f>
        <v/>
      </c>
      <c r="E486" s="242"/>
      <c r="F486" s="237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197">
        <f t="shared" si="18"/>
        <v>0</v>
      </c>
      <c r="S486" s="198"/>
      <c r="T486" s="199"/>
      <c r="U486" s="243"/>
      <c r="V486" s="243"/>
      <c r="W486" s="243"/>
      <c r="BA486"/>
      <c r="BB486"/>
    </row>
    <row r="487" spans="1:54" s="188" customFormat="1" ht="13.5">
      <c r="A487" s="179"/>
      <c r="B487" s="175"/>
      <c r="C487" s="180" t="str">
        <f>IFERROR(IF(VLOOKUP($B487,勘定科目!$A:$H,HLOOKUP($E$5,勘定科目!$F$1:$H$2,2,0),0)="","",VLOOKUP($B487,勘定科目!$A:$E,2,0)),"")</f>
        <v/>
      </c>
      <c r="D487" s="236" t="str">
        <f>IF(C487="","",VLOOKUP($B487,勘定科目!$A:$E,4,0))</f>
        <v/>
      </c>
      <c r="E487" s="242"/>
      <c r="F487" s="237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197">
        <f t="shared" si="18"/>
        <v>0</v>
      </c>
      <c r="S487" s="198"/>
      <c r="T487" s="199"/>
      <c r="U487" s="243"/>
      <c r="V487" s="243"/>
      <c r="W487" s="243"/>
      <c r="BA487"/>
      <c r="BB487"/>
    </row>
    <row r="488" spans="1:54" s="188" customFormat="1" ht="13.5">
      <c r="A488" s="179"/>
      <c r="B488" s="175"/>
      <c r="C488" s="180" t="str">
        <f>IFERROR(IF(VLOOKUP($B488,勘定科目!$A:$H,HLOOKUP($E$5,勘定科目!$F$1:$H$2,2,0),0)="","",VLOOKUP($B488,勘定科目!$A:$E,2,0)),"")</f>
        <v/>
      </c>
      <c r="D488" s="236" t="str">
        <f>IF(C488="","",VLOOKUP($B488,勘定科目!$A:$E,4,0))</f>
        <v/>
      </c>
      <c r="E488" s="242"/>
      <c r="F488" s="237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197">
        <f t="shared" si="18"/>
        <v>0</v>
      </c>
      <c r="S488" s="198"/>
      <c r="T488" s="199"/>
      <c r="U488" s="243"/>
      <c r="V488" s="243"/>
      <c r="W488" s="243"/>
      <c r="BA488"/>
      <c r="BB488"/>
    </row>
    <row r="489" spans="1:54" s="188" customFormat="1" ht="13.5">
      <c r="A489" s="179"/>
      <c r="B489" s="175"/>
      <c r="C489" s="180" t="str">
        <f>IFERROR(IF(VLOOKUP($B489,勘定科目!$A:$H,HLOOKUP($E$5,勘定科目!$F$1:$H$2,2,0),0)="","",VLOOKUP($B489,勘定科目!$A:$E,2,0)),"")</f>
        <v/>
      </c>
      <c r="D489" s="236" t="str">
        <f>IF(C489="","",VLOOKUP($B489,勘定科目!$A:$E,4,0))</f>
        <v/>
      </c>
      <c r="E489" s="242"/>
      <c r="F489" s="237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197">
        <f t="shared" si="18"/>
        <v>0</v>
      </c>
      <c r="S489" s="198"/>
      <c r="T489" s="199"/>
      <c r="U489" s="243"/>
      <c r="V489" s="243"/>
      <c r="W489" s="243"/>
      <c r="BA489"/>
      <c r="BB489"/>
    </row>
    <row r="490" spans="1:54" s="188" customFormat="1" ht="13.5">
      <c r="A490" s="179"/>
      <c r="B490" s="175"/>
      <c r="C490" s="180" t="str">
        <f>IFERROR(IF(VLOOKUP($B490,勘定科目!$A:$H,HLOOKUP($E$5,勘定科目!$F$1:$H$2,2,0),0)="","",VLOOKUP($B490,勘定科目!$A:$E,2,0)),"")</f>
        <v/>
      </c>
      <c r="D490" s="236" t="str">
        <f>IF(C490="","",VLOOKUP($B490,勘定科目!$A:$E,4,0))</f>
        <v/>
      </c>
      <c r="E490" s="242"/>
      <c r="F490" s="237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197">
        <f t="shared" si="18"/>
        <v>0</v>
      </c>
      <c r="S490" s="198"/>
      <c r="T490" s="199"/>
      <c r="U490" s="243"/>
      <c r="V490" s="243"/>
      <c r="W490" s="243"/>
      <c r="BA490"/>
      <c r="BB490"/>
    </row>
    <row r="491" spans="1:54" s="188" customFormat="1" ht="13.5">
      <c r="A491" s="179"/>
      <c r="B491" s="175"/>
      <c r="C491" s="180" t="str">
        <f>IFERROR(IF(VLOOKUP($B491,勘定科目!$A:$H,HLOOKUP($E$5,勘定科目!$F$1:$H$2,2,0),0)="","",VLOOKUP($B491,勘定科目!$A:$E,2,0)),"")</f>
        <v/>
      </c>
      <c r="D491" s="236" t="str">
        <f>IF(C491="","",VLOOKUP($B491,勘定科目!$A:$E,4,0))</f>
        <v/>
      </c>
      <c r="E491" s="242"/>
      <c r="F491" s="237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197">
        <f t="shared" si="18"/>
        <v>0</v>
      </c>
      <c r="S491" s="198"/>
      <c r="T491" s="199"/>
      <c r="U491" s="243"/>
      <c r="V491" s="243"/>
      <c r="W491" s="243"/>
      <c r="BA491"/>
      <c r="BB491"/>
    </row>
    <row r="492" spans="1:54" s="188" customFormat="1" ht="13.5">
      <c r="A492" s="179"/>
      <c r="B492" s="175"/>
      <c r="C492" s="180" t="str">
        <f>IFERROR(IF(VLOOKUP($B492,勘定科目!$A:$H,HLOOKUP($E$5,勘定科目!$F$1:$H$2,2,0),0)="","",VLOOKUP($B492,勘定科目!$A:$E,2,0)),"")</f>
        <v/>
      </c>
      <c r="D492" s="236" t="str">
        <f>IF(C492="","",VLOOKUP($B492,勘定科目!$A:$E,4,0))</f>
        <v/>
      </c>
      <c r="E492" s="242"/>
      <c r="F492" s="237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197">
        <f t="shared" si="18"/>
        <v>0</v>
      </c>
      <c r="S492" s="198"/>
      <c r="T492" s="199"/>
      <c r="U492" s="243"/>
      <c r="V492" s="243"/>
      <c r="W492" s="243"/>
      <c r="BA492"/>
      <c r="BB492"/>
    </row>
    <row r="493" spans="1:54" s="188" customFormat="1" ht="13.5">
      <c r="A493" s="179"/>
      <c r="B493" s="175"/>
      <c r="C493" s="180" t="str">
        <f>IFERROR(IF(VLOOKUP($B493,勘定科目!$A:$H,HLOOKUP($E$5,勘定科目!$F$1:$H$2,2,0),0)="","",VLOOKUP($B493,勘定科目!$A:$E,2,0)),"")</f>
        <v/>
      </c>
      <c r="D493" s="236" t="str">
        <f>IF(C493="","",VLOOKUP($B493,勘定科目!$A:$E,4,0))</f>
        <v/>
      </c>
      <c r="E493" s="242"/>
      <c r="F493" s="237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197">
        <f t="shared" si="18"/>
        <v>0</v>
      </c>
      <c r="S493" s="198"/>
      <c r="T493" s="199"/>
      <c r="U493" s="243"/>
      <c r="V493" s="243"/>
      <c r="W493" s="243"/>
      <c r="BA493"/>
      <c r="BB493"/>
    </row>
    <row r="494" spans="1:54" s="188" customFormat="1" ht="13.5">
      <c r="A494" s="179"/>
      <c r="B494" s="175"/>
      <c r="C494" s="180" t="str">
        <f>IFERROR(IF(VLOOKUP($B494,勘定科目!$A:$H,HLOOKUP($E$5,勘定科目!$F$1:$H$2,2,0),0)="","",VLOOKUP($B494,勘定科目!$A:$E,2,0)),"")</f>
        <v/>
      </c>
      <c r="D494" s="236" t="str">
        <f>IF(C494="","",VLOOKUP($B494,勘定科目!$A:$E,4,0))</f>
        <v/>
      </c>
      <c r="E494" s="242"/>
      <c r="F494" s="237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197">
        <f t="shared" si="18"/>
        <v>0</v>
      </c>
      <c r="S494" s="198"/>
      <c r="T494" s="199"/>
      <c r="U494" s="243"/>
      <c r="V494" s="243"/>
      <c r="W494" s="243"/>
      <c r="BA494"/>
      <c r="BB494"/>
    </row>
    <row r="495" spans="1:54" s="188" customFormat="1" ht="13.5">
      <c r="A495" s="179"/>
      <c r="B495" s="175"/>
      <c r="C495" s="180" t="str">
        <f>IFERROR(IF(VLOOKUP($B495,勘定科目!$A:$H,HLOOKUP($E$5,勘定科目!$F$1:$H$2,2,0),0)="","",VLOOKUP($B495,勘定科目!$A:$E,2,0)),"")</f>
        <v/>
      </c>
      <c r="D495" s="236" t="str">
        <f>IF(C495="","",VLOOKUP($B495,勘定科目!$A:$E,4,0))</f>
        <v/>
      </c>
      <c r="E495" s="242"/>
      <c r="F495" s="237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197">
        <f t="shared" si="18"/>
        <v>0</v>
      </c>
      <c r="S495" s="198"/>
      <c r="T495" s="199"/>
      <c r="U495" s="243"/>
      <c r="V495" s="243"/>
      <c r="W495" s="243"/>
      <c r="BA495"/>
      <c r="BB495"/>
    </row>
    <row r="496" spans="1:54" s="188" customFormat="1" ht="13.5">
      <c r="A496" s="179"/>
      <c r="B496" s="175"/>
      <c r="C496" s="180" t="str">
        <f>IFERROR(IF(VLOOKUP($B496,勘定科目!$A:$H,HLOOKUP($E$5,勘定科目!$F$1:$H$2,2,0),0)="","",VLOOKUP($B496,勘定科目!$A:$E,2,0)),"")</f>
        <v/>
      </c>
      <c r="D496" s="236" t="str">
        <f>IF(C496="","",VLOOKUP($B496,勘定科目!$A:$E,4,0))</f>
        <v/>
      </c>
      <c r="E496" s="242"/>
      <c r="F496" s="237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197">
        <f t="shared" si="18"/>
        <v>0</v>
      </c>
      <c r="S496" s="198"/>
      <c r="T496" s="199"/>
      <c r="U496" s="243"/>
      <c r="V496" s="243"/>
      <c r="W496" s="243"/>
      <c r="BA496"/>
      <c r="BB496"/>
    </row>
    <row r="497" spans="1:54" s="188" customFormat="1" ht="13.5">
      <c r="A497" s="179"/>
      <c r="B497" s="175"/>
      <c r="C497" s="180" t="str">
        <f>IFERROR(IF(VLOOKUP($B497,勘定科目!$A:$H,HLOOKUP($E$5,勘定科目!$F$1:$H$2,2,0),0)="","",VLOOKUP($B497,勘定科目!$A:$E,2,0)),"")</f>
        <v/>
      </c>
      <c r="D497" s="236" t="str">
        <f>IF(C497="","",VLOOKUP($B497,勘定科目!$A:$E,4,0))</f>
        <v/>
      </c>
      <c r="E497" s="242"/>
      <c r="F497" s="237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197">
        <f t="shared" si="18"/>
        <v>0</v>
      </c>
      <c r="S497" s="198"/>
      <c r="T497" s="199"/>
      <c r="U497" s="243"/>
      <c r="V497" s="243"/>
      <c r="W497" s="243"/>
      <c r="BA497"/>
      <c r="BB497"/>
    </row>
    <row r="498" spans="1:54" s="188" customFormat="1" ht="13.5">
      <c r="A498" s="179"/>
      <c r="B498" s="175"/>
      <c r="C498" s="180" t="str">
        <f>IFERROR(IF(VLOOKUP($B498,勘定科目!$A:$H,HLOOKUP($E$5,勘定科目!$F$1:$H$2,2,0),0)="","",VLOOKUP($B498,勘定科目!$A:$E,2,0)),"")</f>
        <v/>
      </c>
      <c r="D498" s="236" t="str">
        <f>IF(C498="","",VLOOKUP($B498,勘定科目!$A:$E,4,0))</f>
        <v/>
      </c>
      <c r="E498" s="242"/>
      <c r="F498" s="237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197">
        <f t="shared" si="18"/>
        <v>0</v>
      </c>
      <c r="S498" s="198"/>
      <c r="T498" s="199"/>
      <c r="U498" s="243"/>
      <c r="V498" s="243"/>
      <c r="W498" s="243"/>
      <c r="BA498"/>
      <c r="BB498"/>
    </row>
    <row r="499" spans="1:54" s="188" customFormat="1" ht="13.5">
      <c r="A499" s="179"/>
      <c r="B499" s="175"/>
      <c r="C499" s="180" t="str">
        <f>IFERROR(IF(VLOOKUP($B499,勘定科目!$A:$H,HLOOKUP($E$5,勘定科目!$F$1:$H$2,2,0),0)="","",VLOOKUP($B499,勘定科目!$A:$E,2,0)),"")</f>
        <v/>
      </c>
      <c r="D499" s="236" t="str">
        <f>IF(C499="","",VLOOKUP($B499,勘定科目!$A:$E,4,0))</f>
        <v/>
      </c>
      <c r="E499" s="242"/>
      <c r="F499" s="237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197">
        <f t="shared" si="18"/>
        <v>0</v>
      </c>
      <c r="S499" s="198"/>
      <c r="T499" s="199"/>
      <c r="U499" s="243"/>
      <c r="V499" s="243"/>
      <c r="W499" s="243"/>
      <c r="BA499"/>
      <c r="BB499"/>
    </row>
    <row r="500" spans="1:54" s="188" customFormat="1" ht="13.5">
      <c r="A500" s="179"/>
      <c r="B500" s="175"/>
      <c r="C500" s="180" t="str">
        <f>IFERROR(IF(VLOOKUP($B500,勘定科目!$A:$H,HLOOKUP($E$5,勘定科目!$F$1:$H$2,2,0),0)="","",VLOOKUP($B500,勘定科目!$A:$E,2,0)),"")</f>
        <v/>
      </c>
      <c r="D500" s="236" t="str">
        <f>IF(C500="","",VLOOKUP($B500,勘定科目!$A:$E,4,0))</f>
        <v/>
      </c>
      <c r="E500" s="242"/>
      <c r="F500" s="237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197">
        <f t="shared" si="18"/>
        <v>0</v>
      </c>
      <c r="S500" s="198"/>
      <c r="T500" s="199"/>
      <c r="U500" s="243"/>
      <c r="V500" s="243"/>
      <c r="W500" s="243"/>
      <c r="BA500"/>
      <c r="BB500"/>
    </row>
    <row r="501" spans="1:54" s="188" customFormat="1" ht="13.5">
      <c r="A501" s="179"/>
      <c r="B501" s="175"/>
      <c r="C501" s="180" t="str">
        <f>IFERROR(IF(VLOOKUP($B501,勘定科目!$A:$H,HLOOKUP($E$5,勘定科目!$F$1:$H$2,2,0),0)="","",VLOOKUP($B501,勘定科目!$A:$E,2,0)),"")</f>
        <v/>
      </c>
      <c r="D501" s="236" t="str">
        <f>IF(C501="","",VLOOKUP($B501,勘定科目!$A:$E,4,0))</f>
        <v/>
      </c>
      <c r="E501" s="242"/>
      <c r="F501" s="237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197">
        <f t="shared" ref="R501:R564" si="19">SUM(F501:Q501)</f>
        <v>0</v>
      </c>
      <c r="S501" s="198"/>
      <c r="T501" s="199"/>
      <c r="U501" s="243"/>
      <c r="V501" s="243"/>
      <c r="W501" s="243"/>
      <c r="BA501"/>
      <c r="BB501"/>
    </row>
    <row r="502" spans="1:54" s="188" customFormat="1" ht="13.5">
      <c r="A502" s="179"/>
      <c r="B502" s="175"/>
      <c r="C502" s="180" t="str">
        <f>IFERROR(IF(VLOOKUP($B502,勘定科目!$A:$H,HLOOKUP($E$5,勘定科目!$F$1:$H$2,2,0),0)="","",VLOOKUP($B502,勘定科目!$A:$E,2,0)),"")</f>
        <v/>
      </c>
      <c r="D502" s="236" t="str">
        <f>IF(C502="","",VLOOKUP($B502,勘定科目!$A:$E,4,0))</f>
        <v/>
      </c>
      <c r="E502" s="242"/>
      <c r="F502" s="237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197">
        <f t="shared" si="19"/>
        <v>0</v>
      </c>
      <c r="S502" s="198"/>
      <c r="T502" s="199"/>
      <c r="U502" s="243"/>
      <c r="V502" s="243"/>
      <c r="W502" s="243"/>
      <c r="BA502"/>
      <c r="BB502"/>
    </row>
    <row r="503" spans="1:54" s="188" customFormat="1" ht="13.5">
      <c r="A503" s="179"/>
      <c r="B503" s="175"/>
      <c r="C503" s="180" t="str">
        <f>IFERROR(IF(VLOOKUP($B503,勘定科目!$A:$H,HLOOKUP($E$5,勘定科目!$F$1:$H$2,2,0),0)="","",VLOOKUP($B503,勘定科目!$A:$E,2,0)),"")</f>
        <v/>
      </c>
      <c r="D503" s="236" t="str">
        <f>IF(C503="","",VLOOKUP($B503,勘定科目!$A:$E,4,0))</f>
        <v/>
      </c>
      <c r="E503" s="242"/>
      <c r="F503" s="237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197">
        <f t="shared" si="19"/>
        <v>0</v>
      </c>
      <c r="S503" s="198"/>
      <c r="T503" s="199"/>
      <c r="U503" s="243"/>
      <c r="V503" s="243"/>
      <c r="W503" s="243"/>
      <c r="BA503"/>
      <c r="BB503"/>
    </row>
    <row r="504" spans="1:54" s="188" customFormat="1" ht="13.5">
      <c r="A504" s="179"/>
      <c r="B504" s="175"/>
      <c r="C504" s="180" t="str">
        <f>IFERROR(IF(VLOOKUP($B504,勘定科目!$A:$H,HLOOKUP($E$5,勘定科目!$F$1:$H$2,2,0),0)="","",VLOOKUP($B504,勘定科目!$A:$E,2,0)),"")</f>
        <v/>
      </c>
      <c r="D504" s="236" t="str">
        <f>IF(C504="","",VLOOKUP($B504,勘定科目!$A:$E,4,0))</f>
        <v/>
      </c>
      <c r="E504" s="242"/>
      <c r="F504" s="237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197">
        <f t="shared" si="19"/>
        <v>0</v>
      </c>
      <c r="S504" s="198"/>
      <c r="T504" s="199"/>
      <c r="U504" s="243"/>
      <c r="V504" s="243"/>
      <c r="W504" s="243"/>
      <c r="BA504"/>
      <c r="BB504"/>
    </row>
    <row r="505" spans="1:54" s="188" customFormat="1" ht="13.5">
      <c r="A505" s="179"/>
      <c r="B505" s="175"/>
      <c r="C505" s="180" t="str">
        <f>IFERROR(IF(VLOOKUP($B505,勘定科目!$A:$H,HLOOKUP($E$5,勘定科目!$F$1:$H$2,2,0),0)="","",VLOOKUP($B505,勘定科目!$A:$E,2,0)),"")</f>
        <v/>
      </c>
      <c r="D505" s="236" t="str">
        <f>IF(C505="","",VLOOKUP($B505,勘定科目!$A:$E,4,0))</f>
        <v/>
      </c>
      <c r="E505" s="242"/>
      <c r="F505" s="237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197">
        <f t="shared" si="19"/>
        <v>0</v>
      </c>
      <c r="S505" s="198"/>
      <c r="T505" s="199"/>
      <c r="U505" s="243"/>
      <c r="V505" s="243"/>
      <c r="W505" s="243"/>
      <c r="BA505"/>
      <c r="BB505"/>
    </row>
    <row r="506" spans="1:54" s="188" customFormat="1" ht="13.5">
      <c r="A506" s="179"/>
      <c r="B506" s="175"/>
      <c r="C506" s="180" t="str">
        <f>IFERROR(IF(VLOOKUP($B506,勘定科目!$A:$H,HLOOKUP($E$5,勘定科目!$F$1:$H$2,2,0),0)="","",VLOOKUP($B506,勘定科目!$A:$E,2,0)),"")</f>
        <v/>
      </c>
      <c r="D506" s="236" t="str">
        <f>IF(C506="","",VLOOKUP($B506,勘定科目!$A:$E,4,0))</f>
        <v/>
      </c>
      <c r="E506" s="242"/>
      <c r="F506" s="237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197">
        <f t="shared" si="19"/>
        <v>0</v>
      </c>
      <c r="S506" s="198"/>
      <c r="T506" s="199"/>
      <c r="U506" s="243"/>
      <c r="V506" s="243"/>
      <c r="W506" s="243"/>
      <c r="BA506"/>
      <c r="BB506"/>
    </row>
    <row r="507" spans="1:54" s="188" customFormat="1" ht="13.5">
      <c r="A507" s="179"/>
      <c r="B507" s="175"/>
      <c r="C507" s="180" t="str">
        <f>IFERROR(IF(VLOOKUP($B507,勘定科目!$A:$H,HLOOKUP($E$5,勘定科目!$F$1:$H$2,2,0),0)="","",VLOOKUP($B507,勘定科目!$A:$E,2,0)),"")</f>
        <v/>
      </c>
      <c r="D507" s="236" t="str">
        <f>IF(C507="","",VLOOKUP($B507,勘定科目!$A:$E,4,0))</f>
        <v/>
      </c>
      <c r="E507" s="242"/>
      <c r="F507" s="237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197">
        <f t="shared" si="19"/>
        <v>0</v>
      </c>
      <c r="S507" s="198"/>
      <c r="T507" s="199"/>
      <c r="U507" s="243"/>
      <c r="V507" s="243"/>
      <c r="W507" s="243"/>
      <c r="BA507"/>
      <c r="BB507"/>
    </row>
    <row r="508" spans="1:54" s="188" customFormat="1" ht="13.5">
      <c r="A508" s="179"/>
      <c r="B508" s="175"/>
      <c r="C508" s="180" t="str">
        <f>IFERROR(IF(VLOOKUP($B508,勘定科目!$A:$H,HLOOKUP($E$5,勘定科目!$F$1:$H$2,2,0),0)="","",VLOOKUP($B508,勘定科目!$A:$E,2,0)),"")</f>
        <v/>
      </c>
      <c r="D508" s="236" t="str">
        <f>IF(C508="","",VLOOKUP($B508,勘定科目!$A:$E,4,0))</f>
        <v/>
      </c>
      <c r="E508" s="242"/>
      <c r="F508" s="237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197">
        <f t="shared" si="19"/>
        <v>0</v>
      </c>
      <c r="S508" s="198"/>
      <c r="T508" s="199"/>
      <c r="U508" s="243"/>
      <c r="V508" s="243"/>
      <c r="W508" s="243"/>
      <c r="BA508"/>
      <c r="BB508"/>
    </row>
    <row r="509" spans="1:54" s="188" customFormat="1" ht="13.5">
      <c r="A509" s="179"/>
      <c r="B509" s="175"/>
      <c r="C509" s="180" t="str">
        <f>IFERROR(IF(VLOOKUP($B509,勘定科目!$A:$H,HLOOKUP($E$5,勘定科目!$F$1:$H$2,2,0),0)="","",VLOOKUP($B509,勘定科目!$A:$E,2,0)),"")</f>
        <v/>
      </c>
      <c r="D509" s="236" t="str">
        <f>IF(C509="","",VLOOKUP($B509,勘定科目!$A:$E,4,0))</f>
        <v/>
      </c>
      <c r="E509" s="242"/>
      <c r="F509" s="237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197">
        <f t="shared" si="19"/>
        <v>0</v>
      </c>
      <c r="S509" s="198"/>
      <c r="T509" s="199"/>
      <c r="U509" s="243"/>
      <c r="V509" s="243"/>
      <c r="W509" s="243"/>
      <c r="BA509"/>
      <c r="BB509"/>
    </row>
    <row r="510" spans="1:54" s="188" customFormat="1" ht="13.5">
      <c r="A510" s="179"/>
      <c r="B510" s="175"/>
      <c r="C510" s="180" t="str">
        <f>IFERROR(IF(VLOOKUP($B510,勘定科目!$A:$H,HLOOKUP($E$5,勘定科目!$F$1:$H$2,2,0),0)="","",VLOOKUP($B510,勘定科目!$A:$E,2,0)),"")</f>
        <v/>
      </c>
      <c r="D510" s="236" t="str">
        <f>IF(C510="","",VLOOKUP($B510,勘定科目!$A:$E,4,0))</f>
        <v/>
      </c>
      <c r="E510" s="242"/>
      <c r="F510" s="237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197">
        <f t="shared" si="19"/>
        <v>0</v>
      </c>
      <c r="S510" s="198"/>
      <c r="T510" s="199"/>
      <c r="U510" s="243"/>
      <c r="V510" s="243"/>
      <c r="W510" s="243"/>
      <c r="BA510"/>
      <c r="BB510"/>
    </row>
    <row r="511" spans="1:54" s="188" customFormat="1" ht="13.5">
      <c r="A511" s="179"/>
      <c r="B511" s="175"/>
      <c r="C511" s="180" t="str">
        <f>IFERROR(IF(VLOOKUP($B511,勘定科目!$A:$H,HLOOKUP($E$5,勘定科目!$F$1:$H$2,2,0),0)="","",VLOOKUP($B511,勘定科目!$A:$E,2,0)),"")</f>
        <v/>
      </c>
      <c r="D511" s="236" t="str">
        <f>IF(C511="","",VLOOKUP($B511,勘定科目!$A:$E,4,0))</f>
        <v/>
      </c>
      <c r="E511" s="242"/>
      <c r="F511" s="237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197">
        <f t="shared" si="19"/>
        <v>0</v>
      </c>
      <c r="S511" s="198"/>
      <c r="T511" s="199"/>
      <c r="U511" s="243"/>
      <c r="V511" s="243"/>
      <c r="W511" s="243"/>
      <c r="BA511"/>
      <c r="BB511"/>
    </row>
    <row r="512" spans="1:54" s="188" customFormat="1" ht="13.5">
      <c r="A512" s="179"/>
      <c r="B512" s="175"/>
      <c r="C512" s="180" t="str">
        <f>IFERROR(IF(VLOOKUP($B512,勘定科目!$A:$H,HLOOKUP($E$5,勘定科目!$F$1:$H$2,2,0),0)="","",VLOOKUP($B512,勘定科目!$A:$E,2,0)),"")</f>
        <v/>
      </c>
      <c r="D512" s="236" t="str">
        <f>IF(C512="","",VLOOKUP($B512,勘定科目!$A:$E,4,0))</f>
        <v/>
      </c>
      <c r="E512" s="242"/>
      <c r="F512" s="237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197">
        <f t="shared" si="19"/>
        <v>0</v>
      </c>
      <c r="S512" s="198"/>
      <c r="T512" s="199"/>
      <c r="U512" s="243"/>
      <c r="V512" s="243"/>
      <c r="W512" s="243"/>
      <c r="BA512"/>
      <c r="BB512"/>
    </row>
    <row r="513" spans="1:54" s="188" customFormat="1" ht="13.5">
      <c r="A513" s="179"/>
      <c r="B513" s="175"/>
      <c r="C513" s="180" t="str">
        <f>IFERROR(IF(VLOOKUP($B513,勘定科目!$A:$H,HLOOKUP($E$5,勘定科目!$F$1:$H$2,2,0),0)="","",VLOOKUP($B513,勘定科目!$A:$E,2,0)),"")</f>
        <v/>
      </c>
      <c r="D513" s="236" t="str">
        <f>IF(C513="","",VLOOKUP($B513,勘定科目!$A:$E,4,0))</f>
        <v/>
      </c>
      <c r="E513" s="242"/>
      <c r="F513" s="237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197">
        <f t="shared" si="19"/>
        <v>0</v>
      </c>
      <c r="S513" s="198"/>
      <c r="T513" s="199"/>
      <c r="U513" s="243"/>
      <c r="V513" s="243"/>
      <c r="W513" s="243"/>
      <c r="BA513"/>
      <c r="BB513"/>
    </row>
    <row r="514" spans="1:54" s="188" customFormat="1" ht="13.5">
      <c r="A514" s="179"/>
      <c r="B514" s="175"/>
      <c r="C514" s="180" t="str">
        <f>IFERROR(IF(VLOOKUP($B514,勘定科目!$A:$H,HLOOKUP($E$5,勘定科目!$F$1:$H$2,2,0),0)="","",VLOOKUP($B514,勘定科目!$A:$E,2,0)),"")</f>
        <v/>
      </c>
      <c r="D514" s="236" t="str">
        <f>IF(C514="","",VLOOKUP($B514,勘定科目!$A:$E,4,0))</f>
        <v/>
      </c>
      <c r="E514" s="242"/>
      <c r="F514" s="237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197">
        <f t="shared" si="19"/>
        <v>0</v>
      </c>
      <c r="S514" s="198"/>
      <c r="T514" s="199"/>
      <c r="U514" s="243"/>
      <c r="V514" s="243"/>
      <c r="W514" s="243"/>
      <c r="BA514"/>
      <c r="BB514"/>
    </row>
    <row r="515" spans="1:54" s="188" customFormat="1" ht="13.5">
      <c r="A515" s="179"/>
      <c r="B515" s="175"/>
      <c r="C515" s="180" t="str">
        <f>IFERROR(IF(VLOOKUP($B515,勘定科目!$A:$H,HLOOKUP($E$5,勘定科目!$F$1:$H$2,2,0),0)="","",VLOOKUP($B515,勘定科目!$A:$E,2,0)),"")</f>
        <v/>
      </c>
      <c r="D515" s="236" t="str">
        <f>IF(C515="","",VLOOKUP($B515,勘定科目!$A:$E,4,0))</f>
        <v/>
      </c>
      <c r="E515" s="242"/>
      <c r="F515" s="237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197">
        <f t="shared" si="19"/>
        <v>0</v>
      </c>
      <c r="S515" s="198"/>
      <c r="T515" s="199"/>
      <c r="U515" s="243"/>
      <c r="V515" s="243"/>
      <c r="W515" s="243"/>
      <c r="BA515"/>
      <c r="BB515"/>
    </row>
    <row r="516" spans="1:54" s="188" customFormat="1" ht="13.5">
      <c r="A516" s="179"/>
      <c r="B516" s="175"/>
      <c r="C516" s="180" t="str">
        <f>IFERROR(IF(VLOOKUP($B516,勘定科目!$A:$H,HLOOKUP($E$5,勘定科目!$F$1:$H$2,2,0),0)="","",VLOOKUP($B516,勘定科目!$A:$E,2,0)),"")</f>
        <v/>
      </c>
      <c r="D516" s="236" t="str">
        <f>IF(C516="","",VLOOKUP($B516,勘定科目!$A:$E,4,0))</f>
        <v/>
      </c>
      <c r="E516" s="242"/>
      <c r="F516" s="237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197">
        <f t="shared" si="19"/>
        <v>0</v>
      </c>
      <c r="S516" s="198"/>
      <c r="T516" s="199"/>
      <c r="U516" s="243"/>
      <c r="V516" s="243"/>
      <c r="W516" s="243"/>
      <c r="BA516"/>
      <c r="BB516"/>
    </row>
    <row r="517" spans="1:54" s="188" customFormat="1" ht="13.5">
      <c r="A517" s="179"/>
      <c r="B517" s="175"/>
      <c r="C517" s="180" t="str">
        <f>IFERROR(IF(VLOOKUP($B517,勘定科目!$A:$H,HLOOKUP($E$5,勘定科目!$F$1:$H$2,2,0),0)="","",VLOOKUP($B517,勘定科目!$A:$E,2,0)),"")</f>
        <v/>
      </c>
      <c r="D517" s="236" t="str">
        <f>IF(C517="","",VLOOKUP($B517,勘定科目!$A:$E,4,0))</f>
        <v/>
      </c>
      <c r="E517" s="242"/>
      <c r="F517" s="237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197">
        <f t="shared" si="19"/>
        <v>0</v>
      </c>
      <c r="S517" s="198"/>
      <c r="T517" s="199"/>
      <c r="U517" s="243"/>
      <c r="V517" s="243"/>
      <c r="W517" s="243"/>
      <c r="BA517"/>
      <c r="BB517"/>
    </row>
    <row r="518" spans="1:54" s="188" customFormat="1" ht="13.5">
      <c r="A518" s="179"/>
      <c r="B518" s="175"/>
      <c r="C518" s="180" t="str">
        <f>IFERROR(IF(VLOOKUP($B518,勘定科目!$A:$H,HLOOKUP($E$5,勘定科目!$F$1:$H$2,2,0),0)="","",VLOOKUP($B518,勘定科目!$A:$E,2,0)),"")</f>
        <v/>
      </c>
      <c r="D518" s="236" t="str">
        <f>IF(C518="","",VLOOKUP($B518,勘定科目!$A:$E,4,0))</f>
        <v/>
      </c>
      <c r="E518" s="242"/>
      <c r="F518" s="237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197">
        <f t="shared" si="19"/>
        <v>0</v>
      </c>
      <c r="S518" s="198"/>
      <c r="T518" s="199"/>
      <c r="U518" s="243"/>
      <c r="V518" s="243"/>
      <c r="W518" s="243"/>
      <c r="BA518"/>
      <c r="BB518"/>
    </row>
    <row r="519" spans="1:54" s="188" customFormat="1" ht="13.5">
      <c r="A519" s="179"/>
      <c r="B519" s="175"/>
      <c r="C519" s="180" t="str">
        <f>IFERROR(IF(VLOOKUP($B519,勘定科目!$A:$H,HLOOKUP($E$5,勘定科目!$F$1:$H$2,2,0),0)="","",VLOOKUP($B519,勘定科目!$A:$E,2,0)),"")</f>
        <v/>
      </c>
      <c r="D519" s="236" t="str">
        <f>IF(C519="","",VLOOKUP($B519,勘定科目!$A:$E,4,0))</f>
        <v/>
      </c>
      <c r="E519" s="242"/>
      <c r="F519" s="237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197">
        <f t="shared" si="19"/>
        <v>0</v>
      </c>
      <c r="S519" s="198"/>
      <c r="T519" s="199"/>
      <c r="U519" s="243"/>
      <c r="V519" s="243"/>
      <c r="W519" s="243"/>
      <c r="BA519"/>
      <c r="BB519"/>
    </row>
    <row r="520" spans="1:54" s="188" customFormat="1" ht="13.5">
      <c r="A520" s="179"/>
      <c r="B520" s="175"/>
      <c r="C520" s="180" t="str">
        <f>IFERROR(IF(VLOOKUP($B520,勘定科目!$A:$H,HLOOKUP($E$5,勘定科目!$F$1:$H$2,2,0),0)="","",VLOOKUP($B520,勘定科目!$A:$E,2,0)),"")</f>
        <v/>
      </c>
      <c r="D520" s="236" t="str">
        <f>IF(C520="","",VLOOKUP($B520,勘定科目!$A:$E,4,0))</f>
        <v/>
      </c>
      <c r="E520" s="242"/>
      <c r="F520" s="237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197">
        <f t="shared" si="19"/>
        <v>0</v>
      </c>
      <c r="S520" s="198"/>
      <c r="T520" s="199"/>
      <c r="U520" s="243"/>
      <c r="V520" s="243"/>
      <c r="W520" s="243"/>
      <c r="BA520"/>
      <c r="BB520"/>
    </row>
    <row r="521" spans="1:54" s="188" customFormat="1" ht="13.5">
      <c r="A521" s="179"/>
      <c r="B521" s="175"/>
      <c r="C521" s="180" t="str">
        <f>IFERROR(IF(VLOOKUP($B521,勘定科目!$A:$H,HLOOKUP($E$5,勘定科目!$F$1:$H$2,2,0),0)="","",VLOOKUP($B521,勘定科目!$A:$E,2,0)),"")</f>
        <v/>
      </c>
      <c r="D521" s="236" t="str">
        <f>IF(C521="","",VLOOKUP($B521,勘定科目!$A:$E,4,0))</f>
        <v/>
      </c>
      <c r="E521" s="242"/>
      <c r="F521" s="237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197">
        <f t="shared" si="19"/>
        <v>0</v>
      </c>
      <c r="S521" s="198"/>
      <c r="T521" s="199"/>
      <c r="U521" s="243"/>
      <c r="V521" s="243"/>
      <c r="W521" s="243"/>
      <c r="BA521"/>
      <c r="BB521"/>
    </row>
    <row r="522" spans="1:54" s="188" customFormat="1" ht="13.5">
      <c r="A522" s="179"/>
      <c r="B522" s="175"/>
      <c r="C522" s="180" t="str">
        <f>IFERROR(IF(VLOOKUP($B522,勘定科目!$A:$H,HLOOKUP($E$5,勘定科目!$F$1:$H$2,2,0),0)="","",VLOOKUP($B522,勘定科目!$A:$E,2,0)),"")</f>
        <v/>
      </c>
      <c r="D522" s="236" t="str">
        <f>IF(C522="","",VLOOKUP($B522,勘定科目!$A:$E,4,0))</f>
        <v/>
      </c>
      <c r="E522" s="242"/>
      <c r="F522" s="237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197">
        <f t="shared" si="19"/>
        <v>0</v>
      </c>
      <c r="S522" s="198"/>
      <c r="T522" s="199"/>
      <c r="U522" s="243"/>
      <c r="V522" s="243"/>
      <c r="W522" s="243"/>
      <c r="BA522"/>
      <c r="BB522"/>
    </row>
    <row r="523" spans="1:54" s="188" customFormat="1" ht="13.5">
      <c r="A523" s="179"/>
      <c r="B523" s="175"/>
      <c r="C523" s="180" t="str">
        <f>IFERROR(IF(VLOOKUP($B523,勘定科目!$A:$H,HLOOKUP($E$5,勘定科目!$F$1:$H$2,2,0),0)="","",VLOOKUP($B523,勘定科目!$A:$E,2,0)),"")</f>
        <v/>
      </c>
      <c r="D523" s="236" t="str">
        <f>IF(C523="","",VLOOKUP($B523,勘定科目!$A:$E,4,0))</f>
        <v/>
      </c>
      <c r="E523" s="242"/>
      <c r="F523" s="237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197">
        <f t="shared" si="19"/>
        <v>0</v>
      </c>
      <c r="S523" s="198"/>
      <c r="T523" s="199"/>
      <c r="U523" s="243"/>
      <c r="V523" s="243"/>
      <c r="W523" s="243"/>
      <c r="BA523"/>
      <c r="BB523"/>
    </row>
    <row r="524" spans="1:54" s="188" customFormat="1" ht="13.5">
      <c r="A524" s="179"/>
      <c r="B524" s="175"/>
      <c r="C524" s="180" t="str">
        <f>IFERROR(IF(VLOOKUP($B524,勘定科目!$A:$H,HLOOKUP($E$5,勘定科目!$F$1:$H$2,2,0),0)="","",VLOOKUP($B524,勘定科目!$A:$E,2,0)),"")</f>
        <v/>
      </c>
      <c r="D524" s="236" t="str">
        <f>IF(C524="","",VLOOKUP($B524,勘定科目!$A:$E,4,0))</f>
        <v/>
      </c>
      <c r="E524" s="242"/>
      <c r="F524" s="237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197">
        <f t="shared" si="19"/>
        <v>0</v>
      </c>
      <c r="S524" s="198"/>
      <c r="T524" s="199"/>
      <c r="U524" s="243"/>
      <c r="V524" s="243"/>
      <c r="W524" s="243"/>
      <c r="BA524"/>
      <c r="BB524"/>
    </row>
    <row r="525" spans="1:54" s="188" customFormat="1" ht="13.5">
      <c r="A525" s="179"/>
      <c r="B525" s="175"/>
      <c r="C525" s="180" t="str">
        <f>IFERROR(IF(VLOOKUP($B525,勘定科目!$A:$H,HLOOKUP($E$5,勘定科目!$F$1:$H$2,2,0),0)="","",VLOOKUP($B525,勘定科目!$A:$E,2,0)),"")</f>
        <v/>
      </c>
      <c r="D525" s="236" t="str">
        <f>IF(C525="","",VLOOKUP($B525,勘定科目!$A:$E,4,0))</f>
        <v/>
      </c>
      <c r="E525" s="242"/>
      <c r="F525" s="237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197">
        <f t="shared" si="19"/>
        <v>0</v>
      </c>
      <c r="S525" s="198"/>
      <c r="T525" s="199"/>
      <c r="U525" s="243"/>
      <c r="V525" s="243"/>
      <c r="W525" s="243"/>
      <c r="BA525"/>
      <c r="BB525"/>
    </row>
    <row r="526" spans="1:54" s="188" customFormat="1" ht="13.5">
      <c r="A526" s="179"/>
      <c r="B526" s="175"/>
      <c r="C526" s="180" t="str">
        <f>IFERROR(IF(VLOOKUP($B526,勘定科目!$A:$H,HLOOKUP($E$5,勘定科目!$F$1:$H$2,2,0),0)="","",VLOOKUP($B526,勘定科目!$A:$E,2,0)),"")</f>
        <v/>
      </c>
      <c r="D526" s="236" t="str">
        <f>IF(C526="","",VLOOKUP($B526,勘定科目!$A:$E,4,0))</f>
        <v/>
      </c>
      <c r="E526" s="242"/>
      <c r="F526" s="237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197">
        <f t="shared" si="19"/>
        <v>0</v>
      </c>
      <c r="S526" s="198"/>
      <c r="T526" s="199"/>
      <c r="U526" s="243"/>
      <c r="V526" s="243"/>
      <c r="W526" s="243"/>
      <c r="BA526"/>
      <c r="BB526"/>
    </row>
    <row r="527" spans="1:54" s="188" customFormat="1" ht="13.5">
      <c r="A527" s="179"/>
      <c r="B527" s="175"/>
      <c r="C527" s="180" t="str">
        <f>IFERROR(IF(VLOOKUP($B527,勘定科目!$A:$H,HLOOKUP($E$5,勘定科目!$F$1:$H$2,2,0),0)="","",VLOOKUP($B527,勘定科目!$A:$E,2,0)),"")</f>
        <v/>
      </c>
      <c r="D527" s="236" t="str">
        <f>IF(C527="","",VLOOKUP($B527,勘定科目!$A:$E,4,0))</f>
        <v/>
      </c>
      <c r="E527" s="242"/>
      <c r="F527" s="237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197">
        <f t="shared" si="19"/>
        <v>0</v>
      </c>
      <c r="S527" s="198"/>
      <c r="T527" s="199"/>
      <c r="U527" s="243"/>
      <c r="V527" s="243"/>
      <c r="W527" s="243"/>
      <c r="BA527"/>
      <c r="BB527"/>
    </row>
    <row r="528" spans="1:54" s="188" customFormat="1" ht="13.5">
      <c r="A528" s="179"/>
      <c r="B528" s="175"/>
      <c r="C528" s="180" t="str">
        <f>IFERROR(IF(VLOOKUP($B528,勘定科目!$A:$H,HLOOKUP($E$5,勘定科目!$F$1:$H$2,2,0),0)="","",VLOOKUP($B528,勘定科目!$A:$E,2,0)),"")</f>
        <v/>
      </c>
      <c r="D528" s="236" t="str">
        <f>IF(C528="","",VLOOKUP($B528,勘定科目!$A:$E,4,0))</f>
        <v/>
      </c>
      <c r="E528" s="242"/>
      <c r="F528" s="237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197">
        <f t="shared" si="19"/>
        <v>0</v>
      </c>
      <c r="S528" s="198"/>
      <c r="T528" s="199"/>
      <c r="U528" s="243"/>
      <c r="V528" s="243"/>
      <c r="W528" s="243"/>
      <c r="BA528"/>
      <c r="BB528"/>
    </row>
    <row r="529" spans="1:54" s="188" customFormat="1" ht="13.5">
      <c r="A529" s="179"/>
      <c r="B529" s="175"/>
      <c r="C529" s="180" t="str">
        <f>IFERROR(IF(VLOOKUP($B529,勘定科目!$A:$H,HLOOKUP($E$5,勘定科目!$F$1:$H$2,2,0),0)="","",VLOOKUP($B529,勘定科目!$A:$E,2,0)),"")</f>
        <v/>
      </c>
      <c r="D529" s="236" t="str">
        <f>IF(C529="","",VLOOKUP($B529,勘定科目!$A:$E,4,0))</f>
        <v/>
      </c>
      <c r="E529" s="242"/>
      <c r="F529" s="237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197">
        <f t="shared" si="19"/>
        <v>0</v>
      </c>
      <c r="S529" s="198"/>
      <c r="T529" s="199"/>
      <c r="U529" s="243"/>
      <c r="V529" s="243"/>
      <c r="W529" s="243"/>
      <c r="BA529"/>
      <c r="BB529"/>
    </row>
    <row r="530" spans="1:54" s="188" customFormat="1" ht="13.5">
      <c r="A530" s="179"/>
      <c r="B530" s="175"/>
      <c r="C530" s="180" t="str">
        <f>IFERROR(IF(VLOOKUP($B530,勘定科目!$A:$H,HLOOKUP($E$5,勘定科目!$F$1:$H$2,2,0),0)="","",VLOOKUP($B530,勘定科目!$A:$E,2,0)),"")</f>
        <v/>
      </c>
      <c r="D530" s="236" t="str">
        <f>IF(C530="","",VLOOKUP($B530,勘定科目!$A:$E,4,0))</f>
        <v/>
      </c>
      <c r="E530" s="242"/>
      <c r="F530" s="237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197">
        <f t="shared" si="19"/>
        <v>0</v>
      </c>
      <c r="S530" s="198"/>
      <c r="T530" s="199"/>
      <c r="U530" s="243"/>
      <c r="V530" s="243"/>
      <c r="W530" s="243"/>
      <c r="BA530"/>
      <c r="BB530"/>
    </row>
    <row r="531" spans="1:54" s="188" customFormat="1" ht="13.5">
      <c r="A531" s="179"/>
      <c r="B531" s="175"/>
      <c r="C531" s="180" t="str">
        <f>IFERROR(IF(VLOOKUP($B531,勘定科目!$A:$H,HLOOKUP($E$5,勘定科目!$F$1:$H$2,2,0),0)="","",VLOOKUP($B531,勘定科目!$A:$E,2,0)),"")</f>
        <v/>
      </c>
      <c r="D531" s="236" t="str">
        <f>IF(C531="","",VLOOKUP($B531,勘定科目!$A:$E,4,0))</f>
        <v/>
      </c>
      <c r="E531" s="242"/>
      <c r="F531" s="237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197">
        <f t="shared" si="19"/>
        <v>0</v>
      </c>
      <c r="S531" s="198"/>
      <c r="T531" s="199"/>
      <c r="U531" s="243"/>
      <c r="V531" s="243"/>
      <c r="W531" s="243"/>
      <c r="BA531"/>
      <c r="BB531"/>
    </row>
    <row r="532" spans="1:54" s="188" customFormat="1" ht="13.5">
      <c r="A532" s="179"/>
      <c r="B532" s="175"/>
      <c r="C532" s="180" t="str">
        <f>IFERROR(IF(VLOOKUP($B532,勘定科目!$A:$H,HLOOKUP($E$5,勘定科目!$F$1:$H$2,2,0),0)="","",VLOOKUP($B532,勘定科目!$A:$E,2,0)),"")</f>
        <v/>
      </c>
      <c r="D532" s="236" t="str">
        <f>IF(C532="","",VLOOKUP($B532,勘定科目!$A:$E,4,0))</f>
        <v/>
      </c>
      <c r="E532" s="242"/>
      <c r="F532" s="237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197">
        <f t="shared" si="19"/>
        <v>0</v>
      </c>
      <c r="S532" s="198"/>
      <c r="T532" s="199"/>
      <c r="U532" s="243"/>
      <c r="V532" s="243"/>
      <c r="W532" s="243"/>
      <c r="BA532"/>
      <c r="BB532"/>
    </row>
    <row r="533" spans="1:54" s="188" customFormat="1" ht="13.5">
      <c r="A533" s="179"/>
      <c r="B533" s="175"/>
      <c r="C533" s="180" t="str">
        <f>IFERROR(IF(VLOOKUP($B533,勘定科目!$A:$H,HLOOKUP($E$5,勘定科目!$F$1:$H$2,2,0),0)="","",VLOOKUP($B533,勘定科目!$A:$E,2,0)),"")</f>
        <v/>
      </c>
      <c r="D533" s="236" t="str">
        <f>IF(C533="","",VLOOKUP($B533,勘定科目!$A:$E,4,0))</f>
        <v/>
      </c>
      <c r="E533" s="242"/>
      <c r="F533" s="237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197">
        <f t="shared" si="19"/>
        <v>0</v>
      </c>
      <c r="S533" s="198"/>
      <c r="T533" s="199"/>
      <c r="U533" s="243"/>
      <c r="V533" s="243"/>
      <c r="W533" s="243"/>
      <c r="BA533"/>
      <c r="BB533"/>
    </row>
    <row r="534" spans="1:54" s="188" customFormat="1" ht="13.5">
      <c r="A534" s="179"/>
      <c r="B534" s="175"/>
      <c r="C534" s="180" t="str">
        <f>IFERROR(IF(VLOOKUP($B534,勘定科目!$A:$H,HLOOKUP($E$5,勘定科目!$F$1:$H$2,2,0),0)="","",VLOOKUP($B534,勘定科目!$A:$E,2,0)),"")</f>
        <v/>
      </c>
      <c r="D534" s="236" t="str">
        <f>IF(C534="","",VLOOKUP($B534,勘定科目!$A:$E,4,0))</f>
        <v/>
      </c>
      <c r="E534" s="242"/>
      <c r="F534" s="237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197">
        <f t="shared" si="19"/>
        <v>0</v>
      </c>
      <c r="S534" s="198"/>
      <c r="T534" s="199"/>
      <c r="U534" s="243"/>
      <c r="V534" s="243"/>
      <c r="W534" s="243"/>
      <c r="BA534"/>
      <c r="BB534"/>
    </row>
    <row r="535" spans="1:54" s="188" customFormat="1" ht="13.5">
      <c r="A535" s="179"/>
      <c r="B535" s="175"/>
      <c r="C535" s="180" t="str">
        <f>IFERROR(IF(VLOOKUP($B535,勘定科目!$A:$H,HLOOKUP($E$5,勘定科目!$F$1:$H$2,2,0),0)="","",VLOOKUP($B535,勘定科目!$A:$E,2,0)),"")</f>
        <v/>
      </c>
      <c r="D535" s="236" t="str">
        <f>IF(C535="","",VLOOKUP($B535,勘定科目!$A:$E,4,0))</f>
        <v/>
      </c>
      <c r="E535" s="242"/>
      <c r="F535" s="237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197">
        <f t="shared" si="19"/>
        <v>0</v>
      </c>
      <c r="S535" s="198"/>
      <c r="T535" s="199"/>
      <c r="U535" s="243"/>
      <c r="V535" s="243"/>
      <c r="W535" s="243"/>
      <c r="BA535"/>
      <c r="BB535"/>
    </row>
    <row r="536" spans="1:54" s="188" customFormat="1" ht="13.5">
      <c r="A536" s="179"/>
      <c r="B536" s="175"/>
      <c r="C536" s="180" t="str">
        <f>IFERROR(IF(VLOOKUP($B536,勘定科目!$A:$H,HLOOKUP($E$5,勘定科目!$F$1:$H$2,2,0),0)="","",VLOOKUP($B536,勘定科目!$A:$E,2,0)),"")</f>
        <v/>
      </c>
      <c r="D536" s="236" t="str">
        <f>IF(C536="","",VLOOKUP($B536,勘定科目!$A:$E,4,0))</f>
        <v/>
      </c>
      <c r="E536" s="242"/>
      <c r="F536" s="237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197">
        <f t="shared" si="19"/>
        <v>0</v>
      </c>
      <c r="S536" s="198"/>
      <c r="T536" s="199"/>
      <c r="U536" s="243"/>
      <c r="V536" s="243"/>
      <c r="W536" s="243"/>
      <c r="BA536"/>
      <c r="BB536"/>
    </row>
    <row r="537" spans="1:54" s="188" customFormat="1" ht="13.5">
      <c r="A537" s="179"/>
      <c r="B537" s="175"/>
      <c r="C537" s="180" t="str">
        <f>IFERROR(IF(VLOOKUP($B537,勘定科目!$A:$H,HLOOKUP($E$5,勘定科目!$F$1:$H$2,2,0),0)="","",VLOOKUP($B537,勘定科目!$A:$E,2,0)),"")</f>
        <v/>
      </c>
      <c r="D537" s="236" t="str">
        <f>IF(C537="","",VLOOKUP($B537,勘定科目!$A:$E,4,0))</f>
        <v/>
      </c>
      <c r="E537" s="242"/>
      <c r="F537" s="237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197">
        <f t="shared" si="19"/>
        <v>0</v>
      </c>
      <c r="S537" s="198"/>
      <c r="T537" s="199"/>
      <c r="U537" s="243"/>
      <c r="V537" s="243"/>
      <c r="W537" s="243"/>
      <c r="BA537"/>
      <c r="BB537"/>
    </row>
    <row r="538" spans="1:54" s="188" customFormat="1" ht="13.5">
      <c r="A538" s="179"/>
      <c r="B538" s="175"/>
      <c r="C538" s="180" t="str">
        <f>IFERROR(IF(VLOOKUP($B538,勘定科目!$A:$H,HLOOKUP($E$5,勘定科目!$F$1:$H$2,2,0),0)="","",VLOOKUP($B538,勘定科目!$A:$E,2,0)),"")</f>
        <v/>
      </c>
      <c r="D538" s="236" t="str">
        <f>IF(C538="","",VLOOKUP($B538,勘定科目!$A:$E,4,0))</f>
        <v/>
      </c>
      <c r="E538" s="242"/>
      <c r="F538" s="237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197">
        <f t="shared" si="19"/>
        <v>0</v>
      </c>
      <c r="S538" s="198"/>
      <c r="T538" s="199"/>
      <c r="U538" s="243"/>
      <c r="V538" s="243"/>
      <c r="W538" s="243"/>
      <c r="BA538"/>
      <c r="BB538"/>
    </row>
    <row r="539" spans="1:54" s="188" customFormat="1" ht="13.5">
      <c r="A539" s="179"/>
      <c r="B539" s="175"/>
      <c r="C539" s="180" t="str">
        <f>IFERROR(IF(VLOOKUP($B539,勘定科目!$A:$H,HLOOKUP($E$5,勘定科目!$F$1:$H$2,2,0),0)="","",VLOOKUP($B539,勘定科目!$A:$E,2,0)),"")</f>
        <v/>
      </c>
      <c r="D539" s="236" t="str">
        <f>IF(C539="","",VLOOKUP($B539,勘定科目!$A:$E,4,0))</f>
        <v/>
      </c>
      <c r="E539" s="242"/>
      <c r="F539" s="237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197">
        <f t="shared" si="19"/>
        <v>0</v>
      </c>
      <c r="S539" s="198"/>
      <c r="T539" s="199"/>
      <c r="U539" s="243"/>
      <c r="V539" s="243"/>
      <c r="W539" s="243"/>
      <c r="BA539"/>
      <c r="BB539"/>
    </row>
    <row r="540" spans="1:54" s="188" customFormat="1" ht="13.5">
      <c r="A540" s="179"/>
      <c r="B540" s="175"/>
      <c r="C540" s="180" t="str">
        <f>IFERROR(IF(VLOOKUP($B540,勘定科目!$A:$H,HLOOKUP($E$5,勘定科目!$F$1:$H$2,2,0),0)="","",VLOOKUP($B540,勘定科目!$A:$E,2,0)),"")</f>
        <v/>
      </c>
      <c r="D540" s="236" t="str">
        <f>IF(C540="","",VLOOKUP($B540,勘定科目!$A:$E,4,0))</f>
        <v/>
      </c>
      <c r="E540" s="242"/>
      <c r="F540" s="237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197">
        <f t="shared" si="19"/>
        <v>0</v>
      </c>
      <c r="S540" s="198"/>
      <c r="T540" s="199"/>
      <c r="U540" s="243"/>
      <c r="V540" s="243"/>
      <c r="W540" s="243"/>
      <c r="BA540"/>
      <c r="BB540"/>
    </row>
    <row r="541" spans="1:54" s="188" customFormat="1" ht="13.5">
      <c r="A541" s="179"/>
      <c r="B541" s="175"/>
      <c r="C541" s="180" t="str">
        <f>IFERROR(IF(VLOOKUP($B541,勘定科目!$A:$H,HLOOKUP($E$5,勘定科目!$F$1:$H$2,2,0),0)="","",VLOOKUP($B541,勘定科目!$A:$E,2,0)),"")</f>
        <v/>
      </c>
      <c r="D541" s="236" t="str">
        <f>IF(C541="","",VLOOKUP($B541,勘定科目!$A:$E,4,0))</f>
        <v/>
      </c>
      <c r="E541" s="242"/>
      <c r="F541" s="237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197">
        <f t="shared" si="19"/>
        <v>0</v>
      </c>
      <c r="S541" s="198"/>
      <c r="T541" s="199"/>
      <c r="U541" s="243"/>
      <c r="V541" s="243"/>
      <c r="W541" s="243"/>
      <c r="BA541"/>
      <c r="BB541"/>
    </row>
    <row r="542" spans="1:54" s="188" customFormat="1" ht="13.5">
      <c r="A542" s="179"/>
      <c r="B542" s="175"/>
      <c r="C542" s="180" t="str">
        <f>IFERROR(IF(VLOOKUP($B542,勘定科目!$A:$H,HLOOKUP($E$5,勘定科目!$F$1:$H$2,2,0),0)="","",VLOOKUP($B542,勘定科目!$A:$E,2,0)),"")</f>
        <v/>
      </c>
      <c r="D542" s="236" t="str">
        <f>IF(C542="","",VLOOKUP($B542,勘定科目!$A:$E,4,0))</f>
        <v/>
      </c>
      <c r="E542" s="242"/>
      <c r="F542" s="237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197">
        <f t="shared" si="19"/>
        <v>0</v>
      </c>
      <c r="S542" s="198"/>
      <c r="T542" s="199"/>
      <c r="U542" s="243"/>
      <c r="V542" s="243"/>
      <c r="W542" s="243"/>
      <c r="BA542"/>
      <c r="BB542"/>
    </row>
    <row r="543" spans="1:54" s="188" customFormat="1" ht="13.5">
      <c r="A543" s="179"/>
      <c r="B543" s="175"/>
      <c r="C543" s="180" t="str">
        <f>IFERROR(IF(VLOOKUP($B543,勘定科目!$A:$H,HLOOKUP($E$5,勘定科目!$F$1:$H$2,2,0),0)="","",VLOOKUP($B543,勘定科目!$A:$E,2,0)),"")</f>
        <v/>
      </c>
      <c r="D543" s="236" t="str">
        <f>IF(C543="","",VLOOKUP($B543,勘定科目!$A:$E,4,0))</f>
        <v/>
      </c>
      <c r="E543" s="242"/>
      <c r="F543" s="237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197">
        <f t="shared" si="19"/>
        <v>0</v>
      </c>
      <c r="S543" s="198"/>
      <c r="T543" s="199"/>
      <c r="U543" s="243"/>
      <c r="V543" s="243"/>
      <c r="W543" s="243"/>
      <c r="BA543"/>
      <c r="BB543"/>
    </row>
    <row r="544" spans="1:54" s="188" customFormat="1" ht="13.5">
      <c r="A544" s="179"/>
      <c r="B544" s="175"/>
      <c r="C544" s="180" t="str">
        <f>IFERROR(IF(VLOOKUP($B544,勘定科目!$A:$H,HLOOKUP($E$5,勘定科目!$F$1:$H$2,2,0),0)="","",VLOOKUP($B544,勘定科目!$A:$E,2,0)),"")</f>
        <v/>
      </c>
      <c r="D544" s="236" t="str">
        <f>IF(C544="","",VLOOKUP($B544,勘定科目!$A:$E,4,0))</f>
        <v/>
      </c>
      <c r="E544" s="242"/>
      <c r="F544" s="237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197">
        <f t="shared" si="19"/>
        <v>0</v>
      </c>
      <c r="S544" s="198"/>
      <c r="T544" s="199"/>
      <c r="U544" s="243"/>
      <c r="V544" s="243"/>
      <c r="W544" s="243"/>
      <c r="BA544"/>
      <c r="BB544"/>
    </row>
    <row r="545" spans="1:54" s="188" customFormat="1" ht="13.5">
      <c r="A545" s="179"/>
      <c r="B545" s="175"/>
      <c r="C545" s="180" t="str">
        <f>IFERROR(IF(VLOOKUP($B545,勘定科目!$A:$H,HLOOKUP($E$5,勘定科目!$F$1:$H$2,2,0),0)="","",VLOOKUP($B545,勘定科目!$A:$E,2,0)),"")</f>
        <v/>
      </c>
      <c r="D545" s="236" t="str">
        <f>IF(C545="","",VLOOKUP($B545,勘定科目!$A:$E,4,0))</f>
        <v/>
      </c>
      <c r="E545" s="242"/>
      <c r="F545" s="237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197">
        <f t="shared" si="19"/>
        <v>0</v>
      </c>
      <c r="S545" s="198"/>
      <c r="T545" s="199"/>
      <c r="U545" s="243"/>
      <c r="V545" s="243"/>
      <c r="W545" s="243"/>
      <c r="BA545"/>
      <c r="BB545"/>
    </row>
    <row r="546" spans="1:54" s="188" customFormat="1" ht="13.5">
      <c r="A546" s="179"/>
      <c r="B546" s="175"/>
      <c r="C546" s="180" t="str">
        <f>IFERROR(IF(VLOOKUP($B546,勘定科目!$A:$H,HLOOKUP($E$5,勘定科目!$F$1:$H$2,2,0),0)="","",VLOOKUP($B546,勘定科目!$A:$E,2,0)),"")</f>
        <v/>
      </c>
      <c r="D546" s="236" t="str">
        <f>IF(C546="","",VLOOKUP($B546,勘定科目!$A:$E,4,0))</f>
        <v/>
      </c>
      <c r="E546" s="242"/>
      <c r="F546" s="237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197">
        <f t="shared" si="19"/>
        <v>0</v>
      </c>
      <c r="S546" s="198"/>
      <c r="T546" s="199"/>
      <c r="U546" s="243"/>
      <c r="V546" s="243"/>
      <c r="W546" s="243"/>
      <c r="BA546"/>
      <c r="BB546"/>
    </row>
    <row r="547" spans="1:54" s="188" customFormat="1" ht="13.5">
      <c r="A547" s="179"/>
      <c r="B547" s="175"/>
      <c r="C547" s="180" t="str">
        <f>IFERROR(IF(VLOOKUP($B547,勘定科目!$A:$H,HLOOKUP($E$5,勘定科目!$F$1:$H$2,2,0),0)="","",VLOOKUP($B547,勘定科目!$A:$E,2,0)),"")</f>
        <v/>
      </c>
      <c r="D547" s="236" t="str">
        <f>IF(C547="","",VLOOKUP($B547,勘定科目!$A:$E,4,0))</f>
        <v/>
      </c>
      <c r="E547" s="242"/>
      <c r="F547" s="237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197">
        <f t="shared" si="19"/>
        <v>0</v>
      </c>
      <c r="S547" s="198"/>
      <c r="T547" s="199"/>
      <c r="U547" s="243"/>
      <c r="V547" s="243"/>
      <c r="W547" s="243"/>
      <c r="BA547"/>
      <c r="BB547"/>
    </row>
    <row r="548" spans="1:54" s="188" customFormat="1" ht="13.5">
      <c r="A548" s="179"/>
      <c r="B548" s="175"/>
      <c r="C548" s="180" t="str">
        <f>IFERROR(IF(VLOOKUP($B548,勘定科目!$A:$H,HLOOKUP($E$5,勘定科目!$F$1:$H$2,2,0),0)="","",VLOOKUP($B548,勘定科目!$A:$E,2,0)),"")</f>
        <v/>
      </c>
      <c r="D548" s="236" t="str">
        <f>IF(C548="","",VLOOKUP($B548,勘定科目!$A:$E,4,0))</f>
        <v/>
      </c>
      <c r="E548" s="242"/>
      <c r="F548" s="237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197">
        <f t="shared" si="19"/>
        <v>0</v>
      </c>
      <c r="S548" s="198"/>
      <c r="T548" s="199"/>
      <c r="U548" s="243"/>
      <c r="V548" s="243"/>
      <c r="W548" s="243"/>
      <c r="BA548"/>
      <c r="BB548"/>
    </row>
    <row r="549" spans="1:54" s="188" customFormat="1" ht="13.5">
      <c r="A549" s="179"/>
      <c r="B549" s="175"/>
      <c r="C549" s="180" t="str">
        <f>IFERROR(IF(VLOOKUP($B549,勘定科目!$A:$H,HLOOKUP($E$5,勘定科目!$F$1:$H$2,2,0),0)="","",VLOOKUP($B549,勘定科目!$A:$E,2,0)),"")</f>
        <v/>
      </c>
      <c r="D549" s="236" t="str">
        <f>IF(C549="","",VLOOKUP($B549,勘定科目!$A:$E,4,0))</f>
        <v/>
      </c>
      <c r="E549" s="242"/>
      <c r="F549" s="237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197">
        <f t="shared" si="19"/>
        <v>0</v>
      </c>
      <c r="S549" s="198"/>
      <c r="T549" s="199"/>
      <c r="U549" s="243"/>
      <c r="V549" s="243"/>
      <c r="W549" s="243"/>
      <c r="BA549"/>
      <c r="BB549"/>
    </row>
    <row r="550" spans="1:54" s="188" customFormat="1" ht="13.5">
      <c r="A550" s="179"/>
      <c r="B550" s="175"/>
      <c r="C550" s="180" t="str">
        <f>IFERROR(IF(VLOOKUP($B550,勘定科目!$A:$H,HLOOKUP($E$5,勘定科目!$F$1:$H$2,2,0),0)="","",VLOOKUP($B550,勘定科目!$A:$E,2,0)),"")</f>
        <v/>
      </c>
      <c r="D550" s="236" t="str">
        <f>IF(C550="","",VLOOKUP($B550,勘定科目!$A:$E,4,0))</f>
        <v/>
      </c>
      <c r="E550" s="242"/>
      <c r="F550" s="237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197">
        <f t="shared" si="19"/>
        <v>0</v>
      </c>
      <c r="S550" s="198"/>
      <c r="T550" s="199"/>
      <c r="U550" s="243"/>
      <c r="V550" s="243"/>
      <c r="W550" s="243"/>
      <c r="BA550"/>
      <c r="BB550"/>
    </row>
    <row r="551" spans="1:54" s="188" customFormat="1" ht="13.5">
      <c r="A551" s="179"/>
      <c r="B551" s="175"/>
      <c r="C551" s="180" t="str">
        <f>IFERROR(IF(VLOOKUP($B551,勘定科目!$A:$H,HLOOKUP($E$5,勘定科目!$F$1:$H$2,2,0),0)="","",VLOOKUP($B551,勘定科目!$A:$E,2,0)),"")</f>
        <v/>
      </c>
      <c r="D551" s="236" t="str">
        <f>IF(C551="","",VLOOKUP($B551,勘定科目!$A:$E,4,0))</f>
        <v/>
      </c>
      <c r="E551" s="242"/>
      <c r="F551" s="237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197">
        <f t="shared" si="19"/>
        <v>0</v>
      </c>
      <c r="S551" s="198"/>
      <c r="T551" s="199"/>
      <c r="U551" s="243"/>
      <c r="V551" s="243"/>
      <c r="W551" s="243"/>
      <c r="BA551"/>
      <c r="BB551"/>
    </row>
    <row r="552" spans="1:54" s="188" customFormat="1" ht="13.5">
      <c r="A552" s="179"/>
      <c r="B552" s="175"/>
      <c r="C552" s="180" t="str">
        <f>IFERROR(IF(VLOOKUP($B552,勘定科目!$A:$H,HLOOKUP($E$5,勘定科目!$F$1:$H$2,2,0),0)="","",VLOOKUP($B552,勘定科目!$A:$E,2,0)),"")</f>
        <v/>
      </c>
      <c r="D552" s="236" t="str">
        <f>IF(C552="","",VLOOKUP($B552,勘定科目!$A:$E,4,0))</f>
        <v/>
      </c>
      <c r="E552" s="242"/>
      <c r="F552" s="237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197">
        <f t="shared" si="19"/>
        <v>0</v>
      </c>
      <c r="S552" s="198"/>
      <c r="T552" s="199"/>
      <c r="U552" s="243"/>
      <c r="V552" s="243"/>
      <c r="W552" s="243"/>
      <c r="BA552"/>
      <c r="BB552"/>
    </row>
    <row r="553" spans="1:54" s="188" customFormat="1" ht="13.5">
      <c r="A553" s="179"/>
      <c r="B553" s="175"/>
      <c r="C553" s="180" t="str">
        <f>IFERROR(IF(VLOOKUP($B553,勘定科目!$A:$H,HLOOKUP($E$5,勘定科目!$F$1:$H$2,2,0),0)="","",VLOOKUP($B553,勘定科目!$A:$E,2,0)),"")</f>
        <v/>
      </c>
      <c r="D553" s="236" t="str">
        <f>IF(C553="","",VLOOKUP($B553,勘定科目!$A:$E,4,0))</f>
        <v/>
      </c>
      <c r="E553" s="242"/>
      <c r="F553" s="237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197">
        <f t="shared" si="19"/>
        <v>0</v>
      </c>
      <c r="S553" s="198"/>
      <c r="T553" s="199"/>
      <c r="U553" s="243"/>
      <c r="V553" s="243"/>
      <c r="W553" s="243"/>
      <c r="BA553"/>
      <c r="BB553"/>
    </row>
    <row r="554" spans="1:54" s="188" customFormat="1" ht="13.5">
      <c r="A554" s="179"/>
      <c r="B554" s="175"/>
      <c r="C554" s="180" t="str">
        <f>IFERROR(IF(VLOOKUP($B554,勘定科目!$A:$H,HLOOKUP($E$5,勘定科目!$F$1:$H$2,2,0),0)="","",VLOOKUP($B554,勘定科目!$A:$E,2,0)),"")</f>
        <v/>
      </c>
      <c r="D554" s="236" t="str">
        <f>IF(C554="","",VLOOKUP($B554,勘定科目!$A:$E,4,0))</f>
        <v/>
      </c>
      <c r="E554" s="242"/>
      <c r="F554" s="237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197">
        <f t="shared" si="19"/>
        <v>0</v>
      </c>
      <c r="S554" s="198"/>
      <c r="T554" s="199"/>
      <c r="U554" s="243"/>
      <c r="V554" s="243"/>
      <c r="W554" s="243"/>
      <c r="BA554"/>
      <c r="BB554"/>
    </row>
    <row r="555" spans="1:54" s="188" customFormat="1" ht="13.5">
      <c r="A555" s="179"/>
      <c r="B555" s="175"/>
      <c r="C555" s="180" t="str">
        <f>IFERROR(IF(VLOOKUP($B555,勘定科目!$A:$H,HLOOKUP($E$5,勘定科目!$F$1:$H$2,2,0),0)="","",VLOOKUP($B555,勘定科目!$A:$E,2,0)),"")</f>
        <v/>
      </c>
      <c r="D555" s="236" t="str">
        <f>IF(C555="","",VLOOKUP($B555,勘定科目!$A:$E,4,0))</f>
        <v/>
      </c>
      <c r="E555" s="242"/>
      <c r="F555" s="237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197">
        <f t="shared" si="19"/>
        <v>0</v>
      </c>
      <c r="S555" s="198"/>
      <c r="T555" s="199"/>
      <c r="U555" s="243"/>
      <c r="V555" s="243"/>
      <c r="W555" s="243"/>
      <c r="BA555"/>
      <c r="BB555"/>
    </row>
    <row r="556" spans="1:54" s="188" customFormat="1" ht="13.5">
      <c r="A556" s="179"/>
      <c r="B556" s="175"/>
      <c r="C556" s="180" t="str">
        <f>IFERROR(IF(VLOOKUP($B556,勘定科目!$A:$H,HLOOKUP($E$5,勘定科目!$F$1:$H$2,2,0),0)="","",VLOOKUP($B556,勘定科目!$A:$E,2,0)),"")</f>
        <v/>
      </c>
      <c r="D556" s="236" t="str">
        <f>IF(C556="","",VLOOKUP($B556,勘定科目!$A:$E,4,0))</f>
        <v/>
      </c>
      <c r="E556" s="242"/>
      <c r="F556" s="237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197">
        <f t="shared" si="19"/>
        <v>0</v>
      </c>
      <c r="S556" s="198"/>
      <c r="T556" s="199"/>
      <c r="U556" s="243"/>
      <c r="V556" s="243"/>
      <c r="W556" s="243"/>
      <c r="BA556"/>
      <c r="BB556"/>
    </row>
    <row r="557" spans="1:54" s="188" customFormat="1" ht="13.5">
      <c r="A557" s="179"/>
      <c r="B557" s="175"/>
      <c r="C557" s="180" t="str">
        <f>IFERROR(IF(VLOOKUP($B557,勘定科目!$A:$H,HLOOKUP($E$5,勘定科目!$F$1:$H$2,2,0),0)="","",VLOOKUP($B557,勘定科目!$A:$E,2,0)),"")</f>
        <v/>
      </c>
      <c r="D557" s="236" t="str">
        <f>IF(C557="","",VLOOKUP($B557,勘定科目!$A:$E,4,0))</f>
        <v/>
      </c>
      <c r="E557" s="242"/>
      <c r="F557" s="237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197">
        <f t="shared" si="19"/>
        <v>0</v>
      </c>
      <c r="S557" s="198"/>
      <c r="T557" s="199"/>
      <c r="U557" s="243"/>
      <c r="V557" s="243"/>
      <c r="W557" s="243"/>
      <c r="BA557"/>
      <c r="BB557"/>
    </row>
    <row r="558" spans="1:54" s="188" customFormat="1" ht="13.5">
      <c r="A558" s="179"/>
      <c r="B558" s="175"/>
      <c r="C558" s="180" t="str">
        <f>IFERROR(IF(VLOOKUP($B558,勘定科目!$A:$H,HLOOKUP($E$5,勘定科目!$F$1:$H$2,2,0),0)="","",VLOOKUP($B558,勘定科目!$A:$E,2,0)),"")</f>
        <v/>
      </c>
      <c r="D558" s="236" t="str">
        <f>IF(C558="","",VLOOKUP($B558,勘定科目!$A:$E,4,0))</f>
        <v/>
      </c>
      <c r="E558" s="242"/>
      <c r="F558" s="237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197">
        <f t="shared" si="19"/>
        <v>0</v>
      </c>
      <c r="S558" s="198"/>
      <c r="T558" s="199"/>
      <c r="U558" s="243"/>
      <c r="V558" s="243"/>
      <c r="W558" s="243"/>
      <c r="BA558"/>
      <c r="BB558"/>
    </row>
    <row r="559" spans="1:54" s="188" customFormat="1" ht="13.5">
      <c r="A559" s="179"/>
      <c r="B559" s="175"/>
      <c r="C559" s="180" t="str">
        <f>IFERROR(IF(VLOOKUP($B559,勘定科目!$A:$H,HLOOKUP($E$5,勘定科目!$F$1:$H$2,2,0),0)="","",VLOOKUP($B559,勘定科目!$A:$E,2,0)),"")</f>
        <v/>
      </c>
      <c r="D559" s="236" t="str">
        <f>IF(C559="","",VLOOKUP($B559,勘定科目!$A:$E,4,0))</f>
        <v/>
      </c>
      <c r="E559" s="242"/>
      <c r="F559" s="237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197">
        <f t="shared" si="19"/>
        <v>0</v>
      </c>
      <c r="S559" s="198"/>
      <c r="T559" s="199"/>
      <c r="U559" s="243"/>
      <c r="V559" s="243"/>
      <c r="W559" s="243"/>
      <c r="BA559"/>
      <c r="BB559"/>
    </row>
    <row r="560" spans="1:54" s="188" customFormat="1" ht="13.5">
      <c r="A560" s="179"/>
      <c r="B560" s="175"/>
      <c r="C560" s="180" t="str">
        <f>IFERROR(IF(VLOOKUP($B560,勘定科目!$A:$H,HLOOKUP($E$5,勘定科目!$F$1:$H$2,2,0),0)="","",VLOOKUP($B560,勘定科目!$A:$E,2,0)),"")</f>
        <v/>
      </c>
      <c r="D560" s="236" t="str">
        <f>IF(C560="","",VLOOKUP($B560,勘定科目!$A:$E,4,0))</f>
        <v/>
      </c>
      <c r="E560" s="242"/>
      <c r="F560" s="237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197">
        <f t="shared" si="19"/>
        <v>0</v>
      </c>
      <c r="S560" s="198"/>
      <c r="T560" s="199"/>
      <c r="U560" s="243"/>
      <c r="V560" s="243"/>
      <c r="W560" s="243"/>
      <c r="BA560"/>
      <c r="BB560"/>
    </row>
    <row r="561" spans="1:54" s="188" customFormat="1" ht="13.5">
      <c r="A561" s="179"/>
      <c r="B561" s="175"/>
      <c r="C561" s="180" t="str">
        <f>IFERROR(IF(VLOOKUP($B561,勘定科目!$A:$H,HLOOKUP($E$5,勘定科目!$F$1:$H$2,2,0),0)="","",VLOOKUP($B561,勘定科目!$A:$E,2,0)),"")</f>
        <v/>
      </c>
      <c r="D561" s="236" t="str">
        <f>IF(C561="","",VLOOKUP($B561,勘定科目!$A:$E,4,0))</f>
        <v/>
      </c>
      <c r="E561" s="242"/>
      <c r="F561" s="237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197">
        <f t="shared" si="19"/>
        <v>0</v>
      </c>
      <c r="S561" s="198"/>
      <c r="T561" s="199"/>
      <c r="U561" s="243"/>
      <c r="V561" s="243"/>
      <c r="W561" s="243"/>
      <c r="BA561"/>
      <c r="BB561"/>
    </row>
    <row r="562" spans="1:54" s="188" customFormat="1" ht="13.5">
      <c r="A562" s="179"/>
      <c r="B562" s="175"/>
      <c r="C562" s="180" t="str">
        <f>IFERROR(IF(VLOOKUP($B562,勘定科目!$A:$H,HLOOKUP($E$5,勘定科目!$F$1:$H$2,2,0),0)="","",VLOOKUP($B562,勘定科目!$A:$E,2,0)),"")</f>
        <v/>
      </c>
      <c r="D562" s="236" t="str">
        <f>IF(C562="","",VLOOKUP($B562,勘定科目!$A:$E,4,0))</f>
        <v/>
      </c>
      <c r="E562" s="242"/>
      <c r="F562" s="237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197">
        <f t="shared" si="19"/>
        <v>0</v>
      </c>
      <c r="S562" s="198"/>
      <c r="T562" s="199"/>
      <c r="U562" s="243"/>
      <c r="V562" s="243"/>
      <c r="W562" s="243"/>
      <c r="BA562"/>
      <c r="BB562"/>
    </row>
    <row r="563" spans="1:54" s="188" customFormat="1" ht="13.5">
      <c r="A563" s="179"/>
      <c r="B563" s="175"/>
      <c r="C563" s="180" t="str">
        <f>IFERROR(IF(VLOOKUP($B563,勘定科目!$A:$H,HLOOKUP($E$5,勘定科目!$F$1:$H$2,2,0),0)="","",VLOOKUP($B563,勘定科目!$A:$E,2,0)),"")</f>
        <v/>
      </c>
      <c r="D563" s="236" t="str">
        <f>IF(C563="","",VLOOKUP($B563,勘定科目!$A:$E,4,0))</f>
        <v/>
      </c>
      <c r="E563" s="242"/>
      <c r="F563" s="237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197">
        <f t="shared" si="19"/>
        <v>0</v>
      </c>
      <c r="S563" s="198"/>
      <c r="T563" s="199"/>
      <c r="U563" s="243"/>
      <c r="V563" s="243"/>
      <c r="W563" s="243"/>
      <c r="BA563"/>
      <c r="BB563"/>
    </row>
    <row r="564" spans="1:54" s="188" customFormat="1" ht="13.5">
      <c r="A564" s="179"/>
      <c r="B564" s="175"/>
      <c r="C564" s="180" t="str">
        <f>IFERROR(IF(VLOOKUP($B564,勘定科目!$A:$H,HLOOKUP($E$5,勘定科目!$F$1:$H$2,2,0),0)="","",VLOOKUP($B564,勘定科目!$A:$E,2,0)),"")</f>
        <v/>
      </c>
      <c r="D564" s="236" t="str">
        <f>IF(C564="","",VLOOKUP($B564,勘定科目!$A:$E,4,0))</f>
        <v/>
      </c>
      <c r="E564" s="242"/>
      <c r="F564" s="237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197">
        <f t="shared" si="19"/>
        <v>0</v>
      </c>
      <c r="S564" s="198"/>
      <c r="T564" s="199"/>
      <c r="U564" s="243"/>
      <c r="V564" s="243"/>
      <c r="W564" s="243"/>
      <c r="BA564"/>
      <c r="BB564"/>
    </row>
    <row r="565" spans="1:54" s="188" customFormat="1" ht="13.5">
      <c r="A565" s="179"/>
      <c r="B565" s="175"/>
      <c r="C565" s="180" t="str">
        <f>IFERROR(IF(VLOOKUP($B565,勘定科目!$A:$H,HLOOKUP($E$5,勘定科目!$F$1:$H$2,2,0),0)="","",VLOOKUP($B565,勘定科目!$A:$E,2,0)),"")</f>
        <v/>
      </c>
      <c r="D565" s="236" t="str">
        <f>IF(C565="","",VLOOKUP($B565,勘定科目!$A:$E,4,0))</f>
        <v/>
      </c>
      <c r="E565" s="242"/>
      <c r="F565" s="237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197">
        <f t="shared" ref="R565:R628" si="20">SUM(F565:Q565)</f>
        <v>0</v>
      </c>
      <c r="S565" s="198"/>
      <c r="T565" s="199"/>
      <c r="U565" s="243"/>
      <c r="V565" s="243"/>
      <c r="W565" s="243"/>
      <c r="BA565"/>
      <c r="BB565"/>
    </row>
    <row r="566" spans="1:54" s="188" customFormat="1" ht="13.5">
      <c r="A566" s="179"/>
      <c r="B566" s="175"/>
      <c r="C566" s="180" t="str">
        <f>IFERROR(IF(VLOOKUP($B566,勘定科目!$A:$H,HLOOKUP($E$5,勘定科目!$F$1:$H$2,2,0),0)="","",VLOOKUP($B566,勘定科目!$A:$E,2,0)),"")</f>
        <v/>
      </c>
      <c r="D566" s="236" t="str">
        <f>IF(C566="","",VLOOKUP($B566,勘定科目!$A:$E,4,0))</f>
        <v/>
      </c>
      <c r="E566" s="242"/>
      <c r="F566" s="237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197">
        <f t="shared" si="20"/>
        <v>0</v>
      </c>
      <c r="S566" s="198"/>
      <c r="T566" s="199"/>
      <c r="U566" s="243"/>
      <c r="V566" s="243"/>
      <c r="W566" s="243"/>
      <c r="BA566"/>
      <c r="BB566"/>
    </row>
    <row r="567" spans="1:54" s="188" customFormat="1" ht="13.5">
      <c r="A567" s="179"/>
      <c r="B567" s="175"/>
      <c r="C567" s="180" t="str">
        <f>IFERROR(IF(VLOOKUP($B567,勘定科目!$A:$H,HLOOKUP($E$5,勘定科目!$F$1:$H$2,2,0),0)="","",VLOOKUP($B567,勘定科目!$A:$E,2,0)),"")</f>
        <v/>
      </c>
      <c r="D567" s="236" t="str">
        <f>IF(C567="","",VLOOKUP($B567,勘定科目!$A:$E,4,0))</f>
        <v/>
      </c>
      <c r="E567" s="242"/>
      <c r="F567" s="237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197">
        <f t="shared" si="20"/>
        <v>0</v>
      </c>
      <c r="S567" s="198"/>
      <c r="T567" s="199"/>
      <c r="U567" s="243"/>
      <c r="V567" s="243"/>
      <c r="W567" s="243"/>
      <c r="BA567"/>
      <c r="BB567"/>
    </row>
    <row r="568" spans="1:54" s="188" customFormat="1" ht="13.5">
      <c r="A568" s="179"/>
      <c r="B568" s="175"/>
      <c r="C568" s="180" t="str">
        <f>IFERROR(IF(VLOOKUP($B568,勘定科目!$A:$H,HLOOKUP($E$5,勘定科目!$F$1:$H$2,2,0),0)="","",VLOOKUP($B568,勘定科目!$A:$E,2,0)),"")</f>
        <v/>
      </c>
      <c r="D568" s="236" t="str">
        <f>IF(C568="","",VLOOKUP($B568,勘定科目!$A:$E,4,0))</f>
        <v/>
      </c>
      <c r="E568" s="242"/>
      <c r="F568" s="237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197">
        <f t="shared" si="20"/>
        <v>0</v>
      </c>
      <c r="S568" s="198"/>
      <c r="T568" s="199"/>
      <c r="U568" s="243"/>
      <c r="V568" s="243"/>
      <c r="W568" s="243"/>
      <c r="BA568"/>
      <c r="BB568"/>
    </row>
    <row r="569" spans="1:54" s="188" customFormat="1" ht="13.5">
      <c r="A569" s="179"/>
      <c r="B569" s="175"/>
      <c r="C569" s="180" t="str">
        <f>IFERROR(IF(VLOOKUP($B569,勘定科目!$A:$H,HLOOKUP($E$5,勘定科目!$F$1:$H$2,2,0),0)="","",VLOOKUP($B569,勘定科目!$A:$E,2,0)),"")</f>
        <v/>
      </c>
      <c r="D569" s="236" t="str">
        <f>IF(C569="","",VLOOKUP($B569,勘定科目!$A:$E,4,0))</f>
        <v/>
      </c>
      <c r="E569" s="242"/>
      <c r="F569" s="237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197">
        <f t="shared" si="20"/>
        <v>0</v>
      </c>
      <c r="S569" s="198"/>
      <c r="T569" s="199"/>
      <c r="U569" s="243"/>
      <c r="V569" s="243"/>
      <c r="W569" s="243"/>
      <c r="BA569"/>
      <c r="BB569"/>
    </row>
    <row r="570" spans="1:54" s="188" customFormat="1" ht="13.5">
      <c r="A570" s="179"/>
      <c r="B570" s="175"/>
      <c r="C570" s="180" t="str">
        <f>IFERROR(IF(VLOOKUP($B570,勘定科目!$A:$H,HLOOKUP($E$5,勘定科目!$F$1:$H$2,2,0),0)="","",VLOOKUP($B570,勘定科目!$A:$E,2,0)),"")</f>
        <v/>
      </c>
      <c r="D570" s="236" t="str">
        <f>IF(C570="","",VLOOKUP($B570,勘定科目!$A:$E,4,0))</f>
        <v/>
      </c>
      <c r="E570" s="242"/>
      <c r="F570" s="237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197">
        <f t="shared" si="20"/>
        <v>0</v>
      </c>
      <c r="S570" s="198"/>
      <c r="T570" s="199"/>
      <c r="U570" s="243"/>
      <c r="V570" s="243"/>
      <c r="W570" s="243"/>
      <c r="BA570"/>
      <c r="BB570"/>
    </row>
    <row r="571" spans="1:54" s="188" customFormat="1" ht="13.5">
      <c r="A571" s="179"/>
      <c r="B571" s="175"/>
      <c r="C571" s="180" t="str">
        <f>IFERROR(IF(VLOOKUP($B571,勘定科目!$A:$H,HLOOKUP($E$5,勘定科目!$F$1:$H$2,2,0),0)="","",VLOOKUP($B571,勘定科目!$A:$E,2,0)),"")</f>
        <v/>
      </c>
      <c r="D571" s="236" t="str">
        <f>IF(C571="","",VLOOKUP($B571,勘定科目!$A:$E,4,0))</f>
        <v/>
      </c>
      <c r="E571" s="242"/>
      <c r="F571" s="237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197">
        <f t="shared" si="20"/>
        <v>0</v>
      </c>
      <c r="S571" s="198"/>
      <c r="T571" s="199"/>
      <c r="U571" s="243"/>
      <c r="V571" s="243"/>
      <c r="W571" s="243"/>
      <c r="BA571"/>
      <c r="BB571"/>
    </row>
    <row r="572" spans="1:54" s="188" customFormat="1" ht="13.5">
      <c r="A572" s="179"/>
      <c r="B572" s="175"/>
      <c r="C572" s="180" t="str">
        <f>IFERROR(IF(VLOOKUP($B572,勘定科目!$A:$H,HLOOKUP($E$5,勘定科目!$F$1:$H$2,2,0),0)="","",VLOOKUP($B572,勘定科目!$A:$E,2,0)),"")</f>
        <v/>
      </c>
      <c r="D572" s="236" t="str">
        <f>IF(C572="","",VLOOKUP($B572,勘定科目!$A:$E,4,0))</f>
        <v/>
      </c>
      <c r="E572" s="242"/>
      <c r="F572" s="237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197">
        <f t="shared" si="20"/>
        <v>0</v>
      </c>
      <c r="S572" s="198"/>
      <c r="T572" s="199"/>
      <c r="U572" s="243"/>
      <c r="V572" s="243"/>
      <c r="W572" s="243"/>
      <c r="BA572"/>
      <c r="BB572"/>
    </row>
    <row r="573" spans="1:54" s="188" customFormat="1" ht="13.5">
      <c r="A573" s="179"/>
      <c r="B573" s="175"/>
      <c r="C573" s="180" t="str">
        <f>IFERROR(IF(VLOOKUP($B573,勘定科目!$A:$H,HLOOKUP($E$5,勘定科目!$F$1:$H$2,2,0),0)="","",VLOOKUP($B573,勘定科目!$A:$E,2,0)),"")</f>
        <v/>
      </c>
      <c r="D573" s="236" t="str">
        <f>IF(C573="","",VLOOKUP($B573,勘定科目!$A:$E,4,0))</f>
        <v/>
      </c>
      <c r="E573" s="242"/>
      <c r="F573" s="237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197">
        <f t="shared" si="20"/>
        <v>0</v>
      </c>
      <c r="S573" s="198"/>
      <c r="T573" s="199"/>
      <c r="U573" s="243"/>
      <c r="V573" s="243"/>
      <c r="W573" s="243"/>
      <c r="BA573"/>
      <c r="BB573"/>
    </row>
    <row r="574" spans="1:54" s="188" customFormat="1" ht="13.5">
      <c r="A574" s="179"/>
      <c r="B574" s="175"/>
      <c r="C574" s="180" t="str">
        <f>IFERROR(IF(VLOOKUP($B574,勘定科目!$A:$H,HLOOKUP($E$5,勘定科目!$F$1:$H$2,2,0),0)="","",VLOOKUP($B574,勘定科目!$A:$E,2,0)),"")</f>
        <v/>
      </c>
      <c r="D574" s="236" t="str">
        <f>IF(C574="","",VLOOKUP($B574,勘定科目!$A:$E,4,0))</f>
        <v/>
      </c>
      <c r="E574" s="242"/>
      <c r="F574" s="237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197">
        <f t="shared" si="20"/>
        <v>0</v>
      </c>
      <c r="S574" s="198"/>
      <c r="T574" s="199"/>
      <c r="U574" s="243"/>
      <c r="V574" s="243"/>
      <c r="W574" s="243"/>
      <c r="BA574"/>
      <c r="BB574"/>
    </row>
    <row r="575" spans="1:54" s="188" customFormat="1" ht="13.5">
      <c r="A575" s="179"/>
      <c r="B575" s="175"/>
      <c r="C575" s="180" t="str">
        <f>IFERROR(IF(VLOOKUP($B575,勘定科目!$A:$H,HLOOKUP($E$5,勘定科目!$F$1:$H$2,2,0),0)="","",VLOOKUP($B575,勘定科目!$A:$E,2,0)),"")</f>
        <v/>
      </c>
      <c r="D575" s="236" t="str">
        <f>IF(C575="","",VLOOKUP($B575,勘定科目!$A:$E,4,0))</f>
        <v/>
      </c>
      <c r="E575" s="242"/>
      <c r="F575" s="237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197">
        <f t="shared" si="20"/>
        <v>0</v>
      </c>
      <c r="S575" s="198"/>
      <c r="T575" s="199"/>
      <c r="U575" s="243"/>
      <c r="V575" s="243"/>
      <c r="W575" s="243"/>
      <c r="BA575"/>
      <c r="BB575"/>
    </row>
    <row r="576" spans="1:54" s="188" customFormat="1" ht="13.5">
      <c r="A576" s="179"/>
      <c r="B576" s="175"/>
      <c r="C576" s="180" t="str">
        <f>IFERROR(IF(VLOOKUP($B576,勘定科目!$A:$H,HLOOKUP($E$5,勘定科目!$F$1:$H$2,2,0),0)="","",VLOOKUP($B576,勘定科目!$A:$E,2,0)),"")</f>
        <v/>
      </c>
      <c r="D576" s="236" t="str">
        <f>IF(C576="","",VLOOKUP($B576,勘定科目!$A:$E,4,0))</f>
        <v/>
      </c>
      <c r="E576" s="242"/>
      <c r="F576" s="237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197">
        <f t="shared" si="20"/>
        <v>0</v>
      </c>
      <c r="S576" s="198"/>
      <c r="T576" s="199"/>
      <c r="U576" s="243"/>
      <c r="V576" s="243"/>
      <c r="W576" s="243"/>
      <c r="BA576"/>
      <c r="BB576"/>
    </row>
    <row r="577" spans="1:54" s="188" customFormat="1" ht="13.5">
      <c r="A577" s="179"/>
      <c r="B577" s="175"/>
      <c r="C577" s="180" t="str">
        <f>IFERROR(IF(VLOOKUP($B577,勘定科目!$A:$H,HLOOKUP($E$5,勘定科目!$F$1:$H$2,2,0),0)="","",VLOOKUP($B577,勘定科目!$A:$E,2,0)),"")</f>
        <v/>
      </c>
      <c r="D577" s="236" t="str">
        <f>IF(C577="","",VLOOKUP($B577,勘定科目!$A:$E,4,0))</f>
        <v/>
      </c>
      <c r="E577" s="242"/>
      <c r="F577" s="237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197">
        <f t="shared" si="20"/>
        <v>0</v>
      </c>
      <c r="S577" s="198"/>
      <c r="T577" s="199"/>
      <c r="U577" s="243"/>
      <c r="V577" s="243"/>
      <c r="W577" s="243"/>
      <c r="BA577"/>
      <c r="BB577"/>
    </row>
    <row r="578" spans="1:54" s="188" customFormat="1" ht="13.5">
      <c r="A578" s="179"/>
      <c r="B578" s="175"/>
      <c r="C578" s="180" t="str">
        <f>IFERROR(IF(VLOOKUP($B578,勘定科目!$A:$H,HLOOKUP($E$5,勘定科目!$F$1:$H$2,2,0),0)="","",VLOOKUP($B578,勘定科目!$A:$E,2,0)),"")</f>
        <v/>
      </c>
      <c r="D578" s="236" t="str">
        <f>IF(C578="","",VLOOKUP($B578,勘定科目!$A:$E,4,0))</f>
        <v/>
      </c>
      <c r="E578" s="242"/>
      <c r="F578" s="237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197">
        <f t="shared" si="20"/>
        <v>0</v>
      </c>
      <c r="S578" s="198"/>
      <c r="T578" s="199"/>
      <c r="U578" s="243"/>
      <c r="V578" s="243"/>
      <c r="W578" s="243"/>
      <c r="BA578"/>
      <c r="BB578"/>
    </row>
    <row r="579" spans="1:54" s="188" customFormat="1" ht="13.5">
      <c r="A579" s="179"/>
      <c r="B579" s="175"/>
      <c r="C579" s="180" t="str">
        <f>IFERROR(IF(VLOOKUP($B579,勘定科目!$A:$H,HLOOKUP($E$5,勘定科目!$F$1:$H$2,2,0),0)="","",VLOOKUP($B579,勘定科目!$A:$E,2,0)),"")</f>
        <v/>
      </c>
      <c r="D579" s="236" t="str">
        <f>IF(C579="","",VLOOKUP($B579,勘定科目!$A:$E,4,0))</f>
        <v/>
      </c>
      <c r="E579" s="242"/>
      <c r="F579" s="237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197">
        <f t="shared" si="20"/>
        <v>0</v>
      </c>
      <c r="S579" s="198"/>
      <c r="T579" s="199"/>
      <c r="U579" s="243"/>
      <c r="V579" s="243"/>
      <c r="W579" s="243"/>
      <c r="BA579"/>
      <c r="BB579"/>
    </row>
    <row r="580" spans="1:54" s="188" customFormat="1" ht="13.5">
      <c r="A580" s="179"/>
      <c r="B580" s="175"/>
      <c r="C580" s="180" t="str">
        <f>IFERROR(IF(VLOOKUP($B580,勘定科目!$A:$H,HLOOKUP($E$5,勘定科目!$F$1:$H$2,2,0),0)="","",VLOOKUP($B580,勘定科目!$A:$E,2,0)),"")</f>
        <v/>
      </c>
      <c r="D580" s="236" t="str">
        <f>IF(C580="","",VLOOKUP($B580,勘定科目!$A:$E,4,0))</f>
        <v/>
      </c>
      <c r="E580" s="242"/>
      <c r="F580" s="237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197">
        <f t="shared" si="20"/>
        <v>0</v>
      </c>
      <c r="S580" s="198"/>
      <c r="T580" s="199"/>
      <c r="U580" s="243"/>
      <c r="V580" s="243"/>
      <c r="W580" s="243"/>
      <c r="BA580"/>
      <c r="BB580"/>
    </row>
    <row r="581" spans="1:54" s="188" customFormat="1" ht="13.5">
      <c r="A581" s="179"/>
      <c r="B581" s="175"/>
      <c r="C581" s="180" t="str">
        <f>IFERROR(IF(VLOOKUP($B581,勘定科目!$A:$H,HLOOKUP($E$5,勘定科目!$F$1:$H$2,2,0),0)="","",VLOOKUP($B581,勘定科目!$A:$E,2,0)),"")</f>
        <v/>
      </c>
      <c r="D581" s="236" t="str">
        <f>IF(C581="","",VLOOKUP($B581,勘定科目!$A:$E,4,0))</f>
        <v/>
      </c>
      <c r="E581" s="242"/>
      <c r="F581" s="237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197">
        <f t="shared" si="20"/>
        <v>0</v>
      </c>
      <c r="S581" s="198"/>
      <c r="T581" s="199"/>
      <c r="U581" s="243"/>
      <c r="V581" s="243"/>
      <c r="W581" s="243"/>
      <c r="BA581"/>
      <c r="BB581"/>
    </row>
    <row r="582" spans="1:54" s="188" customFormat="1" ht="13.5">
      <c r="A582" s="179"/>
      <c r="B582" s="175"/>
      <c r="C582" s="180" t="str">
        <f>IFERROR(IF(VLOOKUP($B582,勘定科目!$A:$H,HLOOKUP($E$5,勘定科目!$F$1:$H$2,2,0),0)="","",VLOOKUP($B582,勘定科目!$A:$E,2,0)),"")</f>
        <v/>
      </c>
      <c r="D582" s="236" t="str">
        <f>IF(C582="","",VLOOKUP($B582,勘定科目!$A:$E,4,0))</f>
        <v/>
      </c>
      <c r="E582" s="242"/>
      <c r="F582" s="237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197">
        <f t="shared" si="20"/>
        <v>0</v>
      </c>
      <c r="S582" s="198"/>
      <c r="T582" s="199"/>
      <c r="U582" s="243"/>
      <c r="V582" s="243"/>
      <c r="W582" s="243"/>
      <c r="BA582"/>
      <c r="BB582"/>
    </row>
    <row r="583" spans="1:54" s="188" customFormat="1" ht="13.5">
      <c r="A583" s="179"/>
      <c r="B583" s="175"/>
      <c r="C583" s="180" t="str">
        <f>IFERROR(IF(VLOOKUP($B583,勘定科目!$A:$H,HLOOKUP($E$5,勘定科目!$F$1:$H$2,2,0),0)="","",VLOOKUP($B583,勘定科目!$A:$E,2,0)),"")</f>
        <v/>
      </c>
      <c r="D583" s="236" t="str">
        <f>IF(C583="","",VLOOKUP($B583,勘定科目!$A:$E,4,0))</f>
        <v/>
      </c>
      <c r="E583" s="242"/>
      <c r="F583" s="237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197">
        <f t="shared" si="20"/>
        <v>0</v>
      </c>
      <c r="S583" s="198"/>
      <c r="T583" s="199"/>
      <c r="U583" s="243"/>
      <c r="V583" s="243"/>
      <c r="W583" s="243"/>
      <c r="BA583"/>
      <c r="BB583"/>
    </row>
    <row r="584" spans="1:54" s="188" customFormat="1" ht="13.5">
      <c r="A584" s="179"/>
      <c r="B584" s="175"/>
      <c r="C584" s="180" t="str">
        <f>IFERROR(IF(VLOOKUP($B584,勘定科目!$A:$H,HLOOKUP($E$5,勘定科目!$F$1:$H$2,2,0),0)="","",VLOOKUP($B584,勘定科目!$A:$E,2,0)),"")</f>
        <v/>
      </c>
      <c r="D584" s="236" t="str">
        <f>IF(C584="","",VLOOKUP($B584,勘定科目!$A:$E,4,0))</f>
        <v/>
      </c>
      <c r="E584" s="242"/>
      <c r="F584" s="237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197">
        <f t="shared" si="20"/>
        <v>0</v>
      </c>
      <c r="S584" s="198"/>
      <c r="T584" s="199"/>
      <c r="U584" s="243"/>
      <c r="V584" s="243"/>
      <c r="W584" s="243"/>
      <c r="BA584"/>
      <c r="BB584"/>
    </row>
    <row r="585" spans="1:54" s="188" customFormat="1" ht="13.5">
      <c r="A585" s="179"/>
      <c r="B585" s="175"/>
      <c r="C585" s="180" t="str">
        <f>IFERROR(IF(VLOOKUP($B585,勘定科目!$A:$H,HLOOKUP($E$5,勘定科目!$F$1:$H$2,2,0),0)="","",VLOOKUP($B585,勘定科目!$A:$E,2,0)),"")</f>
        <v/>
      </c>
      <c r="D585" s="236" t="str">
        <f>IF(C585="","",VLOOKUP($B585,勘定科目!$A:$E,4,0))</f>
        <v/>
      </c>
      <c r="E585" s="242"/>
      <c r="F585" s="237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197">
        <f t="shared" si="20"/>
        <v>0</v>
      </c>
      <c r="S585" s="198"/>
      <c r="T585" s="199"/>
      <c r="U585" s="243"/>
      <c r="V585" s="243"/>
      <c r="W585" s="243"/>
      <c r="BA585"/>
      <c r="BB585"/>
    </row>
    <row r="586" spans="1:54" s="188" customFormat="1" ht="13.5">
      <c r="A586" s="179"/>
      <c r="B586" s="175"/>
      <c r="C586" s="180" t="str">
        <f>IFERROR(IF(VLOOKUP($B586,勘定科目!$A:$H,HLOOKUP($E$5,勘定科目!$F$1:$H$2,2,0),0)="","",VLOOKUP($B586,勘定科目!$A:$E,2,0)),"")</f>
        <v/>
      </c>
      <c r="D586" s="236" t="str">
        <f>IF(C586="","",VLOOKUP($B586,勘定科目!$A:$E,4,0))</f>
        <v/>
      </c>
      <c r="E586" s="242"/>
      <c r="F586" s="237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197">
        <f t="shared" si="20"/>
        <v>0</v>
      </c>
      <c r="S586" s="198"/>
      <c r="T586" s="199"/>
      <c r="U586" s="243"/>
      <c r="V586" s="243"/>
      <c r="W586" s="243"/>
      <c r="BA586"/>
      <c r="BB586"/>
    </row>
    <row r="587" spans="1:54" s="188" customFormat="1" ht="13.5">
      <c r="A587" s="179"/>
      <c r="B587" s="175"/>
      <c r="C587" s="180" t="str">
        <f>IFERROR(IF(VLOOKUP($B587,勘定科目!$A:$H,HLOOKUP($E$5,勘定科目!$F$1:$H$2,2,0),0)="","",VLOOKUP($B587,勘定科目!$A:$E,2,0)),"")</f>
        <v/>
      </c>
      <c r="D587" s="236" t="str">
        <f>IF(C587="","",VLOOKUP($B587,勘定科目!$A:$E,4,0))</f>
        <v/>
      </c>
      <c r="E587" s="242"/>
      <c r="F587" s="237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197">
        <f t="shared" si="20"/>
        <v>0</v>
      </c>
      <c r="S587" s="198"/>
      <c r="T587" s="199"/>
      <c r="U587" s="243"/>
      <c r="V587" s="243"/>
      <c r="W587" s="243"/>
      <c r="BA587"/>
      <c r="BB587"/>
    </row>
    <row r="588" spans="1:54" s="188" customFormat="1" ht="13.5">
      <c r="A588" s="179"/>
      <c r="B588" s="175"/>
      <c r="C588" s="180" t="str">
        <f>IFERROR(IF(VLOOKUP($B588,勘定科目!$A:$H,HLOOKUP($E$5,勘定科目!$F$1:$H$2,2,0),0)="","",VLOOKUP($B588,勘定科目!$A:$E,2,0)),"")</f>
        <v/>
      </c>
      <c r="D588" s="236" t="str">
        <f>IF(C588="","",VLOOKUP($B588,勘定科目!$A:$E,4,0))</f>
        <v/>
      </c>
      <c r="E588" s="242"/>
      <c r="F588" s="237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197">
        <f t="shared" si="20"/>
        <v>0</v>
      </c>
      <c r="S588" s="198"/>
      <c r="T588" s="199"/>
      <c r="U588" s="243"/>
      <c r="V588" s="243"/>
      <c r="W588" s="243"/>
      <c r="BA588"/>
      <c r="BB588"/>
    </row>
    <row r="589" spans="1:54" s="188" customFormat="1" ht="13.5">
      <c r="A589" s="179"/>
      <c r="B589" s="175"/>
      <c r="C589" s="180" t="str">
        <f>IFERROR(IF(VLOOKUP($B589,勘定科目!$A:$H,HLOOKUP($E$5,勘定科目!$F$1:$H$2,2,0),0)="","",VLOOKUP($B589,勘定科目!$A:$E,2,0)),"")</f>
        <v/>
      </c>
      <c r="D589" s="236" t="str">
        <f>IF(C589="","",VLOOKUP($B589,勘定科目!$A:$E,4,0))</f>
        <v/>
      </c>
      <c r="E589" s="242"/>
      <c r="F589" s="237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197">
        <f t="shared" si="20"/>
        <v>0</v>
      </c>
      <c r="S589" s="198"/>
      <c r="T589" s="199"/>
      <c r="U589" s="243"/>
      <c r="V589" s="243"/>
      <c r="W589" s="243"/>
      <c r="BA589"/>
      <c r="BB589"/>
    </row>
    <row r="590" spans="1:54" s="188" customFormat="1" ht="13.5">
      <c r="A590" s="179"/>
      <c r="B590" s="175"/>
      <c r="C590" s="180" t="str">
        <f>IFERROR(IF(VLOOKUP($B590,勘定科目!$A:$H,HLOOKUP($E$5,勘定科目!$F$1:$H$2,2,0),0)="","",VLOOKUP($B590,勘定科目!$A:$E,2,0)),"")</f>
        <v/>
      </c>
      <c r="D590" s="236" t="str">
        <f>IF(C590="","",VLOOKUP($B590,勘定科目!$A:$E,4,0))</f>
        <v/>
      </c>
      <c r="E590" s="242"/>
      <c r="F590" s="237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197">
        <f t="shared" si="20"/>
        <v>0</v>
      </c>
      <c r="S590" s="198"/>
      <c r="T590" s="199"/>
      <c r="U590" s="243"/>
      <c r="V590" s="243"/>
      <c r="W590" s="243"/>
      <c r="BA590"/>
      <c r="BB590"/>
    </row>
    <row r="591" spans="1:54" s="188" customFormat="1" ht="13.5">
      <c r="A591" s="179"/>
      <c r="B591" s="175"/>
      <c r="C591" s="180" t="str">
        <f>IFERROR(IF(VLOOKUP($B591,勘定科目!$A:$H,HLOOKUP($E$5,勘定科目!$F$1:$H$2,2,0),0)="","",VLOOKUP($B591,勘定科目!$A:$E,2,0)),"")</f>
        <v/>
      </c>
      <c r="D591" s="236" t="str">
        <f>IF(C591="","",VLOOKUP($B591,勘定科目!$A:$E,4,0))</f>
        <v/>
      </c>
      <c r="E591" s="242"/>
      <c r="F591" s="237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197">
        <f t="shared" si="20"/>
        <v>0</v>
      </c>
      <c r="S591" s="198"/>
      <c r="T591" s="199"/>
      <c r="U591" s="243"/>
      <c r="V591" s="243"/>
      <c r="W591" s="243"/>
      <c r="BA591"/>
      <c r="BB591"/>
    </row>
    <row r="592" spans="1:54" s="188" customFormat="1" ht="13.5">
      <c r="A592" s="179"/>
      <c r="B592" s="175"/>
      <c r="C592" s="180" t="str">
        <f>IFERROR(IF(VLOOKUP($B592,勘定科目!$A:$H,HLOOKUP($E$5,勘定科目!$F$1:$H$2,2,0),0)="","",VLOOKUP($B592,勘定科目!$A:$E,2,0)),"")</f>
        <v/>
      </c>
      <c r="D592" s="236" t="str">
        <f>IF(C592="","",VLOOKUP($B592,勘定科目!$A:$E,4,0))</f>
        <v/>
      </c>
      <c r="E592" s="242"/>
      <c r="F592" s="237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197">
        <f t="shared" si="20"/>
        <v>0</v>
      </c>
      <c r="S592" s="198"/>
      <c r="T592" s="199"/>
      <c r="U592" s="243"/>
      <c r="V592" s="243"/>
      <c r="W592" s="243"/>
      <c r="BA592"/>
      <c r="BB592"/>
    </row>
    <row r="593" spans="1:54" s="188" customFormat="1" ht="13.5">
      <c r="A593" s="179"/>
      <c r="B593" s="175"/>
      <c r="C593" s="180" t="str">
        <f>IFERROR(IF(VLOOKUP($B593,勘定科目!$A:$H,HLOOKUP($E$5,勘定科目!$F$1:$H$2,2,0),0)="","",VLOOKUP($B593,勘定科目!$A:$E,2,0)),"")</f>
        <v/>
      </c>
      <c r="D593" s="236" t="str">
        <f>IF(C593="","",VLOOKUP($B593,勘定科目!$A:$E,4,0))</f>
        <v/>
      </c>
      <c r="E593" s="242"/>
      <c r="F593" s="237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197">
        <f t="shared" si="20"/>
        <v>0</v>
      </c>
      <c r="S593" s="198"/>
      <c r="T593" s="199"/>
      <c r="U593" s="243"/>
      <c r="V593" s="243"/>
      <c r="W593" s="243"/>
      <c r="BA593"/>
      <c r="BB593"/>
    </row>
    <row r="594" spans="1:54" s="188" customFormat="1" ht="13.5">
      <c r="A594" s="179"/>
      <c r="B594" s="175"/>
      <c r="C594" s="180" t="str">
        <f>IFERROR(IF(VLOOKUP($B594,勘定科目!$A:$H,HLOOKUP($E$5,勘定科目!$F$1:$H$2,2,0),0)="","",VLOOKUP($B594,勘定科目!$A:$E,2,0)),"")</f>
        <v/>
      </c>
      <c r="D594" s="236" t="str">
        <f>IF(C594="","",VLOOKUP($B594,勘定科目!$A:$E,4,0))</f>
        <v/>
      </c>
      <c r="E594" s="242"/>
      <c r="F594" s="237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197">
        <f t="shared" si="20"/>
        <v>0</v>
      </c>
      <c r="S594" s="198"/>
      <c r="T594" s="199"/>
      <c r="U594" s="243"/>
      <c r="V594" s="243"/>
      <c r="W594" s="243"/>
      <c r="BA594"/>
      <c r="BB594"/>
    </row>
    <row r="595" spans="1:54" s="188" customFormat="1" ht="13.5">
      <c r="A595" s="179"/>
      <c r="B595" s="175"/>
      <c r="C595" s="180" t="str">
        <f>IFERROR(IF(VLOOKUP($B595,勘定科目!$A:$H,HLOOKUP($E$5,勘定科目!$F$1:$H$2,2,0),0)="","",VLOOKUP($B595,勘定科目!$A:$E,2,0)),"")</f>
        <v/>
      </c>
      <c r="D595" s="236" t="str">
        <f>IF(C595="","",VLOOKUP($B595,勘定科目!$A:$E,4,0))</f>
        <v/>
      </c>
      <c r="E595" s="242"/>
      <c r="F595" s="237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197">
        <f t="shared" si="20"/>
        <v>0</v>
      </c>
      <c r="S595" s="198"/>
      <c r="T595" s="199"/>
      <c r="U595" s="243"/>
      <c r="V595" s="243"/>
      <c r="W595" s="243"/>
      <c r="BA595"/>
      <c r="BB595"/>
    </row>
    <row r="596" spans="1:54" s="188" customFormat="1" ht="13.5">
      <c r="A596" s="179"/>
      <c r="B596" s="175"/>
      <c r="C596" s="180" t="str">
        <f>IFERROR(IF(VLOOKUP($B596,勘定科目!$A:$H,HLOOKUP($E$5,勘定科目!$F$1:$H$2,2,0),0)="","",VLOOKUP($B596,勘定科目!$A:$E,2,0)),"")</f>
        <v/>
      </c>
      <c r="D596" s="236" t="str">
        <f>IF(C596="","",VLOOKUP($B596,勘定科目!$A:$E,4,0))</f>
        <v/>
      </c>
      <c r="E596" s="242"/>
      <c r="F596" s="237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197">
        <f t="shared" si="20"/>
        <v>0</v>
      </c>
      <c r="S596" s="198"/>
      <c r="T596" s="199"/>
      <c r="U596" s="243"/>
      <c r="V596" s="243"/>
      <c r="W596" s="243"/>
      <c r="BA596"/>
      <c r="BB596"/>
    </row>
    <row r="597" spans="1:54" s="188" customFormat="1" ht="13.5">
      <c r="A597" s="179"/>
      <c r="B597" s="175"/>
      <c r="C597" s="180" t="str">
        <f>IFERROR(IF(VLOOKUP($B597,勘定科目!$A:$H,HLOOKUP($E$5,勘定科目!$F$1:$H$2,2,0),0)="","",VLOOKUP($B597,勘定科目!$A:$E,2,0)),"")</f>
        <v/>
      </c>
      <c r="D597" s="236" t="str">
        <f>IF(C597="","",VLOOKUP($B597,勘定科目!$A:$E,4,0))</f>
        <v/>
      </c>
      <c r="E597" s="242"/>
      <c r="F597" s="237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197">
        <f t="shared" si="20"/>
        <v>0</v>
      </c>
      <c r="S597" s="198"/>
      <c r="T597" s="199"/>
      <c r="U597" s="243"/>
      <c r="V597" s="243"/>
      <c r="W597" s="243"/>
      <c r="BA597"/>
      <c r="BB597"/>
    </row>
    <row r="598" spans="1:54" s="188" customFormat="1" ht="13.5">
      <c r="A598" s="179"/>
      <c r="B598" s="175"/>
      <c r="C598" s="180" t="str">
        <f>IFERROR(IF(VLOOKUP($B598,勘定科目!$A:$H,HLOOKUP($E$5,勘定科目!$F$1:$H$2,2,0),0)="","",VLOOKUP($B598,勘定科目!$A:$E,2,0)),"")</f>
        <v/>
      </c>
      <c r="D598" s="236" t="str">
        <f>IF(C598="","",VLOOKUP($B598,勘定科目!$A:$E,4,0))</f>
        <v/>
      </c>
      <c r="E598" s="242"/>
      <c r="F598" s="237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197">
        <f t="shared" si="20"/>
        <v>0</v>
      </c>
      <c r="S598" s="198"/>
      <c r="T598" s="199"/>
      <c r="U598" s="243"/>
      <c r="V598" s="243"/>
      <c r="W598" s="243"/>
      <c r="BA598"/>
      <c r="BB598"/>
    </row>
    <row r="599" spans="1:54" s="188" customFormat="1" ht="13.5">
      <c r="A599" s="179"/>
      <c r="B599" s="175"/>
      <c r="C599" s="180" t="str">
        <f>IFERROR(IF(VLOOKUP($B599,勘定科目!$A:$H,HLOOKUP($E$5,勘定科目!$F$1:$H$2,2,0),0)="","",VLOOKUP($B599,勘定科目!$A:$E,2,0)),"")</f>
        <v/>
      </c>
      <c r="D599" s="236" t="str">
        <f>IF(C599="","",VLOOKUP($B599,勘定科目!$A:$E,4,0))</f>
        <v/>
      </c>
      <c r="E599" s="242"/>
      <c r="F599" s="237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197">
        <f t="shared" si="20"/>
        <v>0</v>
      </c>
      <c r="S599" s="198"/>
      <c r="T599" s="199"/>
      <c r="U599" s="243"/>
      <c r="V599" s="243"/>
      <c r="W599" s="243"/>
      <c r="BA599"/>
      <c r="BB599"/>
    </row>
    <row r="600" spans="1:54" s="188" customFormat="1" ht="13.5">
      <c r="A600" s="179"/>
      <c r="B600" s="175"/>
      <c r="C600" s="180" t="str">
        <f>IFERROR(IF(VLOOKUP($B600,勘定科目!$A:$H,HLOOKUP($E$5,勘定科目!$F$1:$H$2,2,0),0)="","",VLOOKUP($B600,勘定科目!$A:$E,2,0)),"")</f>
        <v/>
      </c>
      <c r="D600" s="236" t="str">
        <f>IF(C600="","",VLOOKUP($B600,勘定科目!$A:$E,4,0))</f>
        <v/>
      </c>
      <c r="E600" s="242"/>
      <c r="F600" s="237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197">
        <f t="shared" si="20"/>
        <v>0</v>
      </c>
      <c r="S600" s="198"/>
      <c r="T600" s="199"/>
      <c r="U600" s="243"/>
      <c r="V600" s="243"/>
      <c r="W600" s="243"/>
      <c r="BA600"/>
      <c r="BB600"/>
    </row>
    <row r="601" spans="1:54" s="188" customFormat="1" ht="13.5">
      <c r="A601" s="179"/>
      <c r="B601" s="175"/>
      <c r="C601" s="180" t="str">
        <f>IFERROR(IF(VLOOKUP($B601,勘定科目!$A:$H,HLOOKUP($E$5,勘定科目!$F$1:$H$2,2,0),0)="","",VLOOKUP($B601,勘定科目!$A:$E,2,0)),"")</f>
        <v/>
      </c>
      <c r="D601" s="236" t="str">
        <f>IF(C601="","",VLOOKUP($B601,勘定科目!$A:$E,4,0))</f>
        <v/>
      </c>
      <c r="E601" s="242"/>
      <c r="F601" s="237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197">
        <f t="shared" si="20"/>
        <v>0</v>
      </c>
      <c r="S601" s="198"/>
      <c r="T601" s="199"/>
      <c r="U601" s="243"/>
      <c r="V601" s="243"/>
      <c r="W601" s="243"/>
      <c r="BA601"/>
      <c r="BB601"/>
    </row>
    <row r="602" spans="1:54" s="188" customFormat="1" ht="13.5">
      <c r="A602" s="179"/>
      <c r="B602" s="175"/>
      <c r="C602" s="180" t="str">
        <f>IFERROR(IF(VLOOKUP($B602,勘定科目!$A:$H,HLOOKUP($E$5,勘定科目!$F$1:$H$2,2,0),0)="","",VLOOKUP($B602,勘定科目!$A:$E,2,0)),"")</f>
        <v/>
      </c>
      <c r="D602" s="236" t="str">
        <f>IF(C602="","",VLOOKUP($B602,勘定科目!$A:$E,4,0))</f>
        <v/>
      </c>
      <c r="E602" s="242"/>
      <c r="F602" s="237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197">
        <f t="shared" si="20"/>
        <v>0</v>
      </c>
      <c r="S602" s="198"/>
      <c r="T602" s="199"/>
      <c r="U602" s="243"/>
      <c r="V602" s="243"/>
      <c r="W602" s="243"/>
      <c r="BA602"/>
      <c r="BB602"/>
    </row>
    <row r="603" spans="1:54" s="188" customFormat="1" ht="13.5">
      <c r="A603" s="179"/>
      <c r="B603" s="175"/>
      <c r="C603" s="180" t="str">
        <f>IFERROR(IF(VLOOKUP($B603,勘定科目!$A:$H,HLOOKUP($E$5,勘定科目!$F$1:$H$2,2,0),0)="","",VLOOKUP($B603,勘定科目!$A:$E,2,0)),"")</f>
        <v/>
      </c>
      <c r="D603" s="236" t="str">
        <f>IF(C603="","",VLOOKUP($B603,勘定科目!$A:$E,4,0))</f>
        <v/>
      </c>
      <c r="E603" s="242"/>
      <c r="F603" s="237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197">
        <f t="shared" si="20"/>
        <v>0</v>
      </c>
      <c r="S603" s="198"/>
      <c r="T603" s="199"/>
      <c r="U603" s="243"/>
      <c r="V603" s="243"/>
      <c r="W603" s="243"/>
      <c r="BA603"/>
      <c r="BB603"/>
    </row>
    <row r="604" spans="1:54" s="188" customFormat="1" ht="13.5">
      <c r="A604" s="179"/>
      <c r="B604" s="175"/>
      <c r="C604" s="180" t="str">
        <f>IFERROR(IF(VLOOKUP($B604,勘定科目!$A:$H,HLOOKUP($E$5,勘定科目!$F$1:$H$2,2,0),0)="","",VLOOKUP($B604,勘定科目!$A:$E,2,0)),"")</f>
        <v/>
      </c>
      <c r="D604" s="236" t="str">
        <f>IF(C604="","",VLOOKUP($B604,勘定科目!$A:$E,4,0))</f>
        <v/>
      </c>
      <c r="E604" s="242"/>
      <c r="F604" s="237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197">
        <f t="shared" si="20"/>
        <v>0</v>
      </c>
      <c r="S604" s="198"/>
      <c r="T604" s="199"/>
      <c r="U604" s="243"/>
      <c r="V604" s="243"/>
      <c r="W604" s="243"/>
      <c r="BA604"/>
      <c r="BB604"/>
    </row>
    <row r="605" spans="1:54" s="188" customFormat="1" ht="13.5">
      <c r="A605" s="179"/>
      <c r="B605" s="175"/>
      <c r="C605" s="180" t="str">
        <f>IFERROR(IF(VLOOKUP($B605,勘定科目!$A:$H,HLOOKUP($E$5,勘定科目!$F$1:$H$2,2,0),0)="","",VLOOKUP($B605,勘定科目!$A:$E,2,0)),"")</f>
        <v/>
      </c>
      <c r="D605" s="236" t="str">
        <f>IF(C605="","",VLOOKUP($B605,勘定科目!$A:$E,4,0))</f>
        <v/>
      </c>
      <c r="E605" s="242"/>
      <c r="F605" s="237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197">
        <f t="shared" si="20"/>
        <v>0</v>
      </c>
      <c r="S605" s="198"/>
      <c r="T605" s="199"/>
      <c r="U605" s="243"/>
      <c r="V605" s="243"/>
      <c r="W605" s="243"/>
      <c r="BA605"/>
      <c r="BB605"/>
    </row>
    <row r="606" spans="1:54" s="188" customFormat="1" ht="13.5">
      <c r="A606" s="179"/>
      <c r="B606" s="175"/>
      <c r="C606" s="180" t="str">
        <f>IFERROR(IF(VLOOKUP($B606,勘定科目!$A:$H,HLOOKUP($E$5,勘定科目!$F$1:$H$2,2,0),0)="","",VLOOKUP($B606,勘定科目!$A:$E,2,0)),"")</f>
        <v/>
      </c>
      <c r="D606" s="236" t="str">
        <f>IF(C606="","",VLOOKUP($B606,勘定科目!$A:$E,4,0))</f>
        <v/>
      </c>
      <c r="E606" s="242"/>
      <c r="F606" s="237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197">
        <f t="shared" si="20"/>
        <v>0</v>
      </c>
      <c r="S606" s="198"/>
      <c r="T606" s="199"/>
      <c r="U606" s="243"/>
      <c r="V606" s="243"/>
      <c r="W606" s="243"/>
      <c r="BA606"/>
      <c r="BB606"/>
    </row>
    <row r="607" spans="1:54" s="188" customFormat="1" ht="13.5">
      <c r="A607" s="179"/>
      <c r="B607" s="175"/>
      <c r="C607" s="180" t="str">
        <f>IFERROR(IF(VLOOKUP($B607,勘定科目!$A:$H,HLOOKUP($E$5,勘定科目!$F$1:$H$2,2,0),0)="","",VLOOKUP($B607,勘定科目!$A:$E,2,0)),"")</f>
        <v/>
      </c>
      <c r="D607" s="236" t="str">
        <f>IF(C607="","",VLOOKUP($B607,勘定科目!$A:$E,4,0))</f>
        <v/>
      </c>
      <c r="E607" s="242"/>
      <c r="F607" s="237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197">
        <f t="shared" si="20"/>
        <v>0</v>
      </c>
      <c r="S607" s="198"/>
      <c r="T607" s="199"/>
      <c r="U607" s="243"/>
      <c r="V607" s="243"/>
      <c r="W607" s="243"/>
      <c r="BA607"/>
      <c r="BB607"/>
    </row>
    <row r="608" spans="1:54" s="188" customFormat="1" ht="13.5">
      <c r="A608" s="179"/>
      <c r="B608" s="175"/>
      <c r="C608" s="180" t="str">
        <f>IFERROR(IF(VLOOKUP($B608,勘定科目!$A:$H,HLOOKUP($E$5,勘定科目!$F$1:$H$2,2,0),0)="","",VLOOKUP($B608,勘定科目!$A:$E,2,0)),"")</f>
        <v/>
      </c>
      <c r="D608" s="236" t="str">
        <f>IF(C608="","",VLOOKUP($B608,勘定科目!$A:$E,4,0))</f>
        <v/>
      </c>
      <c r="E608" s="242"/>
      <c r="F608" s="237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197">
        <f t="shared" si="20"/>
        <v>0</v>
      </c>
      <c r="S608" s="198"/>
      <c r="T608" s="199"/>
      <c r="U608" s="243"/>
      <c r="V608" s="243"/>
      <c r="W608" s="243"/>
      <c r="BA608"/>
      <c r="BB608"/>
    </row>
    <row r="609" spans="1:54" s="188" customFormat="1" ht="13.5">
      <c r="A609" s="179"/>
      <c r="B609" s="175"/>
      <c r="C609" s="180" t="str">
        <f>IFERROR(IF(VLOOKUP($B609,勘定科目!$A:$H,HLOOKUP($E$5,勘定科目!$F$1:$H$2,2,0),0)="","",VLOOKUP($B609,勘定科目!$A:$E,2,0)),"")</f>
        <v/>
      </c>
      <c r="D609" s="236" t="str">
        <f>IF(C609="","",VLOOKUP($B609,勘定科目!$A:$E,4,0))</f>
        <v/>
      </c>
      <c r="E609" s="242"/>
      <c r="F609" s="237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197">
        <f t="shared" si="20"/>
        <v>0</v>
      </c>
      <c r="S609" s="198"/>
      <c r="T609" s="199"/>
      <c r="U609" s="243"/>
      <c r="V609" s="243"/>
      <c r="W609" s="243"/>
      <c r="BA609"/>
      <c r="BB609"/>
    </row>
    <row r="610" spans="1:54" s="188" customFormat="1" ht="13.5">
      <c r="A610" s="179"/>
      <c r="B610" s="175"/>
      <c r="C610" s="180" t="str">
        <f>IFERROR(IF(VLOOKUP($B610,勘定科目!$A:$H,HLOOKUP($E$5,勘定科目!$F$1:$H$2,2,0),0)="","",VLOOKUP($B610,勘定科目!$A:$E,2,0)),"")</f>
        <v/>
      </c>
      <c r="D610" s="236" t="str">
        <f>IF(C610="","",VLOOKUP($B610,勘定科目!$A:$E,4,0))</f>
        <v/>
      </c>
      <c r="E610" s="242"/>
      <c r="F610" s="237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197">
        <f t="shared" si="20"/>
        <v>0</v>
      </c>
      <c r="S610" s="198"/>
      <c r="T610" s="199"/>
      <c r="U610" s="243"/>
      <c r="V610" s="243"/>
      <c r="W610" s="243"/>
      <c r="BA610"/>
      <c r="BB610"/>
    </row>
    <row r="611" spans="1:54" s="188" customFormat="1" ht="13.5">
      <c r="A611" s="179"/>
      <c r="B611" s="175"/>
      <c r="C611" s="180" t="str">
        <f>IFERROR(IF(VLOOKUP($B611,勘定科目!$A:$H,HLOOKUP($E$5,勘定科目!$F$1:$H$2,2,0),0)="","",VLOOKUP($B611,勘定科目!$A:$E,2,0)),"")</f>
        <v/>
      </c>
      <c r="D611" s="236" t="str">
        <f>IF(C611="","",VLOOKUP($B611,勘定科目!$A:$E,4,0))</f>
        <v/>
      </c>
      <c r="E611" s="242"/>
      <c r="F611" s="237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197">
        <f t="shared" si="20"/>
        <v>0</v>
      </c>
      <c r="S611" s="198"/>
      <c r="T611" s="199"/>
      <c r="U611" s="243"/>
      <c r="V611" s="243"/>
      <c r="W611" s="243"/>
      <c r="BA611"/>
      <c r="BB611"/>
    </row>
    <row r="612" spans="1:54" s="188" customFormat="1" ht="13.5">
      <c r="A612" s="179"/>
      <c r="B612" s="175"/>
      <c r="C612" s="180" t="str">
        <f>IFERROR(IF(VLOOKUP($B612,勘定科目!$A:$H,HLOOKUP($E$5,勘定科目!$F$1:$H$2,2,0),0)="","",VLOOKUP($B612,勘定科目!$A:$E,2,0)),"")</f>
        <v/>
      </c>
      <c r="D612" s="236" t="str">
        <f>IF(C612="","",VLOOKUP($B612,勘定科目!$A:$E,4,0))</f>
        <v/>
      </c>
      <c r="E612" s="242"/>
      <c r="F612" s="237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197">
        <f t="shared" si="20"/>
        <v>0</v>
      </c>
      <c r="S612" s="198"/>
      <c r="T612" s="199"/>
      <c r="U612" s="243"/>
      <c r="V612" s="243"/>
      <c r="W612" s="243"/>
      <c r="BA612"/>
      <c r="BB612"/>
    </row>
    <row r="613" spans="1:54" s="188" customFormat="1" ht="13.5">
      <c r="A613" s="179"/>
      <c r="B613" s="175"/>
      <c r="C613" s="180" t="str">
        <f>IFERROR(IF(VLOOKUP($B613,勘定科目!$A:$H,HLOOKUP($E$5,勘定科目!$F$1:$H$2,2,0),0)="","",VLOOKUP($B613,勘定科目!$A:$E,2,0)),"")</f>
        <v/>
      </c>
      <c r="D613" s="236" t="str">
        <f>IF(C613="","",VLOOKUP($B613,勘定科目!$A:$E,4,0))</f>
        <v/>
      </c>
      <c r="E613" s="242"/>
      <c r="F613" s="237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197">
        <f t="shared" si="20"/>
        <v>0</v>
      </c>
      <c r="S613" s="198"/>
      <c r="T613" s="199"/>
      <c r="U613" s="243"/>
      <c r="V613" s="243"/>
      <c r="W613" s="243"/>
      <c r="BA613"/>
      <c r="BB613"/>
    </row>
    <row r="614" spans="1:54" s="188" customFormat="1" ht="13.5">
      <c r="A614" s="179"/>
      <c r="B614" s="175"/>
      <c r="C614" s="180" t="str">
        <f>IFERROR(IF(VLOOKUP($B614,勘定科目!$A:$H,HLOOKUP($E$5,勘定科目!$F$1:$H$2,2,0),0)="","",VLOOKUP($B614,勘定科目!$A:$E,2,0)),"")</f>
        <v/>
      </c>
      <c r="D614" s="236" t="str">
        <f>IF(C614="","",VLOOKUP($B614,勘定科目!$A:$E,4,0))</f>
        <v/>
      </c>
      <c r="E614" s="242"/>
      <c r="F614" s="237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197">
        <f t="shared" si="20"/>
        <v>0</v>
      </c>
      <c r="S614" s="198"/>
      <c r="T614" s="199"/>
      <c r="U614" s="243"/>
      <c r="V614" s="243"/>
      <c r="W614" s="243"/>
      <c r="BA614"/>
      <c r="BB614"/>
    </row>
    <row r="615" spans="1:54" s="188" customFormat="1" ht="13.5">
      <c r="A615" s="179"/>
      <c r="B615" s="175"/>
      <c r="C615" s="180" t="str">
        <f>IFERROR(IF(VLOOKUP($B615,勘定科目!$A:$H,HLOOKUP($E$5,勘定科目!$F$1:$H$2,2,0),0)="","",VLOOKUP($B615,勘定科目!$A:$E,2,0)),"")</f>
        <v/>
      </c>
      <c r="D615" s="236" t="str">
        <f>IF(C615="","",VLOOKUP($B615,勘定科目!$A:$E,4,0))</f>
        <v/>
      </c>
      <c r="E615" s="242"/>
      <c r="F615" s="237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197">
        <f t="shared" si="20"/>
        <v>0</v>
      </c>
      <c r="S615" s="198"/>
      <c r="T615" s="199"/>
      <c r="U615" s="243"/>
      <c r="V615" s="243"/>
      <c r="W615" s="243"/>
      <c r="BA615"/>
      <c r="BB615"/>
    </row>
    <row r="616" spans="1:54" s="188" customFormat="1" ht="13.5">
      <c r="A616" s="179"/>
      <c r="B616" s="175"/>
      <c r="C616" s="180" t="str">
        <f>IFERROR(IF(VLOOKUP($B616,勘定科目!$A:$H,HLOOKUP($E$5,勘定科目!$F$1:$H$2,2,0),0)="","",VLOOKUP($B616,勘定科目!$A:$E,2,0)),"")</f>
        <v/>
      </c>
      <c r="D616" s="236" t="str">
        <f>IF(C616="","",VLOOKUP($B616,勘定科目!$A:$E,4,0))</f>
        <v/>
      </c>
      <c r="E616" s="242"/>
      <c r="F616" s="237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197">
        <f t="shared" si="20"/>
        <v>0</v>
      </c>
      <c r="S616" s="198"/>
      <c r="T616" s="199"/>
      <c r="U616" s="243"/>
      <c r="V616" s="243"/>
      <c r="W616" s="243"/>
      <c r="BA616"/>
      <c r="BB616"/>
    </row>
    <row r="617" spans="1:54" s="188" customFormat="1" ht="13.5">
      <c r="A617" s="179"/>
      <c r="B617" s="175"/>
      <c r="C617" s="180" t="str">
        <f>IFERROR(IF(VLOOKUP($B617,勘定科目!$A:$H,HLOOKUP($E$5,勘定科目!$F$1:$H$2,2,0),0)="","",VLOOKUP($B617,勘定科目!$A:$E,2,0)),"")</f>
        <v/>
      </c>
      <c r="D617" s="236" t="str">
        <f>IF(C617="","",VLOOKUP($B617,勘定科目!$A:$E,4,0))</f>
        <v/>
      </c>
      <c r="E617" s="242"/>
      <c r="F617" s="237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197">
        <f t="shared" si="20"/>
        <v>0</v>
      </c>
      <c r="S617" s="198"/>
      <c r="T617" s="199"/>
      <c r="U617" s="243"/>
      <c r="V617" s="243"/>
      <c r="W617" s="243"/>
      <c r="BA617"/>
      <c r="BB617"/>
    </row>
    <row r="618" spans="1:54" s="188" customFormat="1" ht="13.5">
      <c r="A618" s="179"/>
      <c r="B618" s="175"/>
      <c r="C618" s="180" t="str">
        <f>IFERROR(IF(VLOOKUP($B618,勘定科目!$A:$H,HLOOKUP($E$5,勘定科目!$F$1:$H$2,2,0),0)="","",VLOOKUP($B618,勘定科目!$A:$E,2,0)),"")</f>
        <v/>
      </c>
      <c r="D618" s="236" t="str">
        <f>IF(C618="","",VLOOKUP($B618,勘定科目!$A:$E,4,0))</f>
        <v/>
      </c>
      <c r="E618" s="242"/>
      <c r="F618" s="237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197">
        <f t="shared" si="20"/>
        <v>0</v>
      </c>
      <c r="S618" s="198"/>
      <c r="T618" s="199"/>
      <c r="U618" s="243"/>
      <c r="V618" s="243"/>
      <c r="W618" s="243"/>
      <c r="BA618"/>
      <c r="BB618"/>
    </row>
    <row r="619" spans="1:54" s="188" customFormat="1" ht="13.5">
      <c r="A619" s="179"/>
      <c r="B619" s="175"/>
      <c r="C619" s="180" t="str">
        <f>IFERROR(IF(VLOOKUP($B619,勘定科目!$A:$H,HLOOKUP($E$5,勘定科目!$F$1:$H$2,2,0),0)="","",VLOOKUP($B619,勘定科目!$A:$E,2,0)),"")</f>
        <v/>
      </c>
      <c r="D619" s="236" t="str">
        <f>IF(C619="","",VLOOKUP($B619,勘定科目!$A:$E,4,0))</f>
        <v/>
      </c>
      <c r="E619" s="242"/>
      <c r="F619" s="237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197">
        <f t="shared" si="20"/>
        <v>0</v>
      </c>
      <c r="S619" s="198"/>
      <c r="T619" s="199"/>
      <c r="U619" s="243"/>
      <c r="V619" s="243"/>
      <c r="W619" s="243"/>
      <c r="BA619"/>
      <c r="BB619"/>
    </row>
    <row r="620" spans="1:54" s="188" customFormat="1" ht="13.5">
      <c r="A620" s="179"/>
      <c r="B620" s="175"/>
      <c r="C620" s="180" t="str">
        <f>IFERROR(IF(VLOOKUP($B620,勘定科目!$A:$H,HLOOKUP($E$5,勘定科目!$F$1:$H$2,2,0),0)="","",VLOOKUP($B620,勘定科目!$A:$E,2,0)),"")</f>
        <v/>
      </c>
      <c r="D620" s="236" t="str">
        <f>IF(C620="","",VLOOKUP($B620,勘定科目!$A:$E,4,0))</f>
        <v/>
      </c>
      <c r="E620" s="242"/>
      <c r="F620" s="237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197">
        <f t="shared" si="20"/>
        <v>0</v>
      </c>
      <c r="S620" s="198"/>
      <c r="T620" s="199"/>
      <c r="U620" s="243"/>
      <c r="V620" s="243"/>
      <c r="W620" s="243"/>
      <c r="BA620"/>
      <c r="BB620"/>
    </row>
    <row r="621" spans="1:54" s="188" customFormat="1" ht="13.5">
      <c r="A621" s="179"/>
      <c r="B621" s="175"/>
      <c r="C621" s="180" t="str">
        <f>IFERROR(IF(VLOOKUP($B621,勘定科目!$A:$H,HLOOKUP($E$5,勘定科目!$F$1:$H$2,2,0),0)="","",VLOOKUP($B621,勘定科目!$A:$E,2,0)),"")</f>
        <v/>
      </c>
      <c r="D621" s="236" t="str">
        <f>IF(C621="","",VLOOKUP($B621,勘定科目!$A:$E,4,0))</f>
        <v/>
      </c>
      <c r="E621" s="242"/>
      <c r="F621" s="237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197">
        <f t="shared" si="20"/>
        <v>0</v>
      </c>
      <c r="S621" s="198"/>
      <c r="T621" s="199"/>
      <c r="U621" s="243"/>
      <c r="V621" s="243"/>
      <c r="W621" s="243"/>
      <c r="BA621"/>
      <c r="BB621"/>
    </row>
    <row r="622" spans="1:54" s="188" customFormat="1" ht="13.5">
      <c r="A622" s="179"/>
      <c r="B622" s="175"/>
      <c r="C622" s="180" t="str">
        <f>IFERROR(IF(VLOOKUP($B622,勘定科目!$A:$H,HLOOKUP($E$5,勘定科目!$F$1:$H$2,2,0),0)="","",VLOOKUP($B622,勘定科目!$A:$E,2,0)),"")</f>
        <v/>
      </c>
      <c r="D622" s="236" t="str">
        <f>IF(C622="","",VLOOKUP($B622,勘定科目!$A:$E,4,0))</f>
        <v/>
      </c>
      <c r="E622" s="242"/>
      <c r="F622" s="237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197">
        <f t="shared" si="20"/>
        <v>0</v>
      </c>
      <c r="S622" s="198"/>
      <c r="T622" s="199"/>
      <c r="U622" s="243"/>
      <c r="V622" s="243"/>
      <c r="W622" s="243"/>
      <c r="BA622"/>
      <c r="BB622"/>
    </row>
    <row r="623" spans="1:54" s="188" customFormat="1" ht="13.5">
      <c r="A623" s="179"/>
      <c r="B623" s="175"/>
      <c r="C623" s="180" t="str">
        <f>IFERROR(IF(VLOOKUP($B623,勘定科目!$A:$H,HLOOKUP($E$5,勘定科目!$F$1:$H$2,2,0),0)="","",VLOOKUP($B623,勘定科目!$A:$E,2,0)),"")</f>
        <v/>
      </c>
      <c r="D623" s="236" t="str">
        <f>IF(C623="","",VLOOKUP($B623,勘定科目!$A:$E,4,0))</f>
        <v/>
      </c>
      <c r="E623" s="242"/>
      <c r="F623" s="237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197">
        <f t="shared" si="20"/>
        <v>0</v>
      </c>
      <c r="S623" s="198"/>
      <c r="T623" s="199"/>
      <c r="U623" s="243"/>
      <c r="V623" s="243"/>
      <c r="W623" s="243"/>
      <c r="BA623"/>
      <c r="BB623"/>
    </row>
    <row r="624" spans="1:54" s="188" customFormat="1" ht="13.5">
      <c r="A624" s="179"/>
      <c r="B624" s="175"/>
      <c r="C624" s="180" t="str">
        <f>IFERROR(IF(VLOOKUP($B624,勘定科目!$A:$H,HLOOKUP($E$5,勘定科目!$F$1:$H$2,2,0),0)="","",VLOOKUP($B624,勘定科目!$A:$E,2,0)),"")</f>
        <v/>
      </c>
      <c r="D624" s="236" t="str">
        <f>IF(C624="","",VLOOKUP($B624,勘定科目!$A:$E,4,0))</f>
        <v/>
      </c>
      <c r="E624" s="242"/>
      <c r="F624" s="237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197">
        <f t="shared" si="20"/>
        <v>0</v>
      </c>
      <c r="S624" s="198"/>
      <c r="T624" s="199"/>
      <c r="U624" s="243"/>
      <c r="V624" s="243"/>
      <c r="W624" s="243"/>
      <c r="BA624"/>
      <c r="BB624"/>
    </row>
    <row r="625" spans="1:54" s="188" customFormat="1" ht="13.5">
      <c r="A625" s="179"/>
      <c r="B625" s="175"/>
      <c r="C625" s="180" t="str">
        <f>IFERROR(IF(VLOOKUP($B625,勘定科目!$A:$H,HLOOKUP($E$5,勘定科目!$F$1:$H$2,2,0),0)="","",VLOOKUP($B625,勘定科目!$A:$E,2,0)),"")</f>
        <v/>
      </c>
      <c r="D625" s="236" t="str">
        <f>IF(C625="","",VLOOKUP($B625,勘定科目!$A:$E,4,0))</f>
        <v/>
      </c>
      <c r="E625" s="242"/>
      <c r="F625" s="237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197">
        <f t="shared" si="20"/>
        <v>0</v>
      </c>
      <c r="S625" s="198"/>
      <c r="T625" s="199"/>
      <c r="U625" s="243"/>
      <c r="V625" s="243"/>
      <c r="W625" s="243"/>
      <c r="BA625"/>
      <c r="BB625"/>
    </row>
    <row r="626" spans="1:54" s="188" customFormat="1" ht="13.5">
      <c r="A626" s="179"/>
      <c r="B626" s="175"/>
      <c r="C626" s="180" t="str">
        <f>IFERROR(IF(VLOOKUP($B626,勘定科目!$A:$H,HLOOKUP($E$5,勘定科目!$F$1:$H$2,2,0),0)="","",VLOOKUP($B626,勘定科目!$A:$E,2,0)),"")</f>
        <v/>
      </c>
      <c r="D626" s="236" t="str">
        <f>IF(C626="","",VLOOKUP($B626,勘定科目!$A:$E,4,0))</f>
        <v/>
      </c>
      <c r="E626" s="242"/>
      <c r="F626" s="237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197">
        <f t="shared" si="20"/>
        <v>0</v>
      </c>
      <c r="S626" s="198"/>
      <c r="T626" s="199"/>
      <c r="U626" s="243"/>
      <c r="V626" s="243"/>
      <c r="W626" s="243"/>
      <c r="BA626"/>
      <c r="BB626"/>
    </row>
    <row r="627" spans="1:54" s="188" customFormat="1" ht="13.5">
      <c r="A627" s="179"/>
      <c r="B627" s="175"/>
      <c r="C627" s="180" t="str">
        <f>IFERROR(IF(VLOOKUP($B627,勘定科目!$A:$H,HLOOKUP($E$5,勘定科目!$F$1:$H$2,2,0),0)="","",VLOOKUP($B627,勘定科目!$A:$E,2,0)),"")</f>
        <v/>
      </c>
      <c r="D627" s="236" t="str">
        <f>IF(C627="","",VLOOKUP($B627,勘定科目!$A:$E,4,0))</f>
        <v/>
      </c>
      <c r="E627" s="242"/>
      <c r="F627" s="237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197">
        <f t="shared" si="20"/>
        <v>0</v>
      </c>
      <c r="S627" s="198"/>
      <c r="T627" s="199"/>
      <c r="U627" s="243"/>
      <c r="V627" s="243"/>
      <c r="W627" s="243"/>
      <c r="BA627"/>
      <c r="BB627"/>
    </row>
    <row r="628" spans="1:54" s="188" customFormat="1" ht="13.5">
      <c r="A628" s="179"/>
      <c r="B628" s="175"/>
      <c r="C628" s="180" t="str">
        <f>IFERROR(IF(VLOOKUP($B628,勘定科目!$A:$H,HLOOKUP($E$5,勘定科目!$F$1:$H$2,2,0),0)="","",VLOOKUP($B628,勘定科目!$A:$E,2,0)),"")</f>
        <v/>
      </c>
      <c r="D628" s="236" t="str">
        <f>IF(C628="","",VLOOKUP($B628,勘定科目!$A:$E,4,0))</f>
        <v/>
      </c>
      <c r="E628" s="242"/>
      <c r="F628" s="237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197">
        <f t="shared" si="20"/>
        <v>0</v>
      </c>
      <c r="S628" s="198"/>
      <c r="T628" s="199"/>
      <c r="U628" s="243"/>
      <c r="V628" s="243"/>
      <c r="W628" s="243"/>
      <c r="BA628"/>
      <c r="BB628"/>
    </row>
    <row r="629" spans="1:54" s="188" customFormat="1" ht="13.5">
      <c r="A629" s="179"/>
      <c r="B629" s="175"/>
      <c r="C629" s="180" t="str">
        <f>IFERROR(IF(VLOOKUP($B629,勘定科目!$A:$H,HLOOKUP($E$5,勘定科目!$F$1:$H$2,2,0),0)="","",VLOOKUP($B629,勘定科目!$A:$E,2,0)),"")</f>
        <v/>
      </c>
      <c r="D629" s="236" t="str">
        <f>IF(C629="","",VLOOKUP($B629,勘定科目!$A:$E,4,0))</f>
        <v/>
      </c>
      <c r="E629" s="242"/>
      <c r="F629" s="237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197">
        <f t="shared" ref="R629:R692" si="21">SUM(F629:Q629)</f>
        <v>0</v>
      </c>
      <c r="S629" s="198"/>
      <c r="T629" s="199"/>
      <c r="U629" s="243"/>
      <c r="V629" s="243"/>
      <c r="W629" s="243"/>
      <c r="BA629"/>
      <c r="BB629"/>
    </row>
    <row r="630" spans="1:54" s="188" customFormat="1" ht="13.5">
      <c r="A630" s="179"/>
      <c r="B630" s="175"/>
      <c r="C630" s="180" t="str">
        <f>IFERROR(IF(VLOOKUP($B630,勘定科目!$A:$H,HLOOKUP($E$5,勘定科目!$F$1:$H$2,2,0),0)="","",VLOOKUP($B630,勘定科目!$A:$E,2,0)),"")</f>
        <v/>
      </c>
      <c r="D630" s="236" t="str">
        <f>IF(C630="","",VLOOKUP($B630,勘定科目!$A:$E,4,0))</f>
        <v/>
      </c>
      <c r="E630" s="242"/>
      <c r="F630" s="237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197">
        <f t="shared" si="21"/>
        <v>0</v>
      </c>
      <c r="S630" s="198"/>
      <c r="T630" s="199"/>
      <c r="U630" s="243"/>
      <c r="V630" s="243"/>
      <c r="W630" s="243"/>
      <c r="BA630"/>
      <c r="BB630"/>
    </row>
    <row r="631" spans="1:54" s="188" customFormat="1" ht="13.5">
      <c r="A631" s="179"/>
      <c r="B631" s="175"/>
      <c r="C631" s="180" t="str">
        <f>IFERROR(IF(VLOOKUP($B631,勘定科目!$A:$H,HLOOKUP($E$5,勘定科目!$F$1:$H$2,2,0),0)="","",VLOOKUP($B631,勘定科目!$A:$E,2,0)),"")</f>
        <v/>
      </c>
      <c r="D631" s="236" t="str">
        <f>IF(C631="","",VLOOKUP($B631,勘定科目!$A:$E,4,0))</f>
        <v/>
      </c>
      <c r="E631" s="242"/>
      <c r="F631" s="237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197">
        <f t="shared" si="21"/>
        <v>0</v>
      </c>
      <c r="S631" s="198"/>
      <c r="T631" s="199"/>
      <c r="U631" s="243"/>
      <c r="V631" s="243"/>
      <c r="W631" s="243"/>
      <c r="BA631"/>
      <c r="BB631"/>
    </row>
    <row r="632" spans="1:54" s="188" customFormat="1" ht="13.5">
      <c r="A632" s="179"/>
      <c r="B632" s="175"/>
      <c r="C632" s="180" t="str">
        <f>IFERROR(IF(VLOOKUP($B632,勘定科目!$A:$H,HLOOKUP($E$5,勘定科目!$F$1:$H$2,2,0),0)="","",VLOOKUP($B632,勘定科目!$A:$E,2,0)),"")</f>
        <v/>
      </c>
      <c r="D632" s="236" t="str">
        <f>IF(C632="","",VLOOKUP($B632,勘定科目!$A:$E,4,0))</f>
        <v/>
      </c>
      <c r="E632" s="242"/>
      <c r="F632" s="237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197">
        <f t="shared" si="21"/>
        <v>0</v>
      </c>
      <c r="S632" s="198"/>
      <c r="T632" s="199"/>
      <c r="U632" s="243"/>
      <c r="V632" s="243"/>
      <c r="W632" s="243"/>
      <c r="BA632"/>
      <c r="BB632"/>
    </row>
    <row r="633" spans="1:54" s="188" customFormat="1" ht="13.5">
      <c r="A633" s="179"/>
      <c r="B633" s="175"/>
      <c r="C633" s="180" t="str">
        <f>IFERROR(IF(VLOOKUP($B633,勘定科目!$A:$H,HLOOKUP($E$5,勘定科目!$F$1:$H$2,2,0),0)="","",VLOOKUP($B633,勘定科目!$A:$E,2,0)),"")</f>
        <v/>
      </c>
      <c r="D633" s="236" t="str">
        <f>IF(C633="","",VLOOKUP($B633,勘定科目!$A:$E,4,0))</f>
        <v/>
      </c>
      <c r="E633" s="242"/>
      <c r="F633" s="237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197">
        <f t="shared" si="21"/>
        <v>0</v>
      </c>
      <c r="S633" s="198"/>
      <c r="T633" s="199"/>
      <c r="U633" s="243"/>
      <c r="V633" s="243"/>
      <c r="W633" s="243"/>
      <c r="BA633"/>
      <c r="BB633"/>
    </row>
    <row r="634" spans="1:54" s="188" customFormat="1" ht="13.5">
      <c r="A634" s="179"/>
      <c r="B634" s="175"/>
      <c r="C634" s="180" t="str">
        <f>IFERROR(IF(VLOOKUP($B634,勘定科目!$A:$H,HLOOKUP($E$5,勘定科目!$F$1:$H$2,2,0),0)="","",VLOOKUP($B634,勘定科目!$A:$E,2,0)),"")</f>
        <v/>
      </c>
      <c r="D634" s="236" t="str">
        <f>IF(C634="","",VLOOKUP($B634,勘定科目!$A:$E,4,0))</f>
        <v/>
      </c>
      <c r="E634" s="242"/>
      <c r="F634" s="237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197">
        <f t="shared" si="21"/>
        <v>0</v>
      </c>
      <c r="S634" s="198"/>
      <c r="T634" s="199"/>
      <c r="U634" s="243"/>
      <c r="V634" s="243"/>
      <c r="W634" s="243"/>
      <c r="BA634"/>
      <c r="BB634"/>
    </row>
    <row r="635" spans="1:54" s="188" customFormat="1" ht="13.5">
      <c r="A635" s="179"/>
      <c r="B635" s="175"/>
      <c r="C635" s="180" t="str">
        <f>IFERROR(IF(VLOOKUP($B635,勘定科目!$A:$H,HLOOKUP($E$5,勘定科目!$F$1:$H$2,2,0),0)="","",VLOOKUP($B635,勘定科目!$A:$E,2,0)),"")</f>
        <v/>
      </c>
      <c r="D635" s="236" t="str">
        <f>IF(C635="","",VLOOKUP($B635,勘定科目!$A:$E,4,0))</f>
        <v/>
      </c>
      <c r="E635" s="242"/>
      <c r="F635" s="237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197">
        <f t="shared" si="21"/>
        <v>0</v>
      </c>
      <c r="S635" s="198"/>
      <c r="T635" s="199"/>
      <c r="U635" s="243"/>
      <c r="V635" s="243"/>
      <c r="W635" s="243"/>
      <c r="BA635"/>
      <c r="BB635"/>
    </row>
    <row r="636" spans="1:54" s="188" customFormat="1" ht="13.5">
      <c r="A636" s="179"/>
      <c r="B636" s="175"/>
      <c r="C636" s="180" t="str">
        <f>IFERROR(IF(VLOOKUP($B636,勘定科目!$A:$H,HLOOKUP($E$5,勘定科目!$F$1:$H$2,2,0),0)="","",VLOOKUP($B636,勘定科目!$A:$E,2,0)),"")</f>
        <v/>
      </c>
      <c r="D636" s="236" t="str">
        <f>IF(C636="","",VLOOKUP($B636,勘定科目!$A:$E,4,0))</f>
        <v/>
      </c>
      <c r="E636" s="242"/>
      <c r="F636" s="237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197">
        <f t="shared" si="21"/>
        <v>0</v>
      </c>
      <c r="S636" s="198"/>
      <c r="T636" s="199"/>
      <c r="U636" s="243"/>
      <c r="V636" s="243"/>
      <c r="W636" s="243"/>
      <c r="BA636"/>
      <c r="BB636"/>
    </row>
    <row r="637" spans="1:54" s="188" customFormat="1" ht="13.5">
      <c r="A637" s="179"/>
      <c r="B637" s="175"/>
      <c r="C637" s="180" t="str">
        <f>IFERROR(IF(VLOOKUP($B637,勘定科目!$A:$H,HLOOKUP($E$5,勘定科目!$F$1:$H$2,2,0),0)="","",VLOOKUP($B637,勘定科目!$A:$E,2,0)),"")</f>
        <v/>
      </c>
      <c r="D637" s="236" t="str">
        <f>IF(C637="","",VLOOKUP($B637,勘定科目!$A:$E,4,0))</f>
        <v/>
      </c>
      <c r="E637" s="242"/>
      <c r="F637" s="237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197">
        <f t="shared" si="21"/>
        <v>0</v>
      </c>
      <c r="S637" s="198"/>
      <c r="T637" s="199"/>
      <c r="U637" s="243"/>
      <c r="V637" s="243"/>
      <c r="W637" s="243"/>
      <c r="BA637"/>
      <c r="BB637"/>
    </row>
    <row r="638" spans="1:54" s="188" customFormat="1" ht="13.5">
      <c r="A638" s="179"/>
      <c r="B638" s="175"/>
      <c r="C638" s="180" t="str">
        <f>IFERROR(IF(VLOOKUP($B638,勘定科目!$A:$H,HLOOKUP($E$5,勘定科目!$F$1:$H$2,2,0),0)="","",VLOOKUP($B638,勘定科目!$A:$E,2,0)),"")</f>
        <v/>
      </c>
      <c r="D638" s="236" t="str">
        <f>IF(C638="","",VLOOKUP($B638,勘定科目!$A:$E,4,0))</f>
        <v/>
      </c>
      <c r="E638" s="242"/>
      <c r="F638" s="237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197">
        <f t="shared" si="21"/>
        <v>0</v>
      </c>
      <c r="S638" s="198"/>
      <c r="T638" s="199"/>
      <c r="U638" s="243"/>
      <c r="V638" s="243"/>
      <c r="W638" s="243"/>
      <c r="BA638"/>
      <c r="BB638"/>
    </row>
    <row r="639" spans="1:54" s="188" customFormat="1" ht="13.5">
      <c r="A639" s="179"/>
      <c r="B639" s="175"/>
      <c r="C639" s="180" t="str">
        <f>IFERROR(IF(VLOOKUP($B639,勘定科目!$A:$H,HLOOKUP($E$5,勘定科目!$F$1:$H$2,2,0),0)="","",VLOOKUP($B639,勘定科目!$A:$E,2,0)),"")</f>
        <v/>
      </c>
      <c r="D639" s="236" t="str">
        <f>IF(C639="","",VLOOKUP($B639,勘定科目!$A:$E,4,0))</f>
        <v/>
      </c>
      <c r="E639" s="242"/>
      <c r="F639" s="237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197">
        <f t="shared" si="21"/>
        <v>0</v>
      </c>
      <c r="S639" s="198"/>
      <c r="T639" s="199"/>
      <c r="U639" s="243"/>
      <c r="V639" s="243"/>
      <c r="W639" s="243"/>
      <c r="BA639"/>
      <c r="BB639"/>
    </row>
    <row r="640" spans="1:54" s="188" customFormat="1" ht="13.5">
      <c r="A640" s="179"/>
      <c r="B640" s="175"/>
      <c r="C640" s="180" t="str">
        <f>IFERROR(IF(VLOOKUP($B640,勘定科目!$A:$H,HLOOKUP($E$5,勘定科目!$F$1:$H$2,2,0),0)="","",VLOOKUP($B640,勘定科目!$A:$E,2,0)),"")</f>
        <v/>
      </c>
      <c r="D640" s="236" t="str">
        <f>IF(C640="","",VLOOKUP($B640,勘定科目!$A:$E,4,0))</f>
        <v/>
      </c>
      <c r="E640" s="242"/>
      <c r="F640" s="237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197">
        <f t="shared" si="21"/>
        <v>0</v>
      </c>
      <c r="S640" s="198"/>
      <c r="T640" s="199"/>
      <c r="U640" s="243"/>
      <c r="V640" s="243"/>
      <c r="W640" s="243"/>
      <c r="BA640"/>
      <c r="BB640"/>
    </row>
    <row r="641" spans="1:54" s="188" customFormat="1" ht="13.5">
      <c r="A641" s="179"/>
      <c r="B641" s="175"/>
      <c r="C641" s="180" t="str">
        <f>IFERROR(IF(VLOOKUP($B641,勘定科目!$A:$H,HLOOKUP($E$5,勘定科目!$F$1:$H$2,2,0),0)="","",VLOOKUP($B641,勘定科目!$A:$E,2,0)),"")</f>
        <v/>
      </c>
      <c r="D641" s="236" t="str">
        <f>IF(C641="","",VLOOKUP($B641,勘定科目!$A:$E,4,0))</f>
        <v/>
      </c>
      <c r="E641" s="242"/>
      <c r="F641" s="237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197">
        <f t="shared" si="21"/>
        <v>0</v>
      </c>
      <c r="S641" s="198"/>
      <c r="T641" s="199"/>
      <c r="U641" s="243"/>
      <c r="V641" s="243"/>
      <c r="W641" s="243"/>
      <c r="BA641"/>
      <c r="BB641"/>
    </row>
    <row r="642" spans="1:54" s="188" customFormat="1" ht="13.5">
      <c r="A642" s="179"/>
      <c r="B642" s="175"/>
      <c r="C642" s="180" t="str">
        <f>IFERROR(IF(VLOOKUP($B642,勘定科目!$A:$H,HLOOKUP($E$5,勘定科目!$F$1:$H$2,2,0),0)="","",VLOOKUP($B642,勘定科目!$A:$E,2,0)),"")</f>
        <v/>
      </c>
      <c r="D642" s="236" t="str">
        <f>IF(C642="","",VLOOKUP($B642,勘定科目!$A:$E,4,0))</f>
        <v/>
      </c>
      <c r="E642" s="242"/>
      <c r="F642" s="237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197">
        <f t="shared" si="21"/>
        <v>0</v>
      </c>
      <c r="S642" s="198"/>
      <c r="T642" s="199"/>
      <c r="U642" s="243"/>
      <c r="V642" s="243"/>
      <c r="W642" s="243"/>
      <c r="BA642"/>
      <c r="BB642"/>
    </row>
    <row r="643" spans="1:54" s="188" customFormat="1" ht="13.5">
      <c r="A643" s="179"/>
      <c r="B643" s="175"/>
      <c r="C643" s="180" t="str">
        <f>IFERROR(IF(VLOOKUP($B643,勘定科目!$A:$H,HLOOKUP($E$5,勘定科目!$F$1:$H$2,2,0),0)="","",VLOOKUP($B643,勘定科目!$A:$E,2,0)),"")</f>
        <v/>
      </c>
      <c r="D643" s="236" t="str">
        <f>IF(C643="","",VLOOKUP($B643,勘定科目!$A:$E,4,0))</f>
        <v/>
      </c>
      <c r="E643" s="242"/>
      <c r="F643" s="237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197">
        <f t="shared" si="21"/>
        <v>0</v>
      </c>
      <c r="S643" s="198"/>
      <c r="T643" s="199"/>
      <c r="U643" s="243"/>
      <c r="V643" s="243"/>
      <c r="W643" s="243"/>
      <c r="BA643"/>
      <c r="BB643"/>
    </row>
    <row r="644" spans="1:54" s="188" customFormat="1" ht="13.5">
      <c r="A644" s="179"/>
      <c r="B644" s="175"/>
      <c r="C644" s="180" t="str">
        <f>IFERROR(IF(VLOOKUP($B644,勘定科目!$A:$H,HLOOKUP($E$5,勘定科目!$F$1:$H$2,2,0),0)="","",VLOOKUP($B644,勘定科目!$A:$E,2,0)),"")</f>
        <v/>
      </c>
      <c r="D644" s="236" t="str">
        <f>IF(C644="","",VLOOKUP($B644,勘定科目!$A:$E,4,0))</f>
        <v/>
      </c>
      <c r="E644" s="242"/>
      <c r="F644" s="237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197">
        <f t="shared" si="21"/>
        <v>0</v>
      </c>
      <c r="S644" s="198"/>
      <c r="T644" s="199"/>
      <c r="U644" s="243"/>
      <c r="V644" s="243"/>
      <c r="W644" s="243"/>
      <c r="BA644"/>
      <c r="BB644"/>
    </row>
    <row r="645" spans="1:54" s="188" customFormat="1" ht="13.5">
      <c r="A645" s="179"/>
      <c r="B645" s="175"/>
      <c r="C645" s="180" t="str">
        <f>IFERROR(IF(VLOOKUP($B645,勘定科目!$A:$H,HLOOKUP($E$5,勘定科目!$F$1:$H$2,2,0),0)="","",VLOOKUP($B645,勘定科目!$A:$E,2,0)),"")</f>
        <v/>
      </c>
      <c r="D645" s="236" t="str">
        <f>IF(C645="","",VLOOKUP($B645,勘定科目!$A:$E,4,0))</f>
        <v/>
      </c>
      <c r="E645" s="242"/>
      <c r="F645" s="237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197">
        <f t="shared" si="21"/>
        <v>0</v>
      </c>
      <c r="S645" s="198"/>
      <c r="T645" s="199"/>
      <c r="U645" s="243"/>
      <c r="V645" s="243"/>
      <c r="W645" s="243"/>
      <c r="BA645"/>
      <c r="BB645"/>
    </row>
    <row r="646" spans="1:54" s="188" customFormat="1" ht="13.5">
      <c r="A646" s="179"/>
      <c r="B646" s="175"/>
      <c r="C646" s="180" t="str">
        <f>IFERROR(IF(VLOOKUP($B646,勘定科目!$A:$H,HLOOKUP($E$5,勘定科目!$F$1:$H$2,2,0),0)="","",VLOOKUP($B646,勘定科目!$A:$E,2,0)),"")</f>
        <v/>
      </c>
      <c r="D646" s="236" t="str">
        <f>IF(C646="","",VLOOKUP($B646,勘定科目!$A:$E,4,0))</f>
        <v/>
      </c>
      <c r="E646" s="242"/>
      <c r="F646" s="237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197">
        <f t="shared" si="21"/>
        <v>0</v>
      </c>
      <c r="S646" s="198"/>
      <c r="T646" s="199"/>
      <c r="U646" s="243"/>
      <c r="V646" s="243"/>
      <c r="W646" s="243"/>
      <c r="BA646"/>
      <c r="BB646"/>
    </row>
    <row r="647" spans="1:54" s="188" customFormat="1" ht="13.5">
      <c r="A647" s="179"/>
      <c r="B647" s="175"/>
      <c r="C647" s="180" t="str">
        <f>IFERROR(IF(VLOOKUP($B647,勘定科目!$A:$H,HLOOKUP($E$5,勘定科目!$F$1:$H$2,2,0),0)="","",VLOOKUP($B647,勘定科目!$A:$E,2,0)),"")</f>
        <v/>
      </c>
      <c r="D647" s="236" t="str">
        <f>IF(C647="","",VLOOKUP($B647,勘定科目!$A:$E,4,0))</f>
        <v/>
      </c>
      <c r="E647" s="242"/>
      <c r="F647" s="237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197">
        <f t="shared" si="21"/>
        <v>0</v>
      </c>
      <c r="S647" s="198"/>
      <c r="T647" s="199"/>
      <c r="U647" s="243"/>
      <c r="V647" s="243"/>
      <c r="W647" s="243"/>
      <c r="BA647"/>
      <c r="BB647"/>
    </row>
    <row r="648" spans="1:54" s="188" customFormat="1" ht="13.5">
      <c r="A648" s="179"/>
      <c r="B648" s="175"/>
      <c r="C648" s="180" t="str">
        <f>IFERROR(IF(VLOOKUP($B648,勘定科目!$A:$H,HLOOKUP($E$5,勘定科目!$F$1:$H$2,2,0),0)="","",VLOOKUP($B648,勘定科目!$A:$E,2,0)),"")</f>
        <v/>
      </c>
      <c r="D648" s="236" t="str">
        <f>IF(C648="","",VLOOKUP($B648,勘定科目!$A:$E,4,0))</f>
        <v/>
      </c>
      <c r="E648" s="242"/>
      <c r="F648" s="237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197">
        <f t="shared" si="21"/>
        <v>0</v>
      </c>
      <c r="S648" s="198"/>
      <c r="T648" s="199"/>
      <c r="U648" s="243"/>
      <c r="V648" s="243"/>
      <c r="W648" s="243"/>
      <c r="BA648"/>
      <c r="BB648"/>
    </row>
    <row r="649" spans="1:54" s="188" customFormat="1" ht="13.5">
      <c r="A649" s="179"/>
      <c r="B649" s="175"/>
      <c r="C649" s="180" t="str">
        <f>IFERROR(IF(VLOOKUP($B649,勘定科目!$A:$H,HLOOKUP($E$5,勘定科目!$F$1:$H$2,2,0),0)="","",VLOOKUP($B649,勘定科目!$A:$E,2,0)),"")</f>
        <v/>
      </c>
      <c r="D649" s="236" t="str">
        <f>IF(C649="","",VLOOKUP($B649,勘定科目!$A:$E,4,0))</f>
        <v/>
      </c>
      <c r="E649" s="242"/>
      <c r="F649" s="237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197">
        <f t="shared" si="21"/>
        <v>0</v>
      </c>
      <c r="S649" s="198"/>
      <c r="T649" s="199"/>
      <c r="U649" s="243"/>
      <c r="V649" s="243"/>
      <c r="W649" s="243"/>
      <c r="BA649"/>
      <c r="BB649"/>
    </row>
    <row r="650" spans="1:54" s="188" customFormat="1" ht="13.5">
      <c r="A650" s="179"/>
      <c r="B650" s="175"/>
      <c r="C650" s="180" t="str">
        <f>IFERROR(IF(VLOOKUP($B650,勘定科目!$A:$H,HLOOKUP($E$5,勘定科目!$F$1:$H$2,2,0),0)="","",VLOOKUP($B650,勘定科目!$A:$E,2,0)),"")</f>
        <v/>
      </c>
      <c r="D650" s="236" t="str">
        <f>IF(C650="","",VLOOKUP($B650,勘定科目!$A:$E,4,0))</f>
        <v/>
      </c>
      <c r="E650" s="242"/>
      <c r="F650" s="237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197">
        <f t="shared" si="21"/>
        <v>0</v>
      </c>
      <c r="S650" s="198"/>
      <c r="T650" s="199"/>
      <c r="U650" s="243"/>
      <c r="V650" s="243"/>
      <c r="W650" s="243"/>
      <c r="BA650"/>
      <c r="BB650"/>
    </row>
    <row r="651" spans="1:54" s="188" customFormat="1" ht="13.5">
      <c r="A651" s="179"/>
      <c r="B651" s="175"/>
      <c r="C651" s="180" t="str">
        <f>IFERROR(IF(VLOOKUP($B651,勘定科目!$A:$H,HLOOKUP($E$5,勘定科目!$F$1:$H$2,2,0),0)="","",VLOOKUP($B651,勘定科目!$A:$E,2,0)),"")</f>
        <v/>
      </c>
      <c r="D651" s="236" t="str">
        <f>IF(C651="","",VLOOKUP($B651,勘定科目!$A:$E,4,0))</f>
        <v/>
      </c>
      <c r="E651" s="242"/>
      <c r="F651" s="237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197">
        <f t="shared" si="21"/>
        <v>0</v>
      </c>
      <c r="S651" s="198"/>
      <c r="T651" s="199"/>
      <c r="U651" s="243"/>
      <c r="V651" s="243"/>
      <c r="W651" s="243"/>
      <c r="BA651"/>
      <c r="BB651"/>
    </row>
    <row r="652" spans="1:54" s="188" customFormat="1" ht="13.5">
      <c r="A652" s="179"/>
      <c r="B652" s="175"/>
      <c r="C652" s="180" t="str">
        <f>IFERROR(IF(VLOOKUP($B652,勘定科目!$A:$H,HLOOKUP($E$5,勘定科目!$F$1:$H$2,2,0),0)="","",VLOOKUP($B652,勘定科目!$A:$E,2,0)),"")</f>
        <v/>
      </c>
      <c r="D652" s="236" t="str">
        <f>IF(C652="","",VLOOKUP($B652,勘定科目!$A:$E,4,0))</f>
        <v/>
      </c>
      <c r="E652" s="242"/>
      <c r="F652" s="237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197">
        <f t="shared" si="21"/>
        <v>0</v>
      </c>
      <c r="S652" s="198"/>
      <c r="T652" s="199"/>
      <c r="U652" s="243"/>
      <c r="V652" s="243"/>
      <c r="W652" s="243"/>
      <c r="BA652"/>
      <c r="BB652"/>
    </row>
    <row r="653" spans="1:54" s="188" customFormat="1" ht="13.5">
      <c r="A653" s="179"/>
      <c r="B653" s="175"/>
      <c r="C653" s="180" t="str">
        <f>IFERROR(IF(VLOOKUP($B653,勘定科目!$A:$H,HLOOKUP($E$5,勘定科目!$F$1:$H$2,2,0),0)="","",VLOOKUP($B653,勘定科目!$A:$E,2,0)),"")</f>
        <v/>
      </c>
      <c r="D653" s="236" t="str">
        <f>IF(C653="","",VLOOKUP($B653,勘定科目!$A:$E,4,0))</f>
        <v/>
      </c>
      <c r="E653" s="242"/>
      <c r="F653" s="237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197">
        <f t="shared" si="21"/>
        <v>0</v>
      </c>
      <c r="S653" s="198"/>
      <c r="T653" s="199"/>
      <c r="U653" s="243"/>
      <c r="V653" s="243"/>
      <c r="W653" s="243"/>
      <c r="BA653"/>
      <c r="BB653"/>
    </row>
    <row r="654" spans="1:54" s="188" customFormat="1" ht="13.5">
      <c r="A654" s="179"/>
      <c r="B654" s="175"/>
      <c r="C654" s="180" t="str">
        <f>IFERROR(IF(VLOOKUP($B654,勘定科目!$A:$H,HLOOKUP($E$5,勘定科目!$F$1:$H$2,2,0),0)="","",VLOOKUP($B654,勘定科目!$A:$E,2,0)),"")</f>
        <v/>
      </c>
      <c r="D654" s="236" t="str">
        <f>IF(C654="","",VLOOKUP($B654,勘定科目!$A:$E,4,0))</f>
        <v/>
      </c>
      <c r="E654" s="242"/>
      <c r="F654" s="237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197">
        <f t="shared" si="21"/>
        <v>0</v>
      </c>
      <c r="S654" s="198"/>
      <c r="T654" s="199"/>
      <c r="U654" s="243"/>
      <c r="V654" s="243"/>
      <c r="W654" s="243"/>
      <c r="BA654"/>
      <c r="BB654"/>
    </row>
    <row r="655" spans="1:54" s="188" customFormat="1" ht="13.5">
      <c r="A655" s="179"/>
      <c r="B655" s="175"/>
      <c r="C655" s="180" t="str">
        <f>IFERROR(IF(VLOOKUP($B655,勘定科目!$A:$H,HLOOKUP($E$5,勘定科目!$F$1:$H$2,2,0),0)="","",VLOOKUP($B655,勘定科目!$A:$E,2,0)),"")</f>
        <v/>
      </c>
      <c r="D655" s="236" t="str">
        <f>IF(C655="","",VLOOKUP($B655,勘定科目!$A:$E,4,0))</f>
        <v/>
      </c>
      <c r="E655" s="242"/>
      <c r="F655" s="237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197">
        <f t="shared" si="21"/>
        <v>0</v>
      </c>
      <c r="S655" s="198"/>
      <c r="T655" s="199"/>
      <c r="U655" s="243"/>
      <c r="V655" s="243"/>
      <c r="W655" s="243"/>
      <c r="BA655"/>
      <c r="BB655"/>
    </row>
    <row r="656" spans="1:54" s="188" customFormat="1" ht="13.5">
      <c r="A656" s="179"/>
      <c r="B656" s="175"/>
      <c r="C656" s="180" t="str">
        <f>IFERROR(IF(VLOOKUP($B656,勘定科目!$A:$H,HLOOKUP($E$5,勘定科目!$F$1:$H$2,2,0),0)="","",VLOOKUP($B656,勘定科目!$A:$E,2,0)),"")</f>
        <v/>
      </c>
      <c r="D656" s="236" t="str">
        <f>IF(C656="","",VLOOKUP($B656,勘定科目!$A:$E,4,0))</f>
        <v/>
      </c>
      <c r="E656" s="242"/>
      <c r="F656" s="237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197">
        <f t="shared" si="21"/>
        <v>0</v>
      </c>
      <c r="S656" s="198"/>
      <c r="T656" s="199"/>
      <c r="U656" s="243"/>
      <c r="V656" s="243"/>
      <c r="W656" s="243"/>
      <c r="BA656"/>
      <c r="BB656"/>
    </row>
    <row r="657" spans="1:54" s="188" customFormat="1" ht="13.5">
      <c r="A657" s="179"/>
      <c r="B657" s="175"/>
      <c r="C657" s="180" t="str">
        <f>IFERROR(IF(VLOOKUP($B657,勘定科目!$A:$H,HLOOKUP($E$5,勘定科目!$F$1:$H$2,2,0),0)="","",VLOOKUP($B657,勘定科目!$A:$E,2,0)),"")</f>
        <v/>
      </c>
      <c r="D657" s="236" t="str">
        <f>IF(C657="","",VLOOKUP($B657,勘定科目!$A:$E,4,0))</f>
        <v/>
      </c>
      <c r="E657" s="242"/>
      <c r="F657" s="237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197">
        <f t="shared" si="21"/>
        <v>0</v>
      </c>
      <c r="S657" s="198"/>
      <c r="T657" s="199"/>
      <c r="U657" s="243"/>
      <c r="V657" s="243"/>
      <c r="W657" s="243"/>
      <c r="BA657"/>
      <c r="BB657"/>
    </row>
    <row r="658" spans="1:54" s="188" customFormat="1" ht="13.5">
      <c r="A658" s="179"/>
      <c r="B658" s="175"/>
      <c r="C658" s="180" t="str">
        <f>IFERROR(IF(VLOOKUP($B658,勘定科目!$A:$H,HLOOKUP($E$5,勘定科目!$F$1:$H$2,2,0),0)="","",VLOOKUP($B658,勘定科目!$A:$E,2,0)),"")</f>
        <v/>
      </c>
      <c r="D658" s="236" t="str">
        <f>IF(C658="","",VLOOKUP($B658,勘定科目!$A:$E,4,0))</f>
        <v/>
      </c>
      <c r="E658" s="242"/>
      <c r="F658" s="237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197">
        <f t="shared" si="21"/>
        <v>0</v>
      </c>
      <c r="S658" s="198"/>
      <c r="T658" s="199"/>
      <c r="U658" s="243"/>
      <c r="V658" s="243"/>
      <c r="W658" s="243"/>
      <c r="BA658"/>
      <c r="BB658"/>
    </row>
    <row r="659" spans="1:54" s="188" customFormat="1" ht="13.5">
      <c r="A659" s="179"/>
      <c r="B659" s="175"/>
      <c r="C659" s="180" t="str">
        <f>IFERROR(IF(VLOOKUP($B659,勘定科目!$A:$H,HLOOKUP($E$5,勘定科目!$F$1:$H$2,2,0),0)="","",VLOOKUP($B659,勘定科目!$A:$E,2,0)),"")</f>
        <v/>
      </c>
      <c r="D659" s="236" t="str">
        <f>IF(C659="","",VLOOKUP($B659,勘定科目!$A:$E,4,0))</f>
        <v/>
      </c>
      <c r="E659" s="242"/>
      <c r="F659" s="237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197">
        <f t="shared" si="21"/>
        <v>0</v>
      </c>
      <c r="S659" s="198"/>
      <c r="T659" s="199"/>
      <c r="U659" s="243"/>
      <c r="V659" s="243"/>
      <c r="W659" s="243"/>
      <c r="BA659"/>
      <c r="BB659"/>
    </row>
    <row r="660" spans="1:54" s="188" customFormat="1" ht="13.5">
      <c r="A660" s="179"/>
      <c r="B660" s="175"/>
      <c r="C660" s="180" t="str">
        <f>IFERROR(IF(VLOOKUP($B660,勘定科目!$A:$H,HLOOKUP($E$5,勘定科目!$F$1:$H$2,2,0),0)="","",VLOOKUP($B660,勘定科目!$A:$E,2,0)),"")</f>
        <v/>
      </c>
      <c r="D660" s="236" t="str">
        <f>IF(C660="","",VLOOKUP($B660,勘定科目!$A:$E,4,0))</f>
        <v/>
      </c>
      <c r="E660" s="242"/>
      <c r="F660" s="237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197">
        <f t="shared" si="21"/>
        <v>0</v>
      </c>
      <c r="S660" s="198"/>
      <c r="T660" s="199"/>
      <c r="U660" s="243"/>
      <c r="V660" s="243"/>
      <c r="W660" s="243"/>
      <c r="BA660"/>
      <c r="BB660"/>
    </row>
    <row r="661" spans="1:54" s="188" customFormat="1" ht="13.5">
      <c r="A661" s="179"/>
      <c r="B661" s="175"/>
      <c r="C661" s="180" t="str">
        <f>IFERROR(IF(VLOOKUP($B661,勘定科目!$A:$H,HLOOKUP($E$5,勘定科目!$F$1:$H$2,2,0),0)="","",VLOOKUP($B661,勘定科目!$A:$E,2,0)),"")</f>
        <v/>
      </c>
      <c r="D661" s="236" t="str">
        <f>IF(C661="","",VLOOKUP($B661,勘定科目!$A:$E,4,0))</f>
        <v/>
      </c>
      <c r="E661" s="242"/>
      <c r="F661" s="237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197">
        <f t="shared" si="21"/>
        <v>0</v>
      </c>
      <c r="S661" s="198"/>
      <c r="T661" s="199"/>
      <c r="U661" s="243"/>
      <c r="V661" s="243"/>
      <c r="W661" s="243"/>
      <c r="BA661"/>
      <c r="BB661"/>
    </row>
    <row r="662" spans="1:54" s="188" customFormat="1" ht="13.5">
      <c r="A662" s="179"/>
      <c r="B662" s="175"/>
      <c r="C662" s="180" t="str">
        <f>IFERROR(IF(VLOOKUP($B662,勘定科目!$A:$H,HLOOKUP($E$5,勘定科目!$F$1:$H$2,2,0),0)="","",VLOOKUP($B662,勘定科目!$A:$E,2,0)),"")</f>
        <v/>
      </c>
      <c r="D662" s="236" t="str">
        <f>IF(C662="","",VLOOKUP($B662,勘定科目!$A:$E,4,0))</f>
        <v/>
      </c>
      <c r="E662" s="242"/>
      <c r="F662" s="237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197">
        <f t="shared" si="21"/>
        <v>0</v>
      </c>
      <c r="S662" s="198"/>
      <c r="T662" s="199"/>
      <c r="U662" s="243"/>
      <c r="V662" s="243"/>
      <c r="W662" s="243"/>
      <c r="BA662"/>
      <c r="BB662"/>
    </row>
    <row r="663" spans="1:54" s="188" customFormat="1" ht="13.5">
      <c r="A663" s="179"/>
      <c r="B663" s="175"/>
      <c r="C663" s="180" t="str">
        <f>IFERROR(IF(VLOOKUP($B663,勘定科目!$A:$H,HLOOKUP($E$5,勘定科目!$F$1:$H$2,2,0),0)="","",VLOOKUP($B663,勘定科目!$A:$E,2,0)),"")</f>
        <v/>
      </c>
      <c r="D663" s="236" t="str">
        <f>IF(C663="","",VLOOKUP($B663,勘定科目!$A:$E,4,0))</f>
        <v/>
      </c>
      <c r="E663" s="242"/>
      <c r="F663" s="237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197">
        <f t="shared" si="21"/>
        <v>0</v>
      </c>
      <c r="S663" s="198"/>
      <c r="T663" s="199"/>
      <c r="U663" s="243"/>
      <c r="V663" s="243"/>
      <c r="W663" s="243"/>
      <c r="BA663"/>
      <c r="BB663"/>
    </row>
    <row r="664" spans="1:54" s="188" customFormat="1" ht="13.5">
      <c r="A664" s="179"/>
      <c r="B664" s="175"/>
      <c r="C664" s="180" t="str">
        <f>IFERROR(IF(VLOOKUP($B664,勘定科目!$A:$H,HLOOKUP($E$5,勘定科目!$F$1:$H$2,2,0),0)="","",VLOOKUP($B664,勘定科目!$A:$E,2,0)),"")</f>
        <v/>
      </c>
      <c r="D664" s="236" t="str">
        <f>IF(C664="","",VLOOKUP($B664,勘定科目!$A:$E,4,0))</f>
        <v/>
      </c>
      <c r="E664" s="242"/>
      <c r="F664" s="237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197">
        <f t="shared" si="21"/>
        <v>0</v>
      </c>
      <c r="S664" s="198"/>
      <c r="T664" s="199"/>
      <c r="U664" s="243"/>
      <c r="V664" s="243"/>
      <c r="W664" s="243"/>
      <c r="BA664"/>
      <c r="BB664"/>
    </row>
    <row r="665" spans="1:54" s="188" customFormat="1" ht="13.5">
      <c r="A665" s="179"/>
      <c r="B665" s="175"/>
      <c r="C665" s="180" t="str">
        <f>IFERROR(IF(VLOOKUP($B665,勘定科目!$A:$H,HLOOKUP($E$5,勘定科目!$F$1:$H$2,2,0),0)="","",VLOOKUP($B665,勘定科目!$A:$E,2,0)),"")</f>
        <v/>
      </c>
      <c r="D665" s="236" t="str">
        <f>IF(C665="","",VLOOKUP($B665,勘定科目!$A:$E,4,0))</f>
        <v/>
      </c>
      <c r="E665" s="242"/>
      <c r="F665" s="237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197">
        <f t="shared" si="21"/>
        <v>0</v>
      </c>
      <c r="S665" s="198"/>
      <c r="T665" s="199"/>
      <c r="U665" s="243"/>
      <c r="V665" s="243"/>
      <c r="W665" s="243"/>
      <c r="BA665"/>
      <c r="BB665"/>
    </row>
    <row r="666" spans="1:54" s="188" customFormat="1" ht="13.5">
      <c r="A666" s="179"/>
      <c r="B666" s="175"/>
      <c r="C666" s="180" t="str">
        <f>IFERROR(IF(VLOOKUP($B666,勘定科目!$A:$H,HLOOKUP($E$5,勘定科目!$F$1:$H$2,2,0),0)="","",VLOOKUP($B666,勘定科目!$A:$E,2,0)),"")</f>
        <v/>
      </c>
      <c r="D666" s="236" t="str">
        <f>IF(C666="","",VLOOKUP($B666,勘定科目!$A:$E,4,0))</f>
        <v/>
      </c>
      <c r="E666" s="242"/>
      <c r="F666" s="237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197">
        <f t="shared" si="21"/>
        <v>0</v>
      </c>
      <c r="S666" s="198"/>
      <c r="T666" s="199"/>
      <c r="U666" s="243"/>
      <c r="V666" s="243"/>
      <c r="W666" s="243"/>
      <c r="BA666"/>
      <c r="BB666"/>
    </row>
    <row r="667" spans="1:54" s="188" customFormat="1" ht="13.5">
      <c r="A667" s="179"/>
      <c r="B667" s="175"/>
      <c r="C667" s="180" t="str">
        <f>IFERROR(IF(VLOOKUP($B667,勘定科目!$A:$H,HLOOKUP($E$5,勘定科目!$F$1:$H$2,2,0),0)="","",VLOOKUP($B667,勘定科目!$A:$E,2,0)),"")</f>
        <v/>
      </c>
      <c r="D667" s="236" t="str">
        <f>IF(C667="","",VLOOKUP($B667,勘定科目!$A:$E,4,0))</f>
        <v/>
      </c>
      <c r="E667" s="242"/>
      <c r="F667" s="237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197">
        <f t="shared" si="21"/>
        <v>0</v>
      </c>
      <c r="S667" s="198"/>
      <c r="T667" s="199"/>
      <c r="U667" s="243"/>
      <c r="V667" s="243"/>
      <c r="W667" s="243"/>
      <c r="BA667"/>
      <c r="BB667"/>
    </row>
    <row r="668" spans="1:54" s="188" customFormat="1" ht="13.5">
      <c r="A668" s="179"/>
      <c r="B668" s="175"/>
      <c r="C668" s="180" t="str">
        <f>IFERROR(IF(VLOOKUP($B668,勘定科目!$A:$H,HLOOKUP($E$5,勘定科目!$F$1:$H$2,2,0),0)="","",VLOOKUP($B668,勘定科目!$A:$E,2,0)),"")</f>
        <v/>
      </c>
      <c r="D668" s="236" t="str">
        <f>IF(C668="","",VLOOKUP($B668,勘定科目!$A:$E,4,0))</f>
        <v/>
      </c>
      <c r="E668" s="242"/>
      <c r="F668" s="237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197">
        <f t="shared" si="21"/>
        <v>0</v>
      </c>
      <c r="S668" s="198"/>
      <c r="T668" s="199"/>
      <c r="U668" s="243"/>
      <c r="V668" s="243"/>
      <c r="W668" s="243"/>
      <c r="BA668"/>
      <c r="BB668"/>
    </row>
    <row r="669" spans="1:54" s="188" customFormat="1" ht="13.5">
      <c r="A669" s="179"/>
      <c r="B669" s="175"/>
      <c r="C669" s="180" t="str">
        <f>IFERROR(IF(VLOOKUP($B669,勘定科目!$A:$H,HLOOKUP($E$5,勘定科目!$F$1:$H$2,2,0),0)="","",VLOOKUP($B669,勘定科目!$A:$E,2,0)),"")</f>
        <v/>
      </c>
      <c r="D669" s="236" t="str">
        <f>IF(C669="","",VLOOKUP($B669,勘定科目!$A:$E,4,0))</f>
        <v/>
      </c>
      <c r="E669" s="242"/>
      <c r="F669" s="237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197">
        <f t="shared" si="21"/>
        <v>0</v>
      </c>
      <c r="S669" s="198"/>
      <c r="T669" s="199"/>
      <c r="U669" s="243"/>
      <c r="V669" s="243"/>
      <c r="W669" s="243"/>
      <c r="BA669"/>
      <c r="BB669"/>
    </row>
    <row r="670" spans="1:54" s="188" customFormat="1" ht="13.5">
      <c r="A670" s="179"/>
      <c r="B670" s="175"/>
      <c r="C670" s="180" t="str">
        <f>IFERROR(IF(VLOOKUP($B670,勘定科目!$A:$H,HLOOKUP($E$5,勘定科目!$F$1:$H$2,2,0),0)="","",VLOOKUP($B670,勘定科目!$A:$E,2,0)),"")</f>
        <v/>
      </c>
      <c r="D670" s="236" t="str">
        <f>IF(C670="","",VLOOKUP($B670,勘定科目!$A:$E,4,0))</f>
        <v/>
      </c>
      <c r="E670" s="242"/>
      <c r="F670" s="237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197">
        <f t="shared" si="21"/>
        <v>0</v>
      </c>
      <c r="S670" s="198"/>
      <c r="T670" s="199"/>
      <c r="U670" s="243"/>
      <c r="V670" s="243"/>
      <c r="W670" s="243"/>
      <c r="BA670"/>
      <c r="BB670"/>
    </row>
    <row r="671" spans="1:54" s="188" customFormat="1" ht="13.5">
      <c r="A671" s="179"/>
      <c r="B671" s="175"/>
      <c r="C671" s="180" t="str">
        <f>IFERROR(IF(VLOOKUP($B671,勘定科目!$A:$H,HLOOKUP($E$5,勘定科目!$F$1:$H$2,2,0),0)="","",VLOOKUP($B671,勘定科目!$A:$E,2,0)),"")</f>
        <v/>
      </c>
      <c r="D671" s="236" t="str">
        <f>IF(C671="","",VLOOKUP($B671,勘定科目!$A:$E,4,0))</f>
        <v/>
      </c>
      <c r="E671" s="242"/>
      <c r="F671" s="237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197">
        <f t="shared" si="21"/>
        <v>0</v>
      </c>
      <c r="S671" s="198"/>
      <c r="T671" s="199"/>
      <c r="U671" s="243"/>
      <c r="V671" s="243"/>
      <c r="W671" s="243"/>
      <c r="BA671"/>
      <c r="BB671"/>
    </row>
    <row r="672" spans="1:54" s="188" customFormat="1" ht="13.5">
      <c r="A672" s="179"/>
      <c r="B672" s="175"/>
      <c r="C672" s="180" t="str">
        <f>IFERROR(IF(VLOOKUP($B672,勘定科目!$A:$H,HLOOKUP($E$5,勘定科目!$F$1:$H$2,2,0),0)="","",VLOOKUP($B672,勘定科目!$A:$E,2,0)),"")</f>
        <v/>
      </c>
      <c r="D672" s="236" t="str">
        <f>IF(C672="","",VLOOKUP($B672,勘定科目!$A:$E,4,0))</f>
        <v/>
      </c>
      <c r="E672" s="242"/>
      <c r="F672" s="237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197">
        <f t="shared" si="21"/>
        <v>0</v>
      </c>
      <c r="S672" s="198"/>
      <c r="T672" s="199"/>
      <c r="U672" s="243"/>
      <c r="V672" s="243"/>
      <c r="W672" s="243"/>
      <c r="BA672"/>
      <c r="BB672"/>
    </row>
    <row r="673" spans="1:54" s="188" customFormat="1" ht="13.5">
      <c r="A673" s="179"/>
      <c r="B673" s="175"/>
      <c r="C673" s="180" t="str">
        <f>IFERROR(IF(VLOOKUP($B673,勘定科目!$A:$H,HLOOKUP($E$5,勘定科目!$F$1:$H$2,2,0),0)="","",VLOOKUP($B673,勘定科目!$A:$E,2,0)),"")</f>
        <v/>
      </c>
      <c r="D673" s="236" t="str">
        <f>IF(C673="","",VLOOKUP($B673,勘定科目!$A:$E,4,0))</f>
        <v/>
      </c>
      <c r="E673" s="242"/>
      <c r="F673" s="237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197">
        <f t="shared" si="21"/>
        <v>0</v>
      </c>
      <c r="S673" s="198"/>
      <c r="T673" s="199"/>
      <c r="U673" s="243"/>
      <c r="V673" s="243"/>
      <c r="W673" s="243"/>
      <c r="BA673"/>
      <c r="BB673"/>
    </row>
    <row r="674" spans="1:54" s="188" customFormat="1" ht="13.5">
      <c r="A674" s="179"/>
      <c r="B674" s="175"/>
      <c r="C674" s="180" t="str">
        <f>IFERROR(IF(VLOOKUP($B674,勘定科目!$A:$H,HLOOKUP($E$5,勘定科目!$F$1:$H$2,2,0),0)="","",VLOOKUP($B674,勘定科目!$A:$E,2,0)),"")</f>
        <v/>
      </c>
      <c r="D674" s="236" t="str">
        <f>IF(C674="","",VLOOKUP($B674,勘定科目!$A:$E,4,0))</f>
        <v/>
      </c>
      <c r="E674" s="242"/>
      <c r="F674" s="237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197">
        <f t="shared" si="21"/>
        <v>0</v>
      </c>
      <c r="S674" s="198"/>
      <c r="T674" s="199"/>
      <c r="U674" s="243"/>
      <c r="V674" s="243"/>
      <c r="W674" s="243"/>
      <c r="BA674"/>
      <c r="BB674"/>
    </row>
    <row r="675" spans="1:54" s="188" customFormat="1" ht="13.5">
      <c r="A675" s="179"/>
      <c r="B675" s="175"/>
      <c r="C675" s="180" t="str">
        <f>IFERROR(IF(VLOOKUP($B675,勘定科目!$A:$H,HLOOKUP($E$5,勘定科目!$F$1:$H$2,2,0),0)="","",VLOOKUP($B675,勘定科目!$A:$E,2,0)),"")</f>
        <v/>
      </c>
      <c r="D675" s="236" t="str">
        <f>IF(C675="","",VLOOKUP($B675,勘定科目!$A:$E,4,0))</f>
        <v/>
      </c>
      <c r="E675" s="242"/>
      <c r="F675" s="237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197">
        <f t="shared" si="21"/>
        <v>0</v>
      </c>
      <c r="S675" s="198"/>
      <c r="T675" s="199"/>
      <c r="U675" s="243"/>
      <c r="V675" s="243"/>
      <c r="W675" s="243"/>
      <c r="BA675"/>
      <c r="BB675"/>
    </row>
    <row r="676" spans="1:54" s="188" customFormat="1" ht="13.5">
      <c r="A676" s="179"/>
      <c r="B676" s="175"/>
      <c r="C676" s="180" t="str">
        <f>IFERROR(IF(VLOOKUP($B676,勘定科目!$A:$H,HLOOKUP($E$5,勘定科目!$F$1:$H$2,2,0),0)="","",VLOOKUP($B676,勘定科目!$A:$E,2,0)),"")</f>
        <v/>
      </c>
      <c r="D676" s="236" t="str">
        <f>IF(C676="","",VLOOKUP($B676,勘定科目!$A:$E,4,0))</f>
        <v/>
      </c>
      <c r="E676" s="242"/>
      <c r="F676" s="237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197">
        <f t="shared" si="21"/>
        <v>0</v>
      </c>
      <c r="S676" s="198"/>
      <c r="T676" s="199"/>
      <c r="U676" s="243"/>
      <c r="V676" s="243"/>
      <c r="W676" s="243"/>
      <c r="BA676"/>
      <c r="BB676"/>
    </row>
    <row r="677" spans="1:54" s="188" customFormat="1" ht="13.5">
      <c r="A677" s="179"/>
      <c r="B677" s="175"/>
      <c r="C677" s="180" t="str">
        <f>IFERROR(IF(VLOOKUP($B677,勘定科目!$A:$H,HLOOKUP($E$5,勘定科目!$F$1:$H$2,2,0),0)="","",VLOOKUP($B677,勘定科目!$A:$E,2,0)),"")</f>
        <v/>
      </c>
      <c r="D677" s="236" t="str">
        <f>IF(C677="","",VLOOKUP($B677,勘定科目!$A:$E,4,0))</f>
        <v/>
      </c>
      <c r="E677" s="242"/>
      <c r="F677" s="237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197">
        <f t="shared" si="21"/>
        <v>0</v>
      </c>
      <c r="S677" s="198"/>
      <c r="T677" s="199"/>
      <c r="U677" s="243"/>
      <c r="V677" s="243"/>
      <c r="W677" s="243"/>
      <c r="BA677"/>
      <c r="BB677"/>
    </row>
    <row r="678" spans="1:54" s="188" customFormat="1" ht="13.5">
      <c r="A678" s="179"/>
      <c r="B678" s="175"/>
      <c r="C678" s="180" t="str">
        <f>IFERROR(IF(VLOOKUP($B678,勘定科目!$A:$H,HLOOKUP($E$5,勘定科目!$F$1:$H$2,2,0),0)="","",VLOOKUP($B678,勘定科目!$A:$E,2,0)),"")</f>
        <v/>
      </c>
      <c r="D678" s="236" t="str">
        <f>IF(C678="","",VLOOKUP($B678,勘定科目!$A:$E,4,0))</f>
        <v/>
      </c>
      <c r="E678" s="242"/>
      <c r="F678" s="237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197">
        <f t="shared" si="21"/>
        <v>0</v>
      </c>
      <c r="S678" s="198"/>
      <c r="T678" s="199"/>
      <c r="U678" s="243"/>
      <c r="V678" s="243"/>
      <c r="W678" s="243"/>
      <c r="BA678"/>
      <c r="BB678"/>
    </row>
    <row r="679" spans="1:54" s="188" customFormat="1" ht="13.5">
      <c r="A679" s="179"/>
      <c r="B679" s="175"/>
      <c r="C679" s="180" t="str">
        <f>IFERROR(IF(VLOOKUP($B679,勘定科目!$A:$H,HLOOKUP($E$5,勘定科目!$F$1:$H$2,2,0),0)="","",VLOOKUP($B679,勘定科目!$A:$E,2,0)),"")</f>
        <v/>
      </c>
      <c r="D679" s="236" t="str">
        <f>IF(C679="","",VLOOKUP($B679,勘定科目!$A:$E,4,0))</f>
        <v/>
      </c>
      <c r="E679" s="242"/>
      <c r="F679" s="237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197">
        <f t="shared" si="21"/>
        <v>0</v>
      </c>
      <c r="S679" s="198"/>
      <c r="T679" s="199"/>
      <c r="U679" s="243"/>
      <c r="V679" s="243"/>
      <c r="W679" s="243"/>
      <c r="BA679"/>
      <c r="BB679"/>
    </row>
    <row r="680" spans="1:54" s="188" customFormat="1" ht="13.5">
      <c r="A680" s="179"/>
      <c r="B680" s="175"/>
      <c r="C680" s="180" t="str">
        <f>IFERROR(IF(VLOOKUP($B680,勘定科目!$A:$H,HLOOKUP($E$5,勘定科目!$F$1:$H$2,2,0),0)="","",VLOOKUP($B680,勘定科目!$A:$E,2,0)),"")</f>
        <v/>
      </c>
      <c r="D680" s="236" t="str">
        <f>IF(C680="","",VLOOKUP($B680,勘定科目!$A:$E,4,0))</f>
        <v/>
      </c>
      <c r="E680" s="242"/>
      <c r="F680" s="237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197">
        <f t="shared" si="21"/>
        <v>0</v>
      </c>
      <c r="S680" s="198"/>
      <c r="T680" s="199"/>
      <c r="U680" s="243"/>
      <c r="V680" s="243"/>
      <c r="W680" s="243"/>
      <c r="BA680"/>
      <c r="BB680"/>
    </row>
    <row r="681" spans="1:54" s="188" customFormat="1" ht="13.5">
      <c r="A681" s="179"/>
      <c r="B681" s="175"/>
      <c r="C681" s="180" t="str">
        <f>IFERROR(IF(VLOOKUP($B681,勘定科目!$A:$H,HLOOKUP($E$5,勘定科目!$F$1:$H$2,2,0),0)="","",VLOOKUP($B681,勘定科目!$A:$E,2,0)),"")</f>
        <v/>
      </c>
      <c r="D681" s="236" t="str">
        <f>IF(C681="","",VLOOKUP($B681,勘定科目!$A:$E,4,0))</f>
        <v/>
      </c>
      <c r="E681" s="242"/>
      <c r="F681" s="237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197">
        <f t="shared" si="21"/>
        <v>0</v>
      </c>
      <c r="S681" s="198"/>
      <c r="T681" s="199"/>
      <c r="U681" s="243"/>
      <c r="V681" s="243"/>
      <c r="W681" s="243"/>
      <c r="BA681"/>
      <c r="BB681"/>
    </row>
    <row r="682" spans="1:54" s="188" customFormat="1" ht="13.5">
      <c r="A682" s="179"/>
      <c r="B682" s="175"/>
      <c r="C682" s="180" t="str">
        <f>IFERROR(IF(VLOOKUP($B682,勘定科目!$A:$H,HLOOKUP($E$5,勘定科目!$F$1:$H$2,2,0),0)="","",VLOOKUP($B682,勘定科目!$A:$E,2,0)),"")</f>
        <v/>
      </c>
      <c r="D682" s="236" t="str">
        <f>IF(C682="","",VLOOKUP($B682,勘定科目!$A:$E,4,0))</f>
        <v/>
      </c>
      <c r="E682" s="242"/>
      <c r="F682" s="237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197">
        <f t="shared" si="21"/>
        <v>0</v>
      </c>
      <c r="S682" s="198"/>
      <c r="T682" s="199"/>
      <c r="U682" s="243"/>
      <c r="V682" s="243"/>
      <c r="W682" s="243"/>
      <c r="BA682"/>
      <c r="BB682"/>
    </row>
    <row r="683" spans="1:54" s="188" customFormat="1" ht="13.5">
      <c r="A683" s="179"/>
      <c r="B683" s="175"/>
      <c r="C683" s="180" t="str">
        <f>IFERROR(IF(VLOOKUP($B683,勘定科目!$A:$H,HLOOKUP($E$5,勘定科目!$F$1:$H$2,2,0),0)="","",VLOOKUP($B683,勘定科目!$A:$E,2,0)),"")</f>
        <v/>
      </c>
      <c r="D683" s="236" t="str">
        <f>IF(C683="","",VLOOKUP($B683,勘定科目!$A:$E,4,0))</f>
        <v/>
      </c>
      <c r="E683" s="242"/>
      <c r="F683" s="237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197">
        <f t="shared" si="21"/>
        <v>0</v>
      </c>
      <c r="S683" s="198"/>
      <c r="T683" s="199"/>
      <c r="U683" s="243"/>
      <c r="V683" s="243"/>
      <c r="W683" s="243"/>
      <c r="BA683"/>
      <c r="BB683"/>
    </row>
    <row r="684" spans="1:54" s="188" customFormat="1" ht="13.5">
      <c r="A684" s="179"/>
      <c r="B684" s="175"/>
      <c r="C684" s="180" t="str">
        <f>IFERROR(IF(VLOOKUP($B684,勘定科目!$A:$H,HLOOKUP($E$5,勘定科目!$F$1:$H$2,2,0),0)="","",VLOOKUP($B684,勘定科目!$A:$E,2,0)),"")</f>
        <v/>
      </c>
      <c r="D684" s="236" t="str">
        <f>IF(C684="","",VLOOKUP($B684,勘定科目!$A:$E,4,0))</f>
        <v/>
      </c>
      <c r="E684" s="242"/>
      <c r="F684" s="237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197">
        <f t="shared" si="21"/>
        <v>0</v>
      </c>
      <c r="S684" s="198"/>
      <c r="T684" s="199"/>
      <c r="U684" s="243"/>
      <c r="V684" s="243"/>
      <c r="W684" s="243"/>
      <c r="BA684"/>
      <c r="BB684"/>
    </row>
    <row r="685" spans="1:54" s="188" customFormat="1" ht="13.5">
      <c r="A685" s="179"/>
      <c r="B685" s="175"/>
      <c r="C685" s="180" t="str">
        <f>IFERROR(IF(VLOOKUP($B685,勘定科目!$A:$H,HLOOKUP($E$5,勘定科目!$F$1:$H$2,2,0),0)="","",VLOOKUP($B685,勘定科目!$A:$E,2,0)),"")</f>
        <v/>
      </c>
      <c r="D685" s="236" t="str">
        <f>IF(C685="","",VLOOKUP($B685,勘定科目!$A:$E,4,0))</f>
        <v/>
      </c>
      <c r="E685" s="242"/>
      <c r="F685" s="237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197">
        <f t="shared" si="21"/>
        <v>0</v>
      </c>
      <c r="S685" s="198"/>
      <c r="T685" s="199"/>
      <c r="U685" s="243"/>
      <c r="V685" s="243"/>
      <c r="W685" s="243"/>
      <c r="BA685"/>
      <c r="BB685"/>
    </row>
    <row r="686" spans="1:54" s="188" customFormat="1" ht="13.5">
      <c r="A686" s="179"/>
      <c r="B686" s="175"/>
      <c r="C686" s="180" t="str">
        <f>IFERROR(IF(VLOOKUP($B686,勘定科目!$A:$H,HLOOKUP($E$5,勘定科目!$F$1:$H$2,2,0),0)="","",VLOOKUP($B686,勘定科目!$A:$E,2,0)),"")</f>
        <v/>
      </c>
      <c r="D686" s="236" t="str">
        <f>IF(C686="","",VLOOKUP($B686,勘定科目!$A:$E,4,0))</f>
        <v/>
      </c>
      <c r="E686" s="242"/>
      <c r="F686" s="237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197">
        <f t="shared" si="21"/>
        <v>0</v>
      </c>
      <c r="S686" s="198"/>
      <c r="T686" s="199"/>
      <c r="U686" s="243"/>
      <c r="V686" s="243"/>
      <c r="W686" s="243"/>
      <c r="BA686"/>
      <c r="BB686"/>
    </row>
    <row r="687" spans="1:54" s="188" customFormat="1" ht="13.5">
      <c r="A687" s="179"/>
      <c r="B687" s="175"/>
      <c r="C687" s="180" t="str">
        <f>IFERROR(IF(VLOOKUP($B687,勘定科目!$A:$H,HLOOKUP($E$5,勘定科目!$F$1:$H$2,2,0),0)="","",VLOOKUP($B687,勘定科目!$A:$E,2,0)),"")</f>
        <v/>
      </c>
      <c r="D687" s="236" t="str">
        <f>IF(C687="","",VLOOKUP($B687,勘定科目!$A:$E,4,0))</f>
        <v/>
      </c>
      <c r="E687" s="242"/>
      <c r="F687" s="237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197">
        <f t="shared" si="21"/>
        <v>0</v>
      </c>
      <c r="S687" s="198"/>
      <c r="T687" s="199"/>
      <c r="U687" s="243"/>
      <c r="V687" s="243"/>
      <c r="W687" s="243"/>
      <c r="BA687"/>
      <c r="BB687"/>
    </row>
    <row r="688" spans="1:54" s="188" customFormat="1" ht="13.5">
      <c r="A688" s="179"/>
      <c r="B688" s="175"/>
      <c r="C688" s="180" t="str">
        <f>IFERROR(IF(VLOOKUP($B688,勘定科目!$A:$H,HLOOKUP($E$5,勘定科目!$F$1:$H$2,2,0),0)="","",VLOOKUP($B688,勘定科目!$A:$E,2,0)),"")</f>
        <v/>
      </c>
      <c r="D688" s="236" t="str">
        <f>IF(C688="","",VLOOKUP($B688,勘定科目!$A:$E,4,0))</f>
        <v/>
      </c>
      <c r="E688" s="242"/>
      <c r="F688" s="237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197">
        <f t="shared" si="21"/>
        <v>0</v>
      </c>
      <c r="S688" s="198"/>
      <c r="T688" s="199"/>
      <c r="U688" s="243"/>
      <c r="V688" s="243"/>
      <c r="W688" s="243"/>
      <c r="BA688"/>
      <c r="BB688"/>
    </row>
    <row r="689" spans="1:54" s="188" customFormat="1" ht="13.5">
      <c r="A689" s="179"/>
      <c r="B689" s="175"/>
      <c r="C689" s="180" t="str">
        <f>IFERROR(IF(VLOOKUP($B689,勘定科目!$A:$H,HLOOKUP($E$5,勘定科目!$F$1:$H$2,2,0),0)="","",VLOOKUP($B689,勘定科目!$A:$E,2,0)),"")</f>
        <v/>
      </c>
      <c r="D689" s="236" t="str">
        <f>IF(C689="","",VLOOKUP($B689,勘定科目!$A:$E,4,0))</f>
        <v/>
      </c>
      <c r="E689" s="242"/>
      <c r="F689" s="237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197">
        <f t="shared" si="21"/>
        <v>0</v>
      </c>
      <c r="S689" s="198"/>
      <c r="T689" s="199"/>
      <c r="U689" s="243"/>
      <c r="V689" s="243"/>
      <c r="W689" s="243"/>
      <c r="BA689"/>
      <c r="BB689"/>
    </row>
    <row r="690" spans="1:54" s="188" customFormat="1" ht="13.5">
      <c r="A690" s="179"/>
      <c r="B690" s="175"/>
      <c r="C690" s="180" t="str">
        <f>IFERROR(IF(VLOOKUP($B690,勘定科目!$A:$H,HLOOKUP($E$5,勘定科目!$F$1:$H$2,2,0),0)="","",VLOOKUP($B690,勘定科目!$A:$E,2,0)),"")</f>
        <v/>
      </c>
      <c r="D690" s="236" t="str">
        <f>IF(C690="","",VLOOKUP($B690,勘定科目!$A:$E,4,0))</f>
        <v/>
      </c>
      <c r="E690" s="242"/>
      <c r="F690" s="237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197">
        <f t="shared" si="21"/>
        <v>0</v>
      </c>
      <c r="S690" s="198"/>
      <c r="T690" s="199"/>
      <c r="U690" s="243"/>
      <c r="V690" s="243"/>
      <c r="W690" s="243"/>
      <c r="BA690"/>
      <c r="BB690"/>
    </row>
    <row r="691" spans="1:54" s="188" customFormat="1" ht="13.5">
      <c r="A691" s="179"/>
      <c r="B691" s="175"/>
      <c r="C691" s="180" t="str">
        <f>IFERROR(IF(VLOOKUP($B691,勘定科目!$A:$H,HLOOKUP($E$5,勘定科目!$F$1:$H$2,2,0),0)="","",VLOOKUP($B691,勘定科目!$A:$E,2,0)),"")</f>
        <v/>
      </c>
      <c r="D691" s="236" t="str">
        <f>IF(C691="","",VLOOKUP($B691,勘定科目!$A:$E,4,0))</f>
        <v/>
      </c>
      <c r="E691" s="242"/>
      <c r="F691" s="237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197">
        <f t="shared" si="21"/>
        <v>0</v>
      </c>
      <c r="S691" s="198"/>
      <c r="T691" s="199"/>
      <c r="U691" s="243"/>
      <c r="V691" s="243"/>
      <c r="W691" s="243"/>
      <c r="BA691"/>
      <c r="BB691"/>
    </row>
    <row r="692" spans="1:54" s="188" customFormat="1" ht="13.5">
      <c r="A692" s="179"/>
      <c r="B692" s="175"/>
      <c r="C692" s="180" t="str">
        <f>IFERROR(IF(VLOOKUP($B692,勘定科目!$A:$H,HLOOKUP($E$5,勘定科目!$F$1:$H$2,2,0),0)="","",VLOOKUP($B692,勘定科目!$A:$E,2,0)),"")</f>
        <v/>
      </c>
      <c r="D692" s="236" t="str">
        <f>IF(C692="","",VLOOKUP($B692,勘定科目!$A:$E,4,0))</f>
        <v/>
      </c>
      <c r="E692" s="242"/>
      <c r="F692" s="237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197">
        <f t="shared" si="21"/>
        <v>0</v>
      </c>
      <c r="S692" s="198"/>
      <c r="T692" s="199"/>
      <c r="U692" s="243"/>
      <c r="V692" s="243"/>
      <c r="W692" s="243"/>
      <c r="BA692"/>
      <c r="BB692"/>
    </row>
    <row r="693" spans="1:54" s="188" customFormat="1" ht="13.5">
      <c r="A693" s="179"/>
      <c r="B693" s="175"/>
      <c r="C693" s="180" t="str">
        <f>IFERROR(IF(VLOOKUP($B693,勘定科目!$A:$H,HLOOKUP($E$5,勘定科目!$F$1:$H$2,2,0),0)="","",VLOOKUP($B693,勘定科目!$A:$E,2,0)),"")</f>
        <v/>
      </c>
      <c r="D693" s="236" t="str">
        <f>IF(C693="","",VLOOKUP($B693,勘定科目!$A:$E,4,0))</f>
        <v/>
      </c>
      <c r="E693" s="242"/>
      <c r="F693" s="237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197">
        <f t="shared" ref="R693:R756" si="22">SUM(F693:Q693)</f>
        <v>0</v>
      </c>
      <c r="S693" s="198"/>
      <c r="T693" s="199"/>
      <c r="U693" s="243"/>
      <c r="V693" s="243"/>
      <c r="W693" s="243"/>
      <c r="BA693"/>
      <c r="BB693"/>
    </row>
    <row r="694" spans="1:54" s="188" customFormat="1" ht="13.5">
      <c r="A694" s="179"/>
      <c r="B694" s="175"/>
      <c r="C694" s="180" t="str">
        <f>IFERROR(IF(VLOOKUP($B694,勘定科目!$A:$H,HLOOKUP($E$5,勘定科目!$F$1:$H$2,2,0),0)="","",VLOOKUP($B694,勘定科目!$A:$E,2,0)),"")</f>
        <v/>
      </c>
      <c r="D694" s="236" t="str">
        <f>IF(C694="","",VLOOKUP($B694,勘定科目!$A:$E,4,0))</f>
        <v/>
      </c>
      <c r="E694" s="242"/>
      <c r="F694" s="237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197">
        <f t="shared" si="22"/>
        <v>0</v>
      </c>
      <c r="S694" s="198"/>
      <c r="T694" s="199"/>
      <c r="U694" s="243"/>
      <c r="V694" s="243"/>
      <c r="W694" s="243"/>
      <c r="BA694"/>
      <c r="BB694"/>
    </row>
    <row r="695" spans="1:54" s="188" customFormat="1" ht="13.5">
      <c r="A695" s="179"/>
      <c r="B695" s="175"/>
      <c r="C695" s="180" t="str">
        <f>IFERROR(IF(VLOOKUP($B695,勘定科目!$A:$H,HLOOKUP($E$5,勘定科目!$F$1:$H$2,2,0),0)="","",VLOOKUP($B695,勘定科目!$A:$E,2,0)),"")</f>
        <v/>
      </c>
      <c r="D695" s="236" t="str">
        <f>IF(C695="","",VLOOKUP($B695,勘定科目!$A:$E,4,0))</f>
        <v/>
      </c>
      <c r="E695" s="242"/>
      <c r="F695" s="237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197">
        <f t="shared" si="22"/>
        <v>0</v>
      </c>
      <c r="S695" s="198"/>
      <c r="T695" s="199"/>
      <c r="U695" s="243"/>
      <c r="V695" s="243"/>
      <c r="W695" s="243"/>
      <c r="BA695"/>
      <c r="BB695"/>
    </row>
    <row r="696" spans="1:54" s="188" customFormat="1" ht="13.5">
      <c r="A696" s="179"/>
      <c r="B696" s="175"/>
      <c r="C696" s="180" t="str">
        <f>IFERROR(IF(VLOOKUP($B696,勘定科目!$A:$H,HLOOKUP($E$5,勘定科目!$F$1:$H$2,2,0),0)="","",VLOOKUP($B696,勘定科目!$A:$E,2,0)),"")</f>
        <v/>
      </c>
      <c r="D696" s="236" t="str">
        <f>IF(C696="","",VLOOKUP($B696,勘定科目!$A:$E,4,0))</f>
        <v/>
      </c>
      <c r="E696" s="242"/>
      <c r="F696" s="237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197">
        <f t="shared" si="22"/>
        <v>0</v>
      </c>
      <c r="S696" s="198"/>
      <c r="T696" s="199"/>
      <c r="U696" s="243"/>
      <c r="V696" s="243"/>
      <c r="W696" s="243"/>
      <c r="BA696"/>
      <c r="BB696"/>
    </row>
    <row r="697" spans="1:54" s="188" customFormat="1" ht="13.5">
      <c r="A697" s="179"/>
      <c r="B697" s="175"/>
      <c r="C697" s="180" t="str">
        <f>IFERROR(IF(VLOOKUP($B697,勘定科目!$A:$H,HLOOKUP($E$5,勘定科目!$F$1:$H$2,2,0),0)="","",VLOOKUP($B697,勘定科目!$A:$E,2,0)),"")</f>
        <v/>
      </c>
      <c r="D697" s="236" t="str">
        <f>IF(C697="","",VLOOKUP($B697,勘定科目!$A:$E,4,0))</f>
        <v/>
      </c>
      <c r="E697" s="242"/>
      <c r="F697" s="237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197">
        <f t="shared" si="22"/>
        <v>0</v>
      </c>
      <c r="S697" s="198"/>
      <c r="T697" s="199"/>
      <c r="U697" s="243"/>
      <c r="V697" s="243"/>
      <c r="W697" s="243"/>
      <c r="BA697"/>
      <c r="BB697"/>
    </row>
    <row r="698" spans="1:54" s="188" customFormat="1" ht="13.5">
      <c r="A698" s="179"/>
      <c r="B698" s="175"/>
      <c r="C698" s="180" t="str">
        <f>IFERROR(IF(VLOOKUP($B698,勘定科目!$A:$H,HLOOKUP($E$5,勘定科目!$F$1:$H$2,2,0),0)="","",VLOOKUP($B698,勘定科目!$A:$E,2,0)),"")</f>
        <v/>
      </c>
      <c r="D698" s="236" t="str">
        <f>IF(C698="","",VLOOKUP($B698,勘定科目!$A:$E,4,0))</f>
        <v/>
      </c>
      <c r="E698" s="242"/>
      <c r="F698" s="237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197">
        <f t="shared" si="22"/>
        <v>0</v>
      </c>
      <c r="S698" s="198"/>
      <c r="T698" s="199"/>
      <c r="U698" s="243"/>
      <c r="V698" s="243"/>
      <c r="W698" s="243"/>
      <c r="BA698"/>
      <c r="BB698"/>
    </row>
    <row r="699" spans="1:54" s="188" customFormat="1" ht="13.5">
      <c r="A699" s="179"/>
      <c r="B699" s="175"/>
      <c r="C699" s="180" t="str">
        <f>IFERROR(IF(VLOOKUP($B699,勘定科目!$A:$H,HLOOKUP($E$5,勘定科目!$F$1:$H$2,2,0),0)="","",VLOOKUP($B699,勘定科目!$A:$E,2,0)),"")</f>
        <v/>
      </c>
      <c r="D699" s="236" t="str">
        <f>IF(C699="","",VLOOKUP($B699,勘定科目!$A:$E,4,0))</f>
        <v/>
      </c>
      <c r="E699" s="242"/>
      <c r="F699" s="237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197">
        <f t="shared" si="22"/>
        <v>0</v>
      </c>
      <c r="S699" s="198"/>
      <c r="T699" s="199"/>
      <c r="U699" s="243"/>
      <c r="V699" s="243"/>
      <c r="W699" s="243"/>
      <c r="BA699"/>
      <c r="BB699"/>
    </row>
    <row r="700" spans="1:54" s="188" customFormat="1" ht="13.5">
      <c r="A700" s="179"/>
      <c r="B700" s="175"/>
      <c r="C700" s="180" t="str">
        <f>IFERROR(IF(VLOOKUP($B700,勘定科目!$A:$H,HLOOKUP($E$5,勘定科目!$F$1:$H$2,2,0),0)="","",VLOOKUP($B700,勘定科目!$A:$E,2,0)),"")</f>
        <v/>
      </c>
      <c r="D700" s="236" t="str">
        <f>IF(C700="","",VLOOKUP($B700,勘定科目!$A:$E,4,0))</f>
        <v/>
      </c>
      <c r="E700" s="242"/>
      <c r="F700" s="237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197">
        <f t="shared" si="22"/>
        <v>0</v>
      </c>
      <c r="S700" s="198"/>
      <c r="T700" s="199"/>
      <c r="U700" s="243"/>
      <c r="V700" s="243"/>
      <c r="W700" s="243"/>
      <c r="BA700"/>
      <c r="BB700"/>
    </row>
    <row r="701" spans="1:54" s="188" customFormat="1" ht="13.5">
      <c r="A701" s="179"/>
      <c r="B701" s="175"/>
      <c r="C701" s="180" t="str">
        <f>IFERROR(IF(VLOOKUP($B701,勘定科目!$A:$H,HLOOKUP($E$5,勘定科目!$F$1:$H$2,2,0),0)="","",VLOOKUP($B701,勘定科目!$A:$E,2,0)),"")</f>
        <v/>
      </c>
      <c r="D701" s="236" t="str">
        <f>IF(C701="","",VLOOKUP($B701,勘定科目!$A:$E,4,0))</f>
        <v/>
      </c>
      <c r="E701" s="242"/>
      <c r="F701" s="237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197">
        <f t="shared" si="22"/>
        <v>0</v>
      </c>
      <c r="S701" s="198"/>
      <c r="T701" s="199"/>
      <c r="U701" s="243"/>
      <c r="V701" s="243"/>
      <c r="W701" s="243"/>
      <c r="BA701"/>
      <c r="BB701"/>
    </row>
    <row r="702" spans="1:54" s="188" customFormat="1" ht="13.5">
      <c r="A702" s="179"/>
      <c r="B702" s="175"/>
      <c r="C702" s="180" t="str">
        <f>IFERROR(IF(VLOOKUP($B702,勘定科目!$A:$H,HLOOKUP($E$5,勘定科目!$F$1:$H$2,2,0),0)="","",VLOOKUP($B702,勘定科目!$A:$E,2,0)),"")</f>
        <v/>
      </c>
      <c r="D702" s="236" t="str">
        <f>IF(C702="","",VLOOKUP($B702,勘定科目!$A:$E,4,0))</f>
        <v/>
      </c>
      <c r="E702" s="242"/>
      <c r="F702" s="237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197">
        <f t="shared" si="22"/>
        <v>0</v>
      </c>
      <c r="S702" s="198"/>
      <c r="T702" s="199"/>
      <c r="U702" s="243"/>
      <c r="V702" s="243"/>
      <c r="W702" s="243"/>
      <c r="BA702"/>
      <c r="BB702"/>
    </row>
    <row r="703" spans="1:54" s="188" customFormat="1" ht="13.5">
      <c r="A703" s="179"/>
      <c r="B703" s="175"/>
      <c r="C703" s="180" t="str">
        <f>IFERROR(IF(VLOOKUP($B703,勘定科目!$A:$H,HLOOKUP($E$5,勘定科目!$F$1:$H$2,2,0),0)="","",VLOOKUP($B703,勘定科目!$A:$E,2,0)),"")</f>
        <v/>
      </c>
      <c r="D703" s="236" t="str">
        <f>IF(C703="","",VLOOKUP($B703,勘定科目!$A:$E,4,0))</f>
        <v/>
      </c>
      <c r="E703" s="242"/>
      <c r="F703" s="237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197">
        <f t="shared" si="22"/>
        <v>0</v>
      </c>
      <c r="S703" s="198"/>
      <c r="T703" s="199"/>
      <c r="U703" s="243"/>
      <c r="V703" s="243"/>
      <c r="W703" s="243"/>
      <c r="BA703"/>
      <c r="BB703"/>
    </row>
    <row r="704" spans="1:54" s="188" customFormat="1" ht="13.5">
      <c r="A704" s="179"/>
      <c r="B704" s="175"/>
      <c r="C704" s="180" t="str">
        <f>IFERROR(IF(VLOOKUP($B704,勘定科目!$A:$H,HLOOKUP($E$5,勘定科目!$F$1:$H$2,2,0),0)="","",VLOOKUP($B704,勘定科目!$A:$E,2,0)),"")</f>
        <v/>
      </c>
      <c r="D704" s="236" t="str">
        <f>IF(C704="","",VLOOKUP($B704,勘定科目!$A:$E,4,0))</f>
        <v/>
      </c>
      <c r="E704" s="242"/>
      <c r="F704" s="237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197">
        <f t="shared" si="22"/>
        <v>0</v>
      </c>
      <c r="S704" s="198"/>
      <c r="T704" s="199"/>
      <c r="U704" s="243"/>
      <c r="V704" s="243"/>
      <c r="W704" s="243"/>
      <c r="BA704"/>
      <c r="BB704"/>
    </row>
    <row r="705" spans="1:54" s="188" customFormat="1" ht="13.5">
      <c r="A705" s="179"/>
      <c r="B705" s="175"/>
      <c r="C705" s="180" t="str">
        <f>IFERROR(IF(VLOOKUP($B705,勘定科目!$A:$H,HLOOKUP($E$5,勘定科目!$F$1:$H$2,2,0),0)="","",VLOOKUP($B705,勘定科目!$A:$E,2,0)),"")</f>
        <v/>
      </c>
      <c r="D705" s="236" t="str">
        <f>IF(C705="","",VLOOKUP($B705,勘定科目!$A:$E,4,0))</f>
        <v/>
      </c>
      <c r="E705" s="242"/>
      <c r="F705" s="237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197">
        <f t="shared" si="22"/>
        <v>0</v>
      </c>
      <c r="S705" s="198"/>
      <c r="T705" s="199"/>
      <c r="U705" s="243"/>
      <c r="V705" s="243"/>
      <c r="W705" s="243"/>
      <c r="BA705"/>
      <c r="BB705"/>
    </row>
    <row r="706" spans="1:54" s="188" customFormat="1" ht="13.5">
      <c r="A706" s="179"/>
      <c r="B706" s="175"/>
      <c r="C706" s="180" t="str">
        <f>IFERROR(IF(VLOOKUP($B706,勘定科目!$A:$H,HLOOKUP($E$5,勘定科目!$F$1:$H$2,2,0),0)="","",VLOOKUP($B706,勘定科目!$A:$E,2,0)),"")</f>
        <v/>
      </c>
      <c r="D706" s="236" t="str">
        <f>IF(C706="","",VLOOKUP($B706,勘定科目!$A:$E,4,0))</f>
        <v/>
      </c>
      <c r="E706" s="242"/>
      <c r="F706" s="237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197">
        <f t="shared" si="22"/>
        <v>0</v>
      </c>
      <c r="S706" s="198"/>
      <c r="T706" s="199"/>
      <c r="U706" s="243"/>
      <c r="V706" s="243"/>
      <c r="W706" s="243"/>
      <c r="BA706"/>
      <c r="BB706"/>
    </row>
    <row r="707" spans="1:54" s="188" customFormat="1" ht="13.5">
      <c r="A707" s="179"/>
      <c r="B707" s="175"/>
      <c r="C707" s="180" t="str">
        <f>IFERROR(IF(VLOOKUP($B707,勘定科目!$A:$H,HLOOKUP($E$5,勘定科目!$F$1:$H$2,2,0),0)="","",VLOOKUP($B707,勘定科目!$A:$E,2,0)),"")</f>
        <v/>
      </c>
      <c r="D707" s="236" t="str">
        <f>IF(C707="","",VLOOKUP($B707,勘定科目!$A:$E,4,0))</f>
        <v/>
      </c>
      <c r="E707" s="242"/>
      <c r="F707" s="237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197">
        <f t="shared" si="22"/>
        <v>0</v>
      </c>
      <c r="S707" s="198"/>
      <c r="T707" s="199"/>
      <c r="U707" s="243"/>
      <c r="V707" s="243"/>
      <c r="W707" s="243"/>
      <c r="BA707"/>
      <c r="BB707"/>
    </row>
    <row r="708" spans="1:54" s="188" customFormat="1" ht="13.5">
      <c r="A708" s="179"/>
      <c r="B708" s="175"/>
      <c r="C708" s="180" t="str">
        <f>IFERROR(IF(VLOOKUP($B708,勘定科目!$A:$H,HLOOKUP($E$5,勘定科目!$F$1:$H$2,2,0),0)="","",VLOOKUP($B708,勘定科目!$A:$E,2,0)),"")</f>
        <v/>
      </c>
      <c r="D708" s="236" t="str">
        <f>IF(C708="","",VLOOKUP($B708,勘定科目!$A:$E,4,0))</f>
        <v/>
      </c>
      <c r="E708" s="242"/>
      <c r="F708" s="237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197">
        <f t="shared" si="22"/>
        <v>0</v>
      </c>
      <c r="S708" s="198"/>
      <c r="T708" s="199"/>
      <c r="U708" s="243"/>
      <c r="V708" s="243"/>
      <c r="W708" s="243"/>
      <c r="BA708"/>
      <c r="BB708"/>
    </row>
    <row r="709" spans="1:54" s="188" customFormat="1" ht="13.5">
      <c r="A709" s="179"/>
      <c r="B709" s="175"/>
      <c r="C709" s="180" t="str">
        <f>IFERROR(IF(VLOOKUP($B709,勘定科目!$A:$H,HLOOKUP($E$5,勘定科目!$F$1:$H$2,2,0),0)="","",VLOOKUP($B709,勘定科目!$A:$E,2,0)),"")</f>
        <v/>
      </c>
      <c r="D709" s="236" t="str">
        <f>IF(C709="","",VLOOKUP($B709,勘定科目!$A:$E,4,0))</f>
        <v/>
      </c>
      <c r="E709" s="242"/>
      <c r="F709" s="237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197">
        <f t="shared" si="22"/>
        <v>0</v>
      </c>
      <c r="S709" s="198"/>
      <c r="T709" s="199"/>
      <c r="U709" s="243"/>
      <c r="V709" s="243"/>
      <c r="W709" s="243"/>
      <c r="BA709"/>
      <c r="BB709"/>
    </row>
    <row r="710" spans="1:54" s="188" customFormat="1" ht="13.5">
      <c r="A710" s="179"/>
      <c r="B710" s="175"/>
      <c r="C710" s="180" t="str">
        <f>IFERROR(IF(VLOOKUP($B710,勘定科目!$A:$H,HLOOKUP($E$5,勘定科目!$F$1:$H$2,2,0),0)="","",VLOOKUP($B710,勘定科目!$A:$E,2,0)),"")</f>
        <v/>
      </c>
      <c r="D710" s="236" t="str">
        <f>IF(C710="","",VLOOKUP($B710,勘定科目!$A:$E,4,0))</f>
        <v/>
      </c>
      <c r="E710" s="242"/>
      <c r="F710" s="237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197">
        <f t="shared" si="22"/>
        <v>0</v>
      </c>
      <c r="S710" s="198"/>
      <c r="T710" s="199"/>
      <c r="U710" s="243"/>
      <c r="V710" s="243"/>
      <c r="W710" s="243"/>
      <c r="BA710"/>
      <c r="BB710"/>
    </row>
    <row r="711" spans="1:54" s="188" customFormat="1" ht="13.5">
      <c r="A711" s="179"/>
      <c r="B711" s="175"/>
      <c r="C711" s="180" t="str">
        <f>IFERROR(IF(VLOOKUP($B711,勘定科目!$A:$H,HLOOKUP($E$5,勘定科目!$F$1:$H$2,2,0),0)="","",VLOOKUP($B711,勘定科目!$A:$E,2,0)),"")</f>
        <v/>
      </c>
      <c r="D711" s="236" t="str">
        <f>IF(C711="","",VLOOKUP($B711,勘定科目!$A:$E,4,0))</f>
        <v/>
      </c>
      <c r="E711" s="242"/>
      <c r="F711" s="237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197">
        <f t="shared" si="22"/>
        <v>0</v>
      </c>
      <c r="S711" s="198"/>
      <c r="T711" s="199"/>
      <c r="U711" s="243"/>
      <c r="V711" s="243"/>
      <c r="W711" s="243"/>
      <c r="BA711"/>
      <c r="BB711"/>
    </row>
    <row r="712" spans="1:54" s="188" customFormat="1" ht="13.5">
      <c r="A712" s="179"/>
      <c r="B712" s="175"/>
      <c r="C712" s="180" t="str">
        <f>IFERROR(IF(VLOOKUP($B712,勘定科目!$A:$H,HLOOKUP($E$5,勘定科目!$F$1:$H$2,2,0),0)="","",VLOOKUP($B712,勘定科目!$A:$E,2,0)),"")</f>
        <v/>
      </c>
      <c r="D712" s="236" t="str">
        <f>IF(C712="","",VLOOKUP($B712,勘定科目!$A:$E,4,0))</f>
        <v/>
      </c>
      <c r="E712" s="242"/>
      <c r="F712" s="237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197">
        <f t="shared" si="22"/>
        <v>0</v>
      </c>
      <c r="S712" s="198"/>
      <c r="T712" s="199"/>
      <c r="U712" s="243"/>
      <c r="V712" s="243"/>
      <c r="W712" s="243"/>
      <c r="BA712"/>
      <c r="BB712"/>
    </row>
    <row r="713" spans="1:54" s="188" customFormat="1" ht="13.5">
      <c r="A713" s="179"/>
      <c r="B713" s="175"/>
      <c r="C713" s="180" t="str">
        <f>IFERROR(IF(VLOOKUP($B713,勘定科目!$A:$H,HLOOKUP($E$5,勘定科目!$F$1:$H$2,2,0),0)="","",VLOOKUP($B713,勘定科目!$A:$E,2,0)),"")</f>
        <v/>
      </c>
      <c r="D713" s="236" t="str">
        <f>IF(C713="","",VLOOKUP($B713,勘定科目!$A:$E,4,0))</f>
        <v/>
      </c>
      <c r="E713" s="242"/>
      <c r="F713" s="237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197">
        <f t="shared" si="22"/>
        <v>0</v>
      </c>
      <c r="S713" s="198"/>
      <c r="T713" s="199"/>
      <c r="U713" s="243"/>
      <c r="V713" s="243"/>
      <c r="W713" s="243"/>
      <c r="BA713"/>
      <c r="BB713"/>
    </row>
    <row r="714" spans="1:54" s="188" customFormat="1" ht="13.5">
      <c r="A714" s="179"/>
      <c r="B714" s="175"/>
      <c r="C714" s="180" t="str">
        <f>IFERROR(IF(VLOOKUP($B714,勘定科目!$A:$H,HLOOKUP($E$5,勘定科目!$F$1:$H$2,2,0),0)="","",VLOOKUP($B714,勘定科目!$A:$E,2,0)),"")</f>
        <v/>
      </c>
      <c r="D714" s="236" t="str">
        <f>IF(C714="","",VLOOKUP($B714,勘定科目!$A:$E,4,0))</f>
        <v/>
      </c>
      <c r="E714" s="242"/>
      <c r="F714" s="237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197">
        <f t="shared" si="22"/>
        <v>0</v>
      </c>
      <c r="S714" s="198"/>
      <c r="T714" s="199"/>
      <c r="U714" s="243"/>
      <c r="V714" s="243"/>
      <c r="W714" s="243"/>
      <c r="BA714"/>
      <c r="BB714"/>
    </row>
    <row r="715" spans="1:54" s="188" customFormat="1" ht="13.5">
      <c r="A715" s="179"/>
      <c r="B715" s="175"/>
      <c r="C715" s="180" t="str">
        <f>IFERROR(IF(VLOOKUP($B715,勘定科目!$A:$H,HLOOKUP($E$5,勘定科目!$F$1:$H$2,2,0),0)="","",VLOOKUP($B715,勘定科目!$A:$E,2,0)),"")</f>
        <v/>
      </c>
      <c r="D715" s="236" t="str">
        <f>IF(C715="","",VLOOKUP($B715,勘定科目!$A:$E,4,0))</f>
        <v/>
      </c>
      <c r="E715" s="242"/>
      <c r="F715" s="237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197">
        <f t="shared" si="22"/>
        <v>0</v>
      </c>
      <c r="S715" s="198"/>
      <c r="T715" s="199"/>
      <c r="U715" s="243"/>
      <c r="V715" s="243"/>
      <c r="W715" s="243"/>
      <c r="BA715"/>
      <c r="BB715"/>
    </row>
    <row r="716" spans="1:54" s="188" customFormat="1" ht="13.5">
      <c r="A716" s="179"/>
      <c r="B716" s="175"/>
      <c r="C716" s="180" t="str">
        <f>IFERROR(IF(VLOOKUP($B716,勘定科目!$A:$H,HLOOKUP($E$5,勘定科目!$F$1:$H$2,2,0),0)="","",VLOOKUP($B716,勘定科目!$A:$E,2,0)),"")</f>
        <v/>
      </c>
      <c r="D716" s="236" t="str">
        <f>IF(C716="","",VLOOKUP($B716,勘定科目!$A:$E,4,0))</f>
        <v/>
      </c>
      <c r="E716" s="242"/>
      <c r="F716" s="237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197">
        <f t="shared" si="22"/>
        <v>0</v>
      </c>
      <c r="S716" s="198"/>
      <c r="T716" s="199"/>
      <c r="U716" s="243"/>
      <c r="V716" s="243"/>
      <c r="W716" s="243"/>
      <c r="BA716"/>
      <c r="BB716"/>
    </row>
    <row r="717" spans="1:54" s="188" customFormat="1" ht="13.5">
      <c r="A717" s="179"/>
      <c r="B717" s="175"/>
      <c r="C717" s="180" t="str">
        <f>IFERROR(IF(VLOOKUP($B717,勘定科目!$A:$H,HLOOKUP($E$5,勘定科目!$F$1:$H$2,2,0),0)="","",VLOOKUP($B717,勘定科目!$A:$E,2,0)),"")</f>
        <v/>
      </c>
      <c r="D717" s="236" t="str">
        <f>IF(C717="","",VLOOKUP($B717,勘定科目!$A:$E,4,0))</f>
        <v/>
      </c>
      <c r="E717" s="242"/>
      <c r="F717" s="237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197">
        <f t="shared" si="22"/>
        <v>0</v>
      </c>
      <c r="S717" s="198"/>
      <c r="T717" s="199"/>
      <c r="U717" s="243"/>
      <c r="V717" s="243"/>
      <c r="W717" s="243"/>
      <c r="BA717"/>
      <c r="BB717"/>
    </row>
    <row r="718" spans="1:54" s="188" customFormat="1" ht="13.5">
      <c r="A718" s="179"/>
      <c r="B718" s="175"/>
      <c r="C718" s="180" t="str">
        <f>IFERROR(IF(VLOOKUP($B718,勘定科目!$A:$H,HLOOKUP($E$5,勘定科目!$F$1:$H$2,2,0),0)="","",VLOOKUP($B718,勘定科目!$A:$E,2,0)),"")</f>
        <v/>
      </c>
      <c r="D718" s="236" t="str">
        <f>IF(C718="","",VLOOKUP($B718,勘定科目!$A:$E,4,0))</f>
        <v/>
      </c>
      <c r="E718" s="242"/>
      <c r="F718" s="237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197">
        <f t="shared" si="22"/>
        <v>0</v>
      </c>
      <c r="S718" s="198"/>
      <c r="T718" s="199"/>
      <c r="U718" s="243"/>
      <c r="V718" s="243"/>
      <c r="W718" s="243"/>
      <c r="BA718"/>
      <c r="BB718"/>
    </row>
    <row r="719" spans="1:54" s="188" customFormat="1" ht="13.5">
      <c r="A719" s="179"/>
      <c r="B719" s="175"/>
      <c r="C719" s="180" t="str">
        <f>IFERROR(IF(VLOOKUP($B719,勘定科目!$A:$H,HLOOKUP($E$5,勘定科目!$F$1:$H$2,2,0),0)="","",VLOOKUP($B719,勘定科目!$A:$E,2,0)),"")</f>
        <v/>
      </c>
      <c r="D719" s="236" t="str">
        <f>IF(C719="","",VLOOKUP($B719,勘定科目!$A:$E,4,0))</f>
        <v/>
      </c>
      <c r="E719" s="242"/>
      <c r="F719" s="237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197">
        <f t="shared" si="22"/>
        <v>0</v>
      </c>
      <c r="S719" s="198"/>
      <c r="T719" s="199"/>
      <c r="U719" s="243"/>
      <c r="V719" s="243"/>
      <c r="W719" s="243"/>
      <c r="BA719"/>
      <c r="BB719"/>
    </row>
    <row r="720" spans="1:54" s="188" customFormat="1" ht="13.5">
      <c r="A720" s="179"/>
      <c r="B720" s="175"/>
      <c r="C720" s="180" t="str">
        <f>IFERROR(IF(VLOOKUP($B720,勘定科目!$A:$H,HLOOKUP($E$5,勘定科目!$F$1:$H$2,2,0),0)="","",VLOOKUP($B720,勘定科目!$A:$E,2,0)),"")</f>
        <v/>
      </c>
      <c r="D720" s="236" t="str">
        <f>IF(C720="","",VLOOKUP($B720,勘定科目!$A:$E,4,0))</f>
        <v/>
      </c>
      <c r="E720" s="242"/>
      <c r="F720" s="237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197">
        <f t="shared" si="22"/>
        <v>0</v>
      </c>
      <c r="S720" s="198"/>
      <c r="T720" s="199"/>
      <c r="U720" s="243"/>
      <c r="V720" s="243"/>
      <c r="W720" s="243"/>
      <c r="BA720"/>
      <c r="BB720"/>
    </row>
    <row r="721" spans="1:54" s="188" customFormat="1" ht="13.5">
      <c r="A721" s="179"/>
      <c r="B721" s="175"/>
      <c r="C721" s="180" t="str">
        <f>IFERROR(IF(VLOOKUP($B721,勘定科目!$A:$H,HLOOKUP($E$5,勘定科目!$F$1:$H$2,2,0),0)="","",VLOOKUP($B721,勘定科目!$A:$E,2,0)),"")</f>
        <v/>
      </c>
      <c r="D721" s="236" t="str">
        <f>IF(C721="","",VLOOKUP($B721,勘定科目!$A:$E,4,0))</f>
        <v/>
      </c>
      <c r="E721" s="242"/>
      <c r="F721" s="237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197">
        <f t="shared" si="22"/>
        <v>0</v>
      </c>
      <c r="S721" s="198"/>
      <c r="T721" s="199"/>
      <c r="U721" s="243"/>
      <c r="V721" s="243"/>
      <c r="W721" s="243"/>
      <c r="BA721"/>
      <c r="BB721"/>
    </row>
    <row r="722" spans="1:54" s="188" customFormat="1" ht="13.5">
      <c r="A722" s="179"/>
      <c r="B722" s="175"/>
      <c r="C722" s="180" t="str">
        <f>IFERROR(IF(VLOOKUP($B722,勘定科目!$A:$H,HLOOKUP($E$5,勘定科目!$F$1:$H$2,2,0),0)="","",VLOOKUP($B722,勘定科目!$A:$E,2,0)),"")</f>
        <v/>
      </c>
      <c r="D722" s="236" t="str">
        <f>IF(C722="","",VLOOKUP($B722,勘定科目!$A:$E,4,0))</f>
        <v/>
      </c>
      <c r="E722" s="242"/>
      <c r="F722" s="237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197">
        <f t="shared" si="22"/>
        <v>0</v>
      </c>
      <c r="S722" s="198"/>
      <c r="T722" s="199"/>
      <c r="U722" s="243"/>
      <c r="V722" s="243"/>
      <c r="W722" s="243"/>
      <c r="BA722"/>
      <c r="BB722"/>
    </row>
    <row r="723" spans="1:54" s="188" customFormat="1" ht="13.5">
      <c r="A723" s="179"/>
      <c r="B723" s="175"/>
      <c r="C723" s="180" t="str">
        <f>IFERROR(IF(VLOOKUP($B723,勘定科目!$A:$H,HLOOKUP($E$5,勘定科目!$F$1:$H$2,2,0),0)="","",VLOOKUP($B723,勘定科目!$A:$E,2,0)),"")</f>
        <v/>
      </c>
      <c r="D723" s="236" t="str">
        <f>IF(C723="","",VLOOKUP($B723,勘定科目!$A:$E,4,0))</f>
        <v/>
      </c>
      <c r="E723" s="242"/>
      <c r="F723" s="237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197">
        <f t="shared" si="22"/>
        <v>0</v>
      </c>
      <c r="S723" s="198"/>
      <c r="T723" s="199"/>
      <c r="U723" s="243"/>
      <c r="V723" s="243"/>
      <c r="W723" s="243"/>
      <c r="BA723"/>
      <c r="BB723"/>
    </row>
    <row r="724" spans="1:54" s="188" customFormat="1" ht="13.5">
      <c r="A724" s="179"/>
      <c r="B724" s="175"/>
      <c r="C724" s="180" t="str">
        <f>IFERROR(IF(VLOOKUP($B724,勘定科目!$A:$H,HLOOKUP($E$5,勘定科目!$F$1:$H$2,2,0),0)="","",VLOOKUP($B724,勘定科目!$A:$E,2,0)),"")</f>
        <v/>
      </c>
      <c r="D724" s="236" t="str">
        <f>IF(C724="","",VLOOKUP($B724,勘定科目!$A:$E,4,0))</f>
        <v/>
      </c>
      <c r="E724" s="242"/>
      <c r="F724" s="237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197">
        <f t="shared" si="22"/>
        <v>0</v>
      </c>
      <c r="S724" s="198"/>
      <c r="T724" s="199"/>
      <c r="U724" s="243"/>
      <c r="V724" s="243"/>
      <c r="W724" s="243"/>
      <c r="BA724"/>
      <c r="BB724"/>
    </row>
    <row r="725" spans="1:54" s="188" customFormat="1" ht="13.5">
      <c r="A725" s="179"/>
      <c r="B725" s="175"/>
      <c r="C725" s="180" t="str">
        <f>IFERROR(IF(VLOOKUP($B725,勘定科目!$A:$H,HLOOKUP($E$5,勘定科目!$F$1:$H$2,2,0),0)="","",VLOOKUP($B725,勘定科目!$A:$E,2,0)),"")</f>
        <v/>
      </c>
      <c r="D725" s="236" t="str">
        <f>IF(C725="","",VLOOKUP($B725,勘定科目!$A:$E,4,0))</f>
        <v/>
      </c>
      <c r="E725" s="242"/>
      <c r="F725" s="237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197">
        <f t="shared" si="22"/>
        <v>0</v>
      </c>
      <c r="S725" s="198"/>
      <c r="T725" s="199"/>
      <c r="U725" s="243"/>
      <c r="V725" s="243"/>
      <c r="W725" s="243"/>
      <c r="BA725"/>
      <c r="BB725"/>
    </row>
    <row r="726" spans="1:54" s="188" customFormat="1" ht="13.5">
      <c r="A726" s="179"/>
      <c r="B726" s="175"/>
      <c r="C726" s="180" t="str">
        <f>IFERROR(IF(VLOOKUP($B726,勘定科目!$A:$H,HLOOKUP($E$5,勘定科目!$F$1:$H$2,2,0),0)="","",VLOOKUP($B726,勘定科目!$A:$E,2,0)),"")</f>
        <v/>
      </c>
      <c r="D726" s="236" t="str">
        <f>IF(C726="","",VLOOKUP($B726,勘定科目!$A:$E,4,0))</f>
        <v/>
      </c>
      <c r="E726" s="242"/>
      <c r="F726" s="237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197">
        <f t="shared" si="22"/>
        <v>0</v>
      </c>
      <c r="S726" s="198"/>
      <c r="T726" s="199"/>
      <c r="U726" s="243"/>
      <c r="V726" s="243"/>
      <c r="W726" s="243"/>
      <c r="BA726"/>
      <c r="BB726"/>
    </row>
    <row r="727" spans="1:54" s="188" customFormat="1" ht="13.5">
      <c r="A727" s="179"/>
      <c r="B727" s="175"/>
      <c r="C727" s="180" t="str">
        <f>IFERROR(IF(VLOOKUP($B727,勘定科目!$A:$H,HLOOKUP($E$5,勘定科目!$F$1:$H$2,2,0),0)="","",VLOOKUP($B727,勘定科目!$A:$E,2,0)),"")</f>
        <v/>
      </c>
      <c r="D727" s="236" t="str">
        <f>IF(C727="","",VLOOKUP($B727,勘定科目!$A:$E,4,0))</f>
        <v/>
      </c>
      <c r="E727" s="242"/>
      <c r="F727" s="237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197">
        <f t="shared" si="22"/>
        <v>0</v>
      </c>
      <c r="S727" s="198"/>
      <c r="T727" s="199"/>
      <c r="U727" s="243"/>
      <c r="V727" s="243"/>
      <c r="W727" s="243"/>
      <c r="BA727"/>
      <c r="BB727"/>
    </row>
    <row r="728" spans="1:54" s="188" customFormat="1" ht="13.5">
      <c r="A728" s="179"/>
      <c r="B728" s="175"/>
      <c r="C728" s="180" t="str">
        <f>IFERROR(IF(VLOOKUP($B728,勘定科目!$A:$H,HLOOKUP($E$5,勘定科目!$F$1:$H$2,2,0),0)="","",VLOOKUP($B728,勘定科目!$A:$E,2,0)),"")</f>
        <v/>
      </c>
      <c r="D728" s="236" t="str">
        <f>IF(C728="","",VLOOKUP($B728,勘定科目!$A:$E,4,0))</f>
        <v/>
      </c>
      <c r="E728" s="242"/>
      <c r="F728" s="237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197">
        <f t="shared" si="22"/>
        <v>0</v>
      </c>
      <c r="S728" s="198"/>
      <c r="T728" s="199"/>
      <c r="U728" s="243"/>
      <c r="V728" s="243"/>
      <c r="W728" s="243"/>
      <c r="BA728"/>
      <c r="BB728"/>
    </row>
    <row r="729" spans="1:54" s="188" customFormat="1" ht="13.5">
      <c r="A729" s="179"/>
      <c r="B729" s="175"/>
      <c r="C729" s="180" t="str">
        <f>IFERROR(IF(VLOOKUP($B729,勘定科目!$A:$H,HLOOKUP($E$5,勘定科目!$F$1:$H$2,2,0),0)="","",VLOOKUP($B729,勘定科目!$A:$E,2,0)),"")</f>
        <v/>
      </c>
      <c r="D729" s="236" t="str">
        <f>IF(C729="","",VLOOKUP($B729,勘定科目!$A:$E,4,0))</f>
        <v/>
      </c>
      <c r="E729" s="242"/>
      <c r="F729" s="237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197">
        <f t="shared" si="22"/>
        <v>0</v>
      </c>
      <c r="S729" s="198"/>
      <c r="T729" s="199"/>
      <c r="U729" s="243"/>
      <c r="V729" s="243"/>
      <c r="W729" s="243"/>
      <c r="BA729"/>
      <c r="BB729"/>
    </row>
    <row r="730" spans="1:54" s="188" customFormat="1" ht="13.5">
      <c r="A730" s="179"/>
      <c r="B730" s="175"/>
      <c r="C730" s="180" t="str">
        <f>IFERROR(IF(VLOOKUP($B730,勘定科目!$A:$H,HLOOKUP($E$5,勘定科目!$F$1:$H$2,2,0),0)="","",VLOOKUP($B730,勘定科目!$A:$E,2,0)),"")</f>
        <v/>
      </c>
      <c r="D730" s="236" t="str">
        <f>IF(C730="","",VLOOKUP($B730,勘定科目!$A:$E,4,0))</f>
        <v/>
      </c>
      <c r="E730" s="242"/>
      <c r="F730" s="237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197">
        <f t="shared" si="22"/>
        <v>0</v>
      </c>
      <c r="S730" s="198"/>
      <c r="T730" s="199"/>
      <c r="U730" s="243"/>
      <c r="V730" s="243"/>
      <c r="W730" s="243"/>
      <c r="BA730"/>
      <c r="BB730"/>
    </row>
    <row r="731" spans="1:54" s="188" customFormat="1" ht="13.5">
      <c r="A731" s="179"/>
      <c r="B731" s="175"/>
      <c r="C731" s="180" t="str">
        <f>IFERROR(IF(VLOOKUP($B731,勘定科目!$A:$H,HLOOKUP($E$5,勘定科目!$F$1:$H$2,2,0),0)="","",VLOOKUP($B731,勘定科目!$A:$E,2,0)),"")</f>
        <v/>
      </c>
      <c r="D731" s="236" t="str">
        <f>IF(C731="","",VLOOKUP($B731,勘定科目!$A:$E,4,0))</f>
        <v/>
      </c>
      <c r="E731" s="242"/>
      <c r="F731" s="237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197">
        <f t="shared" si="22"/>
        <v>0</v>
      </c>
      <c r="S731" s="198"/>
      <c r="T731" s="199"/>
      <c r="U731" s="243"/>
      <c r="V731" s="243"/>
      <c r="W731" s="243"/>
      <c r="BA731"/>
      <c r="BB731"/>
    </row>
    <row r="732" spans="1:54" s="188" customFormat="1" ht="13.5">
      <c r="A732" s="179"/>
      <c r="B732" s="175"/>
      <c r="C732" s="180" t="str">
        <f>IFERROR(IF(VLOOKUP($B732,勘定科目!$A:$H,HLOOKUP($E$5,勘定科目!$F$1:$H$2,2,0),0)="","",VLOOKUP($B732,勘定科目!$A:$E,2,0)),"")</f>
        <v/>
      </c>
      <c r="D732" s="236" t="str">
        <f>IF(C732="","",VLOOKUP($B732,勘定科目!$A:$E,4,0))</f>
        <v/>
      </c>
      <c r="E732" s="242"/>
      <c r="F732" s="237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197">
        <f t="shared" si="22"/>
        <v>0</v>
      </c>
      <c r="S732" s="198"/>
      <c r="T732" s="199"/>
      <c r="U732" s="243"/>
      <c r="V732" s="243"/>
      <c r="W732" s="243"/>
      <c r="BA732"/>
      <c r="BB732"/>
    </row>
    <row r="733" spans="1:54" s="188" customFormat="1" ht="13.5">
      <c r="A733" s="179"/>
      <c r="B733" s="175"/>
      <c r="C733" s="180" t="str">
        <f>IFERROR(IF(VLOOKUP($B733,勘定科目!$A:$H,HLOOKUP($E$5,勘定科目!$F$1:$H$2,2,0),0)="","",VLOOKUP($B733,勘定科目!$A:$E,2,0)),"")</f>
        <v/>
      </c>
      <c r="D733" s="236" t="str">
        <f>IF(C733="","",VLOOKUP($B733,勘定科目!$A:$E,4,0))</f>
        <v/>
      </c>
      <c r="E733" s="242"/>
      <c r="F733" s="237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197">
        <f t="shared" si="22"/>
        <v>0</v>
      </c>
      <c r="S733" s="198"/>
      <c r="T733" s="199"/>
      <c r="U733" s="243"/>
      <c r="V733" s="243"/>
      <c r="W733" s="243"/>
      <c r="BA733"/>
      <c r="BB733"/>
    </row>
    <row r="734" spans="1:54" s="188" customFormat="1" ht="13.5">
      <c r="A734" s="179"/>
      <c r="B734" s="175"/>
      <c r="C734" s="180" t="str">
        <f>IFERROR(IF(VLOOKUP($B734,勘定科目!$A:$H,HLOOKUP($E$5,勘定科目!$F$1:$H$2,2,0),0)="","",VLOOKUP($B734,勘定科目!$A:$E,2,0)),"")</f>
        <v/>
      </c>
      <c r="D734" s="236" t="str">
        <f>IF(C734="","",VLOOKUP($B734,勘定科目!$A:$E,4,0))</f>
        <v/>
      </c>
      <c r="E734" s="242"/>
      <c r="F734" s="237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197">
        <f t="shared" si="22"/>
        <v>0</v>
      </c>
      <c r="S734" s="198"/>
      <c r="T734" s="199"/>
      <c r="U734" s="243"/>
      <c r="V734" s="243"/>
      <c r="W734" s="243"/>
      <c r="BA734"/>
      <c r="BB734"/>
    </row>
    <row r="735" spans="1:54" s="188" customFormat="1" ht="13.5">
      <c r="A735" s="179"/>
      <c r="B735" s="175"/>
      <c r="C735" s="180" t="str">
        <f>IFERROR(IF(VLOOKUP($B735,勘定科目!$A:$H,HLOOKUP($E$5,勘定科目!$F$1:$H$2,2,0),0)="","",VLOOKUP($B735,勘定科目!$A:$E,2,0)),"")</f>
        <v/>
      </c>
      <c r="D735" s="236" t="str">
        <f>IF(C735="","",VLOOKUP($B735,勘定科目!$A:$E,4,0))</f>
        <v/>
      </c>
      <c r="E735" s="242"/>
      <c r="F735" s="237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197">
        <f t="shared" si="22"/>
        <v>0</v>
      </c>
      <c r="S735" s="198"/>
      <c r="T735" s="199"/>
      <c r="U735" s="243"/>
      <c r="V735" s="243"/>
      <c r="W735" s="243"/>
      <c r="BA735"/>
      <c r="BB735"/>
    </row>
    <row r="736" spans="1:54" s="188" customFormat="1" ht="13.5">
      <c r="A736" s="179"/>
      <c r="B736" s="175"/>
      <c r="C736" s="180" t="str">
        <f>IFERROR(IF(VLOOKUP($B736,勘定科目!$A:$H,HLOOKUP($E$5,勘定科目!$F$1:$H$2,2,0),0)="","",VLOOKUP($B736,勘定科目!$A:$E,2,0)),"")</f>
        <v/>
      </c>
      <c r="D736" s="236" t="str">
        <f>IF(C736="","",VLOOKUP($B736,勘定科目!$A:$E,4,0))</f>
        <v/>
      </c>
      <c r="E736" s="242"/>
      <c r="F736" s="237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197">
        <f t="shared" si="22"/>
        <v>0</v>
      </c>
      <c r="S736" s="198"/>
      <c r="T736" s="199"/>
      <c r="U736" s="243"/>
      <c r="V736" s="243"/>
      <c r="W736" s="243"/>
      <c r="BA736"/>
      <c r="BB736"/>
    </row>
    <row r="737" spans="1:54" s="188" customFormat="1" ht="13.5">
      <c r="A737" s="179"/>
      <c r="B737" s="175"/>
      <c r="C737" s="180" t="str">
        <f>IFERROR(IF(VLOOKUP($B737,勘定科目!$A:$H,HLOOKUP($E$5,勘定科目!$F$1:$H$2,2,0),0)="","",VLOOKUP($B737,勘定科目!$A:$E,2,0)),"")</f>
        <v/>
      </c>
      <c r="D737" s="236" t="str">
        <f>IF(C737="","",VLOOKUP($B737,勘定科目!$A:$E,4,0))</f>
        <v/>
      </c>
      <c r="E737" s="242"/>
      <c r="F737" s="237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197">
        <f t="shared" si="22"/>
        <v>0</v>
      </c>
      <c r="S737" s="198"/>
      <c r="T737" s="199"/>
      <c r="U737" s="243"/>
      <c r="V737" s="243"/>
      <c r="W737" s="243"/>
      <c r="BA737"/>
      <c r="BB737"/>
    </row>
    <row r="738" spans="1:54" s="188" customFormat="1" ht="13.5">
      <c r="A738" s="179"/>
      <c r="B738" s="175"/>
      <c r="C738" s="180" t="str">
        <f>IFERROR(IF(VLOOKUP($B738,勘定科目!$A:$H,HLOOKUP($E$5,勘定科目!$F$1:$H$2,2,0),0)="","",VLOOKUP($B738,勘定科目!$A:$E,2,0)),"")</f>
        <v/>
      </c>
      <c r="D738" s="236" t="str">
        <f>IF(C738="","",VLOOKUP($B738,勘定科目!$A:$E,4,0))</f>
        <v/>
      </c>
      <c r="E738" s="242"/>
      <c r="F738" s="237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197">
        <f t="shared" si="22"/>
        <v>0</v>
      </c>
      <c r="S738" s="198"/>
      <c r="T738" s="199"/>
      <c r="U738" s="243"/>
      <c r="V738" s="243"/>
      <c r="W738" s="243"/>
      <c r="BA738"/>
      <c r="BB738"/>
    </row>
    <row r="739" spans="1:54" s="188" customFormat="1" ht="13.5">
      <c r="A739" s="179"/>
      <c r="B739" s="175"/>
      <c r="C739" s="180" t="str">
        <f>IFERROR(IF(VLOOKUP($B739,勘定科目!$A:$H,HLOOKUP($E$5,勘定科目!$F$1:$H$2,2,0),0)="","",VLOOKUP($B739,勘定科目!$A:$E,2,0)),"")</f>
        <v/>
      </c>
      <c r="D739" s="236" t="str">
        <f>IF(C739="","",VLOOKUP($B739,勘定科目!$A:$E,4,0))</f>
        <v/>
      </c>
      <c r="E739" s="242"/>
      <c r="F739" s="237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197">
        <f t="shared" si="22"/>
        <v>0</v>
      </c>
      <c r="S739" s="198"/>
      <c r="T739" s="199"/>
      <c r="U739" s="243"/>
      <c r="V739" s="243"/>
      <c r="W739" s="243"/>
      <c r="BA739"/>
      <c r="BB739"/>
    </row>
    <row r="740" spans="1:54" s="188" customFormat="1" ht="13.5">
      <c r="A740" s="179"/>
      <c r="B740" s="175"/>
      <c r="C740" s="180" t="str">
        <f>IFERROR(IF(VLOOKUP($B740,勘定科目!$A:$H,HLOOKUP($E$5,勘定科目!$F$1:$H$2,2,0),0)="","",VLOOKUP($B740,勘定科目!$A:$E,2,0)),"")</f>
        <v/>
      </c>
      <c r="D740" s="236" t="str">
        <f>IF(C740="","",VLOOKUP($B740,勘定科目!$A:$E,4,0))</f>
        <v/>
      </c>
      <c r="E740" s="242"/>
      <c r="F740" s="237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197">
        <f t="shared" si="22"/>
        <v>0</v>
      </c>
      <c r="S740" s="198"/>
      <c r="T740" s="199"/>
      <c r="U740" s="243"/>
      <c r="V740" s="243"/>
      <c r="W740" s="243"/>
      <c r="BA740"/>
      <c r="BB740"/>
    </row>
    <row r="741" spans="1:54" s="188" customFormat="1" ht="13.5">
      <c r="A741" s="179"/>
      <c r="B741" s="175"/>
      <c r="C741" s="180" t="str">
        <f>IFERROR(IF(VLOOKUP($B741,勘定科目!$A:$H,HLOOKUP($E$5,勘定科目!$F$1:$H$2,2,0),0)="","",VLOOKUP($B741,勘定科目!$A:$E,2,0)),"")</f>
        <v/>
      </c>
      <c r="D741" s="236" t="str">
        <f>IF(C741="","",VLOOKUP($B741,勘定科目!$A:$E,4,0))</f>
        <v/>
      </c>
      <c r="E741" s="242"/>
      <c r="F741" s="237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197">
        <f t="shared" si="22"/>
        <v>0</v>
      </c>
      <c r="S741" s="198"/>
      <c r="T741" s="199"/>
      <c r="U741" s="243"/>
      <c r="V741" s="243"/>
      <c r="W741" s="243"/>
      <c r="BA741"/>
      <c r="BB741"/>
    </row>
    <row r="742" spans="1:54" s="188" customFormat="1" ht="13.5">
      <c r="A742" s="179"/>
      <c r="B742" s="175"/>
      <c r="C742" s="180" t="str">
        <f>IFERROR(IF(VLOOKUP($B742,勘定科目!$A:$H,HLOOKUP($E$5,勘定科目!$F$1:$H$2,2,0),0)="","",VLOOKUP($B742,勘定科目!$A:$E,2,0)),"")</f>
        <v/>
      </c>
      <c r="D742" s="236" t="str">
        <f>IF(C742="","",VLOOKUP($B742,勘定科目!$A:$E,4,0))</f>
        <v/>
      </c>
      <c r="E742" s="242"/>
      <c r="F742" s="237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197">
        <f t="shared" si="22"/>
        <v>0</v>
      </c>
      <c r="S742" s="198"/>
      <c r="T742" s="199"/>
      <c r="U742" s="243"/>
      <c r="V742" s="243"/>
      <c r="W742" s="243"/>
      <c r="BA742"/>
      <c r="BB742"/>
    </row>
    <row r="743" spans="1:54" s="188" customFormat="1" ht="13.5">
      <c r="A743" s="179"/>
      <c r="B743" s="175"/>
      <c r="C743" s="180" t="str">
        <f>IFERROR(IF(VLOOKUP($B743,勘定科目!$A:$H,HLOOKUP($E$5,勘定科目!$F$1:$H$2,2,0),0)="","",VLOOKUP($B743,勘定科目!$A:$E,2,0)),"")</f>
        <v/>
      </c>
      <c r="D743" s="236" t="str">
        <f>IF(C743="","",VLOOKUP($B743,勘定科目!$A:$E,4,0))</f>
        <v/>
      </c>
      <c r="E743" s="242"/>
      <c r="F743" s="237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197">
        <f t="shared" si="22"/>
        <v>0</v>
      </c>
      <c r="S743" s="198"/>
      <c r="T743" s="199"/>
      <c r="U743" s="243"/>
      <c r="V743" s="243"/>
      <c r="W743" s="243"/>
      <c r="BA743"/>
      <c r="BB743"/>
    </row>
    <row r="744" spans="1:54" s="188" customFormat="1" ht="13.5">
      <c r="A744" s="179"/>
      <c r="B744" s="175"/>
      <c r="C744" s="180" t="str">
        <f>IFERROR(IF(VLOOKUP($B744,勘定科目!$A:$H,HLOOKUP($E$5,勘定科目!$F$1:$H$2,2,0),0)="","",VLOOKUP($B744,勘定科目!$A:$E,2,0)),"")</f>
        <v/>
      </c>
      <c r="D744" s="236" t="str">
        <f>IF(C744="","",VLOOKUP($B744,勘定科目!$A:$E,4,0))</f>
        <v/>
      </c>
      <c r="E744" s="242"/>
      <c r="F744" s="237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197">
        <f t="shared" si="22"/>
        <v>0</v>
      </c>
      <c r="S744" s="198"/>
      <c r="T744" s="199"/>
      <c r="U744" s="243"/>
      <c r="V744" s="243"/>
      <c r="W744" s="243"/>
      <c r="BA744"/>
      <c r="BB744"/>
    </row>
    <row r="745" spans="1:54" s="188" customFormat="1" ht="13.5">
      <c r="A745" s="179"/>
      <c r="B745" s="175"/>
      <c r="C745" s="180" t="str">
        <f>IFERROR(IF(VLOOKUP($B745,勘定科目!$A:$H,HLOOKUP($E$5,勘定科目!$F$1:$H$2,2,0),0)="","",VLOOKUP($B745,勘定科目!$A:$E,2,0)),"")</f>
        <v/>
      </c>
      <c r="D745" s="236" t="str">
        <f>IF(C745="","",VLOOKUP($B745,勘定科目!$A:$E,4,0))</f>
        <v/>
      </c>
      <c r="E745" s="242"/>
      <c r="F745" s="237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197">
        <f t="shared" si="22"/>
        <v>0</v>
      </c>
      <c r="S745" s="198"/>
      <c r="T745" s="199"/>
      <c r="U745" s="243"/>
      <c r="V745" s="243"/>
      <c r="W745" s="243"/>
      <c r="BA745"/>
      <c r="BB745"/>
    </row>
    <row r="746" spans="1:54" s="188" customFormat="1" ht="13.5">
      <c r="A746" s="179"/>
      <c r="B746" s="175"/>
      <c r="C746" s="180" t="str">
        <f>IFERROR(IF(VLOOKUP($B746,勘定科目!$A:$H,HLOOKUP($E$5,勘定科目!$F$1:$H$2,2,0),0)="","",VLOOKUP($B746,勘定科目!$A:$E,2,0)),"")</f>
        <v/>
      </c>
      <c r="D746" s="236" t="str">
        <f>IF(C746="","",VLOOKUP($B746,勘定科目!$A:$E,4,0))</f>
        <v/>
      </c>
      <c r="E746" s="242"/>
      <c r="F746" s="237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197">
        <f t="shared" si="22"/>
        <v>0</v>
      </c>
      <c r="S746" s="198"/>
      <c r="T746" s="199"/>
      <c r="U746" s="243"/>
      <c r="V746" s="243"/>
      <c r="W746" s="243"/>
      <c r="BA746"/>
      <c r="BB746"/>
    </row>
    <row r="747" spans="1:54" s="188" customFormat="1" ht="13.5">
      <c r="A747" s="179"/>
      <c r="B747" s="175"/>
      <c r="C747" s="180" t="str">
        <f>IFERROR(IF(VLOOKUP($B747,勘定科目!$A:$H,HLOOKUP($E$5,勘定科目!$F$1:$H$2,2,0),0)="","",VLOOKUP($B747,勘定科目!$A:$E,2,0)),"")</f>
        <v/>
      </c>
      <c r="D747" s="236" t="str">
        <f>IF(C747="","",VLOOKUP($B747,勘定科目!$A:$E,4,0))</f>
        <v/>
      </c>
      <c r="E747" s="242"/>
      <c r="F747" s="237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197">
        <f t="shared" si="22"/>
        <v>0</v>
      </c>
      <c r="S747" s="198"/>
      <c r="T747" s="199"/>
      <c r="U747" s="243"/>
      <c r="V747" s="243"/>
      <c r="W747" s="243"/>
      <c r="BA747"/>
      <c r="BB747"/>
    </row>
    <row r="748" spans="1:54" s="188" customFormat="1" ht="13.5">
      <c r="A748" s="179"/>
      <c r="B748" s="175"/>
      <c r="C748" s="180" t="str">
        <f>IFERROR(IF(VLOOKUP($B748,勘定科目!$A:$H,HLOOKUP($E$5,勘定科目!$F$1:$H$2,2,0),0)="","",VLOOKUP($B748,勘定科目!$A:$E,2,0)),"")</f>
        <v/>
      </c>
      <c r="D748" s="236" t="str">
        <f>IF(C748="","",VLOOKUP($B748,勘定科目!$A:$E,4,0))</f>
        <v/>
      </c>
      <c r="E748" s="242"/>
      <c r="F748" s="237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197">
        <f t="shared" si="22"/>
        <v>0</v>
      </c>
      <c r="S748" s="198"/>
      <c r="T748" s="199"/>
      <c r="U748" s="243"/>
      <c r="V748" s="243"/>
      <c r="W748" s="243"/>
      <c r="BA748"/>
      <c r="BB748"/>
    </row>
    <row r="749" spans="1:54" s="188" customFormat="1" ht="13.5">
      <c r="A749" s="179"/>
      <c r="B749" s="175"/>
      <c r="C749" s="180" t="str">
        <f>IFERROR(IF(VLOOKUP($B749,勘定科目!$A:$H,HLOOKUP($E$5,勘定科目!$F$1:$H$2,2,0),0)="","",VLOOKUP($B749,勘定科目!$A:$E,2,0)),"")</f>
        <v/>
      </c>
      <c r="D749" s="236" t="str">
        <f>IF(C749="","",VLOOKUP($B749,勘定科目!$A:$E,4,0))</f>
        <v/>
      </c>
      <c r="E749" s="242"/>
      <c r="F749" s="237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197">
        <f t="shared" si="22"/>
        <v>0</v>
      </c>
      <c r="S749" s="198"/>
      <c r="T749" s="199"/>
      <c r="U749" s="243"/>
      <c r="V749" s="243"/>
      <c r="W749" s="243"/>
      <c r="BA749"/>
      <c r="BB749"/>
    </row>
    <row r="750" spans="1:54" s="188" customFormat="1" ht="13.5">
      <c r="A750" s="179"/>
      <c r="B750" s="175"/>
      <c r="C750" s="180" t="str">
        <f>IFERROR(IF(VLOOKUP($B750,勘定科目!$A:$H,HLOOKUP($E$5,勘定科目!$F$1:$H$2,2,0),0)="","",VLOOKUP($B750,勘定科目!$A:$E,2,0)),"")</f>
        <v/>
      </c>
      <c r="D750" s="236" t="str">
        <f>IF(C750="","",VLOOKUP($B750,勘定科目!$A:$E,4,0))</f>
        <v/>
      </c>
      <c r="E750" s="242"/>
      <c r="F750" s="237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197">
        <f t="shared" si="22"/>
        <v>0</v>
      </c>
      <c r="S750" s="198"/>
      <c r="T750" s="199"/>
      <c r="U750" s="243"/>
      <c r="V750" s="243"/>
      <c r="W750" s="243"/>
      <c r="BA750"/>
      <c r="BB750"/>
    </row>
    <row r="751" spans="1:54" s="188" customFormat="1" ht="13.5">
      <c r="A751" s="179"/>
      <c r="B751" s="175"/>
      <c r="C751" s="180" t="str">
        <f>IFERROR(IF(VLOOKUP($B751,勘定科目!$A:$H,HLOOKUP($E$5,勘定科目!$F$1:$H$2,2,0),0)="","",VLOOKUP($B751,勘定科目!$A:$E,2,0)),"")</f>
        <v/>
      </c>
      <c r="D751" s="236" t="str">
        <f>IF(C751="","",VLOOKUP($B751,勘定科目!$A:$E,4,0))</f>
        <v/>
      </c>
      <c r="E751" s="242"/>
      <c r="F751" s="237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197">
        <f t="shared" si="22"/>
        <v>0</v>
      </c>
      <c r="S751" s="198"/>
      <c r="T751" s="199"/>
      <c r="U751" s="243"/>
      <c r="V751" s="243"/>
      <c r="W751" s="243"/>
      <c r="BA751"/>
      <c r="BB751"/>
    </row>
    <row r="752" spans="1:54" s="188" customFormat="1" ht="13.5">
      <c r="A752" s="179"/>
      <c r="B752" s="175"/>
      <c r="C752" s="180" t="str">
        <f>IFERROR(IF(VLOOKUP($B752,勘定科目!$A:$H,HLOOKUP($E$5,勘定科目!$F$1:$H$2,2,0),0)="","",VLOOKUP($B752,勘定科目!$A:$E,2,0)),"")</f>
        <v/>
      </c>
      <c r="D752" s="236" t="str">
        <f>IF(C752="","",VLOOKUP($B752,勘定科目!$A:$E,4,0))</f>
        <v/>
      </c>
      <c r="E752" s="242"/>
      <c r="F752" s="237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197">
        <f t="shared" si="22"/>
        <v>0</v>
      </c>
      <c r="S752" s="198"/>
      <c r="T752" s="199"/>
      <c r="U752" s="243"/>
      <c r="V752" s="243"/>
      <c r="W752" s="243"/>
      <c r="BA752"/>
      <c r="BB752"/>
    </row>
    <row r="753" spans="1:54" s="188" customFormat="1" ht="13.5">
      <c r="A753" s="179"/>
      <c r="B753" s="175"/>
      <c r="C753" s="180" t="str">
        <f>IFERROR(IF(VLOOKUP($B753,勘定科目!$A:$H,HLOOKUP($E$5,勘定科目!$F$1:$H$2,2,0),0)="","",VLOOKUP($B753,勘定科目!$A:$E,2,0)),"")</f>
        <v/>
      </c>
      <c r="D753" s="236" t="str">
        <f>IF(C753="","",VLOOKUP($B753,勘定科目!$A:$E,4,0))</f>
        <v/>
      </c>
      <c r="E753" s="242"/>
      <c r="F753" s="237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197">
        <f t="shared" si="22"/>
        <v>0</v>
      </c>
      <c r="S753" s="198"/>
      <c r="T753" s="199"/>
      <c r="U753" s="243"/>
      <c r="V753" s="243"/>
      <c r="W753" s="243"/>
      <c r="BA753"/>
      <c r="BB753"/>
    </row>
    <row r="754" spans="1:54" s="188" customFormat="1" ht="13.5">
      <c r="A754" s="179"/>
      <c r="B754" s="175"/>
      <c r="C754" s="180" t="str">
        <f>IFERROR(IF(VLOOKUP($B754,勘定科目!$A:$H,HLOOKUP($E$5,勘定科目!$F$1:$H$2,2,0),0)="","",VLOOKUP($B754,勘定科目!$A:$E,2,0)),"")</f>
        <v/>
      </c>
      <c r="D754" s="236" t="str">
        <f>IF(C754="","",VLOOKUP($B754,勘定科目!$A:$E,4,0))</f>
        <v/>
      </c>
      <c r="E754" s="242"/>
      <c r="F754" s="237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197">
        <f t="shared" si="22"/>
        <v>0</v>
      </c>
      <c r="S754" s="198"/>
      <c r="T754" s="199"/>
      <c r="U754" s="243"/>
      <c r="V754" s="243"/>
      <c r="W754" s="243"/>
      <c r="BA754"/>
      <c r="BB754"/>
    </row>
    <row r="755" spans="1:54" s="188" customFormat="1" ht="13.5">
      <c r="A755" s="179"/>
      <c r="B755" s="175"/>
      <c r="C755" s="180" t="str">
        <f>IFERROR(IF(VLOOKUP($B755,勘定科目!$A:$H,HLOOKUP($E$5,勘定科目!$F$1:$H$2,2,0),0)="","",VLOOKUP($B755,勘定科目!$A:$E,2,0)),"")</f>
        <v/>
      </c>
      <c r="D755" s="236" t="str">
        <f>IF(C755="","",VLOOKUP($B755,勘定科目!$A:$E,4,0))</f>
        <v/>
      </c>
      <c r="E755" s="242"/>
      <c r="F755" s="237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197">
        <f t="shared" si="22"/>
        <v>0</v>
      </c>
      <c r="S755" s="198"/>
      <c r="T755" s="199"/>
      <c r="U755" s="243"/>
      <c r="V755" s="243"/>
      <c r="W755" s="243"/>
      <c r="BA755"/>
      <c r="BB755"/>
    </row>
    <row r="756" spans="1:54" s="188" customFormat="1" ht="13.5">
      <c r="A756" s="179"/>
      <c r="B756" s="175"/>
      <c r="C756" s="180" t="str">
        <f>IFERROR(IF(VLOOKUP($B756,勘定科目!$A:$H,HLOOKUP($E$5,勘定科目!$F$1:$H$2,2,0),0)="","",VLOOKUP($B756,勘定科目!$A:$E,2,0)),"")</f>
        <v/>
      </c>
      <c r="D756" s="236" t="str">
        <f>IF(C756="","",VLOOKUP($B756,勘定科目!$A:$E,4,0))</f>
        <v/>
      </c>
      <c r="E756" s="242"/>
      <c r="F756" s="237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197">
        <f t="shared" si="22"/>
        <v>0</v>
      </c>
      <c r="S756" s="198"/>
      <c r="T756" s="199"/>
      <c r="U756" s="243"/>
      <c r="V756" s="243"/>
      <c r="W756" s="243"/>
      <c r="BA756"/>
      <c r="BB756"/>
    </row>
    <row r="757" spans="1:54" s="188" customFormat="1" ht="13.5">
      <c r="A757" s="179"/>
      <c r="B757" s="175"/>
      <c r="C757" s="180" t="str">
        <f>IFERROR(IF(VLOOKUP($B757,勘定科目!$A:$H,HLOOKUP($E$5,勘定科目!$F$1:$H$2,2,0),0)="","",VLOOKUP($B757,勘定科目!$A:$E,2,0)),"")</f>
        <v/>
      </c>
      <c r="D757" s="236" t="str">
        <f>IF(C757="","",VLOOKUP($B757,勘定科目!$A:$E,4,0))</f>
        <v/>
      </c>
      <c r="E757" s="242"/>
      <c r="F757" s="237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197">
        <f t="shared" ref="R757:R797" si="23">SUM(F757:Q757)</f>
        <v>0</v>
      </c>
      <c r="S757" s="198"/>
      <c r="T757" s="199"/>
      <c r="U757" s="243"/>
      <c r="V757" s="243"/>
      <c r="W757" s="243"/>
      <c r="BA757"/>
      <c r="BB757"/>
    </row>
    <row r="758" spans="1:54" s="188" customFormat="1" ht="13.5">
      <c r="A758" s="179"/>
      <c r="B758" s="175"/>
      <c r="C758" s="180" t="str">
        <f>IFERROR(IF(VLOOKUP($B758,勘定科目!$A:$H,HLOOKUP($E$5,勘定科目!$F$1:$H$2,2,0),0)="","",VLOOKUP($B758,勘定科目!$A:$E,2,0)),"")</f>
        <v/>
      </c>
      <c r="D758" s="236" t="str">
        <f>IF(C758="","",VLOOKUP($B758,勘定科目!$A:$E,4,0))</f>
        <v/>
      </c>
      <c r="E758" s="242"/>
      <c r="F758" s="237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197">
        <f t="shared" si="23"/>
        <v>0</v>
      </c>
      <c r="S758" s="198"/>
      <c r="T758" s="199"/>
      <c r="U758" s="243"/>
      <c r="V758" s="243"/>
      <c r="W758" s="243"/>
      <c r="BA758"/>
      <c r="BB758"/>
    </row>
    <row r="759" spans="1:54" s="188" customFormat="1" ht="13.5">
      <c r="A759" s="179"/>
      <c r="B759" s="175"/>
      <c r="C759" s="180" t="str">
        <f>IFERROR(IF(VLOOKUP($B759,勘定科目!$A:$H,HLOOKUP($E$5,勘定科目!$F$1:$H$2,2,0),0)="","",VLOOKUP($B759,勘定科目!$A:$E,2,0)),"")</f>
        <v/>
      </c>
      <c r="D759" s="236" t="str">
        <f>IF(C759="","",VLOOKUP($B759,勘定科目!$A:$E,4,0))</f>
        <v/>
      </c>
      <c r="E759" s="242"/>
      <c r="F759" s="237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197">
        <f t="shared" si="23"/>
        <v>0</v>
      </c>
      <c r="S759" s="198"/>
      <c r="T759" s="199"/>
      <c r="U759" s="243"/>
      <c r="V759" s="243"/>
      <c r="W759" s="243"/>
      <c r="BA759"/>
      <c r="BB759"/>
    </row>
    <row r="760" spans="1:54" s="188" customFormat="1" ht="13.5">
      <c r="A760" s="179"/>
      <c r="B760" s="175"/>
      <c r="C760" s="180" t="str">
        <f>IFERROR(IF(VLOOKUP($B760,勘定科目!$A:$H,HLOOKUP($E$5,勘定科目!$F$1:$H$2,2,0),0)="","",VLOOKUP($B760,勘定科目!$A:$E,2,0)),"")</f>
        <v/>
      </c>
      <c r="D760" s="236" t="str">
        <f>IF(C760="","",VLOOKUP($B760,勘定科目!$A:$E,4,0))</f>
        <v/>
      </c>
      <c r="E760" s="242"/>
      <c r="F760" s="237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197">
        <f t="shared" si="23"/>
        <v>0</v>
      </c>
      <c r="S760" s="198"/>
      <c r="T760" s="199"/>
      <c r="U760" s="243"/>
      <c r="V760" s="243"/>
      <c r="W760" s="243"/>
      <c r="BA760"/>
      <c r="BB760"/>
    </row>
    <row r="761" spans="1:54" s="188" customFormat="1" ht="13.5">
      <c r="A761" s="179"/>
      <c r="B761" s="175"/>
      <c r="C761" s="180" t="str">
        <f>IFERROR(IF(VLOOKUP($B761,勘定科目!$A:$H,HLOOKUP($E$5,勘定科目!$F$1:$H$2,2,0),0)="","",VLOOKUP($B761,勘定科目!$A:$E,2,0)),"")</f>
        <v/>
      </c>
      <c r="D761" s="236" t="str">
        <f>IF(C761="","",VLOOKUP($B761,勘定科目!$A:$E,4,0))</f>
        <v/>
      </c>
      <c r="E761" s="242"/>
      <c r="F761" s="237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197">
        <f t="shared" si="23"/>
        <v>0</v>
      </c>
      <c r="S761" s="198"/>
      <c r="T761" s="199"/>
      <c r="U761" s="243"/>
      <c r="V761" s="243"/>
      <c r="W761" s="243"/>
      <c r="BA761"/>
      <c r="BB761"/>
    </row>
    <row r="762" spans="1:54" s="188" customFormat="1" ht="13.5">
      <c r="A762" s="179"/>
      <c r="B762" s="175"/>
      <c r="C762" s="180" t="str">
        <f>IFERROR(IF(VLOOKUP($B762,勘定科目!$A:$H,HLOOKUP($E$5,勘定科目!$F$1:$H$2,2,0),0)="","",VLOOKUP($B762,勘定科目!$A:$E,2,0)),"")</f>
        <v/>
      </c>
      <c r="D762" s="236" t="str">
        <f>IF(C762="","",VLOOKUP($B762,勘定科目!$A:$E,4,0))</f>
        <v/>
      </c>
      <c r="E762" s="242"/>
      <c r="F762" s="237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197">
        <f t="shared" si="23"/>
        <v>0</v>
      </c>
      <c r="S762" s="198"/>
      <c r="T762" s="199"/>
      <c r="U762" s="243"/>
      <c r="V762" s="243"/>
      <c r="W762" s="243"/>
      <c r="BA762"/>
      <c r="BB762"/>
    </row>
    <row r="763" spans="1:54" s="188" customFormat="1" ht="13.5">
      <c r="A763" s="179"/>
      <c r="B763" s="175"/>
      <c r="C763" s="180" t="str">
        <f>IFERROR(IF(VLOOKUP($B763,勘定科目!$A:$H,HLOOKUP($E$5,勘定科目!$F$1:$H$2,2,0),0)="","",VLOOKUP($B763,勘定科目!$A:$E,2,0)),"")</f>
        <v/>
      </c>
      <c r="D763" s="236" t="str">
        <f>IF(C763="","",VLOOKUP($B763,勘定科目!$A:$E,4,0))</f>
        <v/>
      </c>
      <c r="E763" s="242"/>
      <c r="F763" s="237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197">
        <f t="shared" si="23"/>
        <v>0</v>
      </c>
      <c r="S763" s="198"/>
      <c r="T763" s="199"/>
      <c r="U763" s="243"/>
      <c r="V763" s="243"/>
      <c r="W763" s="243"/>
      <c r="BA763"/>
      <c r="BB763"/>
    </row>
    <row r="764" spans="1:54" s="188" customFormat="1" ht="13.5">
      <c r="A764" s="179"/>
      <c r="B764" s="175"/>
      <c r="C764" s="180" t="str">
        <f>IFERROR(IF(VLOOKUP($B764,勘定科目!$A:$H,HLOOKUP($E$5,勘定科目!$F$1:$H$2,2,0),0)="","",VLOOKUP($B764,勘定科目!$A:$E,2,0)),"")</f>
        <v/>
      </c>
      <c r="D764" s="236" t="str">
        <f>IF(C764="","",VLOOKUP($B764,勘定科目!$A:$E,4,0))</f>
        <v/>
      </c>
      <c r="E764" s="242"/>
      <c r="F764" s="237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197">
        <f t="shared" si="23"/>
        <v>0</v>
      </c>
      <c r="S764" s="198"/>
      <c r="T764" s="199"/>
      <c r="U764" s="243"/>
      <c r="V764" s="243"/>
      <c r="W764" s="243"/>
      <c r="BA764"/>
      <c r="BB764"/>
    </row>
    <row r="765" spans="1:54" s="188" customFormat="1" ht="13.5">
      <c r="A765" s="179"/>
      <c r="B765" s="175"/>
      <c r="C765" s="180" t="str">
        <f>IFERROR(IF(VLOOKUP($B765,勘定科目!$A:$H,HLOOKUP($E$5,勘定科目!$F$1:$H$2,2,0),0)="","",VLOOKUP($B765,勘定科目!$A:$E,2,0)),"")</f>
        <v/>
      </c>
      <c r="D765" s="236" t="str">
        <f>IF(C765="","",VLOOKUP($B765,勘定科目!$A:$E,4,0))</f>
        <v/>
      </c>
      <c r="E765" s="242"/>
      <c r="F765" s="237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197">
        <f t="shared" si="23"/>
        <v>0</v>
      </c>
      <c r="S765" s="198"/>
      <c r="T765" s="199"/>
      <c r="U765" s="243"/>
      <c r="V765" s="243"/>
      <c r="W765" s="243"/>
      <c r="BA765"/>
      <c r="BB765"/>
    </row>
    <row r="766" spans="1:54" s="188" customFormat="1" ht="13.5">
      <c r="A766" s="179"/>
      <c r="B766" s="175"/>
      <c r="C766" s="180" t="str">
        <f>IFERROR(IF(VLOOKUP($B766,勘定科目!$A:$H,HLOOKUP($E$5,勘定科目!$F$1:$H$2,2,0),0)="","",VLOOKUP($B766,勘定科目!$A:$E,2,0)),"")</f>
        <v/>
      </c>
      <c r="D766" s="236" t="str">
        <f>IF(C766="","",VLOOKUP($B766,勘定科目!$A:$E,4,0))</f>
        <v/>
      </c>
      <c r="E766" s="242"/>
      <c r="F766" s="237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197">
        <f t="shared" si="23"/>
        <v>0</v>
      </c>
      <c r="S766" s="198"/>
      <c r="T766" s="199"/>
      <c r="U766" s="243"/>
      <c r="V766" s="243"/>
      <c r="W766" s="243"/>
      <c r="BA766"/>
      <c r="BB766"/>
    </row>
    <row r="767" spans="1:54" s="188" customFormat="1" ht="13.5">
      <c r="A767" s="179"/>
      <c r="B767" s="175"/>
      <c r="C767" s="180" t="str">
        <f>IFERROR(IF(VLOOKUP($B767,勘定科目!$A:$H,HLOOKUP($E$5,勘定科目!$F$1:$H$2,2,0),0)="","",VLOOKUP($B767,勘定科目!$A:$E,2,0)),"")</f>
        <v/>
      </c>
      <c r="D767" s="236" t="str">
        <f>IF(C767="","",VLOOKUP($B767,勘定科目!$A:$E,4,0))</f>
        <v/>
      </c>
      <c r="E767" s="242"/>
      <c r="F767" s="237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197">
        <f t="shared" si="23"/>
        <v>0</v>
      </c>
      <c r="S767" s="198"/>
      <c r="T767" s="199"/>
      <c r="U767" s="243"/>
      <c r="V767" s="243"/>
      <c r="W767" s="243"/>
      <c r="BA767"/>
      <c r="BB767"/>
    </row>
    <row r="768" spans="1:54" s="188" customFormat="1" ht="13.5">
      <c r="A768" s="179"/>
      <c r="B768" s="175"/>
      <c r="C768" s="180" t="str">
        <f>IFERROR(IF(VLOOKUP($B768,勘定科目!$A:$H,HLOOKUP($E$5,勘定科目!$F$1:$H$2,2,0),0)="","",VLOOKUP($B768,勘定科目!$A:$E,2,0)),"")</f>
        <v/>
      </c>
      <c r="D768" s="236" t="str">
        <f>IF(C768="","",VLOOKUP($B768,勘定科目!$A:$E,4,0))</f>
        <v/>
      </c>
      <c r="E768" s="242"/>
      <c r="F768" s="237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197">
        <f t="shared" si="23"/>
        <v>0</v>
      </c>
      <c r="S768" s="198"/>
      <c r="T768" s="199"/>
      <c r="U768" s="243"/>
      <c r="V768" s="243"/>
      <c r="W768" s="243"/>
      <c r="BA768"/>
      <c r="BB768"/>
    </row>
    <row r="769" spans="1:54" s="188" customFormat="1" ht="13.5">
      <c r="A769" s="179"/>
      <c r="B769" s="175"/>
      <c r="C769" s="180" t="str">
        <f>IFERROR(IF(VLOOKUP($B769,勘定科目!$A:$H,HLOOKUP($E$5,勘定科目!$F$1:$H$2,2,0),0)="","",VLOOKUP($B769,勘定科目!$A:$E,2,0)),"")</f>
        <v/>
      </c>
      <c r="D769" s="236" t="str">
        <f>IF(C769="","",VLOOKUP($B769,勘定科目!$A:$E,4,0))</f>
        <v/>
      </c>
      <c r="E769" s="242"/>
      <c r="F769" s="237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197">
        <f t="shared" si="23"/>
        <v>0</v>
      </c>
      <c r="S769" s="198"/>
      <c r="T769" s="199"/>
      <c r="U769" s="243"/>
      <c r="V769" s="243"/>
      <c r="W769" s="243"/>
      <c r="BA769"/>
      <c r="BB769"/>
    </row>
    <row r="770" spans="1:54" s="188" customFormat="1" ht="13.5">
      <c r="A770" s="179"/>
      <c r="B770" s="175"/>
      <c r="C770" s="180" t="str">
        <f>IFERROR(IF(VLOOKUP($B770,勘定科目!$A:$H,HLOOKUP($E$5,勘定科目!$F$1:$H$2,2,0),0)="","",VLOOKUP($B770,勘定科目!$A:$E,2,0)),"")</f>
        <v/>
      </c>
      <c r="D770" s="236" t="str">
        <f>IF(C770="","",VLOOKUP($B770,勘定科目!$A:$E,4,0))</f>
        <v/>
      </c>
      <c r="E770" s="242"/>
      <c r="F770" s="237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197">
        <f t="shared" si="23"/>
        <v>0</v>
      </c>
      <c r="S770" s="198"/>
      <c r="T770" s="199"/>
      <c r="U770" s="243"/>
      <c r="V770" s="243"/>
      <c r="W770" s="243"/>
      <c r="BA770"/>
      <c r="BB770"/>
    </row>
    <row r="771" spans="1:54" s="188" customFormat="1" ht="13.5">
      <c r="A771" s="179"/>
      <c r="B771" s="175"/>
      <c r="C771" s="180" t="str">
        <f>IFERROR(IF(VLOOKUP($B771,勘定科目!$A:$H,HLOOKUP($E$5,勘定科目!$F$1:$H$2,2,0),0)="","",VLOOKUP($B771,勘定科目!$A:$E,2,0)),"")</f>
        <v/>
      </c>
      <c r="D771" s="236" t="str">
        <f>IF(C771="","",VLOOKUP($B771,勘定科目!$A:$E,4,0))</f>
        <v/>
      </c>
      <c r="E771" s="242"/>
      <c r="F771" s="237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197">
        <f t="shared" si="23"/>
        <v>0</v>
      </c>
      <c r="S771" s="198"/>
      <c r="T771" s="199"/>
      <c r="U771" s="243"/>
      <c r="V771" s="243"/>
      <c r="W771" s="243"/>
      <c r="BA771"/>
      <c r="BB771"/>
    </row>
    <row r="772" spans="1:54" s="188" customFormat="1" ht="13.5">
      <c r="A772" s="179"/>
      <c r="B772" s="175"/>
      <c r="C772" s="180" t="str">
        <f>IFERROR(IF(VLOOKUP($B772,勘定科目!$A:$H,HLOOKUP($E$5,勘定科目!$F$1:$H$2,2,0),0)="","",VLOOKUP($B772,勘定科目!$A:$E,2,0)),"")</f>
        <v/>
      </c>
      <c r="D772" s="236" t="str">
        <f>IF(C772="","",VLOOKUP($B772,勘定科目!$A:$E,4,0))</f>
        <v/>
      </c>
      <c r="E772" s="242"/>
      <c r="F772" s="237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197">
        <f t="shared" si="23"/>
        <v>0</v>
      </c>
      <c r="S772" s="198"/>
      <c r="T772" s="199"/>
      <c r="U772" s="243"/>
      <c r="V772" s="243"/>
      <c r="W772" s="243"/>
      <c r="BA772"/>
      <c r="BB772"/>
    </row>
    <row r="773" spans="1:54" s="188" customFormat="1" ht="13.5">
      <c r="A773" s="179"/>
      <c r="B773" s="175"/>
      <c r="C773" s="180" t="str">
        <f>IFERROR(IF(VLOOKUP($B773,勘定科目!$A:$H,HLOOKUP($E$5,勘定科目!$F$1:$H$2,2,0),0)="","",VLOOKUP($B773,勘定科目!$A:$E,2,0)),"")</f>
        <v/>
      </c>
      <c r="D773" s="236" t="str">
        <f>IF(C773="","",VLOOKUP($B773,勘定科目!$A:$E,4,0))</f>
        <v/>
      </c>
      <c r="E773" s="242"/>
      <c r="F773" s="237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197">
        <f t="shared" si="23"/>
        <v>0</v>
      </c>
      <c r="S773" s="198"/>
      <c r="T773" s="199"/>
      <c r="U773" s="243"/>
      <c r="V773" s="243"/>
      <c r="W773" s="243"/>
      <c r="BA773"/>
      <c r="BB773"/>
    </row>
    <row r="774" spans="1:54" s="188" customFormat="1" ht="13.5">
      <c r="A774" s="179"/>
      <c r="B774" s="175"/>
      <c r="C774" s="180" t="str">
        <f>IFERROR(IF(VLOOKUP($B774,勘定科目!$A:$H,HLOOKUP($E$5,勘定科目!$F$1:$H$2,2,0),0)="","",VLOOKUP($B774,勘定科目!$A:$E,2,0)),"")</f>
        <v/>
      </c>
      <c r="D774" s="236" t="str">
        <f>IF(C774="","",VLOOKUP($B774,勘定科目!$A:$E,4,0))</f>
        <v/>
      </c>
      <c r="E774" s="242"/>
      <c r="F774" s="237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197">
        <f t="shared" si="23"/>
        <v>0</v>
      </c>
      <c r="S774" s="198"/>
      <c r="T774" s="199"/>
      <c r="U774" s="243"/>
      <c r="V774" s="243"/>
      <c r="W774" s="243"/>
      <c r="BA774"/>
      <c r="BB774"/>
    </row>
    <row r="775" spans="1:54" s="188" customFormat="1" ht="13.5">
      <c r="A775" s="179"/>
      <c r="B775" s="175"/>
      <c r="C775" s="180" t="str">
        <f>IFERROR(IF(VLOOKUP($B775,勘定科目!$A:$H,HLOOKUP($E$5,勘定科目!$F$1:$H$2,2,0),0)="","",VLOOKUP($B775,勘定科目!$A:$E,2,0)),"")</f>
        <v/>
      </c>
      <c r="D775" s="236" t="str">
        <f>IF(C775="","",VLOOKUP($B775,勘定科目!$A:$E,4,0))</f>
        <v/>
      </c>
      <c r="E775" s="242"/>
      <c r="F775" s="237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197">
        <f t="shared" si="23"/>
        <v>0</v>
      </c>
      <c r="S775" s="198"/>
      <c r="T775" s="199"/>
      <c r="U775" s="243"/>
      <c r="V775" s="243"/>
      <c r="W775" s="243"/>
      <c r="BA775"/>
      <c r="BB775"/>
    </row>
    <row r="776" spans="1:54" s="188" customFormat="1" ht="13.5">
      <c r="A776" s="179"/>
      <c r="B776" s="175"/>
      <c r="C776" s="180" t="str">
        <f>IFERROR(IF(VLOOKUP($B776,勘定科目!$A:$H,HLOOKUP($E$5,勘定科目!$F$1:$H$2,2,0),0)="","",VLOOKUP($B776,勘定科目!$A:$E,2,0)),"")</f>
        <v/>
      </c>
      <c r="D776" s="236" t="str">
        <f>IF(C776="","",VLOOKUP($B776,勘定科目!$A:$E,4,0))</f>
        <v/>
      </c>
      <c r="E776" s="242"/>
      <c r="F776" s="237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197">
        <f t="shared" si="23"/>
        <v>0</v>
      </c>
      <c r="S776" s="198"/>
      <c r="T776" s="199"/>
      <c r="U776" s="243"/>
      <c r="V776" s="243"/>
      <c r="W776" s="243"/>
      <c r="BA776"/>
      <c r="BB776"/>
    </row>
    <row r="777" spans="1:54" s="188" customFormat="1" ht="13.5">
      <c r="A777" s="179"/>
      <c r="B777" s="175"/>
      <c r="C777" s="180" t="str">
        <f>IFERROR(IF(VLOOKUP($B777,勘定科目!$A:$H,HLOOKUP($E$5,勘定科目!$F$1:$H$2,2,0),0)="","",VLOOKUP($B777,勘定科目!$A:$E,2,0)),"")</f>
        <v/>
      </c>
      <c r="D777" s="236" t="str">
        <f>IF(C777="","",VLOOKUP($B777,勘定科目!$A:$E,4,0))</f>
        <v/>
      </c>
      <c r="E777" s="242"/>
      <c r="F777" s="237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197">
        <f t="shared" si="23"/>
        <v>0</v>
      </c>
      <c r="S777" s="198"/>
      <c r="T777" s="199"/>
      <c r="U777" s="243"/>
      <c r="V777" s="243"/>
      <c r="W777" s="243"/>
      <c r="BA777"/>
      <c r="BB777"/>
    </row>
    <row r="778" spans="1:54" s="188" customFormat="1" ht="13.5">
      <c r="A778" s="179"/>
      <c r="B778" s="175"/>
      <c r="C778" s="180" t="str">
        <f>IFERROR(IF(VLOOKUP($B778,勘定科目!$A:$H,HLOOKUP($E$5,勘定科目!$F$1:$H$2,2,0),0)="","",VLOOKUP($B778,勘定科目!$A:$E,2,0)),"")</f>
        <v/>
      </c>
      <c r="D778" s="236" t="str">
        <f>IF(C778="","",VLOOKUP($B778,勘定科目!$A:$E,4,0))</f>
        <v/>
      </c>
      <c r="E778" s="242"/>
      <c r="F778" s="237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197">
        <f t="shared" si="23"/>
        <v>0</v>
      </c>
      <c r="S778" s="198"/>
      <c r="T778" s="199"/>
      <c r="U778" s="243"/>
      <c r="V778" s="243"/>
      <c r="W778" s="243"/>
      <c r="BA778"/>
      <c r="BB778"/>
    </row>
    <row r="779" spans="1:54" s="188" customFormat="1" ht="13.5">
      <c r="A779" s="179"/>
      <c r="B779" s="175"/>
      <c r="C779" s="180" t="str">
        <f>IFERROR(IF(VLOOKUP($B779,勘定科目!$A:$H,HLOOKUP($E$5,勘定科目!$F$1:$H$2,2,0),0)="","",VLOOKUP($B779,勘定科目!$A:$E,2,0)),"")</f>
        <v/>
      </c>
      <c r="D779" s="236" t="str">
        <f>IF(C779="","",VLOOKUP($B779,勘定科目!$A:$E,4,0))</f>
        <v/>
      </c>
      <c r="E779" s="242"/>
      <c r="F779" s="237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197">
        <f t="shared" si="23"/>
        <v>0</v>
      </c>
      <c r="S779" s="198"/>
      <c r="T779" s="199"/>
      <c r="U779" s="243"/>
      <c r="V779" s="243"/>
      <c r="W779" s="243"/>
      <c r="BA779"/>
      <c r="BB779"/>
    </row>
    <row r="780" spans="1:54" s="188" customFormat="1" ht="13.5">
      <c r="A780" s="179"/>
      <c r="B780" s="175"/>
      <c r="C780" s="180" t="str">
        <f>IFERROR(IF(VLOOKUP($B780,勘定科目!$A:$H,HLOOKUP($E$5,勘定科目!$F$1:$H$2,2,0),0)="","",VLOOKUP($B780,勘定科目!$A:$E,2,0)),"")</f>
        <v/>
      </c>
      <c r="D780" s="236" t="str">
        <f>IF(C780="","",VLOOKUP($B780,勘定科目!$A:$E,4,0))</f>
        <v/>
      </c>
      <c r="E780" s="242"/>
      <c r="F780" s="237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197">
        <f t="shared" si="23"/>
        <v>0</v>
      </c>
      <c r="S780" s="198"/>
      <c r="T780" s="199"/>
      <c r="U780" s="243"/>
      <c r="V780" s="243"/>
      <c r="W780" s="243"/>
      <c r="BA780"/>
      <c r="BB780"/>
    </row>
    <row r="781" spans="1:54" s="188" customFormat="1" ht="13.5">
      <c r="A781" s="179"/>
      <c r="B781" s="175"/>
      <c r="C781" s="180" t="str">
        <f>IFERROR(IF(VLOOKUP($B781,勘定科目!$A:$H,HLOOKUP($E$5,勘定科目!$F$1:$H$2,2,0),0)="","",VLOOKUP($B781,勘定科目!$A:$E,2,0)),"")</f>
        <v/>
      </c>
      <c r="D781" s="236" t="str">
        <f>IF(C781="","",VLOOKUP($B781,勘定科目!$A:$E,4,0))</f>
        <v/>
      </c>
      <c r="E781" s="242"/>
      <c r="F781" s="237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197">
        <f t="shared" si="23"/>
        <v>0</v>
      </c>
      <c r="S781" s="198"/>
      <c r="T781" s="199"/>
      <c r="U781" s="243"/>
      <c r="V781" s="243"/>
      <c r="W781" s="243"/>
      <c r="BA781"/>
      <c r="BB781"/>
    </row>
    <row r="782" spans="1:54" s="188" customFormat="1" ht="13.5">
      <c r="A782" s="179"/>
      <c r="B782" s="175"/>
      <c r="C782" s="180" t="str">
        <f>IFERROR(IF(VLOOKUP($B782,勘定科目!$A:$H,HLOOKUP($E$5,勘定科目!$F$1:$H$2,2,0),0)="","",VLOOKUP($B782,勘定科目!$A:$E,2,0)),"")</f>
        <v/>
      </c>
      <c r="D782" s="236" t="str">
        <f>IF(C782="","",VLOOKUP($B782,勘定科目!$A:$E,4,0))</f>
        <v/>
      </c>
      <c r="E782" s="242"/>
      <c r="F782" s="237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197">
        <f t="shared" si="23"/>
        <v>0</v>
      </c>
      <c r="S782" s="198"/>
      <c r="T782" s="199"/>
      <c r="U782" s="243"/>
      <c r="V782" s="243"/>
      <c r="W782" s="243"/>
      <c r="BA782"/>
      <c r="BB782"/>
    </row>
    <row r="783" spans="1:54" s="188" customFormat="1" ht="13.5">
      <c r="A783" s="179"/>
      <c r="B783" s="175"/>
      <c r="C783" s="180" t="str">
        <f>IFERROR(IF(VLOOKUP($B783,勘定科目!$A:$H,HLOOKUP($E$5,勘定科目!$F$1:$H$2,2,0),0)="","",VLOOKUP($B783,勘定科目!$A:$E,2,0)),"")</f>
        <v/>
      </c>
      <c r="D783" s="236" t="str">
        <f>IF(C783="","",VLOOKUP($B783,勘定科目!$A:$E,4,0))</f>
        <v/>
      </c>
      <c r="E783" s="242"/>
      <c r="F783" s="237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197">
        <f t="shared" si="23"/>
        <v>0</v>
      </c>
      <c r="S783" s="198"/>
      <c r="T783" s="199"/>
      <c r="U783" s="243"/>
      <c r="V783" s="243"/>
      <c r="W783" s="243"/>
      <c r="BA783"/>
      <c r="BB783"/>
    </row>
    <row r="784" spans="1:54" s="188" customFormat="1" ht="13.5">
      <c r="A784" s="179"/>
      <c r="B784" s="175"/>
      <c r="C784" s="180" t="str">
        <f>IFERROR(IF(VLOOKUP($B784,勘定科目!$A:$H,HLOOKUP($E$5,勘定科目!$F$1:$H$2,2,0),0)="","",VLOOKUP($B784,勘定科目!$A:$E,2,0)),"")</f>
        <v/>
      </c>
      <c r="D784" s="236" t="str">
        <f>IF(C784="","",VLOOKUP($B784,勘定科目!$A:$E,4,0))</f>
        <v/>
      </c>
      <c r="E784" s="242"/>
      <c r="F784" s="237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197">
        <f t="shared" si="23"/>
        <v>0</v>
      </c>
      <c r="S784" s="198"/>
      <c r="T784" s="199"/>
      <c r="U784" s="243"/>
      <c r="V784" s="243"/>
      <c r="W784" s="243"/>
      <c r="BA784"/>
      <c r="BB784"/>
    </row>
    <row r="785" spans="1:54" s="188" customFormat="1" ht="13.5">
      <c r="A785" s="179"/>
      <c r="B785" s="175"/>
      <c r="C785" s="180" t="str">
        <f>IFERROR(IF(VLOOKUP($B785,勘定科目!$A:$H,HLOOKUP($E$5,勘定科目!$F$1:$H$2,2,0),0)="","",VLOOKUP($B785,勘定科目!$A:$E,2,0)),"")</f>
        <v/>
      </c>
      <c r="D785" s="236" t="str">
        <f>IF(C785="","",VLOOKUP($B785,勘定科目!$A:$E,4,0))</f>
        <v/>
      </c>
      <c r="E785" s="242"/>
      <c r="F785" s="237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197">
        <f t="shared" si="23"/>
        <v>0</v>
      </c>
      <c r="S785" s="198"/>
      <c r="T785" s="199"/>
      <c r="U785" s="243"/>
      <c r="V785" s="243"/>
      <c r="W785" s="243"/>
      <c r="BA785"/>
      <c r="BB785"/>
    </row>
    <row r="786" spans="1:54" s="188" customFormat="1" ht="13.5">
      <c r="A786" s="179"/>
      <c r="B786" s="175"/>
      <c r="C786" s="180" t="str">
        <f>IFERROR(IF(VLOOKUP($B786,勘定科目!$A:$H,HLOOKUP($E$5,勘定科目!$F$1:$H$2,2,0),0)="","",VLOOKUP($B786,勘定科目!$A:$E,2,0)),"")</f>
        <v/>
      </c>
      <c r="D786" s="236" t="str">
        <f>IF(C786="","",VLOOKUP($B786,勘定科目!$A:$E,4,0))</f>
        <v/>
      </c>
      <c r="E786" s="242"/>
      <c r="F786" s="237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197">
        <f t="shared" si="23"/>
        <v>0</v>
      </c>
      <c r="S786" s="198"/>
      <c r="T786" s="199"/>
      <c r="U786" s="243"/>
      <c r="V786" s="243"/>
      <c r="W786" s="243"/>
      <c r="BA786"/>
      <c r="BB786"/>
    </row>
    <row r="787" spans="1:54" s="188" customFormat="1" ht="13.5">
      <c r="A787" s="179"/>
      <c r="B787" s="175"/>
      <c r="C787" s="180" t="str">
        <f>IFERROR(IF(VLOOKUP($B787,勘定科目!$A:$H,HLOOKUP($E$5,勘定科目!$F$1:$H$2,2,0),0)="","",VLOOKUP($B787,勘定科目!$A:$E,2,0)),"")</f>
        <v/>
      </c>
      <c r="D787" s="236" t="str">
        <f>IF(C787="","",VLOOKUP($B787,勘定科目!$A:$E,4,0))</f>
        <v/>
      </c>
      <c r="E787" s="242"/>
      <c r="F787" s="237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197">
        <f t="shared" si="23"/>
        <v>0</v>
      </c>
      <c r="S787" s="198"/>
      <c r="T787" s="199"/>
      <c r="U787" s="243"/>
      <c r="V787" s="243"/>
      <c r="W787" s="243"/>
      <c r="BA787"/>
      <c r="BB787"/>
    </row>
    <row r="788" spans="1:54" s="188" customFormat="1" ht="13.5">
      <c r="A788" s="179"/>
      <c r="B788" s="175"/>
      <c r="C788" s="180" t="str">
        <f>IFERROR(IF(VLOOKUP($B788,勘定科目!$A:$H,HLOOKUP($E$5,勘定科目!$F$1:$H$2,2,0),0)="","",VLOOKUP($B788,勘定科目!$A:$E,2,0)),"")</f>
        <v/>
      </c>
      <c r="D788" s="236" t="str">
        <f>IF(C788="","",VLOOKUP($B788,勘定科目!$A:$E,4,0))</f>
        <v/>
      </c>
      <c r="E788" s="242"/>
      <c r="F788" s="237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197">
        <f t="shared" si="23"/>
        <v>0</v>
      </c>
      <c r="S788" s="198"/>
      <c r="T788" s="199"/>
      <c r="U788" s="243"/>
      <c r="V788" s="243"/>
      <c r="W788" s="243"/>
      <c r="BA788"/>
      <c r="BB788"/>
    </row>
    <row r="789" spans="1:54" s="188" customFormat="1" ht="13.5">
      <c r="A789" s="179"/>
      <c r="B789" s="175"/>
      <c r="C789" s="180" t="str">
        <f>IFERROR(IF(VLOOKUP($B789,勘定科目!$A:$H,HLOOKUP($E$5,勘定科目!$F$1:$H$2,2,0),0)="","",VLOOKUP($B789,勘定科目!$A:$E,2,0)),"")</f>
        <v/>
      </c>
      <c r="D789" s="236" t="str">
        <f>IF(C789="","",VLOOKUP($B789,勘定科目!$A:$E,4,0))</f>
        <v/>
      </c>
      <c r="E789" s="242"/>
      <c r="F789" s="237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197">
        <f t="shared" si="23"/>
        <v>0</v>
      </c>
      <c r="S789" s="198"/>
      <c r="T789" s="199"/>
      <c r="U789" s="243"/>
      <c r="V789" s="243"/>
      <c r="W789" s="243"/>
      <c r="BA789"/>
      <c r="BB789"/>
    </row>
    <row r="790" spans="1:54" s="188" customFormat="1" ht="13.5">
      <c r="A790" s="179"/>
      <c r="B790" s="175"/>
      <c r="C790" s="180" t="str">
        <f>IFERROR(IF(VLOOKUP($B790,勘定科目!$A:$H,HLOOKUP($E$5,勘定科目!$F$1:$H$2,2,0),0)="","",VLOOKUP($B790,勘定科目!$A:$E,2,0)),"")</f>
        <v/>
      </c>
      <c r="D790" s="236" t="str">
        <f>IF(C790="","",VLOOKUP($B790,勘定科目!$A:$E,4,0))</f>
        <v/>
      </c>
      <c r="E790" s="242"/>
      <c r="F790" s="237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197">
        <f t="shared" si="23"/>
        <v>0</v>
      </c>
      <c r="S790" s="198"/>
      <c r="T790" s="199"/>
      <c r="U790" s="243"/>
      <c r="V790" s="243"/>
      <c r="W790" s="243"/>
      <c r="BA790"/>
      <c r="BB790"/>
    </row>
    <row r="791" spans="1:54" s="188" customFormat="1" ht="13.5">
      <c r="A791" s="179"/>
      <c r="B791" s="175"/>
      <c r="C791" s="180" t="str">
        <f>IFERROR(IF(VLOOKUP($B791,勘定科目!$A:$H,HLOOKUP($E$5,勘定科目!$F$1:$H$2,2,0),0)="","",VLOOKUP($B791,勘定科目!$A:$E,2,0)),"")</f>
        <v/>
      </c>
      <c r="D791" s="236" t="str">
        <f>IF(C791="","",VLOOKUP($B791,勘定科目!$A:$E,4,0))</f>
        <v/>
      </c>
      <c r="E791" s="242"/>
      <c r="F791" s="237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197">
        <f t="shared" si="23"/>
        <v>0</v>
      </c>
      <c r="S791" s="198"/>
      <c r="T791" s="199"/>
      <c r="U791" s="243"/>
      <c r="V791" s="243"/>
      <c r="W791" s="243"/>
      <c r="BA791"/>
      <c r="BB791"/>
    </row>
    <row r="792" spans="1:54" s="188" customFormat="1" ht="13.5">
      <c r="A792" s="179"/>
      <c r="B792" s="175"/>
      <c r="C792" s="180" t="str">
        <f>IFERROR(IF(VLOOKUP($B792,勘定科目!$A:$H,HLOOKUP($E$5,勘定科目!$F$1:$H$2,2,0),0)="","",VLOOKUP($B792,勘定科目!$A:$E,2,0)),"")</f>
        <v/>
      </c>
      <c r="D792" s="236" t="str">
        <f>IF(C792="","",VLOOKUP($B792,勘定科目!$A:$E,4,0))</f>
        <v/>
      </c>
      <c r="E792" s="242"/>
      <c r="F792" s="237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197">
        <f t="shared" si="23"/>
        <v>0</v>
      </c>
      <c r="S792" s="198"/>
      <c r="T792" s="199"/>
      <c r="U792" s="243"/>
      <c r="V792" s="243"/>
      <c r="W792" s="243"/>
      <c r="BA792"/>
      <c r="BB792"/>
    </row>
    <row r="793" spans="1:54" s="188" customFormat="1" ht="13.5">
      <c r="A793" s="179"/>
      <c r="B793" s="175"/>
      <c r="C793" s="180" t="str">
        <f>IFERROR(IF(VLOOKUP($B793,勘定科目!$A:$H,HLOOKUP($E$5,勘定科目!$F$1:$H$2,2,0),0)="","",VLOOKUP($B793,勘定科目!$A:$E,2,0)),"")</f>
        <v/>
      </c>
      <c r="D793" s="236" t="str">
        <f>IF(C793="","",VLOOKUP($B793,勘定科目!$A:$E,4,0))</f>
        <v/>
      </c>
      <c r="E793" s="242"/>
      <c r="F793" s="237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197">
        <f t="shared" si="23"/>
        <v>0</v>
      </c>
      <c r="S793" s="198"/>
      <c r="T793" s="199"/>
      <c r="U793" s="243"/>
      <c r="V793" s="243"/>
      <c r="W793" s="243"/>
      <c r="BA793"/>
      <c r="BB793"/>
    </row>
    <row r="794" spans="1:54" s="188" customFormat="1" ht="13.5">
      <c r="A794" s="179"/>
      <c r="B794" s="175"/>
      <c r="C794" s="180" t="str">
        <f>IFERROR(IF(VLOOKUP($B794,勘定科目!$A:$H,HLOOKUP($E$5,勘定科目!$F$1:$H$2,2,0),0)="","",VLOOKUP($B794,勘定科目!$A:$E,2,0)),"")</f>
        <v/>
      </c>
      <c r="D794" s="236" t="str">
        <f>IF(C794="","",VLOOKUP($B794,勘定科目!$A:$E,4,0))</f>
        <v/>
      </c>
      <c r="E794" s="242"/>
      <c r="F794" s="237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197">
        <f t="shared" si="23"/>
        <v>0</v>
      </c>
      <c r="S794" s="198"/>
      <c r="T794" s="199"/>
      <c r="U794" s="243"/>
      <c r="V794" s="243"/>
      <c r="W794" s="243"/>
      <c r="BA794"/>
      <c r="BB794"/>
    </row>
    <row r="795" spans="1:54" s="188" customFormat="1" ht="13.5">
      <c r="A795" s="179"/>
      <c r="B795" s="175"/>
      <c r="C795" s="180" t="str">
        <f>IFERROR(IF(VLOOKUP($B795,勘定科目!$A:$H,HLOOKUP($E$5,勘定科目!$F$1:$H$2,2,0),0)="","",VLOOKUP($B795,勘定科目!$A:$E,2,0)),"")</f>
        <v/>
      </c>
      <c r="D795" s="236" t="str">
        <f>IF(C795="","",VLOOKUP($B795,勘定科目!$A:$E,4,0))</f>
        <v/>
      </c>
      <c r="E795" s="242"/>
      <c r="F795" s="237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197">
        <f t="shared" si="23"/>
        <v>0</v>
      </c>
      <c r="S795" s="198"/>
      <c r="T795" s="199"/>
      <c r="U795" s="243"/>
      <c r="V795" s="243"/>
      <c r="W795" s="243"/>
      <c r="BA795"/>
      <c r="BB795"/>
    </row>
    <row r="796" spans="1:54" s="188" customFormat="1" ht="13.5">
      <c r="A796" s="179"/>
      <c r="B796" s="175"/>
      <c r="C796" s="180" t="str">
        <f>IFERROR(IF(VLOOKUP($B796,勘定科目!$A:$H,HLOOKUP($E$5,勘定科目!$F$1:$H$2,2,0),0)="","",VLOOKUP($B796,勘定科目!$A:$E,2,0)),"")</f>
        <v/>
      </c>
      <c r="D796" s="236" t="str">
        <f>IF(C796="","",VLOOKUP($B796,勘定科目!$A:$E,4,0))</f>
        <v/>
      </c>
      <c r="E796" s="242"/>
      <c r="F796" s="237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197">
        <f t="shared" si="23"/>
        <v>0</v>
      </c>
      <c r="S796" s="198"/>
      <c r="T796" s="199"/>
      <c r="U796" s="243"/>
      <c r="V796" s="243"/>
      <c r="W796" s="243"/>
      <c r="BA796"/>
      <c r="BB796"/>
    </row>
    <row r="797" spans="1:54" s="188" customFormat="1" ht="13.5">
      <c r="A797" s="179"/>
      <c r="B797" s="175"/>
      <c r="C797" s="180" t="str">
        <f>IFERROR(IF(VLOOKUP($B797,勘定科目!$A:$H,HLOOKUP($E$5,勘定科目!$F$1:$H$2,2,0),0)="","",VLOOKUP($B797,勘定科目!$A:$E,2,0)),"")</f>
        <v/>
      </c>
      <c r="D797" s="236" t="str">
        <f>IF(C797="","",VLOOKUP($B797,勘定科目!$A:$E,4,0))</f>
        <v/>
      </c>
      <c r="E797" s="242"/>
      <c r="F797" s="237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197">
        <f t="shared" si="23"/>
        <v>0</v>
      </c>
      <c r="S797" s="198"/>
      <c r="T797" s="199"/>
      <c r="U797" s="243"/>
      <c r="V797" s="243"/>
      <c r="W797" s="243"/>
      <c r="BA797"/>
      <c r="BB797"/>
    </row>
    <row r="798" spans="1:54" s="188" customFormat="1" ht="13.5">
      <c r="A798" s="179"/>
      <c r="B798" s="175"/>
      <c r="C798" s="180" t="str">
        <f>IFERROR(IF(VLOOKUP($B798,勘定科目!$A:$H,HLOOKUP($E$5,勘定科目!$F$1:$H$2,2,0),0)="","",VLOOKUP($B798,勘定科目!$A:$E,2,0)),"")</f>
        <v/>
      </c>
      <c r="D798" s="236" t="str">
        <f>IF(C798="","",VLOOKUP($B798,勘定科目!$A:$E,4,0))</f>
        <v/>
      </c>
      <c r="E798" s="242"/>
      <c r="F798" s="237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197"/>
      <c r="S798" s="198"/>
      <c r="T798" s="199"/>
      <c r="U798" s="243"/>
      <c r="V798" s="243"/>
      <c r="W798" s="243"/>
      <c r="BA798"/>
      <c r="BB798"/>
    </row>
    <row r="799" spans="1:54" s="188" customFormat="1" ht="13.5">
      <c r="A799" s="179"/>
      <c r="B799" s="175"/>
      <c r="C799" s="180" t="str">
        <f>IFERROR(IF(VLOOKUP($B799,勘定科目!$A:$H,HLOOKUP($E$5,勘定科目!$F$1:$H$2,2,0),0)="","",VLOOKUP($B799,勘定科目!$A:$E,2,0)),"")</f>
        <v/>
      </c>
      <c r="D799" s="236" t="str">
        <f>IF(C799="","",VLOOKUP($B799,勘定科目!$A:$E,4,0))</f>
        <v/>
      </c>
      <c r="E799" s="242"/>
      <c r="F799" s="237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197"/>
      <c r="S799" s="198"/>
      <c r="T799" s="199"/>
      <c r="U799" s="243"/>
      <c r="V799" s="243"/>
      <c r="W799" s="243"/>
      <c r="BA799"/>
      <c r="BB799"/>
    </row>
    <row r="800" spans="1:54" s="188" customFormat="1" ht="13.5">
      <c r="A800" s="179"/>
      <c r="B800" s="175"/>
      <c r="C800" s="180" t="str">
        <f>IFERROR(IF(VLOOKUP($B800,勘定科目!$A:$H,HLOOKUP($E$5,勘定科目!$F$1:$H$2,2,0),0)="","",VLOOKUP($B800,勘定科目!$A:$E,2,0)),"")</f>
        <v/>
      </c>
      <c r="D800" s="236" t="str">
        <f>IF(C800="","",VLOOKUP($B800,勘定科目!$A:$E,4,0))</f>
        <v/>
      </c>
      <c r="E800" s="242"/>
      <c r="F800" s="237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197"/>
      <c r="S800" s="198"/>
      <c r="T800" s="199"/>
      <c r="U800" s="243"/>
      <c r="V800" s="243"/>
      <c r="W800" s="243"/>
      <c r="BA800"/>
      <c r="BB800"/>
    </row>
    <row r="801" spans="1:54" s="188" customFormat="1" ht="13.5">
      <c r="A801" s="179"/>
      <c r="B801" s="175"/>
      <c r="C801" s="180" t="str">
        <f>IFERROR(IF(VLOOKUP($B801,勘定科目!$A:$H,HLOOKUP($E$5,勘定科目!$F$1:$H$2,2,0),0)="","",VLOOKUP($B801,勘定科目!$A:$E,2,0)),"")</f>
        <v/>
      </c>
      <c r="D801" s="236" t="str">
        <f>IF(C801="","",VLOOKUP($B801,勘定科目!$A:$E,4,0))</f>
        <v/>
      </c>
      <c r="E801" s="242"/>
      <c r="F801" s="237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197"/>
      <c r="S801" s="198"/>
      <c r="T801" s="199"/>
      <c r="U801" s="243"/>
      <c r="V801" s="243"/>
      <c r="W801" s="243"/>
      <c r="BA801"/>
      <c r="BB801"/>
    </row>
    <row r="802" spans="1:54" s="188" customFormat="1" ht="13.5">
      <c r="A802" s="179"/>
      <c r="B802" s="175"/>
      <c r="C802" s="180" t="str">
        <f>IFERROR(IF(VLOOKUP($B802,勘定科目!$A:$H,HLOOKUP($E$5,勘定科目!$F$1:$H$2,2,0),0)="","",VLOOKUP($B802,勘定科目!$A:$E,2,0)),"")</f>
        <v/>
      </c>
      <c r="D802" s="236" t="str">
        <f>IF(C802="","",VLOOKUP($B802,勘定科目!$A:$E,4,0))</f>
        <v/>
      </c>
      <c r="E802" s="242"/>
      <c r="F802" s="237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197"/>
      <c r="S802" s="198"/>
      <c r="T802" s="199"/>
      <c r="U802" s="243"/>
      <c r="V802" s="243"/>
      <c r="W802" s="243"/>
      <c r="BA802"/>
      <c r="BB802"/>
    </row>
    <row r="803" spans="1:54" s="188" customFormat="1" ht="13.5">
      <c r="A803" s="179"/>
      <c r="B803" s="175"/>
      <c r="C803" s="180" t="str">
        <f>IFERROR(IF(VLOOKUP($B803,勘定科目!$A:$H,HLOOKUP($E$5,勘定科目!$F$1:$H$2,2,0),0)="","",VLOOKUP($B803,勘定科目!$A:$E,2,0)),"")</f>
        <v/>
      </c>
      <c r="D803" s="236" t="str">
        <f>IF(C803="","",VLOOKUP($B803,勘定科目!$A:$E,4,0))</f>
        <v/>
      </c>
      <c r="E803" s="242"/>
      <c r="F803" s="237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197"/>
      <c r="S803" s="198"/>
      <c r="T803" s="199"/>
      <c r="U803" s="243"/>
      <c r="V803" s="243"/>
      <c r="W803" s="243"/>
      <c r="BA803"/>
      <c r="BB803"/>
    </row>
    <row r="804" spans="1:54" s="188" customFormat="1" ht="13.5">
      <c r="A804" s="179"/>
      <c r="B804" s="175"/>
      <c r="C804" s="180" t="str">
        <f>IFERROR(IF(VLOOKUP($B804,勘定科目!$A:$H,HLOOKUP($E$5,勘定科目!$F$1:$H$2,2,0),0)="","",VLOOKUP($B804,勘定科目!$A:$E,2,0)),"")</f>
        <v/>
      </c>
      <c r="D804" s="236" t="str">
        <f>IF(C804="","",VLOOKUP($B804,勘定科目!$A:$E,4,0))</f>
        <v/>
      </c>
      <c r="E804" s="242"/>
      <c r="F804" s="237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197"/>
      <c r="S804" s="198"/>
      <c r="T804" s="199"/>
      <c r="U804" s="243"/>
      <c r="V804" s="243"/>
      <c r="W804" s="243"/>
      <c r="BA804"/>
      <c r="BB804"/>
    </row>
    <row r="805" spans="1:54" s="188" customFormat="1" ht="13.5">
      <c r="A805" s="179"/>
      <c r="B805" s="175"/>
      <c r="C805" s="180" t="str">
        <f>IFERROR(IF(VLOOKUP($B805,勘定科目!$A:$H,HLOOKUP($E$5,勘定科目!$F$1:$H$2,2,0),0)="","",VLOOKUP($B805,勘定科目!$A:$E,2,0)),"")</f>
        <v/>
      </c>
      <c r="D805" s="236" t="str">
        <f>IF(C805="","",VLOOKUP($B805,勘定科目!$A:$E,4,0))</f>
        <v/>
      </c>
      <c r="E805" s="242"/>
      <c r="F805" s="237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197"/>
      <c r="S805" s="198"/>
      <c r="T805" s="199"/>
      <c r="U805" s="243"/>
      <c r="V805" s="243"/>
      <c r="W805" s="243"/>
      <c r="BA805"/>
      <c r="BB805"/>
    </row>
    <row r="806" spans="1:54" s="188" customFormat="1" ht="13.5">
      <c r="A806" s="179"/>
      <c r="B806" s="175"/>
      <c r="C806" s="180" t="str">
        <f>IFERROR(IF(VLOOKUP($B806,勘定科目!$A:$H,HLOOKUP($E$5,勘定科目!$F$1:$H$2,2,0),0)="","",VLOOKUP($B806,勘定科目!$A:$E,2,0)),"")</f>
        <v/>
      </c>
      <c r="D806" s="236" t="str">
        <f>IF(C806="","",VLOOKUP($B806,勘定科目!$A:$E,4,0))</f>
        <v/>
      </c>
      <c r="E806" s="242"/>
      <c r="F806" s="237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197"/>
      <c r="S806" s="198"/>
      <c r="T806" s="199"/>
      <c r="U806" s="243"/>
      <c r="V806" s="243"/>
      <c r="W806" s="243"/>
      <c r="BA806"/>
      <c r="BB806"/>
    </row>
    <row r="807" spans="1:54" s="188" customFormat="1" ht="13.5">
      <c r="A807" s="179"/>
      <c r="B807" s="175"/>
      <c r="C807" s="180" t="str">
        <f>IFERROR(IF(VLOOKUP($B807,勘定科目!$A:$H,HLOOKUP($E$5,勘定科目!$F$1:$H$2,2,0),0)="","",VLOOKUP($B807,勘定科目!$A:$E,2,0)),"")</f>
        <v/>
      </c>
      <c r="D807" s="236" t="str">
        <f>IF(C807="","",VLOOKUP($B807,勘定科目!$A:$E,4,0))</f>
        <v/>
      </c>
      <c r="E807" s="242"/>
      <c r="F807" s="237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197"/>
      <c r="S807" s="198"/>
      <c r="T807" s="199"/>
      <c r="U807" s="243"/>
      <c r="V807" s="243"/>
      <c r="W807" s="243"/>
      <c r="BA807"/>
      <c r="BB807"/>
    </row>
    <row r="808" spans="1:54" s="188" customFormat="1" ht="13.5">
      <c r="A808" s="179"/>
      <c r="B808" s="175"/>
      <c r="C808" s="180" t="str">
        <f>IFERROR(IF(VLOOKUP($B808,勘定科目!$A:$H,HLOOKUP($E$5,勘定科目!$F$1:$H$2,2,0),0)="","",VLOOKUP($B808,勘定科目!$A:$E,2,0)),"")</f>
        <v/>
      </c>
      <c r="D808" s="236" t="str">
        <f>IF(C808="","",VLOOKUP($B808,勘定科目!$A:$E,4,0))</f>
        <v/>
      </c>
      <c r="E808" s="242"/>
      <c r="F808" s="237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197"/>
      <c r="S808" s="198"/>
      <c r="T808" s="199"/>
      <c r="U808" s="243"/>
      <c r="V808" s="243"/>
      <c r="W808" s="243"/>
      <c r="BA808"/>
      <c r="BB808"/>
    </row>
    <row r="809" spans="1:54" s="188" customFormat="1" ht="13.5">
      <c r="A809" s="179"/>
      <c r="B809" s="175"/>
      <c r="C809" s="180" t="str">
        <f>IFERROR(IF(VLOOKUP($B809,勘定科目!$A:$H,HLOOKUP($E$5,勘定科目!$F$1:$H$2,2,0),0)="","",VLOOKUP($B809,勘定科目!$A:$E,2,0)),"")</f>
        <v/>
      </c>
      <c r="D809" s="236" t="str">
        <f>IF(C809="","",VLOOKUP($B809,勘定科目!$A:$E,4,0))</f>
        <v/>
      </c>
      <c r="E809" s="242"/>
      <c r="F809" s="237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197"/>
      <c r="S809" s="198"/>
      <c r="T809" s="199"/>
      <c r="U809" s="243"/>
      <c r="V809" s="243"/>
      <c r="W809" s="243"/>
      <c r="BA809"/>
      <c r="BB809"/>
    </row>
    <row r="810" spans="1:54" s="188" customFormat="1" ht="13.5">
      <c r="A810" s="179"/>
      <c r="B810" s="175"/>
      <c r="C810" s="180" t="str">
        <f>IFERROR(IF(VLOOKUP($B810,勘定科目!$A:$H,HLOOKUP($E$5,勘定科目!$F$1:$H$2,2,0),0)="","",VLOOKUP($B810,勘定科目!$A:$E,2,0)),"")</f>
        <v/>
      </c>
      <c r="D810" s="236" t="str">
        <f>IF(C810="","",VLOOKUP($B810,勘定科目!$A:$E,4,0))</f>
        <v/>
      </c>
      <c r="E810" s="242"/>
      <c r="F810" s="237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197"/>
      <c r="S810" s="198"/>
      <c r="T810" s="199"/>
      <c r="U810" s="243"/>
      <c r="V810" s="243"/>
      <c r="W810" s="243"/>
      <c r="BA810"/>
      <c r="BB810"/>
    </row>
    <row r="811" spans="1:54" s="188" customFormat="1" ht="13.5">
      <c r="A811" s="179"/>
      <c r="B811" s="175"/>
      <c r="C811" s="180" t="str">
        <f>IFERROR(IF(VLOOKUP($B811,勘定科目!$A:$H,HLOOKUP($E$5,勘定科目!$F$1:$H$2,2,0),0)="","",VLOOKUP($B811,勘定科目!$A:$E,2,0)),"")</f>
        <v/>
      </c>
      <c r="D811" s="236" t="str">
        <f>IF(C811="","",VLOOKUP($B811,勘定科目!$A:$E,4,0))</f>
        <v/>
      </c>
      <c r="E811" s="242"/>
      <c r="F811" s="237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197"/>
      <c r="S811" s="198"/>
      <c r="T811" s="199"/>
      <c r="U811" s="243"/>
      <c r="V811" s="243"/>
      <c r="W811" s="243"/>
      <c r="BA811"/>
      <c r="BB811"/>
    </row>
    <row r="812" spans="1:54" s="188" customFormat="1" ht="13.5">
      <c r="A812" s="179"/>
      <c r="B812" s="175"/>
      <c r="C812" s="180" t="str">
        <f>IFERROR(IF(VLOOKUP($B812,勘定科目!$A:$H,HLOOKUP($E$5,勘定科目!$F$1:$H$2,2,0),0)="","",VLOOKUP($B812,勘定科目!$A:$E,2,0)),"")</f>
        <v/>
      </c>
      <c r="D812" s="236" t="str">
        <f>IF(C812="","",VLOOKUP($B812,勘定科目!$A:$E,4,0))</f>
        <v/>
      </c>
      <c r="E812" s="242"/>
      <c r="F812" s="237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197"/>
      <c r="S812" s="198"/>
      <c r="T812" s="199"/>
      <c r="U812" s="243"/>
      <c r="V812" s="243"/>
      <c r="W812" s="243"/>
      <c r="BA812"/>
      <c r="BB812"/>
    </row>
    <row r="813" spans="1:54" s="188" customFormat="1" ht="13.5">
      <c r="A813" s="179"/>
      <c r="B813" s="175"/>
      <c r="C813" s="180" t="str">
        <f>IFERROR(IF(VLOOKUP($B813,勘定科目!$A:$H,HLOOKUP($E$5,勘定科目!$F$1:$H$2,2,0),0)="","",VLOOKUP($B813,勘定科目!$A:$E,2,0)),"")</f>
        <v/>
      </c>
      <c r="D813" s="236" t="str">
        <f>IF(C813="","",VLOOKUP($B813,勘定科目!$A:$E,4,0))</f>
        <v/>
      </c>
      <c r="E813" s="242"/>
      <c r="F813" s="237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197"/>
      <c r="S813" s="198"/>
      <c r="T813" s="199"/>
      <c r="U813" s="243"/>
      <c r="V813" s="243"/>
      <c r="W813" s="243"/>
      <c r="BA813"/>
      <c r="BB813"/>
    </row>
    <row r="814" spans="1:54" s="188" customFormat="1" ht="13.5">
      <c r="A814" s="179"/>
      <c r="B814" s="175"/>
      <c r="C814" s="180" t="str">
        <f>IFERROR(IF(VLOOKUP($B814,勘定科目!$A:$H,HLOOKUP($E$5,勘定科目!$F$1:$H$2,2,0),0)="","",VLOOKUP($B814,勘定科目!$A:$E,2,0)),"")</f>
        <v/>
      </c>
      <c r="D814" s="236" t="str">
        <f>IF(C814="","",VLOOKUP($B814,勘定科目!$A:$E,4,0))</f>
        <v/>
      </c>
      <c r="E814" s="242"/>
      <c r="F814" s="237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197"/>
      <c r="S814" s="198"/>
      <c r="T814" s="199"/>
      <c r="U814" s="243"/>
      <c r="V814" s="243"/>
      <c r="W814" s="243"/>
      <c r="BA814"/>
      <c r="BB814"/>
    </row>
    <row r="815" spans="1:54" s="188" customFormat="1" ht="13.5">
      <c r="A815" s="179"/>
      <c r="B815" s="175"/>
      <c r="C815" s="180" t="str">
        <f>IFERROR(IF(VLOOKUP($B815,勘定科目!$A:$H,HLOOKUP($E$5,勘定科目!$F$1:$H$2,2,0),0)="","",VLOOKUP($B815,勘定科目!$A:$E,2,0)),"")</f>
        <v/>
      </c>
      <c r="D815" s="236" t="str">
        <f>IF(C815="","",VLOOKUP($B815,勘定科目!$A:$E,4,0))</f>
        <v/>
      </c>
      <c r="E815" s="242"/>
      <c r="F815" s="237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197"/>
      <c r="S815" s="198"/>
      <c r="T815" s="199"/>
      <c r="U815" s="243"/>
      <c r="V815" s="243"/>
      <c r="W815" s="243"/>
      <c r="BA815"/>
      <c r="BB815"/>
    </row>
    <row r="816" spans="1:54" s="188" customFormat="1" ht="13.5">
      <c r="A816" s="179"/>
      <c r="B816" s="175"/>
      <c r="C816" s="180" t="str">
        <f>IFERROR(IF(VLOOKUP($B816,勘定科目!$A:$H,HLOOKUP($E$5,勘定科目!$F$1:$H$2,2,0),0)="","",VLOOKUP($B816,勘定科目!$A:$E,2,0)),"")</f>
        <v/>
      </c>
      <c r="D816" s="236" t="str">
        <f>IF(C816="","",VLOOKUP($B816,勘定科目!$A:$E,4,0))</f>
        <v/>
      </c>
      <c r="E816" s="242"/>
      <c r="F816" s="237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197"/>
      <c r="S816" s="198"/>
      <c r="T816" s="199"/>
      <c r="U816" s="243"/>
      <c r="V816" s="243"/>
      <c r="W816" s="243"/>
      <c r="BA816"/>
      <c r="BB816"/>
    </row>
    <row r="817" spans="1:54" s="188" customFormat="1" ht="13.5">
      <c r="A817" s="179"/>
      <c r="B817" s="175"/>
      <c r="C817" s="180" t="str">
        <f>IFERROR(IF(VLOOKUP($B817,勘定科目!$A:$H,HLOOKUP($E$5,勘定科目!$F$1:$H$2,2,0),0)="","",VLOOKUP($B817,勘定科目!$A:$E,2,0)),"")</f>
        <v/>
      </c>
      <c r="D817" s="236" t="str">
        <f>IF(C817="","",VLOOKUP($B817,勘定科目!$A:$E,4,0))</f>
        <v/>
      </c>
      <c r="E817" s="242"/>
      <c r="F817" s="237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197"/>
      <c r="S817" s="198"/>
      <c r="T817" s="199"/>
      <c r="U817" s="243"/>
      <c r="V817" s="243"/>
      <c r="W817" s="243"/>
      <c r="BA817"/>
      <c r="BB817"/>
    </row>
    <row r="818" spans="1:54" s="188" customFormat="1" ht="13.5">
      <c r="A818" s="179"/>
      <c r="B818" s="175"/>
      <c r="C818" s="180" t="str">
        <f>IFERROR(IF(VLOOKUP($B818,勘定科目!$A:$H,HLOOKUP($E$5,勘定科目!$F$1:$H$2,2,0),0)="","",VLOOKUP($B818,勘定科目!$A:$E,2,0)),"")</f>
        <v/>
      </c>
      <c r="D818" s="236" t="str">
        <f>IF(C818="","",VLOOKUP($B818,勘定科目!$A:$E,4,0))</f>
        <v/>
      </c>
      <c r="E818" s="242"/>
      <c r="F818" s="237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197"/>
      <c r="S818" s="198"/>
      <c r="T818" s="199"/>
      <c r="U818" s="243"/>
      <c r="V818" s="243"/>
      <c r="W818" s="243"/>
      <c r="BA818"/>
      <c r="BB818"/>
    </row>
    <row r="819" spans="1:54" s="188" customFormat="1" ht="13.5">
      <c r="A819" s="179"/>
      <c r="B819" s="175"/>
      <c r="C819" s="180" t="str">
        <f>IFERROR(IF(VLOOKUP($B819,勘定科目!$A:$H,HLOOKUP($E$5,勘定科目!$F$1:$H$2,2,0),0)="","",VLOOKUP($B819,勘定科目!$A:$E,2,0)),"")</f>
        <v/>
      </c>
      <c r="D819" s="236" t="str">
        <f>IF(C819="","",VLOOKUP($B819,勘定科目!$A:$E,4,0))</f>
        <v/>
      </c>
      <c r="E819" s="242"/>
      <c r="F819" s="237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197"/>
      <c r="S819" s="198"/>
      <c r="T819" s="199"/>
      <c r="U819" s="243"/>
      <c r="V819" s="243"/>
      <c r="W819" s="243"/>
      <c r="BA819"/>
      <c r="BB819"/>
    </row>
    <row r="820" spans="1:54" s="188" customFormat="1" ht="13.5">
      <c r="A820" s="179"/>
      <c r="B820" s="175"/>
      <c r="C820" s="180" t="str">
        <f>IFERROR(IF(VLOOKUP($B820,勘定科目!$A:$H,HLOOKUP($E$5,勘定科目!$F$1:$H$2,2,0),0)="","",VLOOKUP($B820,勘定科目!$A:$E,2,0)),"")</f>
        <v/>
      </c>
      <c r="D820" s="236" t="str">
        <f>IF(C820="","",VLOOKUP($B820,勘定科目!$A:$E,4,0))</f>
        <v/>
      </c>
      <c r="E820" s="242"/>
      <c r="F820" s="237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197"/>
      <c r="S820" s="198"/>
      <c r="T820" s="199"/>
      <c r="U820" s="243"/>
      <c r="V820" s="243"/>
      <c r="W820" s="243"/>
      <c r="BA820"/>
      <c r="BB820"/>
    </row>
    <row r="821" spans="1:54" s="188" customFormat="1" ht="13.5">
      <c r="A821" s="179"/>
      <c r="B821" s="175"/>
      <c r="C821" s="180" t="str">
        <f>IFERROR(IF(VLOOKUP($B821,勘定科目!$A:$H,HLOOKUP($E$5,勘定科目!$F$1:$H$2,2,0),0)="","",VLOOKUP($B821,勘定科目!$A:$E,2,0)),"")</f>
        <v/>
      </c>
      <c r="D821" s="236" t="str">
        <f>IF(C821="","",VLOOKUP($B821,勘定科目!$A:$E,4,0))</f>
        <v/>
      </c>
      <c r="E821" s="242"/>
      <c r="F821" s="237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197"/>
      <c r="S821" s="198"/>
      <c r="T821" s="199"/>
      <c r="U821" s="243"/>
      <c r="V821" s="243"/>
      <c r="W821" s="243"/>
      <c r="BA821"/>
      <c r="BB821"/>
    </row>
    <row r="822" spans="1:54" s="188" customFormat="1" ht="13.5">
      <c r="A822" s="179"/>
      <c r="B822" s="175"/>
      <c r="C822" s="180" t="str">
        <f>IFERROR(IF(VLOOKUP($B822,勘定科目!$A:$H,HLOOKUP($E$5,勘定科目!$F$1:$H$2,2,0),0)="","",VLOOKUP($B822,勘定科目!$A:$E,2,0)),"")</f>
        <v/>
      </c>
      <c r="D822" s="236" t="str">
        <f>IF(C822="","",VLOOKUP($B822,勘定科目!$A:$E,4,0))</f>
        <v/>
      </c>
      <c r="E822" s="242"/>
      <c r="F822" s="237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197"/>
      <c r="S822" s="198"/>
      <c r="T822" s="199"/>
      <c r="U822" s="243"/>
      <c r="V822" s="243"/>
      <c r="W822" s="243"/>
      <c r="BA822"/>
      <c r="BB822"/>
    </row>
    <row r="823" spans="1:54" s="188" customFormat="1" ht="13.5">
      <c r="A823" s="179"/>
      <c r="B823" s="175"/>
      <c r="C823" s="180" t="str">
        <f>IFERROR(IF(VLOOKUP($B823,勘定科目!$A:$H,HLOOKUP($E$5,勘定科目!$F$1:$H$2,2,0),0)="","",VLOOKUP($B823,勘定科目!$A:$E,2,0)),"")</f>
        <v/>
      </c>
      <c r="D823" s="236" t="str">
        <f>IF(C823="","",VLOOKUP($B823,勘定科目!$A:$E,4,0))</f>
        <v/>
      </c>
      <c r="E823" s="242"/>
      <c r="F823" s="237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197"/>
      <c r="S823" s="198"/>
      <c r="T823" s="199"/>
      <c r="U823" s="243"/>
      <c r="V823" s="243"/>
      <c r="W823" s="243"/>
      <c r="BA823"/>
      <c r="BB823"/>
    </row>
    <row r="824" spans="1:54" s="188" customFormat="1" ht="13.5">
      <c r="A824" s="179"/>
      <c r="B824" s="175"/>
      <c r="C824" s="180" t="str">
        <f>IFERROR(IF(VLOOKUP($B824,勘定科目!$A:$H,HLOOKUP($E$5,勘定科目!$F$1:$H$2,2,0),0)="","",VLOOKUP($B824,勘定科目!$A:$E,2,0)),"")</f>
        <v/>
      </c>
      <c r="D824" s="236" t="str">
        <f>IF(C824="","",VLOOKUP($B824,勘定科目!$A:$E,4,0))</f>
        <v/>
      </c>
      <c r="E824" s="242"/>
      <c r="F824" s="237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197"/>
      <c r="S824" s="198"/>
      <c r="T824" s="199"/>
      <c r="U824" s="243"/>
      <c r="V824" s="243"/>
      <c r="W824" s="243"/>
      <c r="BA824"/>
      <c r="BB824"/>
    </row>
    <row r="825" spans="1:54" s="188" customFormat="1" ht="13.5">
      <c r="A825" s="179"/>
      <c r="B825" s="175"/>
      <c r="C825" s="180" t="str">
        <f>IFERROR(IF(VLOOKUP($B825,勘定科目!$A:$H,HLOOKUP($E$5,勘定科目!$F$1:$H$2,2,0),0)="","",VLOOKUP($B825,勘定科目!$A:$E,2,0)),"")</f>
        <v/>
      </c>
      <c r="D825" s="236" t="str">
        <f>IF(C825="","",VLOOKUP($B825,勘定科目!$A:$E,4,0))</f>
        <v/>
      </c>
      <c r="E825" s="242"/>
      <c r="F825" s="237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197"/>
      <c r="S825" s="198"/>
      <c r="T825" s="199"/>
      <c r="U825" s="243"/>
      <c r="V825" s="243"/>
      <c r="W825" s="243"/>
      <c r="BA825"/>
      <c r="BB825"/>
    </row>
    <row r="826" spans="1:54" s="188" customFormat="1" ht="13.5">
      <c r="A826" s="179"/>
      <c r="B826" s="175"/>
      <c r="C826" s="180" t="str">
        <f>IFERROR(IF(VLOOKUP($B826,勘定科目!$A:$H,HLOOKUP($E$5,勘定科目!$F$1:$H$2,2,0),0)="","",VLOOKUP($B826,勘定科目!$A:$E,2,0)),"")</f>
        <v/>
      </c>
      <c r="D826" s="236" t="str">
        <f>IF(C826="","",VLOOKUP($B826,勘定科目!$A:$E,4,0))</f>
        <v/>
      </c>
      <c r="E826" s="242"/>
      <c r="F826" s="237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197"/>
      <c r="S826" s="198"/>
      <c r="T826" s="199"/>
      <c r="U826" s="243"/>
      <c r="V826" s="243"/>
      <c r="W826" s="243"/>
      <c r="BA826"/>
      <c r="BB826"/>
    </row>
    <row r="827" spans="1:54" s="188" customFormat="1" ht="13.5">
      <c r="A827" s="179"/>
      <c r="B827" s="175"/>
      <c r="C827" s="180" t="str">
        <f>IFERROR(IF(VLOOKUP($B827,勘定科目!$A:$H,HLOOKUP($E$5,勘定科目!$F$1:$H$2,2,0),0)="","",VLOOKUP($B827,勘定科目!$A:$E,2,0)),"")</f>
        <v/>
      </c>
      <c r="D827" s="236" t="str">
        <f>IF(C827="","",VLOOKUP($B827,勘定科目!$A:$E,4,0))</f>
        <v/>
      </c>
      <c r="E827" s="242"/>
      <c r="F827" s="237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197"/>
      <c r="S827" s="198"/>
      <c r="T827" s="199"/>
      <c r="U827" s="243"/>
      <c r="V827" s="243"/>
      <c r="W827" s="243"/>
      <c r="BA827"/>
      <c r="BB827"/>
    </row>
    <row r="828" spans="1:54" s="188" customFormat="1" ht="13.5">
      <c r="A828" s="179"/>
      <c r="B828" s="175"/>
      <c r="C828" s="180" t="str">
        <f>IFERROR(IF(VLOOKUP($B828,勘定科目!$A:$H,HLOOKUP($E$5,勘定科目!$F$1:$H$2,2,0),0)="","",VLOOKUP($B828,勘定科目!$A:$E,2,0)),"")</f>
        <v/>
      </c>
      <c r="D828" s="236" t="str">
        <f>IF(C828="","",VLOOKUP($B828,勘定科目!$A:$E,4,0))</f>
        <v/>
      </c>
      <c r="E828" s="242"/>
      <c r="F828" s="237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197"/>
      <c r="S828" s="198"/>
      <c r="T828" s="199"/>
      <c r="U828" s="243"/>
      <c r="V828" s="243"/>
      <c r="W828" s="243"/>
      <c r="BA828"/>
      <c r="BB828"/>
    </row>
    <row r="829" spans="1:54" s="188" customFormat="1" ht="13.5">
      <c r="A829" s="179"/>
      <c r="B829" s="175"/>
      <c r="C829" s="180" t="str">
        <f>IFERROR(IF(VLOOKUP($B829,勘定科目!$A:$H,HLOOKUP($E$5,勘定科目!$F$1:$H$2,2,0),0)="","",VLOOKUP($B829,勘定科目!$A:$E,2,0)),"")</f>
        <v/>
      </c>
      <c r="D829" s="236" t="str">
        <f>IF(C829="","",VLOOKUP($B829,勘定科目!$A:$E,4,0))</f>
        <v/>
      </c>
      <c r="E829" s="242"/>
      <c r="F829" s="237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197"/>
      <c r="S829" s="198"/>
      <c r="T829" s="199"/>
      <c r="U829" s="243"/>
      <c r="V829" s="243"/>
      <c r="W829" s="243"/>
      <c r="BA829"/>
      <c r="BB829"/>
    </row>
    <row r="830" spans="1:54" s="188" customFormat="1" ht="13.5">
      <c r="A830" s="179"/>
      <c r="B830" s="175"/>
      <c r="C830" s="180" t="str">
        <f>IFERROR(IF(VLOOKUP($B830,勘定科目!$A:$H,HLOOKUP($E$5,勘定科目!$F$1:$H$2,2,0),0)="","",VLOOKUP($B830,勘定科目!$A:$E,2,0)),"")</f>
        <v/>
      </c>
      <c r="D830" s="236" t="str">
        <f>IF(C830="","",VLOOKUP($B830,勘定科目!$A:$E,4,0))</f>
        <v/>
      </c>
      <c r="E830" s="242"/>
      <c r="F830" s="237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197"/>
      <c r="S830" s="198"/>
      <c r="T830" s="199"/>
      <c r="U830" s="243"/>
      <c r="V830" s="243"/>
      <c r="W830" s="243"/>
      <c r="BA830"/>
      <c r="BB830"/>
    </row>
    <row r="831" spans="1:54" s="188" customFormat="1" ht="13.5">
      <c r="A831" s="179"/>
      <c r="B831" s="175"/>
      <c r="C831" s="180" t="str">
        <f>IFERROR(IF(VLOOKUP($B831,勘定科目!$A:$H,HLOOKUP($E$5,勘定科目!$F$1:$H$2,2,0),0)="","",VLOOKUP($B831,勘定科目!$A:$E,2,0)),"")</f>
        <v/>
      </c>
      <c r="D831" s="236" t="str">
        <f>IF(C831="","",VLOOKUP($B831,勘定科目!$A:$E,4,0))</f>
        <v/>
      </c>
      <c r="E831" s="242"/>
      <c r="F831" s="237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197"/>
      <c r="S831" s="198"/>
      <c r="T831" s="199"/>
      <c r="U831" s="243"/>
      <c r="V831" s="243"/>
      <c r="W831" s="243"/>
      <c r="BA831"/>
      <c r="BB831"/>
    </row>
    <row r="832" spans="1:54" s="188" customFormat="1" ht="13.5">
      <c r="A832" s="179"/>
      <c r="B832" s="175"/>
      <c r="C832" s="180" t="str">
        <f>IFERROR(IF(VLOOKUP($B832,勘定科目!$A:$H,HLOOKUP($E$5,勘定科目!$F$1:$H$2,2,0),0)="","",VLOOKUP($B832,勘定科目!$A:$E,2,0)),"")</f>
        <v/>
      </c>
      <c r="D832" s="236" t="str">
        <f>IF(C832="","",VLOOKUP($B832,勘定科目!$A:$E,4,0))</f>
        <v/>
      </c>
      <c r="E832" s="242"/>
      <c r="F832" s="237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197"/>
      <c r="S832" s="198"/>
      <c r="T832" s="199"/>
      <c r="U832" s="243"/>
      <c r="V832" s="243"/>
      <c r="W832" s="243"/>
      <c r="BA832"/>
      <c r="BB832"/>
    </row>
    <row r="833" spans="1:54" s="188" customFormat="1" ht="13.5">
      <c r="A833" s="179"/>
      <c r="B833" s="175"/>
      <c r="C833" s="180" t="str">
        <f>IFERROR(IF(VLOOKUP($B833,勘定科目!$A:$H,HLOOKUP($E$5,勘定科目!$F$1:$H$2,2,0),0)="","",VLOOKUP($B833,勘定科目!$A:$E,2,0)),"")</f>
        <v/>
      </c>
      <c r="D833" s="236" t="str">
        <f>IF(C833="","",VLOOKUP($B833,勘定科目!$A:$E,4,0))</f>
        <v/>
      </c>
      <c r="E833" s="242"/>
      <c r="F833" s="237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197"/>
      <c r="S833" s="198"/>
      <c r="T833" s="199"/>
      <c r="U833" s="243"/>
      <c r="V833" s="243"/>
      <c r="W833" s="243"/>
      <c r="BA833"/>
      <c r="BB833"/>
    </row>
    <row r="834" spans="1:54" s="188" customFormat="1" ht="13.5">
      <c r="A834" s="179"/>
      <c r="B834" s="175"/>
      <c r="C834" s="180" t="str">
        <f>IFERROR(IF(VLOOKUP($B834,勘定科目!$A:$H,HLOOKUP($E$5,勘定科目!$F$1:$H$2,2,0),0)="","",VLOOKUP($B834,勘定科目!$A:$E,2,0)),"")</f>
        <v/>
      </c>
      <c r="D834" s="236" t="str">
        <f>IF(C834="","",VLOOKUP($B834,勘定科目!$A:$E,4,0))</f>
        <v/>
      </c>
      <c r="E834" s="242"/>
      <c r="F834" s="237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197"/>
      <c r="S834" s="198"/>
      <c r="T834" s="199"/>
      <c r="U834" s="243"/>
      <c r="V834" s="243"/>
      <c r="W834" s="243"/>
      <c r="BA834"/>
      <c r="BB834"/>
    </row>
    <row r="835" spans="1:54" s="188" customFormat="1" ht="13.5">
      <c r="A835" s="179"/>
      <c r="B835" s="175"/>
      <c r="C835" s="180" t="str">
        <f>IFERROR(IF(VLOOKUP($B835,勘定科目!$A:$H,HLOOKUP($E$5,勘定科目!$F$1:$H$2,2,0),0)="","",VLOOKUP($B835,勘定科目!$A:$E,2,0)),"")</f>
        <v/>
      </c>
      <c r="D835" s="236" t="str">
        <f>IF(C835="","",VLOOKUP($B835,勘定科目!$A:$E,4,0))</f>
        <v/>
      </c>
      <c r="E835" s="242"/>
      <c r="F835" s="237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197"/>
      <c r="S835" s="198"/>
      <c r="T835" s="199"/>
      <c r="U835" s="243"/>
      <c r="V835" s="243"/>
      <c r="W835" s="243"/>
      <c r="BA835"/>
      <c r="BB835"/>
    </row>
    <row r="836" spans="1:54" s="188" customFormat="1" ht="13.5">
      <c r="A836" s="179"/>
      <c r="B836" s="175"/>
      <c r="C836" s="180" t="str">
        <f>IFERROR(IF(VLOOKUP($B836,勘定科目!$A:$H,HLOOKUP($E$5,勘定科目!$F$1:$H$2,2,0),0)="","",VLOOKUP($B836,勘定科目!$A:$E,2,0)),"")</f>
        <v/>
      </c>
      <c r="D836" s="236" t="str">
        <f>IF(C836="","",VLOOKUP($B836,勘定科目!$A:$E,4,0))</f>
        <v/>
      </c>
      <c r="E836" s="242"/>
      <c r="F836" s="237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197"/>
      <c r="S836" s="198"/>
      <c r="T836" s="199"/>
      <c r="U836" s="243"/>
      <c r="V836" s="243"/>
      <c r="W836" s="243"/>
      <c r="BA836"/>
      <c r="BB836"/>
    </row>
    <row r="837" spans="1:54" s="188" customFormat="1" ht="13.5">
      <c r="A837" s="179"/>
      <c r="B837" s="175"/>
      <c r="C837" s="180" t="str">
        <f>IFERROR(IF(VLOOKUP($B837,勘定科目!$A:$H,HLOOKUP($E$5,勘定科目!$F$1:$H$2,2,0),0)="","",VLOOKUP($B837,勘定科目!$A:$E,2,0)),"")</f>
        <v/>
      </c>
      <c r="D837" s="236" t="str">
        <f>IF(C837="","",VLOOKUP($B837,勘定科目!$A:$E,4,0))</f>
        <v/>
      </c>
      <c r="E837" s="242"/>
      <c r="F837" s="237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197"/>
      <c r="S837" s="198"/>
      <c r="T837" s="199"/>
      <c r="U837" s="243"/>
      <c r="V837" s="243"/>
      <c r="W837" s="243"/>
      <c r="BA837"/>
      <c r="BB837"/>
    </row>
    <row r="838" spans="1:54" s="188" customFormat="1" ht="13.5">
      <c r="A838" s="179"/>
      <c r="B838" s="175"/>
      <c r="C838" s="180" t="str">
        <f>IFERROR(IF(VLOOKUP($B838,勘定科目!$A:$H,HLOOKUP($E$5,勘定科目!$F$1:$H$2,2,0),0)="","",VLOOKUP($B838,勘定科目!$A:$E,2,0)),"")</f>
        <v/>
      </c>
      <c r="D838" s="236" t="str">
        <f>IF(C838="","",VLOOKUP($B838,勘定科目!$A:$E,4,0))</f>
        <v/>
      </c>
      <c r="E838" s="242"/>
      <c r="F838" s="237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197"/>
      <c r="S838" s="198"/>
      <c r="T838" s="199"/>
      <c r="U838" s="243"/>
      <c r="V838" s="243"/>
      <c r="W838" s="243"/>
      <c r="BA838"/>
      <c r="BB838"/>
    </row>
    <row r="839" spans="1:54" s="188" customFormat="1" ht="13.5">
      <c r="A839" s="179"/>
      <c r="B839" s="175"/>
      <c r="C839" s="180" t="str">
        <f>IFERROR(IF(VLOOKUP($B839,勘定科目!$A:$H,HLOOKUP($E$5,勘定科目!$F$1:$H$2,2,0),0)="","",VLOOKUP($B839,勘定科目!$A:$E,2,0)),"")</f>
        <v/>
      </c>
      <c r="D839" s="236" t="str">
        <f>IF(C839="","",VLOOKUP($B839,勘定科目!$A:$E,4,0))</f>
        <v/>
      </c>
      <c r="E839" s="242"/>
      <c r="F839" s="237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197"/>
      <c r="S839" s="198"/>
      <c r="T839" s="199"/>
      <c r="U839" s="243"/>
      <c r="V839" s="243"/>
      <c r="W839" s="243"/>
      <c r="BA839"/>
      <c r="BB839"/>
    </row>
    <row r="840" spans="1:54" s="188" customFormat="1" ht="13.5">
      <c r="A840" s="179"/>
      <c r="B840" s="175"/>
      <c r="C840" s="180" t="str">
        <f>IFERROR(IF(VLOOKUP($B840,勘定科目!$A:$H,HLOOKUP($E$5,勘定科目!$F$1:$H$2,2,0),0)="","",VLOOKUP($B840,勘定科目!$A:$E,2,0)),"")</f>
        <v/>
      </c>
      <c r="D840" s="236" t="str">
        <f>IF(C840="","",VLOOKUP($B840,勘定科目!$A:$E,4,0))</f>
        <v/>
      </c>
      <c r="E840" s="242"/>
      <c r="F840" s="237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197"/>
      <c r="S840" s="198"/>
      <c r="T840" s="199"/>
      <c r="U840" s="243"/>
      <c r="V840" s="243"/>
      <c r="W840" s="243"/>
      <c r="BA840"/>
      <c r="BB840"/>
    </row>
    <row r="841" spans="1:54" s="188" customFormat="1" ht="13.5">
      <c r="A841" s="179"/>
      <c r="B841" s="175"/>
      <c r="C841" s="180" t="str">
        <f>IFERROR(IF(VLOOKUP($B841,勘定科目!$A:$H,HLOOKUP($E$5,勘定科目!$F$1:$H$2,2,0),0)="","",VLOOKUP($B841,勘定科目!$A:$E,2,0)),"")</f>
        <v/>
      </c>
      <c r="D841" s="236" t="str">
        <f>IF(C841="","",VLOOKUP($B841,勘定科目!$A:$E,4,0))</f>
        <v/>
      </c>
      <c r="E841" s="242"/>
      <c r="F841" s="237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197"/>
      <c r="S841" s="198"/>
      <c r="T841" s="199"/>
      <c r="U841" s="243"/>
      <c r="V841" s="243"/>
      <c r="W841" s="243"/>
      <c r="BA841"/>
      <c r="BB841"/>
    </row>
    <row r="842" spans="1:54" s="188" customFormat="1" ht="13.5">
      <c r="A842" s="179"/>
      <c r="B842" s="175"/>
      <c r="C842" s="180" t="str">
        <f>IFERROR(IF(VLOOKUP($B842,勘定科目!$A:$H,HLOOKUP($E$5,勘定科目!$F$1:$H$2,2,0),0)="","",VLOOKUP($B842,勘定科目!$A:$E,2,0)),"")</f>
        <v/>
      </c>
      <c r="D842" s="236" t="str">
        <f>IF(C842="","",VLOOKUP($B842,勘定科目!$A:$E,4,0))</f>
        <v/>
      </c>
      <c r="E842" s="242"/>
      <c r="F842" s="237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197"/>
      <c r="S842" s="198"/>
      <c r="T842" s="199"/>
      <c r="U842" s="243"/>
      <c r="V842" s="243"/>
      <c r="W842" s="243"/>
      <c r="BA842"/>
      <c r="BB842"/>
    </row>
    <row r="843" spans="1:54" s="188" customFormat="1" ht="13.5">
      <c r="A843" s="179"/>
      <c r="B843" s="175"/>
      <c r="C843" s="180" t="str">
        <f>IFERROR(IF(VLOOKUP($B843,勘定科目!$A:$H,HLOOKUP($E$5,勘定科目!$F$1:$H$2,2,0),0)="","",VLOOKUP($B843,勘定科目!$A:$E,2,0)),"")</f>
        <v/>
      </c>
      <c r="D843" s="236" t="str">
        <f>IF(C843="","",VLOOKUP($B843,勘定科目!$A:$E,4,0))</f>
        <v/>
      </c>
      <c r="E843" s="242"/>
      <c r="F843" s="237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197"/>
      <c r="S843" s="198"/>
      <c r="T843" s="199"/>
      <c r="U843" s="243"/>
      <c r="V843" s="243"/>
      <c r="W843" s="243"/>
      <c r="BA843"/>
      <c r="BB843"/>
    </row>
    <row r="844" spans="1:54" s="188" customFormat="1" ht="13.5">
      <c r="A844" s="179"/>
      <c r="B844" s="175"/>
      <c r="C844" s="180" t="str">
        <f>IFERROR(IF(VLOOKUP($B844,勘定科目!$A:$H,HLOOKUP($E$5,勘定科目!$F$1:$H$2,2,0),0)="","",VLOOKUP($B844,勘定科目!$A:$E,2,0)),"")</f>
        <v/>
      </c>
      <c r="D844" s="236" t="str">
        <f>IF(C844="","",VLOOKUP($B844,勘定科目!$A:$E,4,0))</f>
        <v/>
      </c>
      <c r="E844" s="242"/>
      <c r="F844" s="237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197"/>
      <c r="S844" s="198"/>
      <c r="T844" s="199"/>
      <c r="U844" s="243"/>
      <c r="V844" s="243"/>
      <c r="W844" s="243"/>
      <c r="BA844"/>
      <c r="BB844"/>
    </row>
    <row r="845" spans="1:54" s="188" customFormat="1" ht="13.5">
      <c r="A845" s="179"/>
      <c r="B845" s="175"/>
      <c r="C845" s="180" t="str">
        <f>IFERROR(IF(VLOOKUP($B845,勘定科目!$A:$H,HLOOKUP($E$5,勘定科目!$F$1:$H$2,2,0),0)="","",VLOOKUP($B845,勘定科目!$A:$E,2,0)),"")</f>
        <v/>
      </c>
      <c r="D845" s="236" t="str">
        <f>IF(C845="","",VLOOKUP($B845,勘定科目!$A:$E,4,0))</f>
        <v/>
      </c>
      <c r="E845" s="242"/>
      <c r="F845" s="237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197"/>
      <c r="S845" s="198"/>
      <c r="T845" s="199"/>
      <c r="U845" s="243"/>
      <c r="V845" s="243"/>
      <c r="W845" s="243"/>
      <c r="BA845"/>
      <c r="BB845"/>
    </row>
    <row r="846" spans="1:54" s="188" customFormat="1" ht="13.5">
      <c r="A846" s="179"/>
      <c r="B846" s="175"/>
      <c r="C846" s="180" t="str">
        <f>IFERROR(IF(VLOOKUP($B846,勘定科目!$A:$H,HLOOKUP($E$5,勘定科目!$F$1:$H$2,2,0),0)="","",VLOOKUP($B846,勘定科目!$A:$E,2,0)),"")</f>
        <v/>
      </c>
      <c r="D846" s="236" t="str">
        <f>IF(C846="","",VLOOKUP($B846,勘定科目!$A:$E,4,0))</f>
        <v/>
      </c>
      <c r="E846" s="242"/>
      <c r="F846" s="237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197"/>
      <c r="S846" s="198"/>
      <c r="T846" s="199"/>
      <c r="U846" s="243"/>
      <c r="V846" s="243"/>
      <c r="W846" s="243"/>
      <c r="BA846"/>
      <c r="BB846"/>
    </row>
    <row r="847" spans="1:54" s="188" customFormat="1" ht="13.5">
      <c r="A847" s="179"/>
      <c r="B847" s="175"/>
      <c r="C847" s="180" t="str">
        <f>IFERROR(IF(VLOOKUP($B847,勘定科目!$A:$H,HLOOKUP($E$5,勘定科目!$F$1:$H$2,2,0),0)="","",VLOOKUP($B847,勘定科目!$A:$E,2,0)),"")</f>
        <v/>
      </c>
      <c r="D847" s="236" t="str">
        <f>IF(C847="","",VLOOKUP($B847,勘定科目!$A:$E,4,0))</f>
        <v/>
      </c>
      <c r="E847" s="242"/>
      <c r="F847" s="237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197"/>
      <c r="S847" s="198"/>
      <c r="T847" s="199"/>
      <c r="U847" s="243"/>
      <c r="V847" s="243"/>
      <c r="W847" s="243"/>
      <c r="BA847"/>
      <c r="BB847"/>
    </row>
    <row r="848" spans="1:54" s="188" customFormat="1" ht="13.5">
      <c r="A848" s="179"/>
      <c r="B848" s="175"/>
      <c r="C848" s="180" t="str">
        <f>IFERROR(IF(VLOOKUP($B848,勘定科目!$A:$H,HLOOKUP($E$5,勘定科目!$F$1:$H$2,2,0),0)="","",VLOOKUP($B848,勘定科目!$A:$E,2,0)),"")</f>
        <v/>
      </c>
      <c r="D848" s="236" t="str">
        <f>IF(C848="","",VLOOKUP($B848,勘定科目!$A:$E,4,0))</f>
        <v/>
      </c>
      <c r="E848" s="242"/>
      <c r="F848" s="237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197"/>
      <c r="S848" s="198"/>
      <c r="T848" s="199"/>
      <c r="U848" s="243"/>
      <c r="V848" s="243"/>
      <c r="W848" s="243"/>
      <c r="BA848"/>
      <c r="BB848"/>
    </row>
    <row r="849" spans="1:54" s="188" customFormat="1" ht="13.5">
      <c r="A849" s="179"/>
      <c r="B849" s="175"/>
      <c r="C849" s="180" t="str">
        <f>IFERROR(IF(VLOOKUP($B849,勘定科目!$A:$H,HLOOKUP($E$5,勘定科目!$F$1:$H$2,2,0),0)="","",VLOOKUP($B849,勘定科目!$A:$E,2,0)),"")</f>
        <v/>
      </c>
      <c r="D849" s="236" t="str">
        <f>IF(C849="","",VLOOKUP($B849,勘定科目!$A:$E,4,0))</f>
        <v/>
      </c>
      <c r="E849" s="242"/>
      <c r="F849" s="237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197"/>
      <c r="S849" s="198"/>
      <c r="T849" s="199"/>
      <c r="U849" s="243"/>
      <c r="V849" s="243"/>
      <c r="W849" s="243"/>
      <c r="BA849"/>
      <c r="BB849"/>
    </row>
    <row r="850" spans="1:54" s="188" customFormat="1" ht="13.5">
      <c r="A850" s="179"/>
      <c r="B850" s="175"/>
      <c r="C850" s="180" t="str">
        <f>IFERROR(IF(VLOOKUP($B850,勘定科目!$A:$H,HLOOKUP($E$5,勘定科目!$F$1:$H$2,2,0),0)="","",VLOOKUP($B850,勘定科目!$A:$E,2,0)),"")</f>
        <v/>
      </c>
      <c r="D850" s="236" t="str">
        <f>IF(C850="","",VLOOKUP($B850,勘定科目!$A:$E,4,0))</f>
        <v/>
      </c>
      <c r="E850" s="242"/>
      <c r="F850" s="237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197"/>
      <c r="S850" s="198"/>
      <c r="T850" s="199"/>
      <c r="U850" s="243"/>
      <c r="V850" s="243"/>
      <c r="W850" s="243"/>
      <c r="BA850"/>
      <c r="BB850"/>
    </row>
    <row r="851" spans="1:54" s="188" customFormat="1" ht="13.5">
      <c r="A851" s="179"/>
      <c r="B851" s="175"/>
      <c r="C851" s="180" t="str">
        <f>IFERROR(IF(VLOOKUP($B851,勘定科目!$A:$H,HLOOKUP($E$5,勘定科目!$F$1:$H$2,2,0),0)="","",VLOOKUP($B851,勘定科目!$A:$E,2,0)),"")</f>
        <v/>
      </c>
      <c r="D851" s="236" t="str">
        <f>IF(C851="","",VLOOKUP($B851,勘定科目!$A:$E,4,0))</f>
        <v/>
      </c>
      <c r="E851" s="242"/>
      <c r="F851" s="237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197"/>
      <c r="S851" s="198"/>
      <c r="T851" s="199"/>
      <c r="U851" s="243"/>
      <c r="V851" s="243"/>
      <c r="W851" s="243"/>
      <c r="BA851"/>
      <c r="BB851"/>
    </row>
    <row r="852" spans="1:54" s="188" customFormat="1" ht="13.5">
      <c r="A852" s="179"/>
      <c r="B852" s="175"/>
      <c r="C852" s="180" t="str">
        <f>IFERROR(IF(VLOOKUP($B852,勘定科目!$A:$H,HLOOKUP($E$5,勘定科目!$F$1:$H$2,2,0),0)="","",VLOOKUP($B852,勘定科目!$A:$E,2,0)),"")</f>
        <v/>
      </c>
      <c r="D852" s="236" t="str">
        <f>IF(C852="","",VLOOKUP($B852,勘定科目!$A:$E,4,0))</f>
        <v/>
      </c>
      <c r="E852" s="242"/>
      <c r="F852" s="237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197"/>
      <c r="S852" s="198"/>
      <c r="T852" s="199"/>
      <c r="U852" s="243"/>
      <c r="V852" s="243"/>
      <c r="W852" s="243"/>
      <c r="BA852"/>
      <c r="BB852"/>
    </row>
    <row r="853" spans="1:54" s="188" customFormat="1" ht="13.5">
      <c r="A853" s="179"/>
      <c r="B853" s="175"/>
      <c r="C853" s="180" t="str">
        <f>IFERROR(IF(VLOOKUP($B853,勘定科目!$A:$H,HLOOKUP($E$5,勘定科目!$F$1:$H$2,2,0),0)="","",VLOOKUP($B853,勘定科目!$A:$E,2,0)),"")</f>
        <v/>
      </c>
      <c r="D853" s="236" t="str">
        <f>IF(C853="","",VLOOKUP($B853,勘定科目!$A:$E,4,0))</f>
        <v/>
      </c>
      <c r="E853" s="242"/>
      <c r="F853" s="237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197"/>
      <c r="S853" s="198"/>
      <c r="T853" s="199"/>
      <c r="U853" s="243"/>
      <c r="V853" s="243"/>
      <c r="W853" s="243"/>
      <c r="BA853"/>
      <c r="BB853"/>
    </row>
    <row r="854" spans="1:54" s="188" customFormat="1" ht="13.5">
      <c r="A854" s="179"/>
      <c r="B854" s="175"/>
      <c r="C854" s="180" t="str">
        <f>IFERROR(IF(VLOOKUP($B854,勘定科目!$A:$H,HLOOKUP($E$5,勘定科目!$F$1:$H$2,2,0),0)="","",VLOOKUP($B854,勘定科目!$A:$E,2,0)),"")</f>
        <v/>
      </c>
      <c r="D854" s="236" t="str">
        <f>IF(C854="","",VLOOKUP($B854,勘定科目!$A:$E,4,0))</f>
        <v/>
      </c>
      <c r="E854" s="242"/>
      <c r="F854" s="237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197"/>
      <c r="S854" s="198"/>
      <c r="T854" s="199"/>
      <c r="U854" s="243"/>
      <c r="V854" s="243"/>
      <c r="W854" s="243"/>
      <c r="BA854"/>
      <c r="BB854"/>
    </row>
    <row r="855" spans="1:54" s="188" customFormat="1" ht="13.5">
      <c r="A855" s="179"/>
      <c r="B855" s="175"/>
      <c r="C855" s="180" t="str">
        <f>IFERROR(IF(VLOOKUP($B855,勘定科目!$A:$H,HLOOKUP($E$5,勘定科目!$F$1:$H$2,2,0),0)="","",VLOOKUP($B855,勘定科目!$A:$E,2,0)),"")</f>
        <v/>
      </c>
      <c r="D855" s="236" t="str">
        <f>IF(C855="","",VLOOKUP($B855,勘定科目!$A:$E,4,0))</f>
        <v/>
      </c>
      <c r="E855" s="242"/>
      <c r="F855" s="237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197"/>
      <c r="S855" s="198"/>
      <c r="T855" s="199"/>
      <c r="U855" s="243"/>
      <c r="V855" s="243"/>
      <c r="W855" s="243"/>
      <c r="BA855"/>
      <c r="BB855"/>
    </row>
    <row r="856" spans="1:54" s="188" customFormat="1" ht="13.5">
      <c r="A856" s="179"/>
      <c r="B856" s="175"/>
      <c r="C856" s="180" t="str">
        <f>IFERROR(IF(VLOOKUP($B856,勘定科目!$A:$H,HLOOKUP($E$5,勘定科目!$F$1:$H$2,2,0),0)="","",VLOOKUP($B856,勘定科目!$A:$E,2,0)),"")</f>
        <v/>
      </c>
      <c r="D856" s="236" t="str">
        <f>IF(C856="","",VLOOKUP($B856,勘定科目!$A:$E,4,0))</f>
        <v/>
      </c>
      <c r="E856" s="242"/>
      <c r="F856" s="237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197"/>
      <c r="S856" s="198"/>
      <c r="T856" s="199"/>
      <c r="U856" s="243"/>
      <c r="V856" s="243"/>
      <c r="W856" s="243"/>
      <c r="BA856"/>
      <c r="BB856"/>
    </row>
    <row r="857" spans="1:54" s="188" customFormat="1" ht="13.5">
      <c r="A857" s="179"/>
      <c r="B857" s="175"/>
      <c r="C857" s="180" t="str">
        <f>IFERROR(IF(VLOOKUP($B857,勘定科目!$A:$H,HLOOKUP($E$5,勘定科目!$F$1:$H$2,2,0),0)="","",VLOOKUP($B857,勘定科目!$A:$E,2,0)),"")</f>
        <v/>
      </c>
      <c r="D857" s="236" t="str">
        <f>IF(C857="","",VLOOKUP($B857,勘定科目!$A:$E,4,0))</f>
        <v/>
      </c>
      <c r="E857" s="242"/>
      <c r="F857" s="237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197"/>
      <c r="S857" s="198"/>
      <c r="T857" s="199"/>
      <c r="U857" s="243"/>
      <c r="V857" s="243"/>
      <c r="W857" s="243"/>
      <c r="BA857"/>
      <c r="BB857"/>
    </row>
    <row r="858" spans="1:54" s="188" customFormat="1" ht="13.5">
      <c r="A858" s="179"/>
      <c r="B858" s="175"/>
      <c r="C858" s="180" t="str">
        <f>IFERROR(IF(VLOOKUP($B858,勘定科目!$A:$H,HLOOKUP($E$5,勘定科目!$F$1:$H$2,2,0),0)="","",VLOOKUP($B858,勘定科目!$A:$E,2,0)),"")</f>
        <v/>
      </c>
      <c r="D858" s="236" t="str">
        <f>IF(C858="","",VLOOKUP($B858,勘定科目!$A:$E,4,0))</f>
        <v/>
      </c>
      <c r="E858" s="242"/>
      <c r="F858" s="237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197"/>
      <c r="S858" s="198"/>
      <c r="T858" s="199"/>
      <c r="U858" s="243"/>
      <c r="V858" s="243"/>
      <c r="W858" s="243"/>
      <c r="BA858"/>
      <c r="BB858"/>
    </row>
    <row r="859" spans="1:54" s="188" customFormat="1" ht="13.5">
      <c r="A859" s="179"/>
      <c r="B859" s="175"/>
      <c r="C859" s="180" t="str">
        <f>IFERROR(IF(VLOOKUP($B859,勘定科目!$A:$H,HLOOKUP($E$5,勘定科目!$F$1:$H$2,2,0),0)="","",VLOOKUP($B859,勘定科目!$A:$E,2,0)),"")</f>
        <v/>
      </c>
      <c r="D859" s="236" t="str">
        <f>IF(C859="","",VLOOKUP($B859,勘定科目!$A:$E,4,0))</f>
        <v/>
      </c>
      <c r="E859" s="242"/>
      <c r="F859" s="237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197"/>
      <c r="S859" s="198"/>
      <c r="T859" s="199"/>
      <c r="U859" s="243"/>
      <c r="V859" s="243"/>
      <c r="W859" s="243"/>
      <c r="BA859"/>
      <c r="BB859"/>
    </row>
    <row r="860" spans="1:54" s="188" customFormat="1" ht="13.5">
      <c r="A860" s="179"/>
      <c r="B860" s="175"/>
      <c r="C860" s="180" t="str">
        <f>IFERROR(IF(VLOOKUP($B860,勘定科目!$A:$H,HLOOKUP($E$5,勘定科目!$F$1:$H$2,2,0),0)="","",VLOOKUP($B860,勘定科目!$A:$E,2,0)),"")</f>
        <v/>
      </c>
      <c r="D860" s="236" t="str">
        <f>IF(C860="","",VLOOKUP($B860,勘定科目!$A:$E,4,0))</f>
        <v/>
      </c>
      <c r="E860" s="242"/>
      <c r="F860" s="237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197"/>
      <c r="S860" s="198"/>
      <c r="T860" s="199"/>
      <c r="U860" s="243"/>
      <c r="V860" s="243"/>
      <c r="W860" s="243"/>
      <c r="BA860"/>
      <c r="BB860"/>
    </row>
    <row r="861" spans="1:54" s="188" customFormat="1" ht="13.5">
      <c r="A861" s="179"/>
      <c r="B861" s="175"/>
      <c r="C861" s="180" t="str">
        <f>IFERROR(IF(VLOOKUP($B861,勘定科目!$A:$H,HLOOKUP($E$5,勘定科目!$F$1:$H$2,2,0),0)="","",VLOOKUP($B861,勘定科目!$A:$E,2,0)),"")</f>
        <v/>
      </c>
      <c r="D861" s="236" t="str">
        <f>IF(C861="","",VLOOKUP($B861,勘定科目!$A:$E,4,0))</f>
        <v/>
      </c>
      <c r="E861" s="242"/>
      <c r="F861" s="237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197"/>
      <c r="S861" s="198"/>
      <c r="T861" s="199"/>
      <c r="U861" s="243"/>
      <c r="V861" s="243"/>
      <c r="W861" s="243"/>
      <c r="BA861"/>
      <c r="BB861"/>
    </row>
    <row r="862" spans="1:54" s="188" customFormat="1" ht="13.5">
      <c r="A862" s="179"/>
      <c r="B862" s="175"/>
      <c r="C862" s="180" t="str">
        <f>IFERROR(IF(VLOOKUP($B862,勘定科目!$A:$H,HLOOKUP($E$5,勘定科目!$F$1:$H$2,2,0),0)="","",VLOOKUP($B862,勘定科目!$A:$E,2,0)),"")</f>
        <v/>
      </c>
      <c r="D862" s="236" t="str">
        <f>IF(C862="","",VLOOKUP($B862,勘定科目!$A:$E,4,0))</f>
        <v/>
      </c>
      <c r="E862" s="242"/>
      <c r="F862" s="237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197"/>
      <c r="S862" s="198"/>
      <c r="T862" s="199"/>
      <c r="U862" s="243"/>
      <c r="V862" s="243"/>
      <c r="W862" s="243"/>
      <c r="BA862"/>
      <c r="BB862"/>
    </row>
    <row r="863" spans="1:54" s="188" customFormat="1" ht="13.5">
      <c r="A863" s="179"/>
      <c r="B863" s="175"/>
      <c r="C863" s="180" t="str">
        <f>IFERROR(IF(VLOOKUP($B863,勘定科目!$A:$H,HLOOKUP($E$5,勘定科目!$F$1:$H$2,2,0),0)="","",VLOOKUP($B863,勘定科目!$A:$E,2,0)),"")</f>
        <v/>
      </c>
      <c r="D863" s="236" t="str">
        <f>IF(C863="","",VLOOKUP($B863,勘定科目!$A:$E,4,0))</f>
        <v/>
      </c>
      <c r="E863" s="242"/>
      <c r="F863" s="237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197"/>
      <c r="S863" s="198"/>
      <c r="T863" s="199"/>
      <c r="U863" s="243"/>
      <c r="V863" s="243"/>
      <c r="W863" s="243"/>
      <c r="BA863"/>
      <c r="BB863"/>
    </row>
    <row r="864" spans="1:54" s="188" customFormat="1" ht="13.5">
      <c r="A864" s="179"/>
      <c r="B864" s="175"/>
      <c r="C864" s="180" t="str">
        <f>IFERROR(IF(VLOOKUP($B864,勘定科目!$A:$H,HLOOKUP($E$5,勘定科目!$F$1:$H$2,2,0),0)="","",VLOOKUP($B864,勘定科目!$A:$E,2,0)),"")</f>
        <v/>
      </c>
      <c r="D864" s="236" t="str">
        <f>IF(C864="","",VLOOKUP($B864,勘定科目!$A:$E,4,0))</f>
        <v/>
      </c>
      <c r="E864" s="242"/>
      <c r="F864" s="237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197"/>
      <c r="S864" s="198"/>
      <c r="T864" s="199"/>
      <c r="U864" s="243"/>
      <c r="V864" s="243"/>
      <c r="W864" s="243"/>
      <c r="BA864"/>
      <c r="BB864"/>
    </row>
    <row r="865" spans="1:54" s="188" customFormat="1" ht="13.5">
      <c r="A865" s="179"/>
      <c r="B865" s="175"/>
      <c r="C865" s="180" t="str">
        <f>IFERROR(IF(VLOOKUP($B865,勘定科目!$A:$H,HLOOKUP($E$5,勘定科目!$F$1:$H$2,2,0),0)="","",VLOOKUP($B865,勘定科目!$A:$E,2,0)),"")</f>
        <v/>
      </c>
      <c r="D865" s="236" t="str">
        <f>IF(C865="","",VLOOKUP($B865,勘定科目!$A:$E,4,0))</f>
        <v/>
      </c>
      <c r="E865" s="242"/>
      <c r="F865" s="237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197"/>
      <c r="S865" s="198"/>
      <c r="T865" s="199"/>
      <c r="U865" s="243"/>
      <c r="V865" s="243"/>
      <c r="W865" s="243"/>
      <c r="BA865"/>
      <c r="BB865"/>
    </row>
    <row r="866" spans="1:54" s="188" customFormat="1" ht="13.5">
      <c r="A866" s="179"/>
      <c r="B866" s="175"/>
      <c r="C866" s="180" t="str">
        <f>IFERROR(IF(VLOOKUP($B866,勘定科目!$A:$H,HLOOKUP($E$5,勘定科目!$F$1:$H$2,2,0),0)="","",VLOOKUP($B866,勘定科目!$A:$E,2,0)),"")</f>
        <v/>
      </c>
      <c r="D866" s="236" t="str">
        <f>IF(C866="","",VLOOKUP($B866,勘定科目!$A:$E,4,0))</f>
        <v/>
      </c>
      <c r="E866" s="242"/>
      <c r="F866" s="237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197"/>
      <c r="S866" s="198"/>
      <c r="T866" s="199"/>
      <c r="U866" s="243"/>
      <c r="V866" s="243"/>
      <c r="W866" s="243"/>
      <c r="BA866"/>
      <c r="BB866"/>
    </row>
    <row r="867" spans="1:54" s="188" customFormat="1" ht="13.5">
      <c r="A867" s="179"/>
      <c r="B867" s="175"/>
      <c r="C867" s="180" t="str">
        <f>IFERROR(IF(VLOOKUP($B867,勘定科目!$A:$H,HLOOKUP($E$5,勘定科目!$F$1:$H$2,2,0),0)="","",VLOOKUP($B867,勘定科目!$A:$E,2,0)),"")</f>
        <v/>
      </c>
      <c r="D867" s="236" t="str">
        <f>IF(C867="","",VLOOKUP($B867,勘定科目!$A:$E,4,0))</f>
        <v/>
      </c>
      <c r="E867" s="242"/>
      <c r="F867" s="237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197"/>
      <c r="S867" s="198"/>
      <c r="T867" s="199"/>
      <c r="U867" s="243"/>
      <c r="V867" s="243"/>
      <c r="W867" s="243"/>
      <c r="BA867"/>
      <c r="BB867"/>
    </row>
    <row r="868" spans="1:54" s="188" customFormat="1" ht="13.5">
      <c r="A868" s="179"/>
      <c r="B868" s="175"/>
      <c r="C868" s="180" t="str">
        <f>IFERROR(IF(VLOOKUP($B868,勘定科目!$A:$H,HLOOKUP($E$5,勘定科目!$F$1:$H$2,2,0),0)="","",VLOOKUP($B868,勘定科目!$A:$E,2,0)),"")</f>
        <v/>
      </c>
      <c r="D868" s="236" t="str">
        <f>IF(C868="","",VLOOKUP($B868,勘定科目!$A:$E,4,0))</f>
        <v/>
      </c>
      <c r="E868" s="242"/>
      <c r="F868" s="237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197"/>
      <c r="S868" s="198"/>
      <c r="T868" s="199"/>
      <c r="U868" s="243"/>
      <c r="V868" s="243"/>
      <c r="W868" s="243"/>
      <c r="BA868"/>
      <c r="BB868"/>
    </row>
    <row r="869" spans="1:54" s="188" customFormat="1" ht="13.5">
      <c r="A869" s="179"/>
      <c r="B869" s="175"/>
      <c r="C869" s="180" t="str">
        <f>IFERROR(IF(VLOOKUP($B869,勘定科目!$A:$H,HLOOKUP($E$5,勘定科目!$F$1:$H$2,2,0),0)="","",VLOOKUP($B869,勘定科目!$A:$E,2,0)),"")</f>
        <v/>
      </c>
      <c r="D869" s="236" t="str">
        <f>IF(C869="","",VLOOKUP($B869,勘定科目!$A:$E,4,0))</f>
        <v/>
      </c>
      <c r="E869" s="242"/>
      <c r="F869" s="237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197"/>
      <c r="S869" s="198"/>
      <c r="T869" s="199"/>
      <c r="U869" s="243"/>
      <c r="V869" s="243"/>
      <c r="W869" s="243"/>
      <c r="BA869"/>
      <c r="BB869"/>
    </row>
    <row r="870" spans="1:54" s="188" customFormat="1" ht="13.5">
      <c r="A870" s="179"/>
      <c r="B870" s="175"/>
      <c r="C870" s="180" t="str">
        <f>IFERROR(IF(VLOOKUP($B870,勘定科目!$A:$H,HLOOKUP($E$5,勘定科目!$F$1:$H$2,2,0),0)="","",VLOOKUP($B870,勘定科目!$A:$E,2,0)),"")</f>
        <v/>
      </c>
      <c r="D870" s="236" t="str">
        <f>IF(C870="","",VLOOKUP($B870,勘定科目!$A:$E,4,0))</f>
        <v/>
      </c>
      <c r="E870" s="242"/>
      <c r="F870" s="237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197"/>
      <c r="S870" s="198"/>
      <c r="T870" s="199"/>
      <c r="U870" s="243"/>
      <c r="V870" s="243"/>
      <c r="W870" s="243"/>
      <c r="BA870"/>
      <c r="BB870"/>
    </row>
    <row r="871" spans="1:54" s="188" customFormat="1" ht="13.5">
      <c r="A871" s="179"/>
      <c r="B871" s="175"/>
      <c r="C871" s="180" t="str">
        <f>IFERROR(IF(VLOOKUP($B871,勘定科目!$A:$H,HLOOKUP($E$5,勘定科目!$F$1:$H$2,2,0),0)="","",VLOOKUP($B871,勘定科目!$A:$E,2,0)),"")</f>
        <v/>
      </c>
      <c r="D871" s="236" t="str">
        <f>IF(C871="","",VLOOKUP($B871,勘定科目!$A:$E,4,0))</f>
        <v/>
      </c>
      <c r="E871" s="242"/>
      <c r="F871" s="237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197"/>
      <c r="S871" s="198"/>
      <c r="T871" s="199"/>
      <c r="U871" s="243"/>
      <c r="V871" s="243"/>
      <c r="W871" s="243"/>
      <c r="BA871"/>
      <c r="BB871"/>
    </row>
    <row r="872" spans="1:54" s="188" customFormat="1" ht="13.5">
      <c r="A872" s="179"/>
      <c r="B872" s="175"/>
      <c r="C872" s="180" t="str">
        <f>IFERROR(IF(VLOOKUP($B872,勘定科目!$A:$H,HLOOKUP($E$5,勘定科目!$F$1:$H$2,2,0),0)="","",VLOOKUP($B872,勘定科目!$A:$E,2,0)),"")</f>
        <v/>
      </c>
      <c r="D872" s="236" t="str">
        <f>IF(C872="","",VLOOKUP($B872,勘定科目!$A:$E,4,0))</f>
        <v/>
      </c>
      <c r="E872" s="242"/>
      <c r="F872" s="237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197"/>
      <c r="S872" s="198"/>
      <c r="T872" s="199"/>
      <c r="U872" s="243"/>
      <c r="V872" s="243"/>
      <c r="W872" s="243"/>
      <c r="BA872"/>
      <c r="BB872"/>
    </row>
    <row r="873" spans="1:54" s="188" customFormat="1" ht="13.5">
      <c r="A873" s="179"/>
      <c r="B873" s="175"/>
      <c r="C873" s="180" t="str">
        <f>IFERROR(IF(VLOOKUP($B873,勘定科目!$A:$H,HLOOKUP($E$5,勘定科目!$F$1:$H$2,2,0),0)="","",VLOOKUP($B873,勘定科目!$A:$E,2,0)),"")</f>
        <v/>
      </c>
      <c r="D873" s="236" t="str">
        <f>IF(C873="","",VLOOKUP($B873,勘定科目!$A:$E,4,0))</f>
        <v/>
      </c>
      <c r="E873" s="242"/>
      <c r="F873" s="237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197"/>
      <c r="S873" s="198"/>
      <c r="T873" s="199"/>
      <c r="U873" s="243"/>
      <c r="V873" s="243"/>
      <c r="W873" s="243"/>
      <c r="BA873"/>
      <c r="BB873"/>
    </row>
    <row r="874" spans="1:54" s="188" customFormat="1" ht="13.5">
      <c r="A874" s="179"/>
      <c r="B874" s="175"/>
      <c r="C874" s="180" t="str">
        <f>IFERROR(IF(VLOOKUP($B874,勘定科目!$A:$H,HLOOKUP($E$5,勘定科目!$F$1:$H$2,2,0),0)="","",VLOOKUP($B874,勘定科目!$A:$E,2,0)),"")</f>
        <v/>
      </c>
      <c r="D874" s="236" t="str">
        <f>IF(C874="","",VLOOKUP($B874,勘定科目!$A:$E,4,0))</f>
        <v/>
      </c>
      <c r="E874" s="242"/>
      <c r="F874" s="237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197"/>
      <c r="S874" s="198"/>
      <c r="T874" s="199"/>
      <c r="U874" s="243"/>
      <c r="V874" s="243"/>
      <c r="W874" s="243"/>
      <c r="BA874"/>
      <c r="BB874"/>
    </row>
    <row r="875" spans="1:54" s="188" customFormat="1" ht="13.5">
      <c r="A875" s="179"/>
      <c r="B875" s="175"/>
      <c r="C875" s="180" t="str">
        <f>IFERROR(IF(VLOOKUP($B875,勘定科目!$A:$H,HLOOKUP($E$5,勘定科目!$F$1:$H$2,2,0),0)="","",VLOOKUP($B875,勘定科目!$A:$E,2,0)),"")</f>
        <v/>
      </c>
      <c r="D875" s="236" t="str">
        <f>IF(C875="","",VLOOKUP($B875,勘定科目!$A:$E,4,0))</f>
        <v/>
      </c>
      <c r="E875" s="242"/>
      <c r="F875" s="237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197"/>
      <c r="S875" s="198"/>
      <c r="T875" s="199"/>
      <c r="U875" s="243"/>
      <c r="V875" s="243"/>
      <c r="W875" s="243"/>
      <c r="BA875"/>
      <c r="BB875"/>
    </row>
    <row r="876" spans="1:54" s="188" customFormat="1" ht="13.5">
      <c r="A876" s="179"/>
      <c r="B876" s="175"/>
      <c r="C876" s="180" t="str">
        <f>IFERROR(IF(VLOOKUP($B876,勘定科目!$A:$H,HLOOKUP($E$5,勘定科目!$F$1:$H$2,2,0),0)="","",VLOOKUP($B876,勘定科目!$A:$E,2,0)),"")</f>
        <v/>
      </c>
      <c r="D876" s="236" t="str">
        <f>IF(C876="","",VLOOKUP($B876,勘定科目!$A:$E,4,0))</f>
        <v/>
      </c>
      <c r="E876" s="242"/>
      <c r="F876" s="237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197"/>
      <c r="S876" s="198"/>
      <c r="T876" s="199"/>
      <c r="U876" s="243"/>
      <c r="V876" s="243"/>
      <c r="W876" s="243"/>
      <c r="BA876"/>
      <c r="BB876"/>
    </row>
    <row r="877" spans="1:54" s="188" customFormat="1" ht="13.5">
      <c r="A877" s="179"/>
      <c r="B877" s="175"/>
      <c r="C877" s="180" t="str">
        <f>IFERROR(IF(VLOOKUP($B877,勘定科目!$A:$H,HLOOKUP($E$5,勘定科目!$F$1:$H$2,2,0),0)="","",VLOOKUP($B877,勘定科目!$A:$E,2,0)),"")</f>
        <v/>
      </c>
      <c r="D877" s="236" t="str">
        <f>IF(C877="","",VLOOKUP($B877,勘定科目!$A:$E,4,0))</f>
        <v/>
      </c>
      <c r="E877" s="242"/>
      <c r="F877" s="237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197"/>
      <c r="S877" s="198"/>
      <c r="T877" s="199"/>
      <c r="U877" s="243"/>
      <c r="V877" s="243"/>
      <c r="W877" s="243"/>
      <c r="BA877"/>
      <c r="BB877"/>
    </row>
    <row r="878" spans="1:54" s="188" customFormat="1" ht="13.5">
      <c r="A878" s="179"/>
      <c r="B878" s="175"/>
      <c r="C878" s="180" t="str">
        <f>IFERROR(IF(VLOOKUP($B878,勘定科目!$A:$H,HLOOKUP($E$5,勘定科目!$F$1:$H$2,2,0),0)="","",VLOOKUP($B878,勘定科目!$A:$E,2,0)),"")</f>
        <v/>
      </c>
      <c r="D878" s="236" t="str">
        <f>IF(C878="","",VLOOKUP($B878,勘定科目!$A:$E,4,0))</f>
        <v/>
      </c>
      <c r="E878" s="242"/>
      <c r="F878" s="237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197"/>
      <c r="S878" s="198"/>
      <c r="T878" s="199"/>
      <c r="U878" s="243"/>
      <c r="V878" s="243"/>
      <c r="W878" s="243"/>
      <c r="BA878"/>
      <c r="BB878"/>
    </row>
    <row r="879" spans="1:54" s="188" customFormat="1" ht="13.5">
      <c r="A879" s="179"/>
      <c r="B879" s="175"/>
      <c r="C879" s="180" t="str">
        <f>IFERROR(IF(VLOOKUP($B879,勘定科目!$A:$H,HLOOKUP($E$5,勘定科目!$F$1:$H$2,2,0),0)="","",VLOOKUP($B879,勘定科目!$A:$E,2,0)),"")</f>
        <v/>
      </c>
      <c r="D879" s="236" t="str">
        <f>IF(C879="","",VLOOKUP($B879,勘定科目!$A:$E,4,0))</f>
        <v/>
      </c>
      <c r="E879" s="242"/>
      <c r="F879" s="237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197"/>
      <c r="S879" s="198"/>
      <c r="T879" s="199"/>
      <c r="U879" s="243"/>
      <c r="V879" s="243"/>
      <c r="W879" s="243"/>
      <c r="BA879"/>
      <c r="BB879"/>
    </row>
    <row r="880" spans="1:54" s="188" customFormat="1" ht="13.5">
      <c r="A880" s="179"/>
      <c r="B880" s="175"/>
      <c r="C880" s="180" t="str">
        <f>IFERROR(IF(VLOOKUP($B880,勘定科目!$A:$H,HLOOKUP($E$5,勘定科目!$F$1:$H$2,2,0),0)="","",VLOOKUP($B880,勘定科目!$A:$E,2,0)),"")</f>
        <v/>
      </c>
      <c r="D880" s="236" t="str">
        <f>IF(C880="","",VLOOKUP($B880,勘定科目!$A:$E,4,0))</f>
        <v/>
      </c>
      <c r="E880" s="242"/>
      <c r="F880" s="237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197"/>
      <c r="S880" s="198"/>
      <c r="T880" s="199"/>
      <c r="U880" s="243"/>
      <c r="V880" s="243"/>
      <c r="W880" s="243"/>
      <c r="BA880"/>
      <c r="BB880"/>
    </row>
    <row r="881" spans="1:54" s="188" customFormat="1" ht="13.5">
      <c r="A881" s="179"/>
      <c r="B881" s="175"/>
      <c r="C881" s="180" t="str">
        <f>IFERROR(IF(VLOOKUP($B881,勘定科目!$A:$H,HLOOKUP($E$5,勘定科目!$F$1:$H$2,2,0),0)="","",VLOOKUP($B881,勘定科目!$A:$E,2,0)),"")</f>
        <v/>
      </c>
      <c r="D881" s="236" t="str">
        <f>IF(C881="","",VLOOKUP($B881,勘定科目!$A:$E,4,0))</f>
        <v/>
      </c>
      <c r="E881" s="242"/>
      <c r="F881" s="237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197"/>
      <c r="S881" s="198"/>
      <c r="T881" s="199"/>
      <c r="U881" s="243"/>
      <c r="V881" s="243"/>
      <c r="W881" s="243"/>
      <c r="BA881"/>
      <c r="BB881"/>
    </row>
    <row r="882" spans="1:54" s="188" customFormat="1" ht="13.5">
      <c r="A882" s="179"/>
      <c r="B882" s="175"/>
      <c r="C882" s="180" t="str">
        <f>IFERROR(IF(VLOOKUP($B882,勘定科目!$A:$H,HLOOKUP($E$5,勘定科目!$F$1:$H$2,2,0),0)="","",VLOOKUP($B882,勘定科目!$A:$E,2,0)),"")</f>
        <v/>
      </c>
      <c r="D882" s="236" t="str">
        <f>IF(C882="","",VLOOKUP($B882,勘定科目!$A:$E,4,0))</f>
        <v/>
      </c>
      <c r="E882" s="242"/>
      <c r="F882" s="237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197"/>
      <c r="S882" s="198"/>
      <c r="T882" s="199"/>
      <c r="U882" s="243"/>
      <c r="V882" s="243"/>
      <c r="W882" s="243"/>
      <c r="BA882"/>
      <c r="BB882"/>
    </row>
    <row r="883" spans="1:54" s="188" customFormat="1" ht="13.5">
      <c r="A883" s="179"/>
      <c r="B883" s="175"/>
      <c r="C883" s="180" t="str">
        <f>IFERROR(IF(VLOOKUP($B883,勘定科目!$A:$H,HLOOKUP($E$5,勘定科目!$F$1:$H$2,2,0),0)="","",VLOOKUP($B883,勘定科目!$A:$E,2,0)),"")</f>
        <v/>
      </c>
      <c r="D883" s="236" t="str">
        <f>IF(C883="","",VLOOKUP($B883,勘定科目!$A:$E,4,0))</f>
        <v/>
      </c>
      <c r="E883" s="242"/>
      <c r="F883" s="237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197"/>
      <c r="S883" s="198"/>
      <c r="T883" s="199"/>
      <c r="U883" s="243"/>
      <c r="V883" s="243"/>
      <c r="W883" s="243"/>
      <c r="BA883"/>
      <c r="BB883"/>
    </row>
    <row r="884" spans="1:54" s="188" customFormat="1" ht="13.5">
      <c r="A884" s="179"/>
      <c r="B884" s="175"/>
      <c r="C884" s="180" t="str">
        <f>IFERROR(IF(VLOOKUP($B884,勘定科目!$A:$H,HLOOKUP($E$5,勘定科目!$F$1:$H$2,2,0),0)="","",VLOOKUP($B884,勘定科目!$A:$E,2,0)),"")</f>
        <v/>
      </c>
      <c r="D884" s="236" t="str">
        <f>IF(C884="","",VLOOKUP($B884,勘定科目!$A:$E,4,0))</f>
        <v/>
      </c>
      <c r="E884" s="242"/>
      <c r="F884" s="237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197"/>
      <c r="S884" s="198"/>
      <c r="T884" s="199"/>
      <c r="U884" s="243"/>
      <c r="V884" s="243"/>
      <c r="W884" s="243"/>
      <c r="BA884"/>
      <c r="BB884"/>
    </row>
    <row r="885" spans="1:54" s="188" customFormat="1" ht="13.5">
      <c r="A885" s="179"/>
      <c r="B885" s="175"/>
      <c r="C885" s="180" t="str">
        <f>IFERROR(IF(VLOOKUP($B885,勘定科目!$A:$H,HLOOKUP($E$5,勘定科目!$F$1:$H$2,2,0),0)="","",VLOOKUP($B885,勘定科目!$A:$E,2,0)),"")</f>
        <v/>
      </c>
      <c r="D885" s="236" t="str">
        <f>IF(C885="","",VLOOKUP($B885,勘定科目!$A:$E,4,0))</f>
        <v/>
      </c>
      <c r="E885" s="242"/>
      <c r="F885" s="237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197"/>
      <c r="S885" s="198"/>
      <c r="T885" s="199"/>
      <c r="U885" s="243"/>
      <c r="V885" s="243"/>
      <c r="W885" s="243"/>
      <c r="BA885"/>
      <c r="BB885"/>
    </row>
    <row r="886" spans="1:54" s="188" customFormat="1" ht="13.5">
      <c r="A886" s="179"/>
      <c r="B886" s="175"/>
      <c r="C886" s="180" t="str">
        <f>IFERROR(IF(VLOOKUP($B886,勘定科目!$A:$H,HLOOKUP($E$5,勘定科目!$F$1:$H$2,2,0),0)="","",VLOOKUP($B886,勘定科目!$A:$E,2,0)),"")</f>
        <v/>
      </c>
      <c r="D886" s="236" t="str">
        <f>IF(C886="","",VLOOKUP($B886,勘定科目!$A:$E,4,0))</f>
        <v/>
      </c>
      <c r="E886" s="242"/>
      <c r="F886" s="237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197"/>
      <c r="S886" s="198"/>
      <c r="T886" s="199"/>
      <c r="U886" s="243"/>
      <c r="V886" s="243"/>
      <c r="W886" s="243"/>
      <c r="BA886"/>
      <c r="BB886"/>
    </row>
    <row r="887" spans="1:54" s="188" customFormat="1" ht="13.5">
      <c r="A887" s="179"/>
      <c r="B887" s="175"/>
      <c r="C887" s="180" t="str">
        <f>IFERROR(IF(VLOOKUP($B887,勘定科目!$A:$H,HLOOKUP($E$5,勘定科目!$F$1:$H$2,2,0),0)="","",VLOOKUP($B887,勘定科目!$A:$E,2,0)),"")</f>
        <v/>
      </c>
      <c r="D887" s="236" t="str">
        <f>IF(C887="","",VLOOKUP($B887,勘定科目!$A:$E,4,0))</f>
        <v/>
      </c>
      <c r="E887" s="242"/>
      <c r="F887" s="237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197"/>
      <c r="S887" s="198"/>
      <c r="T887" s="199"/>
      <c r="U887" s="243"/>
      <c r="V887" s="243"/>
      <c r="W887" s="243"/>
      <c r="BA887"/>
      <c r="BB887"/>
    </row>
    <row r="888" spans="1:54" s="188" customFormat="1" ht="13.5">
      <c r="A888" s="179"/>
      <c r="B888" s="175"/>
      <c r="C888" s="180" t="str">
        <f>IFERROR(IF(VLOOKUP($B888,勘定科目!$A:$H,HLOOKUP($E$5,勘定科目!$F$1:$H$2,2,0),0)="","",VLOOKUP($B888,勘定科目!$A:$E,2,0)),"")</f>
        <v/>
      </c>
      <c r="D888" s="236" t="str">
        <f>IF(C888="","",VLOOKUP($B888,勘定科目!$A:$E,4,0))</f>
        <v/>
      </c>
      <c r="E888" s="242"/>
      <c r="F888" s="237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197"/>
      <c r="S888" s="198"/>
      <c r="T888" s="199"/>
      <c r="U888" s="243"/>
      <c r="V888" s="243"/>
      <c r="W888" s="243"/>
      <c r="BA888"/>
      <c r="BB888"/>
    </row>
    <row r="889" spans="1:54" s="188" customFormat="1" ht="13.5">
      <c r="A889" s="179"/>
      <c r="B889" s="175"/>
      <c r="C889" s="180" t="str">
        <f>IFERROR(IF(VLOOKUP($B889,勘定科目!$A:$H,HLOOKUP($E$5,勘定科目!$F$1:$H$2,2,0),0)="","",VLOOKUP($B889,勘定科目!$A:$E,2,0)),"")</f>
        <v/>
      </c>
      <c r="D889" s="236" t="str">
        <f>IF(C889="","",VLOOKUP($B889,勘定科目!$A:$E,4,0))</f>
        <v/>
      </c>
      <c r="E889" s="242"/>
      <c r="F889" s="237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197"/>
      <c r="S889" s="198"/>
      <c r="T889" s="199"/>
      <c r="U889" s="243"/>
      <c r="V889" s="243"/>
      <c r="W889" s="243"/>
      <c r="BA889"/>
      <c r="BB889"/>
    </row>
    <row r="890" spans="1:54" s="188" customFormat="1" ht="13.5">
      <c r="A890" s="179"/>
      <c r="B890" s="175"/>
      <c r="C890" s="180" t="str">
        <f>IFERROR(IF(VLOOKUP($B890,勘定科目!$A:$H,HLOOKUP($E$5,勘定科目!$F$1:$H$2,2,0),0)="","",VLOOKUP($B890,勘定科目!$A:$E,2,0)),"")</f>
        <v/>
      </c>
      <c r="D890" s="236" t="str">
        <f>IF(C890="","",VLOOKUP($B890,勘定科目!$A:$E,4,0))</f>
        <v/>
      </c>
      <c r="E890" s="242"/>
      <c r="F890" s="237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197"/>
      <c r="S890" s="198"/>
      <c r="T890" s="199"/>
      <c r="U890" s="243"/>
      <c r="V890" s="243"/>
      <c r="W890" s="243"/>
      <c r="BA890"/>
      <c r="BB890"/>
    </row>
    <row r="891" spans="1:54" s="188" customFormat="1" ht="13.5">
      <c r="A891" s="179"/>
      <c r="B891" s="175"/>
      <c r="C891" s="180" t="str">
        <f>IFERROR(IF(VLOOKUP($B891,勘定科目!$A:$H,HLOOKUP($E$5,勘定科目!$F$1:$H$2,2,0),0)="","",VLOOKUP($B891,勘定科目!$A:$E,2,0)),"")</f>
        <v/>
      </c>
      <c r="D891" s="236" t="str">
        <f>IF(C891="","",VLOOKUP($B891,勘定科目!$A:$E,4,0))</f>
        <v/>
      </c>
      <c r="E891" s="242"/>
      <c r="F891" s="237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197"/>
      <c r="S891" s="198"/>
      <c r="T891" s="199"/>
      <c r="U891" s="243"/>
      <c r="V891" s="243"/>
      <c r="W891" s="243"/>
      <c r="BA891"/>
      <c r="BB891"/>
    </row>
    <row r="892" spans="1:54" s="188" customFormat="1" ht="13.5">
      <c r="A892" s="179"/>
      <c r="B892" s="175"/>
      <c r="C892" s="180" t="str">
        <f>IFERROR(IF(VLOOKUP($B892,勘定科目!$A:$H,HLOOKUP($E$5,勘定科目!$F$1:$H$2,2,0),0)="","",VLOOKUP($B892,勘定科目!$A:$E,2,0)),"")</f>
        <v/>
      </c>
      <c r="D892" s="236" t="str">
        <f>IF(C892="","",VLOOKUP($B892,勘定科目!$A:$E,4,0))</f>
        <v/>
      </c>
      <c r="E892" s="242"/>
      <c r="F892" s="237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197"/>
      <c r="S892" s="198"/>
      <c r="T892" s="199"/>
      <c r="U892" s="243"/>
      <c r="V892" s="243"/>
      <c r="W892" s="243"/>
      <c r="BA892"/>
      <c r="BB892"/>
    </row>
    <row r="893" spans="1:54" s="188" customFormat="1" ht="13.5">
      <c r="A893" s="179"/>
      <c r="B893" s="175"/>
      <c r="C893" s="180" t="str">
        <f>IFERROR(IF(VLOOKUP($B893,勘定科目!$A:$H,HLOOKUP($E$5,勘定科目!$F$1:$H$2,2,0),0)="","",VLOOKUP($B893,勘定科目!$A:$E,2,0)),"")</f>
        <v/>
      </c>
      <c r="D893" s="236" t="str">
        <f>IF(C893="","",VLOOKUP($B893,勘定科目!$A:$E,4,0))</f>
        <v/>
      </c>
      <c r="E893" s="242"/>
      <c r="F893" s="237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197"/>
      <c r="S893" s="198"/>
      <c r="T893" s="199"/>
      <c r="U893" s="243"/>
      <c r="V893" s="243"/>
      <c r="W893" s="243"/>
      <c r="BA893"/>
      <c r="BB893"/>
    </row>
    <row r="894" spans="1:54" s="188" customFormat="1" ht="13.5">
      <c r="A894" s="179"/>
      <c r="B894" s="175"/>
      <c r="C894" s="180" t="str">
        <f>IFERROR(IF(VLOOKUP($B894,勘定科目!$A:$H,HLOOKUP($E$5,勘定科目!$F$1:$H$2,2,0),0)="","",VLOOKUP($B894,勘定科目!$A:$E,2,0)),"")</f>
        <v/>
      </c>
      <c r="D894" s="236" t="str">
        <f>IF(C894="","",VLOOKUP($B894,勘定科目!$A:$E,4,0))</f>
        <v/>
      </c>
      <c r="E894" s="242"/>
      <c r="F894" s="237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197"/>
      <c r="S894" s="198"/>
      <c r="T894" s="199"/>
      <c r="U894" s="243"/>
      <c r="V894" s="243"/>
      <c r="W894" s="243"/>
      <c r="BA894"/>
      <c r="BB894"/>
    </row>
    <row r="895" spans="1:54" s="188" customFormat="1" ht="13.5">
      <c r="A895" s="179"/>
      <c r="B895" s="175"/>
      <c r="C895" s="180" t="str">
        <f>IFERROR(IF(VLOOKUP($B895,勘定科目!$A:$H,HLOOKUP($E$5,勘定科目!$F$1:$H$2,2,0),0)="","",VLOOKUP($B895,勘定科目!$A:$E,2,0)),"")</f>
        <v/>
      </c>
      <c r="D895" s="236" t="str">
        <f>IF(C895="","",VLOOKUP($B895,勘定科目!$A:$E,4,0))</f>
        <v/>
      </c>
      <c r="E895" s="242"/>
      <c r="F895" s="237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197"/>
      <c r="S895" s="198"/>
      <c r="T895" s="199"/>
      <c r="U895" s="243"/>
      <c r="V895" s="243"/>
      <c r="W895" s="243"/>
      <c r="BA895"/>
      <c r="BB895"/>
    </row>
    <row r="896" spans="1:54" s="188" customFormat="1" ht="13.5">
      <c r="A896" s="179"/>
      <c r="B896" s="175"/>
      <c r="C896" s="180" t="str">
        <f>IFERROR(IF(VLOOKUP($B896,勘定科目!$A:$H,HLOOKUP($E$5,勘定科目!$F$1:$H$2,2,0),0)="","",VLOOKUP($B896,勘定科目!$A:$E,2,0)),"")</f>
        <v/>
      </c>
      <c r="D896" s="236" t="str">
        <f>IF(C896="","",VLOOKUP($B896,勘定科目!$A:$E,4,0))</f>
        <v/>
      </c>
      <c r="E896" s="242"/>
      <c r="F896" s="237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197"/>
      <c r="S896" s="198"/>
      <c r="T896" s="199"/>
      <c r="U896" s="243"/>
      <c r="V896" s="243"/>
      <c r="W896" s="243"/>
      <c r="BA896"/>
      <c r="BB896"/>
    </row>
    <row r="897" spans="1:54" s="188" customFormat="1" ht="13.5">
      <c r="A897" s="179"/>
      <c r="B897" s="175"/>
      <c r="C897" s="180" t="str">
        <f>IFERROR(IF(VLOOKUP($B897,勘定科目!$A:$H,HLOOKUP($E$5,勘定科目!$F$1:$H$2,2,0),0)="","",VLOOKUP($B897,勘定科目!$A:$E,2,0)),"")</f>
        <v/>
      </c>
      <c r="D897" s="236" t="str">
        <f>IF(C897="","",VLOOKUP($B897,勘定科目!$A:$E,4,0))</f>
        <v/>
      </c>
      <c r="E897" s="242"/>
      <c r="F897" s="237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197"/>
      <c r="S897" s="198"/>
      <c r="T897" s="199"/>
      <c r="U897" s="243"/>
      <c r="V897" s="243"/>
      <c r="W897" s="243"/>
      <c r="BA897"/>
      <c r="BB897"/>
    </row>
    <row r="898" spans="1:54" s="188" customFormat="1" ht="13.5">
      <c r="A898" s="179"/>
      <c r="B898" s="175"/>
      <c r="C898" s="180" t="str">
        <f>IFERROR(IF(VLOOKUP($B898,勘定科目!$A:$H,HLOOKUP($E$5,勘定科目!$F$1:$H$2,2,0),0)="","",VLOOKUP($B898,勘定科目!$A:$E,2,0)),"")</f>
        <v/>
      </c>
      <c r="D898" s="236" t="str">
        <f>IF(C898="","",VLOOKUP($B898,勘定科目!$A:$E,4,0))</f>
        <v/>
      </c>
      <c r="E898" s="242"/>
      <c r="F898" s="237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197"/>
      <c r="S898" s="198"/>
      <c r="T898" s="199"/>
      <c r="U898" s="243"/>
      <c r="V898" s="243"/>
      <c r="W898" s="243"/>
      <c r="BA898"/>
      <c r="BB898"/>
    </row>
    <row r="899" spans="1:54" s="188" customFormat="1" ht="13.5">
      <c r="A899" s="179"/>
      <c r="B899" s="175"/>
      <c r="C899" s="180" t="str">
        <f>IFERROR(IF(VLOOKUP($B899,勘定科目!$A:$H,HLOOKUP($E$5,勘定科目!$F$1:$H$2,2,0),0)="","",VLOOKUP($B899,勘定科目!$A:$E,2,0)),"")</f>
        <v/>
      </c>
      <c r="D899" s="236" t="str">
        <f>IF(C899="","",VLOOKUP($B899,勘定科目!$A:$E,4,0))</f>
        <v/>
      </c>
      <c r="E899" s="242"/>
      <c r="F899" s="237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197"/>
      <c r="S899" s="198"/>
      <c r="T899" s="199"/>
      <c r="U899" s="243"/>
      <c r="V899" s="243"/>
      <c r="W899" s="243"/>
      <c r="BA899"/>
      <c r="BB899"/>
    </row>
    <row r="900" spans="1:54" s="188" customFormat="1" ht="13.5">
      <c r="A900" s="179"/>
      <c r="B900" s="175"/>
      <c r="C900" s="180" t="str">
        <f>IFERROR(IF(VLOOKUP($B900,勘定科目!$A:$H,HLOOKUP($E$5,勘定科目!$F$1:$H$2,2,0),0)="","",VLOOKUP($B900,勘定科目!$A:$E,2,0)),"")</f>
        <v/>
      </c>
      <c r="D900" s="236" t="str">
        <f>IF(C900="","",VLOOKUP($B900,勘定科目!$A:$E,4,0))</f>
        <v/>
      </c>
      <c r="E900" s="242"/>
      <c r="F900" s="237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197"/>
      <c r="S900" s="198"/>
      <c r="T900" s="199"/>
      <c r="U900" s="243"/>
      <c r="V900" s="243"/>
      <c r="W900" s="243"/>
      <c r="BA900"/>
      <c r="BB900"/>
    </row>
    <row r="901" spans="1:54" s="188" customFormat="1" ht="13.5">
      <c r="A901" s="179"/>
      <c r="B901" s="175"/>
      <c r="C901" s="180" t="str">
        <f>IFERROR(IF(VLOOKUP($B901,勘定科目!$A:$H,HLOOKUP($E$5,勘定科目!$F$1:$H$2,2,0),0)="","",VLOOKUP($B901,勘定科目!$A:$E,2,0)),"")</f>
        <v/>
      </c>
      <c r="D901" s="236" t="str">
        <f>IF(C901="","",VLOOKUP($B901,勘定科目!$A:$E,4,0))</f>
        <v/>
      </c>
      <c r="E901" s="242"/>
      <c r="F901" s="237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197"/>
      <c r="S901" s="198"/>
      <c r="T901" s="199"/>
      <c r="U901" s="243"/>
      <c r="V901" s="243"/>
      <c r="W901" s="243"/>
      <c r="BA901"/>
      <c r="BB901"/>
    </row>
    <row r="902" spans="1:54" s="188" customFormat="1" ht="13.5">
      <c r="A902" s="179"/>
      <c r="B902" s="175"/>
      <c r="C902" s="180" t="str">
        <f>IFERROR(IF(VLOOKUP($B902,勘定科目!$A:$H,HLOOKUP($E$5,勘定科目!$F$1:$H$2,2,0),0)="","",VLOOKUP($B902,勘定科目!$A:$E,2,0)),"")</f>
        <v/>
      </c>
      <c r="D902" s="236" t="str">
        <f>IF(C902="","",VLOOKUP($B902,勘定科目!$A:$E,4,0))</f>
        <v/>
      </c>
      <c r="E902" s="242"/>
      <c r="F902" s="237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197"/>
      <c r="S902" s="198"/>
      <c r="T902" s="199"/>
      <c r="U902" s="243"/>
      <c r="V902" s="243"/>
      <c r="W902" s="243"/>
      <c r="BA902"/>
      <c r="BB902"/>
    </row>
    <row r="903" spans="1:54" s="188" customFormat="1" ht="13.5">
      <c r="A903" s="179"/>
      <c r="B903" s="175"/>
      <c r="C903" s="180" t="str">
        <f>IFERROR(IF(VLOOKUP($B903,勘定科目!$A:$H,HLOOKUP($E$5,勘定科目!$F$1:$H$2,2,0),0)="","",VLOOKUP($B903,勘定科目!$A:$E,2,0)),"")</f>
        <v/>
      </c>
      <c r="D903" s="236" t="str">
        <f>IF(C903="","",VLOOKUP($B903,勘定科目!$A:$E,4,0))</f>
        <v/>
      </c>
      <c r="E903" s="242"/>
      <c r="F903" s="237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197"/>
      <c r="S903" s="198"/>
      <c r="T903" s="199"/>
      <c r="U903" s="243"/>
      <c r="V903" s="243"/>
      <c r="W903" s="243"/>
      <c r="BA903"/>
      <c r="BB903"/>
    </row>
    <row r="904" spans="1:54" s="188" customFormat="1" ht="13.5">
      <c r="A904" s="179"/>
      <c r="B904" s="175"/>
      <c r="C904" s="180" t="str">
        <f>IFERROR(IF(VLOOKUP($B904,勘定科目!$A:$H,HLOOKUP($E$5,勘定科目!$F$1:$H$2,2,0),0)="","",VLOOKUP($B904,勘定科目!$A:$E,2,0)),"")</f>
        <v/>
      </c>
      <c r="D904" s="236" t="str">
        <f>IF(C904="","",VLOOKUP($B904,勘定科目!$A:$E,4,0))</f>
        <v/>
      </c>
      <c r="E904" s="242"/>
      <c r="F904" s="237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197"/>
      <c r="S904" s="198"/>
      <c r="T904" s="199"/>
      <c r="U904" s="243"/>
      <c r="V904" s="243"/>
      <c r="W904" s="243"/>
      <c r="BA904"/>
      <c r="BB904"/>
    </row>
    <row r="905" spans="1:54" s="188" customFormat="1" ht="13.5">
      <c r="A905" s="179"/>
      <c r="B905" s="175"/>
      <c r="C905" s="180" t="str">
        <f>IFERROR(IF(VLOOKUP($B905,勘定科目!$A:$H,HLOOKUP($E$5,勘定科目!$F$1:$H$2,2,0),0)="","",VLOOKUP($B905,勘定科目!$A:$E,2,0)),"")</f>
        <v/>
      </c>
      <c r="D905" s="236" t="str">
        <f>IF(C905="","",VLOOKUP($B905,勘定科目!$A:$E,4,0))</f>
        <v/>
      </c>
      <c r="E905" s="242"/>
      <c r="F905" s="237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197"/>
      <c r="S905" s="198"/>
      <c r="T905" s="199"/>
      <c r="U905" s="243"/>
      <c r="V905" s="243"/>
      <c r="W905" s="243"/>
      <c r="BA905"/>
      <c r="BB905"/>
    </row>
    <row r="906" spans="1:54" s="188" customFormat="1" ht="13.5">
      <c r="A906" s="179"/>
      <c r="B906" s="175"/>
      <c r="C906" s="180" t="str">
        <f>IFERROR(IF(VLOOKUP($B906,勘定科目!$A:$H,HLOOKUP($E$5,勘定科目!$F$1:$H$2,2,0),0)="","",VLOOKUP($B906,勘定科目!$A:$E,2,0)),"")</f>
        <v/>
      </c>
      <c r="D906" s="236" t="str">
        <f>IF(C906="","",VLOOKUP($B906,勘定科目!$A:$E,4,0))</f>
        <v/>
      </c>
      <c r="E906" s="242"/>
      <c r="F906" s="237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197"/>
      <c r="S906" s="198"/>
      <c r="T906" s="199"/>
      <c r="U906" s="243"/>
      <c r="V906" s="243"/>
      <c r="W906" s="243"/>
      <c r="BA906"/>
      <c r="BB906"/>
    </row>
    <row r="907" spans="1:54" s="188" customFormat="1" ht="13.5">
      <c r="A907" s="179"/>
      <c r="B907" s="175"/>
      <c r="C907" s="180" t="str">
        <f>IFERROR(IF(VLOOKUP($B907,勘定科目!$A:$H,HLOOKUP($E$5,勘定科目!$F$1:$H$2,2,0),0)="","",VLOOKUP($B907,勘定科目!$A:$E,2,0)),"")</f>
        <v/>
      </c>
      <c r="D907" s="236" t="str">
        <f>IF(C907="","",VLOOKUP($B907,勘定科目!$A:$E,4,0))</f>
        <v/>
      </c>
      <c r="E907" s="242"/>
      <c r="F907" s="237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197"/>
      <c r="S907" s="198"/>
      <c r="T907" s="199"/>
      <c r="U907" s="243"/>
      <c r="V907" s="243"/>
      <c r="W907" s="243"/>
      <c r="BA907"/>
      <c r="BB907"/>
    </row>
    <row r="908" spans="1:54" s="188" customFormat="1" ht="13.5">
      <c r="A908" s="179"/>
      <c r="B908" s="175"/>
      <c r="C908" s="180" t="str">
        <f>IFERROR(IF(VLOOKUP($B908,勘定科目!$A:$H,HLOOKUP($E$5,勘定科目!$F$1:$H$2,2,0),0)="","",VLOOKUP($B908,勘定科目!$A:$E,2,0)),"")</f>
        <v/>
      </c>
      <c r="D908" s="236" t="str">
        <f>IF(C908="","",VLOOKUP($B908,勘定科目!$A:$E,4,0))</f>
        <v/>
      </c>
      <c r="E908" s="242"/>
      <c r="F908" s="237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197"/>
      <c r="S908" s="198"/>
      <c r="T908" s="199"/>
      <c r="U908" s="243"/>
      <c r="V908" s="243"/>
      <c r="W908" s="243"/>
      <c r="BA908"/>
      <c r="BB908"/>
    </row>
    <row r="909" spans="1:54" s="188" customFormat="1" ht="13.5">
      <c r="A909" s="179"/>
      <c r="B909" s="175"/>
      <c r="C909" s="180" t="str">
        <f>IFERROR(IF(VLOOKUP($B909,勘定科目!$A:$H,HLOOKUP($E$5,勘定科目!$F$1:$H$2,2,0),0)="","",VLOOKUP($B909,勘定科目!$A:$E,2,0)),"")</f>
        <v/>
      </c>
      <c r="D909" s="236" t="str">
        <f>IF(C909="","",VLOOKUP($B909,勘定科目!$A:$E,4,0))</f>
        <v/>
      </c>
      <c r="E909" s="242"/>
      <c r="F909" s="237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197"/>
      <c r="S909" s="198"/>
      <c r="T909" s="199"/>
      <c r="U909" s="243"/>
      <c r="V909" s="243"/>
      <c r="W909" s="243"/>
      <c r="BA909"/>
      <c r="BB909"/>
    </row>
    <row r="910" spans="1:54" s="188" customFormat="1" ht="13.5">
      <c r="A910" s="179"/>
      <c r="B910" s="175"/>
      <c r="C910" s="180" t="str">
        <f>IFERROR(IF(VLOOKUP($B910,勘定科目!$A:$H,HLOOKUP($E$5,勘定科目!$F$1:$H$2,2,0),0)="","",VLOOKUP($B910,勘定科目!$A:$E,2,0)),"")</f>
        <v/>
      </c>
      <c r="D910" s="236" t="str">
        <f>IF(C910="","",VLOOKUP($B910,勘定科目!$A:$E,4,0))</f>
        <v/>
      </c>
      <c r="E910" s="242"/>
      <c r="F910" s="237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197"/>
      <c r="S910" s="198"/>
      <c r="T910" s="199"/>
      <c r="U910" s="243"/>
      <c r="V910" s="243"/>
      <c r="W910" s="243"/>
      <c r="BA910"/>
      <c r="BB910"/>
    </row>
    <row r="911" spans="1:54" s="188" customFormat="1" ht="13.5">
      <c r="A911" s="179"/>
      <c r="B911" s="175"/>
      <c r="C911" s="180" t="str">
        <f>IFERROR(IF(VLOOKUP($B911,勘定科目!$A:$H,HLOOKUP($E$5,勘定科目!$F$1:$H$2,2,0),0)="","",VLOOKUP($B911,勘定科目!$A:$E,2,0)),"")</f>
        <v/>
      </c>
      <c r="D911" s="236" t="str">
        <f>IF(C911="","",VLOOKUP($B911,勘定科目!$A:$E,4,0))</f>
        <v/>
      </c>
      <c r="E911" s="242"/>
      <c r="F911" s="237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197"/>
      <c r="S911" s="198"/>
      <c r="T911" s="199"/>
      <c r="U911" s="243"/>
      <c r="V911" s="243"/>
      <c r="W911" s="243"/>
      <c r="BA911"/>
      <c r="BB911"/>
    </row>
    <row r="912" spans="1:54" s="188" customFormat="1" ht="13.5">
      <c r="A912" s="179"/>
      <c r="B912" s="175"/>
      <c r="C912" s="180" t="str">
        <f>IFERROR(IF(VLOOKUP($B912,勘定科目!$A:$H,HLOOKUP($E$5,勘定科目!$F$1:$H$2,2,0),0)="","",VLOOKUP($B912,勘定科目!$A:$E,2,0)),"")</f>
        <v/>
      </c>
      <c r="D912" s="236" t="str">
        <f>IF(C912="","",VLOOKUP($B912,勘定科目!$A:$E,4,0))</f>
        <v/>
      </c>
      <c r="E912" s="242"/>
      <c r="F912" s="237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197"/>
      <c r="S912" s="198"/>
      <c r="T912" s="199"/>
      <c r="U912" s="243"/>
      <c r="V912" s="243"/>
      <c r="W912" s="243"/>
      <c r="BA912"/>
      <c r="BB912"/>
    </row>
    <row r="913" spans="1:54" s="188" customFormat="1" ht="13.5">
      <c r="A913" s="179"/>
      <c r="B913" s="175"/>
      <c r="C913" s="180" t="str">
        <f>IFERROR(IF(VLOOKUP($B913,勘定科目!$A:$H,HLOOKUP($E$5,勘定科目!$F$1:$H$2,2,0),0)="","",VLOOKUP($B913,勘定科目!$A:$E,2,0)),"")</f>
        <v/>
      </c>
      <c r="D913" s="236" t="str">
        <f>IF(C913="","",VLOOKUP($B913,勘定科目!$A:$E,4,0))</f>
        <v/>
      </c>
      <c r="E913" s="242"/>
      <c r="F913" s="237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197"/>
      <c r="S913" s="198"/>
      <c r="T913" s="199"/>
      <c r="U913" s="243"/>
      <c r="V913" s="243"/>
      <c r="W913" s="243"/>
      <c r="BA913"/>
      <c r="BB913"/>
    </row>
    <row r="914" spans="1:54" s="188" customFormat="1" ht="13.5">
      <c r="A914" s="179"/>
      <c r="B914" s="175"/>
      <c r="C914" s="180" t="str">
        <f>IFERROR(IF(VLOOKUP($B914,勘定科目!$A:$H,HLOOKUP($E$5,勘定科目!$F$1:$H$2,2,0),0)="","",VLOOKUP($B914,勘定科目!$A:$E,2,0)),"")</f>
        <v/>
      </c>
      <c r="D914" s="236" t="str">
        <f>IF(C914="","",VLOOKUP($B914,勘定科目!$A:$E,4,0))</f>
        <v/>
      </c>
      <c r="E914" s="242"/>
      <c r="F914" s="237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197"/>
      <c r="S914" s="198"/>
      <c r="T914" s="199"/>
      <c r="U914" s="243"/>
      <c r="V914" s="243"/>
      <c r="W914" s="243"/>
      <c r="BA914"/>
      <c r="BB914"/>
    </row>
    <row r="915" spans="1:54" s="188" customFormat="1" ht="13.5">
      <c r="A915" s="179"/>
      <c r="B915" s="175"/>
      <c r="C915" s="180" t="str">
        <f>IFERROR(IF(VLOOKUP($B915,勘定科目!$A:$H,HLOOKUP($E$5,勘定科目!$F$1:$H$2,2,0),0)="","",VLOOKUP($B915,勘定科目!$A:$E,2,0)),"")</f>
        <v/>
      </c>
      <c r="D915" s="236" t="str">
        <f>IF(C915="","",VLOOKUP($B915,勘定科目!$A:$E,4,0))</f>
        <v/>
      </c>
      <c r="E915" s="242"/>
      <c r="F915" s="237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197"/>
      <c r="S915" s="198"/>
      <c r="T915" s="199"/>
      <c r="U915" s="243"/>
      <c r="V915" s="243"/>
      <c r="W915" s="243"/>
      <c r="BA915"/>
      <c r="BB915"/>
    </row>
    <row r="916" spans="1:54" s="188" customFormat="1" ht="13.5">
      <c r="A916" s="179"/>
      <c r="B916" s="175"/>
      <c r="C916" s="180" t="str">
        <f>IFERROR(IF(VLOOKUP($B916,勘定科目!$A:$H,HLOOKUP($E$5,勘定科目!$F$1:$H$2,2,0),0)="","",VLOOKUP($B916,勘定科目!$A:$E,2,0)),"")</f>
        <v/>
      </c>
      <c r="D916" s="236" t="str">
        <f>IF(C916="","",VLOOKUP($B916,勘定科目!$A:$E,4,0))</f>
        <v/>
      </c>
      <c r="E916" s="242"/>
      <c r="F916" s="237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197"/>
      <c r="S916" s="198"/>
      <c r="T916" s="199"/>
      <c r="U916" s="243"/>
      <c r="V916" s="243"/>
      <c r="W916" s="243"/>
      <c r="BA916"/>
      <c r="BB916"/>
    </row>
    <row r="917" spans="1:54" s="188" customFormat="1" ht="13.5">
      <c r="A917" s="179"/>
      <c r="B917" s="175"/>
      <c r="C917" s="180" t="str">
        <f>IFERROR(IF(VLOOKUP($B917,勘定科目!$A:$H,HLOOKUP($E$5,勘定科目!$F$1:$H$2,2,0),0)="","",VLOOKUP($B917,勘定科目!$A:$E,2,0)),"")</f>
        <v/>
      </c>
      <c r="D917" s="236" t="str">
        <f>IF(C917="","",VLOOKUP($B917,勘定科目!$A:$E,4,0))</f>
        <v/>
      </c>
      <c r="E917" s="242"/>
      <c r="F917" s="237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197"/>
      <c r="S917" s="198"/>
      <c r="T917" s="199"/>
      <c r="U917" s="243"/>
      <c r="V917" s="243"/>
      <c r="W917" s="243"/>
      <c r="BA917"/>
      <c r="BB917"/>
    </row>
    <row r="918" spans="1:54" s="188" customFormat="1" ht="13.5">
      <c r="A918" s="179"/>
      <c r="B918" s="175"/>
      <c r="C918" s="180" t="str">
        <f>IFERROR(IF(VLOOKUP($B918,勘定科目!$A:$H,HLOOKUP($E$5,勘定科目!$F$1:$H$2,2,0),0)="","",VLOOKUP($B918,勘定科目!$A:$E,2,0)),"")</f>
        <v/>
      </c>
      <c r="D918" s="236" t="str">
        <f>IF(C918="","",VLOOKUP($B918,勘定科目!$A:$E,4,0))</f>
        <v/>
      </c>
      <c r="E918" s="242"/>
      <c r="F918" s="237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197"/>
      <c r="S918" s="198"/>
      <c r="T918" s="199"/>
      <c r="U918" s="243"/>
      <c r="V918" s="243"/>
      <c r="W918" s="243"/>
      <c r="BA918"/>
      <c r="BB918"/>
    </row>
    <row r="919" spans="1:54" s="188" customFormat="1" ht="13.5">
      <c r="A919" s="179"/>
      <c r="B919" s="175"/>
      <c r="C919" s="180" t="str">
        <f>IFERROR(IF(VLOOKUP($B919,勘定科目!$A:$H,HLOOKUP($E$5,勘定科目!$F$1:$H$2,2,0),0)="","",VLOOKUP($B919,勘定科目!$A:$E,2,0)),"")</f>
        <v/>
      </c>
      <c r="D919" s="236" t="str">
        <f>IF(C919="","",VLOOKUP($B919,勘定科目!$A:$E,4,0))</f>
        <v/>
      </c>
      <c r="E919" s="242"/>
      <c r="F919" s="237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197"/>
      <c r="S919" s="198"/>
      <c r="T919" s="199"/>
      <c r="U919" s="243"/>
      <c r="V919" s="243"/>
      <c r="W919" s="243"/>
      <c r="BA919"/>
      <c r="BB919"/>
    </row>
    <row r="920" spans="1:54" s="188" customFormat="1" ht="13.5">
      <c r="A920" s="179"/>
      <c r="B920" s="175"/>
      <c r="C920" s="180" t="str">
        <f>IFERROR(IF(VLOOKUP($B920,勘定科目!$A:$H,HLOOKUP($E$5,勘定科目!$F$1:$H$2,2,0),0)="","",VLOOKUP($B920,勘定科目!$A:$E,2,0)),"")</f>
        <v/>
      </c>
      <c r="D920" s="236" t="str">
        <f>IF(C920="","",VLOOKUP($B920,勘定科目!$A:$E,4,0))</f>
        <v/>
      </c>
      <c r="E920" s="242"/>
      <c r="F920" s="237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197"/>
      <c r="S920" s="198"/>
      <c r="T920" s="199"/>
      <c r="U920" s="243"/>
      <c r="V920" s="243"/>
      <c r="W920" s="243"/>
      <c r="BA920"/>
      <c r="BB920"/>
    </row>
    <row r="921" spans="1:54" s="188" customFormat="1" ht="13.5">
      <c r="A921" s="179"/>
      <c r="B921" s="175"/>
      <c r="C921" s="180" t="str">
        <f>IFERROR(IF(VLOOKUP($B921,勘定科目!$A:$H,HLOOKUP($E$5,勘定科目!$F$1:$H$2,2,0),0)="","",VLOOKUP($B921,勘定科目!$A:$E,2,0)),"")</f>
        <v/>
      </c>
      <c r="D921" s="236" t="str">
        <f>IF(C921="","",VLOOKUP($B921,勘定科目!$A:$E,4,0))</f>
        <v/>
      </c>
      <c r="E921" s="242"/>
      <c r="F921" s="237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197"/>
      <c r="S921" s="198"/>
      <c r="T921" s="199"/>
      <c r="U921" s="243"/>
      <c r="V921" s="243"/>
      <c r="W921" s="243"/>
      <c r="BA921"/>
      <c r="BB921"/>
    </row>
    <row r="922" spans="1:54" s="188" customFormat="1" ht="13.5">
      <c r="A922" s="179"/>
      <c r="B922" s="175"/>
      <c r="C922" s="180" t="str">
        <f>IFERROR(IF(VLOOKUP($B922,勘定科目!$A:$H,HLOOKUP($E$5,勘定科目!$F$1:$H$2,2,0),0)="","",VLOOKUP($B922,勘定科目!$A:$E,2,0)),"")</f>
        <v/>
      </c>
      <c r="D922" s="236" t="str">
        <f>IF(C922="","",VLOOKUP($B922,勘定科目!$A:$E,4,0))</f>
        <v/>
      </c>
      <c r="E922" s="242"/>
      <c r="F922" s="237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197"/>
      <c r="S922" s="198"/>
      <c r="T922" s="199"/>
      <c r="U922" s="243"/>
      <c r="V922" s="243"/>
      <c r="W922" s="243"/>
      <c r="BA922"/>
      <c r="BB922"/>
    </row>
    <row r="923" spans="1:54" s="188" customFormat="1" ht="13.5">
      <c r="A923" s="179"/>
      <c r="B923" s="175"/>
      <c r="C923" s="180" t="str">
        <f>IFERROR(IF(VLOOKUP($B923,勘定科目!$A:$H,HLOOKUP($E$5,勘定科目!$F$1:$H$2,2,0),0)="","",VLOOKUP($B923,勘定科目!$A:$E,2,0)),"")</f>
        <v/>
      </c>
      <c r="D923" s="236" t="str">
        <f>IF(C923="","",VLOOKUP($B923,勘定科目!$A:$E,4,0))</f>
        <v/>
      </c>
      <c r="E923" s="242"/>
      <c r="F923" s="237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197"/>
      <c r="S923" s="198"/>
      <c r="T923" s="199"/>
      <c r="U923" s="243"/>
      <c r="V923" s="243"/>
      <c r="W923" s="243"/>
      <c r="BA923"/>
      <c r="BB923"/>
    </row>
    <row r="924" spans="1:54" s="188" customFormat="1" ht="13.5">
      <c r="A924" s="179"/>
      <c r="B924" s="175"/>
      <c r="C924" s="180" t="str">
        <f>IFERROR(IF(VLOOKUP($B924,勘定科目!$A:$H,HLOOKUP($E$5,勘定科目!$F$1:$H$2,2,0),0)="","",VLOOKUP($B924,勘定科目!$A:$E,2,0)),"")</f>
        <v/>
      </c>
      <c r="D924" s="236" t="str">
        <f>IF(C924="","",VLOOKUP($B924,勘定科目!$A:$E,4,0))</f>
        <v/>
      </c>
      <c r="E924" s="242"/>
      <c r="F924" s="237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197"/>
      <c r="S924" s="198"/>
      <c r="T924" s="199"/>
      <c r="U924" s="243"/>
      <c r="V924" s="243"/>
      <c r="W924" s="243"/>
      <c r="BA924"/>
      <c r="BB924"/>
    </row>
    <row r="925" spans="1:54" s="188" customFormat="1" ht="13.5">
      <c r="A925" s="179"/>
      <c r="B925" s="175"/>
      <c r="C925" s="180" t="str">
        <f>IFERROR(IF(VLOOKUP($B925,勘定科目!$A:$H,HLOOKUP($E$5,勘定科目!$F$1:$H$2,2,0),0)="","",VLOOKUP($B925,勘定科目!$A:$E,2,0)),"")</f>
        <v/>
      </c>
      <c r="D925" s="236" t="str">
        <f>IF(C925="","",VLOOKUP($B925,勘定科目!$A:$E,4,0))</f>
        <v/>
      </c>
      <c r="E925" s="242"/>
      <c r="F925" s="237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197"/>
      <c r="S925" s="198"/>
      <c r="T925" s="199"/>
      <c r="U925" s="243"/>
      <c r="V925" s="243"/>
      <c r="W925" s="243"/>
      <c r="BA925"/>
      <c r="BB925"/>
    </row>
    <row r="926" spans="1:54" s="188" customFormat="1" ht="13.5">
      <c r="A926" s="179"/>
      <c r="B926" s="175"/>
      <c r="C926" s="180" t="str">
        <f>IFERROR(IF(VLOOKUP($B926,勘定科目!$A:$H,HLOOKUP($E$5,勘定科目!$F$1:$H$2,2,0),0)="","",VLOOKUP($B926,勘定科目!$A:$E,2,0)),"")</f>
        <v/>
      </c>
      <c r="D926" s="236" t="str">
        <f>IF(C926="","",VLOOKUP($B926,勘定科目!$A:$E,4,0))</f>
        <v/>
      </c>
      <c r="E926" s="242"/>
      <c r="F926" s="237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197"/>
      <c r="S926" s="198"/>
      <c r="T926" s="199"/>
      <c r="U926" s="243"/>
      <c r="V926" s="243"/>
      <c r="W926" s="243"/>
      <c r="BA926"/>
      <c r="BB926"/>
    </row>
    <row r="927" spans="1:54" s="188" customFormat="1" ht="13.5">
      <c r="A927" s="179"/>
      <c r="B927" s="175"/>
      <c r="C927" s="180" t="str">
        <f>IFERROR(IF(VLOOKUP($B927,勘定科目!$A:$H,HLOOKUP($E$5,勘定科目!$F$1:$H$2,2,0),0)="","",VLOOKUP($B927,勘定科目!$A:$E,2,0)),"")</f>
        <v/>
      </c>
      <c r="D927" s="236" t="str">
        <f>IF(C927="","",VLOOKUP($B927,勘定科目!$A:$E,4,0))</f>
        <v/>
      </c>
      <c r="E927" s="242"/>
      <c r="F927" s="237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197"/>
      <c r="S927" s="198"/>
      <c r="T927" s="199"/>
      <c r="U927" s="243"/>
      <c r="V927" s="243"/>
      <c r="W927" s="243"/>
      <c r="BA927"/>
      <c r="BB927"/>
    </row>
    <row r="928" spans="1:54" s="188" customFormat="1" ht="13.5">
      <c r="A928" s="179"/>
      <c r="B928" s="175"/>
      <c r="C928" s="180" t="str">
        <f>IFERROR(IF(VLOOKUP($B928,勘定科目!$A:$H,HLOOKUP($E$5,勘定科目!$F$1:$H$2,2,0),0)="","",VLOOKUP($B928,勘定科目!$A:$E,2,0)),"")</f>
        <v/>
      </c>
      <c r="D928" s="236" t="str">
        <f>IF(C928="","",VLOOKUP($B928,勘定科目!$A:$E,4,0))</f>
        <v/>
      </c>
      <c r="E928" s="242"/>
      <c r="F928" s="237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197"/>
      <c r="S928" s="198"/>
      <c r="T928" s="199"/>
      <c r="U928" s="243"/>
      <c r="V928" s="243"/>
      <c r="W928" s="243"/>
      <c r="BA928"/>
      <c r="BB928"/>
    </row>
    <row r="929" spans="1:54" s="188" customFormat="1" ht="13.5">
      <c r="A929" s="179"/>
      <c r="B929" s="175"/>
      <c r="C929" s="180" t="str">
        <f>IFERROR(IF(VLOOKUP($B929,勘定科目!$A:$H,HLOOKUP($E$5,勘定科目!$F$1:$H$2,2,0),0)="","",VLOOKUP($B929,勘定科目!$A:$E,2,0)),"")</f>
        <v/>
      </c>
      <c r="D929" s="236" t="str">
        <f>IF(C929="","",VLOOKUP($B929,勘定科目!$A:$E,4,0))</f>
        <v/>
      </c>
      <c r="E929" s="242"/>
      <c r="F929" s="237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197"/>
      <c r="S929" s="198"/>
      <c r="T929" s="199"/>
      <c r="U929" s="243"/>
      <c r="V929" s="243"/>
      <c r="W929" s="243"/>
      <c r="BA929"/>
      <c r="BB929"/>
    </row>
    <row r="930" spans="1:54" s="188" customFormat="1" ht="13.5">
      <c r="A930" s="179"/>
      <c r="B930" s="175"/>
      <c r="C930" s="180" t="str">
        <f>IFERROR(IF(VLOOKUP($B930,勘定科目!$A:$H,HLOOKUP($E$5,勘定科目!$F$1:$H$2,2,0),0)="","",VLOOKUP($B930,勘定科目!$A:$E,2,0)),"")</f>
        <v/>
      </c>
      <c r="D930" s="236" t="str">
        <f>IF(C930="","",VLOOKUP($B930,勘定科目!$A:$E,4,0))</f>
        <v/>
      </c>
      <c r="E930" s="242"/>
      <c r="F930" s="237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197"/>
      <c r="S930" s="198"/>
      <c r="T930" s="199"/>
      <c r="U930" s="243"/>
      <c r="V930" s="243"/>
      <c r="W930" s="243"/>
      <c r="BA930"/>
      <c r="BB930"/>
    </row>
    <row r="931" spans="1:54" s="188" customFormat="1" ht="13.5">
      <c r="A931" s="179"/>
      <c r="B931" s="175"/>
      <c r="C931" s="180" t="str">
        <f>IFERROR(IF(VLOOKUP($B931,勘定科目!$A:$H,HLOOKUP($E$5,勘定科目!$F$1:$H$2,2,0),0)="","",VLOOKUP($B931,勘定科目!$A:$E,2,0)),"")</f>
        <v/>
      </c>
      <c r="D931" s="236" t="str">
        <f>IF(C931="","",VLOOKUP($B931,勘定科目!$A:$E,4,0))</f>
        <v/>
      </c>
      <c r="E931" s="242"/>
      <c r="F931" s="237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197"/>
      <c r="S931" s="198"/>
      <c r="T931" s="199"/>
      <c r="U931" s="243"/>
      <c r="V931" s="243"/>
      <c r="W931" s="243"/>
      <c r="BA931"/>
      <c r="BB931"/>
    </row>
    <row r="932" spans="1:54" s="188" customFormat="1" ht="13.5">
      <c r="A932" s="179"/>
      <c r="B932" s="175"/>
      <c r="C932" s="180" t="str">
        <f>IFERROR(IF(VLOOKUP($B932,勘定科目!$A:$H,HLOOKUP($E$5,勘定科目!$F$1:$H$2,2,0),0)="","",VLOOKUP($B932,勘定科目!$A:$E,2,0)),"")</f>
        <v/>
      </c>
      <c r="D932" s="236" t="str">
        <f>IF(C932="","",VLOOKUP($B932,勘定科目!$A:$E,4,0))</f>
        <v/>
      </c>
      <c r="E932" s="242"/>
      <c r="F932" s="237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197"/>
      <c r="S932" s="198"/>
      <c r="T932" s="199"/>
      <c r="U932" s="243"/>
      <c r="V932" s="243"/>
      <c r="W932" s="243"/>
      <c r="BA932"/>
      <c r="BB932"/>
    </row>
    <row r="933" spans="1:54" s="188" customFormat="1" ht="13.5">
      <c r="A933" s="179"/>
      <c r="B933" s="175"/>
      <c r="C933" s="180" t="str">
        <f>IFERROR(IF(VLOOKUP($B933,勘定科目!$A:$H,HLOOKUP($E$5,勘定科目!$F$1:$H$2,2,0),0)="","",VLOOKUP($B933,勘定科目!$A:$E,2,0)),"")</f>
        <v/>
      </c>
      <c r="D933" s="236" t="str">
        <f>IF(C933="","",VLOOKUP($B933,勘定科目!$A:$E,4,0))</f>
        <v/>
      </c>
      <c r="E933" s="242"/>
      <c r="F933" s="237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197"/>
      <c r="S933" s="198"/>
      <c r="T933" s="199"/>
      <c r="U933" s="243"/>
      <c r="V933" s="243"/>
      <c r="W933" s="243"/>
      <c r="BA933"/>
      <c r="BB933"/>
    </row>
    <row r="934" spans="1:54" s="188" customFormat="1" ht="13.5">
      <c r="A934" s="179"/>
      <c r="B934" s="175"/>
      <c r="C934" s="180" t="str">
        <f>IFERROR(IF(VLOOKUP($B934,勘定科目!$A:$H,HLOOKUP($E$5,勘定科目!$F$1:$H$2,2,0),0)="","",VLOOKUP($B934,勘定科目!$A:$E,2,0)),"")</f>
        <v/>
      </c>
      <c r="D934" s="236" t="str">
        <f>IF(C934="","",VLOOKUP($B934,勘定科目!$A:$E,4,0))</f>
        <v/>
      </c>
      <c r="E934" s="242"/>
      <c r="F934" s="237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197"/>
      <c r="S934" s="198"/>
      <c r="T934" s="199"/>
      <c r="U934" s="243"/>
      <c r="V934" s="243"/>
      <c r="W934" s="243"/>
      <c r="BA934"/>
      <c r="BB934"/>
    </row>
    <row r="935" spans="1:54" s="188" customFormat="1" ht="13.5">
      <c r="A935" s="179"/>
      <c r="B935" s="175"/>
      <c r="C935" s="180" t="str">
        <f>IFERROR(IF(VLOOKUP($B935,勘定科目!$A:$H,HLOOKUP($E$5,勘定科目!$F$1:$H$2,2,0),0)="","",VLOOKUP($B935,勘定科目!$A:$E,2,0)),"")</f>
        <v/>
      </c>
      <c r="D935" s="236" t="str">
        <f>IF(C935="","",VLOOKUP($B935,勘定科目!$A:$E,4,0))</f>
        <v/>
      </c>
      <c r="E935" s="242"/>
      <c r="F935" s="237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197"/>
      <c r="S935" s="198"/>
      <c r="T935" s="199"/>
      <c r="U935" s="243"/>
      <c r="V935" s="243"/>
      <c r="W935" s="243"/>
      <c r="BA935"/>
      <c r="BB935"/>
    </row>
    <row r="936" spans="1:54" s="188" customFormat="1" ht="13.5">
      <c r="A936" s="179"/>
      <c r="B936" s="175"/>
      <c r="C936" s="180" t="str">
        <f>IFERROR(IF(VLOOKUP($B936,勘定科目!$A:$H,HLOOKUP($E$5,勘定科目!$F$1:$H$2,2,0),0)="","",VLOOKUP($B936,勘定科目!$A:$E,2,0)),"")</f>
        <v/>
      </c>
      <c r="D936" s="236" t="str">
        <f>IF(C936="","",VLOOKUP($B936,勘定科目!$A:$E,4,0))</f>
        <v/>
      </c>
      <c r="E936" s="242"/>
      <c r="F936" s="237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197"/>
      <c r="S936" s="198"/>
      <c r="T936" s="199"/>
      <c r="U936" s="243"/>
      <c r="V936" s="243"/>
      <c r="W936" s="243"/>
      <c r="BA936"/>
      <c r="BB936"/>
    </row>
    <row r="937" spans="1:54" s="188" customFormat="1" ht="13.5">
      <c r="A937" s="179"/>
      <c r="B937" s="175"/>
      <c r="C937" s="180" t="str">
        <f>IFERROR(IF(VLOOKUP($B937,勘定科目!$A:$H,HLOOKUP($E$5,勘定科目!$F$1:$H$2,2,0),0)="","",VLOOKUP($B937,勘定科目!$A:$E,2,0)),"")</f>
        <v/>
      </c>
      <c r="D937" s="236" t="str">
        <f>IF(C937="","",VLOOKUP($B937,勘定科目!$A:$E,4,0))</f>
        <v/>
      </c>
      <c r="E937" s="242"/>
      <c r="F937" s="237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197"/>
      <c r="S937" s="198"/>
      <c r="T937" s="199"/>
      <c r="U937" s="243"/>
      <c r="V937" s="243"/>
      <c r="W937" s="243"/>
      <c r="BA937"/>
      <c r="BB937"/>
    </row>
    <row r="938" spans="1:54" s="188" customFormat="1" ht="13.5">
      <c r="A938" s="179"/>
      <c r="B938" s="175"/>
      <c r="C938" s="180" t="str">
        <f>IFERROR(IF(VLOOKUP($B938,勘定科目!$A:$H,HLOOKUP($E$5,勘定科目!$F$1:$H$2,2,0),0)="","",VLOOKUP($B938,勘定科目!$A:$E,2,0)),"")</f>
        <v/>
      </c>
      <c r="D938" s="236" t="str">
        <f>IF(C938="","",VLOOKUP($B938,勘定科目!$A:$E,4,0))</f>
        <v/>
      </c>
      <c r="E938" s="242"/>
      <c r="F938" s="237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197"/>
      <c r="S938" s="198"/>
      <c r="T938" s="199"/>
      <c r="U938" s="243"/>
      <c r="V938" s="243"/>
      <c r="W938" s="243"/>
      <c r="BA938"/>
      <c r="BB938"/>
    </row>
    <row r="939" spans="1:54" s="188" customFormat="1" ht="13.5">
      <c r="A939" s="179"/>
      <c r="B939" s="175"/>
      <c r="C939" s="180" t="str">
        <f>IFERROR(IF(VLOOKUP($B939,勘定科目!$A:$H,HLOOKUP($E$5,勘定科目!$F$1:$H$2,2,0),0)="","",VLOOKUP($B939,勘定科目!$A:$E,2,0)),"")</f>
        <v/>
      </c>
      <c r="D939" s="236" t="str">
        <f>IF(C939="","",VLOOKUP($B939,勘定科目!$A:$E,4,0))</f>
        <v/>
      </c>
      <c r="E939" s="242"/>
      <c r="F939" s="237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197"/>
      <c r="S939" s="198"/>
      <c r="T939" s="199"/>
      <c r="U939" s="243"/>
      <c r="V939" s="243"/>
      <c r="W939" s="243"/>
      <c r="BA939"/>
      <c r="BB939"/>
    </row>
    <row r="940" spans="1:54" s="188" customFormat="1" ht="13.5">
      <c r="A940" s="179"/>
      <c r="B940" s="175"/>
      <c r="C940" s="180" t="str">
        <f>IFERROR(IF(VLOOKUP($B940,勘定科目!$A:$H,HLOOKUP($E$5,勘定科目!$F$1:$H$2,2,0),0)="","",VLOOKUP($B940,勘定科目!$A:$E,2,0)),"")</f>
        <v/>
      </c>
      <c r="D940" s="236" t="str">
        <f>IF(C940="","",VLOOKUP($B940,勘定科目!$A:$E,4,0))</f>
        <v/>
      </c>
      <c r="E940" s="242"/>
      <c r="F940" s="237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197"/>
      <c r="S940" s="198"/>
      <c r="T940" s="199"/>
      <c r="U940" s="243"/>
      <c r="V940" s="243"/>
      <c r="W940" s="243"/>
      <c r="BA940"/>
      <c r="BB940"/>
    </row>
    <row r="941" spans="1:54" s="188" customFormat="1" ht="13.5">
      <c r="A941" s="179"/>
      <c r="B941" s="175"/>
      <c r="C941" s="180" t="str">
        <f>IFERROR(IF(VLOOKUP($B941,勘定科目!$A:$H,HLOOKUP($E$5,勘定科目!$F$1:$H$2,2,0),0)="","",VLOOKUP($B941,勘定科目!$A:$E,2,0)),"")</f>
        <v/>
      </c>
      <c r="D941" s="236" t="str">
        <f>IF(C941="","",VLOOKUP($B941,勘定科目!$A:$E,4,0))</f>
        <v/>
      </c>
      <c r="E941" s="242"/>
      <c r="F941" s="237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197"/>
      <c r="S941" s="198"/>
      <c r="T941" s="199"/>
      <c r="U941" s="243"/>
      <c r="V941" s="243"/>
      <c r="W941" s="243"/>
      <c r="BA941"/>
      <c r="BB941"/>
    </row>
    <row r="942" spans="1:54" s="188" customFormat="1" ht="13.5">
      <c r="A942" s="179"/>
      <c r="B942" s="175"/>
      <c r="C942" s="180" t="str">
        <f>IFERROR(IF(VLOOKUP($B942,勘定科目!$A:$H,HLOOKUP($E$5,勘定科目!$F$1:$H$2,2,0),0)="","",VLOOKUP($B942,勘定科目!$A:$E,2,0)),"")</f>
        <v/>
      </c>
      <c r="D942" s="236" t="str">
        <f>IF(C942="","",VLOOKUP($B942,勘定科目!$A:$E,4,0))</f>
        <v/>
      </c>
      <c r="E942" s="242"/>
      <c r="F942" s="237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197"/>
      <c r="S942" s="198"/>
      <c r="T942" s="199"/>
      <c r="U942" s="243"/>
      <c r="V942" s="243"/>
      <c r="W942" s="243"/>
      <c r="BA942"/>
      <c r="BB942"/>
    </row>
    <row r="943" spans="1:54" s="188" customFormat="1" ht="13.5">
      <c r="A943" s="179"/>
      <c r="B943" s="175"/>
      <c r="C943" s="180" t="str">
        <f>IFERROR(IF(VLOOKUP($B943,勘定科目!$A:$H,HLOOKUP($E$5,勘定科目!$F$1:$H$2,2,0),0)="","",VLOOKUP($B943,勘定科目!$A:$E,2,0)),"")</f>
        <v/>
      </c>
      <c r="D943" s="236" t="str">
        <f>IF(C943="","",VLOOKUP($B943,勘定科目!$A:$E,4,0))</f>
        <v/>
      </c>
      <c r="E943" s="242"/>
      <c r="F943" s="237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197"/>
      <c r="S943" s="198"/>
      <c r="T943" s="199"/>
      <c r="U943" s="243"/>
      <c r="V943" s="243"/>
      <c r="W943" s="243"/>
      <c r="BA943"/>
      <c r="BB943"/>
    </row>
    <row r="944" spans="1:54" s="188" customFormat="1" ht="13.5">
      <c r="A944" s="179"/>
      <c r="B944" s="175"/>
      <c r="C944" s="180" t="str">
        <f>IFERROR(IF(VLOOKUP($B944,勘定科目!$A:$H,HLOOKUP($E$5,勘定科目!$F$1:$H$2,2,0),0)="","",VLOOKUP($B944,勘定科目!$A:$E,2,0)),"")</f>
        <v/>
      </c>
      <c r="D944" s="236" t="str">
        <f>IF(C944="","",VLOOKUP($B944,勘定科目!$A:$E,4,0))</f>
        <v/>
      </c>
      <c r="E944" s="242"/>
      <c r="F944" s="237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197"/>
      <c r="S944" s="198"/>
      <c r="T944" s="199"/>
      <c r="U944" s="243"/>
      <c r="V944" s="243"/>
      <c r="W944" s="243"/>
      <c r="BA944"/>
      <c r="BB944"/>
    </row>
    <row r="945" spans="1:54" s="188" customFormat="1" ht="13.5">
      <c r="A945" s="179"/>
      <c r="B945" s="175"/>
      <c r="C945" s="180" t="str">
        <f>IFERROR(IF(VLOOKUP($B945,勘定科目!$A:$H,HLOOKUP($E$5,勘定科目!$F$1:$H$2,2,0),0)="","",VLOOKUP($B945,勘定科目!$A:$E,2,0)),"")</f>
        <v/>
      </c>
      <c r="D945" s="236" t="str">
        <f>IF(C945="","",VLOOKUP($B945,勘定科目!$A:$E,4,0))</f>
        <v/>
      </c>
      <c r="E945" s="242"/>
      <c r="F945" s="237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197"/>
      <c r="S945" s="198"/>
      <c r="T945" s="199"/>
      <c r="U945" s="243"/>
      <c r="V945" s="243"/>
      <c r="W945" s="243"/>
      <c r="BA945"/>
      <c r="BB945"/>
    </row>
    <row r="946" spans="1:54" s="188" customFormat="1" ht="13.5">
      <c r="A946" s="179"/>
      <c r="B946" s="175"/>
      <c r="C946" s="180" t="str">
        <f>IFERROR(IF(VLOOKUP($B946,勘定科目!$A:$H,HLOOKUP($E$5,勘定科目!$F$1:$H$2,2,0),0)="","",VLOOKUP($B946,勘定科目!$A:$E,2,0)),"")</f>
        <v/>
      </c>
      <c r="D946" s="236" t="str">
        <f>IF(C946="","",VLOOKUP($B946,勘定科目!$A:$E,4,0))</f>
        <v/>
      </c>
      <c r="E946" s="242"/>
      <c r="F946" s="237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197"/>
      <c r="S946" s="198"/>
      <c r="T946" s="199"/>
      <c r="U946" s="243"/>
      <c r="V946" s="243"/>
      <c r="W946" s="243"/>
      <c r="BA946"/>
      <c r="BB946"/>
    </row>
    <row r="947" spans="1:54" s="188" customFormat="1" ht="13.5">
      <c r="A947" s="179"/>
      <c r="B947" s="175"/>
      <c r="C947" s="180" t="str">
        <f>IFERROR(IF(VLOOKUP($B947,勘定科目!$A:$H,HLOOKUP($E$5,勘定科目!$F$1:$H$2,2,0),0)="","",VLOOKUP($B947,勘定科目!$A:$E,2,0)),"")</f>
        <v/>
      </c>
      <c r="D947" s="236" t="str">
        <f>IF(C947="","",VLOOKUP($B947,勘定科目!$A:$E,4,0))</f>
        <v/>
      </c>
      <c r="E947" s="242"/>
      <c r="F947" s="237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197"/>
      <c r="S947" s="198"/>
      <c r="T947" s="199"/>
      <c r="U947" s="243"/>
      <c r="V947" s="243"/>
      <c r="W947" s="243"/>
      <c r="BA947"/>
      <c r="BB947"/>
    </row>
    <row r="948" spans="1:54" s="188" customFormat="1" ht="13.5">
      <c r="A948" s="179"/>
      <c r="B948" s="175"/>
      <c r="C948" s="180" t="str">
        <f>IFERROR(IF(VLOOKUP($B948,勘定科目!$A:$H,HLOOKUP($E$5,勘定科目!$F$1:$H$2,2,0),0)="","",VLOOKUP($B948,勘定科目!$A:$E,2,0)),"")</f>
        <v/>
      </c>
      <c r="D948" s="236" t="str">
        <f>IF(C948="","",VLOOKUP($B948,勘定科目!$A:$E,4,0))</f>
        <v/>
      </c>
      <c r="E948" s="242"/>
      <c r="F948" s="237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197"/>
      <c r="S948" s="198"/>
      <c r="T948" s="199"/>
      <c r="U948" s="243"/>
      <c r="V948" s="243"/>
      <c r="W948" s="243"/>
      <c r="BA948"/>
      <c r="BB948"/>
    </row>
    <row r="949" spans="1:54" s="188" customFormat="1" ht="13.5">
      <c r="A949" s="179"/>
      <c r="B949" s="175"/>
      <c r="C949" s="180" t="str">
        <f>IFERROR(IF(VLOOKUP($B949,勘定科目!$A:$H,HLOOKUP($E$5,勘定科目!$F$1:$H$2,2,0),0)="","",VLOOKUP($B949,勘定科目!$A:$E,2,0)),"")</f>
        <v/>
      </c>
      <c r="D949" s="236" t="str">
        <f>IF(C949="","",VLOOKUP($B949,勘定科目!$A:$E,4,0))</f>
        <v/>
      </c>
      <c r="E949" s="242"/>
      <c r="F949" s="237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197"/>
      <c r="S949" s="198"/>
      <c r="T949" s="199"/>
      <c r="U949" s="243"/>
      <c r="V949" s="243"/>
      <c r="W949" s="243"/>
      <c r="BA949"/>
      <c r="BB949"/>
    </row>
    <row r="950" spans="1:54" s="188" customFormat="1" ht="13.5">
      <c r="A950" s="179"/>
      <c r="B950" s="175"/>
      <c r="C950" s="180" t="str">
        <f>IFERROR(IF(VLOOKUP($B950,勘定科目!$A:$H,HLOOKUP($E$5,勘定科目!$F$1:$H$2,2,0),0)="","",VLOOKUP($B950,勘定科目!$A:$E,2,0)),"")</f>
        <v/>
      </c>
      <c r="D950" s="236" t="str">
        <f>IF(C950="","",VLOOKUP($B950,勘定科目!$A:$E,4,0))</f>
        <v/>
      </c>
      <c r="E950" s="242"/>
      <c r="F950" s="237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197"/>
      <c r="S950" s="198"/>
      <c r="T950" s="199"/>
      <c r="U950" s="243"/>
      <c r="V950" s="243"/>
      <c r="W950" s="243"/>
      <c r="BA950"/>
      <c r="BB950"/>
    </row>
    <row r="951" spans="1:54" s="188" customFormat="1" ht="13.5">
      <c r="A951" s="179"/>
      <c r="B951" s="175"/>
      <c r="C951" s="180" t="str">
        <f>IFERROR(IF(VLOOKUP($B951,勘定科目!$A:$H,HLOOKUP($E$5,勘定科目!$F$1:$H$2,2,0),0)="","",VLOOKUP($B951,勘定科目!$A:$E,2,0)),"")</f>
        <v/>
      </c>
      <c r="D951" s="236" t="str">
        <f>IF(C951="","",VLOOKUP($B951,勘定科目!$A:$E,4,0))</f>
        <v/>
      </c>
      <c r="E951" s="242"/>
      <c r="F951" s="237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197"/>
      <c r="S951" s="198"/>
      <c r="T951" s="199"/>
      <c r="U951" s="243"/>
      <c r="V951" s="243"/>
      <c r="W951" s="243"/>
      <c r="BA951"/>
      <c r="BB951"/>
    </row>
    <row r="952" spans="1:54" s="188" customFormat="1" ht="13.5">
      <c r="A952" s="179"/>
      <c r="B952" s="175"/>
      <c r="C952" s="180" t="str">
        <f>IFERROR(IF(VLOOKUP($B952,勘定科目!$A:$H,HLOOKUP($E$5,勘定科目!$F$1:$H$2,2,0),0)="","",VLOOKUP($B952,勘定科目!$A:$E,2,0)),"")</f>
        <v/>
      </c>
      <c r="D952" s="236" t="str">
        <f>IF(C952="","",VLOOKUP($B952,勘定科目!$A:$E,4,0))</f>
        <v/>
      </c>
      <c r="E952" s="242"/>
      <c r="F952" s="237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197"/>
      <c r="S952" s="198"/>
      <c r="T952" s="199"/>
      <c r="U952" s="243"/>
      <c r="V952" s="243"/>
      <c r="W952" s="243"/>
      <c r="BA952"/>
      <c r="BB952"/>
    </row>
    <row r="953" spans="1:54" s="188" customFormat="1" ht="13.5">
      <c r="A953" s="179"/>
      <c r="B953" s="175"/>
      <c r="C953" s="180" t="str">
        <f>IFERROR(IF(VLOOKUP($B953,勘定科目!$A:$H,HLOOKUP($E$5,勘定科目!$F$1:$H$2,2,0),0)="","",VLOOKUP($B953,勘定科目!$A:$E,2,0)),"")</f>
        <v/>
      </c>
      <c r="D953" s="236" t="str">
        <f>IF(C953="","",VLOOKUP($B953,勘定科目!$A:$E,4,0))</f>
        <v/>
      </c>
      <c r="E953" s="242"/>
      <c r="F953" s="237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197"/>
      <c r="S953" s="198"/>
      <c r="T953" s="199"/>
      <c r="U953" s="243"/>
      <c r="V953" s="243"/>
      <c r="W953" s="243"/>
      <c r="BA953"/>
      <c r="BB953"/>
    </row>
    <row r="954" spans="1:54" s="188" customFormat="1" ht="13.5">
      <c r="A954" s="179"/>
      <c r="B954" s="175"/>
      <c r="C954" s="180" t="str">
        <f>IFERROR(IF(VLOOKUP($B954,勘定科目!$A:$H,HLOOKUP($E$5,勘定科目!$F$1:$H$2,2,0),0)="","",VLOOKUP($B954,勘定科目!$A:$E,2,0)),"")</f>
        <v/>
      </c>
      <c r="D954" s="236" t="str">
        <f>IF(C954="","",VLOOKUP($B954,勘定科目!$A:$E,4,0))</f>
        <v/>
      </c>
      <c r="E954" s="242"/>
      <c r="F954" s="237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197"/>
      <c r="S954" s="198"/>
      <c r="T954" s="199"/>
      <c r="U954" s="243"/>
      <c r="V954" s="243"/>
      <c r="W954" s="243"/>
      <c r="BA954"/>
      <c r="BB954"/>
    </row>
    <row r="955" spans="1:54" s="188" customFormat="1" ht="13.5">
      <c r="A955" s="179"/>
      <c r="B955" s="175"/>
      <c r="C955" s="180" t="str">
        <f>IFERROR(IF(VLOOKUP($B955,勘定科目!$A:$H,HLOOKUP($E$5,勘定科目!$F$1:$H$2,2,0),0)="","",VLOOKUP($B955,勘定科目!$A:$E,2,0)),"")</f>
        <v/>
      </c>
      <c r="D955" s="236" t="str">
        <f>IF(C955="","",VLOOKUP($B955,勘定科目!$A:$E,4,0))</f>
        <v/>
      </c>
      <c r="E955" s="242"/>
      <c r="F955" s="237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197"/>
      <c r="S955" s="198"/>
      <c r="T955" s="199"/>
      <c r="U955" s="243"/>
      <c r="V955" s="243"/>
      <c r="W955" s="243"/>
      <c r="BA955"/>
      <c r="BB955"/>
    </row>
    <row r="956" spans="1:54" s="188" customFormat="1" ht="13.5">
      <c r="A956" s="179"/>
      <c r="B956" s="175"/>
      <c r="C956" s="180" t="str">
        <f>IFERROR(IF(VLOOKUP($B956,勘定科目!$A:$H,HLOOKUP($E$5,勘定科目!$F$1:$H$2,2,0),0)="","",VLOOKUP($B956,勘定科目!$A:$E,2,0)),"")</f>
        <v/>
      </c>
      <c r="D956" s="236" t="str">
        <f>IF(C956="","",VLOOKUP($B956,勘定科目!$A:$E,4,0))</f>
        <v/>
      </c>
      <c r="E956" s="242"/>
      <c r="F956" s="237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197"/>
      <c r="S956" s="198"/>
      <c r="T956" s="199"/>
      <c r="U956" s="243"/>
      <c r="V956" s="243"/>
      <c r="W956" s="243"/>
      <c r="BA956"/>
      <c r="BB956"/>
    </row>
    <row r="957" spans="1:54" s="188" customFormat="1" ht="13.5">
      <c r="A957" s="179"/>
      <c r="B957" s="175"/>
      <c r="C957" s="180" t="str">
        <f>IFERROR(IF(VLOOKUP($B957,勘定科目!$A:$H,HLOOKUP($E$5,勘定科目!$F$1:$H$2,2,0),0)="","",VLOOKUP($B957,勘定科目!$A:$E,2,0)),"")</f>
        <v/>
      </c>
      <c r="D957" s="236" t="str">
        <f>IF(C957="","",VLOOKUP($B957,勘定科目!$A:$E,4,0))</f>
        <v/>
      </c>
      <c r="E957" s="242"/>
      <c r="F957" s="237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197"/>
      <c r="S957" s="198"/>
      <c r="T957" s="199"/>
      <c r="U957" s="243"/>
      <c r="V957" s="243"/>
      <c r="W957" s="243"/>
      <c r="BA957"/>
      <c r="BB957"/>
    </row>
    <row r="958" spans="1:54" s="188" customFormat="1" ht="13.5">
      <c r="A958" s="179"/>
      <c r="B958" s="175"/>
      <c r="C958" s="180" t="str">
        <f>IFERROR(IF(VLOOKUP($B958,勘定科目!$A:$H,HLOOKUP($E$5,勘定科目!$F$1:$H$2,2,0),0)="","",VLOOKUP($B958,勘定科目!$A:$E,2,0)),"")</f>
        <v/>
      </c>
      <c r="D958" s="236" t="str">
        <f>IF(C958="","",VLOOKUP($B958,勘定科目!$A:$E,4,0))</f>
        <v/>
      </c>
      <c r="E958" s="242"/>
      <c r="F958" s="237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197"/>
      <c r="S958" s="198"/>
      <c r="T958" s="199"/>
      <c r="U958" s="243"/>
      <c r="V958" s="243"/>
      <c r="W958" s="243"/>
      <c r="BA958"/>
      <c r="BB958"/>
    </row>
    <row r="959" spans="1:54" s="188" customFormat="1" ht="13.5">
      <c r="A959" s="179"/>
      <c r="B959" s="175"/>
      <c r="C959" s="180" t="str">
        <f>IFERROR(IF(VLOOKUP($B959,勘定科目!$A:$H,HLOOKUP($E$5,勘定科目!$F$1:$H$2,2,0),0)="","",VLOOKUP($B959,勘定科目!$A:$E,2,0)),"")</f>
        <v/>
      </c>
      <c r="D959" s="236" t="str">
        <f>IF(C959="","",VLOOKUP($B959,勘定科目!$A:$E,4,0))</f>
        <v/>
      </c>
      <c r="E959" s="242"/>
      <c r="F959" s="237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197"/>
      <c r="S959" s="198"/>
      <c r="T959" s="199"/>
      <c r="U959" s="243"/>
      <c r="V959" s="243"/>
      <c r="W959" s="243"/>
      <c r="BA959"/>
      <c r="BB959"/>
    </row>
    <row r="960" spans="1:54" s="188" customFormat="1" ht="13.5">
      <c r="A960" s="179"/>
      <c r="B960" s="175"/>
      <c r="C960" s="180" t="str">
        <f>IFERROR(IF(VLOOKUP($B960,勘定科目!$A:$H,HLOOKUP($E$5,勘定科目!$F$1:$H$2,2,0),0)="","",VLOOKUP($B960,勘定科目!$A:$E,2,0)),"")</f>
        <v/>
      </c>
      <c r="D960" s="236" t="str">
        <f>IF(C960="","",VLOOKUP($B960,勘定科目!$A:$E,4,0))</f>
        <v/>
      </c>
      <c r="E960" s="242"/>
      <c r="F960" s="237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197"/>
      <c r="S960" s="198"/>
      <c r="T960" s="199"/>
      <c r="U960" s="243"/>
      <c r="V960" s="243"/>
      <c r="W960" s="243"/>
      <c r="BA960"/>
      <c r="BB960"/>
    </row>
    <row r="961" spans="1:54" s="188" customFormat="1" ht="13.5">
      <c r="A961" s="179"/>
      <c r="B961" s="175"/>
      <c r="C961" s="180" t="str">
        <f>IFERROR(IF(VLOOKUP($B961,勘定科目!$A:$H,HLOOKUP($E$5,勘定科目!$F$1:$H$2,2,0),0)="","",VLOOKUP($B961,勘定科目!$A:$E,2,0)),"")</f>
        <v/>
      </c>
      <c r="D961" s="236" t="str">
        <f>IF(C961="","",VLOOKUP($B961,勘定科目!$A:$E,4,0))</f>
        <v/>
      </c>
      <c r="E961" s="242"/>
      <c r="F961" s="237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197"/>
      <c r="S961" s="198"/>
      <c r="T961" s="199"/>
      <c r="U961" s="243"/>
      <c r="V961" s="243"/>
      <c r="W961" s="243"/>
      <c r="BA961"/>
      <c r="BB961"/>
    </row>
    <row r="962" spans="1:54" s="188" customFormat="1" ht="13.5">
      <c r="A962" s="179"/>
      <c r="B962" s="175"/>
      <c r="C962" s="180" t="str">
        <f>IFERROR(IF(VLOOKUP($B962,勘定科目!$A:$H,HLOOKUP($E$5,勘定科目!$F$1:$H$2,2,0),0)="","",VLOOKUP($B962,勘定科目!$A:$E,2,0)),"")</f>
        <v/>
      </c>
      <c r="D962" s="236" t="str">
        <f>IF(C962="","",VLOOKUP($B962,勘定科目!$A:$E,4,0))</f>
        <v/>
      </c>
      <c r="E962" s="242"/>
      <c r="F962" s="237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197"/>
      <c r="S962" s="198"/>
      <c r="T962" s="199"/>
      <c r="U962" s="243"/>
      <c r="V962" s="243"/>
      <c r="W962" s="243"/>
      <c r="BA962"/>
      <c r="BB962"/>
    </row>
    <row r="963" spans="1:54" s="188" customFormat="1" ht="13.5">
      <c r="A963" s="179"/>
      <c r="B963" s="175"/>
      <c r="C963" s="180" t="str">
        <f>IFERROR(IF(VLOOKUP($B963,勘定科目!$A:$H,HLOOKUP($E$5,勘定科目!$F$1:$H$2,2,0),0)="","",VLOOKUP($B963,勘定科目!$A:$E,2,0)),"")</f>
        <v/>
      </c>
      <c r="D963" s="236" t="str">
        <f>IF(C963="","",VLOOKUP($B963,勘定科目!$A:$E,4,0))</f>
        <v/>
      </c>
      <c r="E963" s="242"/>
      <c r="F963" s="237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197"/>
      <c r="S963" s="198"/>
      <c r="T963" s="199"/>
      <c r="U963" s="243"/>
      <c r="V963" s="243"/>
      <c r="W963" s="243"/>
      <c r="BA963"/>
      <c r="BB963"/>
    </row>
    <row r="964" spans="1:54" s="188" customFormat="1" ht="13.5">
      <c r="A964" s="179"/>
      <c r="B964" s="175"/>
      <c r="C964" s="180" t="str">
        <f>IFERROR(IF(VLOOKUP($B964,勘定科目!$A:$H,HLOOKUP($E$5,勘定科目!$F$1:$H$2,2,0),0)="","",VLOOKUP($B964,勘定科目!$A:$E,2,0)),"")</f>
        <v/>
      </c>
      <c r="D964" s="236" t="str">
        <f>IF(C964="","",VLOOKUP($B964,勘定科目!$A:$E,4,0))</f>
        <v/>
      </c>
      <c r="E964" s="242"/>
      <c r="F964" s="237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197"/>
      <c r="S964" s="198"/>
      <c r="T964" s="199"/>
      <c r="U964" s="243"/>
      <c r="V964" s="243"/>
      <c r="W964" s="243"/>
      <c r="BA964"/>
      <c r="BB964"/>
    </row>
    <row r="965" spans="1:54" s="188" customFormat="1" ht="13.5">
      <c r="A965" s="179"/>
      <c r="B965" s="175"/>
      <c r="C965" s="180" t="str">
        <f>IFERROR(IF(VLOOKUP($B965,勘定科目!$A:$H,HLOOKUP($E$5,勘定科目!$F$1:$H$2,2,0),0)="","",VLOOKUP($B965,勘定科目!$A:$E,2,0)),"")</f>
        <v/>
      </c>
      <c r="D965" s="236" t="str">
        <f>IF(C965="","",VLOOKUP($B965,勘定科目!$A:$E,4,0))</f>
        <v/>
      </c>
      <c r="E965" s="242"/>
      <c r="F965" s="237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197"/>
      <c r="S965" s="198"/>
      <c r="T965" s="199"/>
      <c r="U965" s="243"/>
      <c r="V965" s="243"/>
      <c r="W965" s="243"/>
      <c r="BA965"/>
      <c r="BB965"/>
    </row>
    <row r="966" spans="1:54" s="188" customFormat="1" ht="13.5">
      <c r="A966" s="179"/>
      <c r="B966" s="175"/>
      <c r="C966" s="180" t="str">
        <f>IFERROR(IF(VLOOKUP($B966,勘定科目!$A:$H,HLOOKUP($E$5,勘定科目!$F$1:$H$2,2,0),0)="","",VLOOKUP($B966,勘定科目!$A:$E,2,0)),"")</f>
        <v/>
      </c>
      <c r="D966" s="236" t="str">
        <f>IF(C966="","",VLOOKUP($B966,勘定科目!$A:$E,4,0))</f>
        <v/>
      </c>
      <c r="E966" s="242"/>
      <c r="F966" s="237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197"/>
      <c r="S966" s="198"/>
      <c r="T966" s="199"/>
      <c r="U966" s="243"/>
      <c r="V966" s="243"/>
      <c r="W966" s="243"/>
      <c r="BA966"/>
      <c r="BB966"/>
    </row>
    <row r="967" spans="1:54" s="188" customFormat="1" ht="13.5">
      <c r="A967" s="179"/>
      <c r="B967" s="175"/>
      <c r="C967" s="180" t="str">
        <f>IFERROR(IF(VLOOKUP($B967,勘定科目!$A:$H,HLOOKUP($E$5,勘定科目!$F$1:$H$2,2,0),0)="","",VLOOKUP($B967,勘定科目!$A:$E,2,0)),"")</f>
        <v/>
      </c>
      <c r="D967" s="236" t="str">
        <f>IF(C967="","",VLOOKUP($B967,勘定科目!$A:$E,4,0))</f>
        <v/>
      </c>
      <c r="E967" s="242"/>
      <c r="F967" s="237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197"/>
      <c r="S967" s="198"/>
      <c r="T967" s="199"/>
      <c r="U967" s="243"/>
      <c r="V967" s="243"/>
      <c r="W967" s="243"/>
      <c r="BA967"/>
      <c r="BB967"/>
    </row>
    <row r="968" spans="1:54" s="188" customFormat="1" ht="13.5">
      <c r="A968" s="179"/>
      <c r="B968" s="175"/>
      <c r="C968" s="180" t="str">
        <f>IFERROR(IF(VLOOKUP($B968,勘定科目!$A:$H,HLOOKUP($E$5,勘定科目!$F$1:$H$2,2,0),0)="","",VLOOKUP($B968,勘定科目!$A:$E,2,0)),"")</f>
        <v/>
      </c>
      <c r="D968" s="236" t="str">
        <f>IF(C968="","",VLOOKUP($B968,勘定科目!$A:$E,4,0))</f>
        <v/>
      </c>
      <c r="E968" s="242"/>
      <c r="F968" s="237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197"/>
      <c r="S968" s="198"/>
      <c r="T968" s="199"/>
      <c r="U968" s="243"/>
      <c r="V968" s="243"/>
      <c r="W968" s="243"/>
      <c r="BA968"/>
      <c r="BB968"/>
    </row>
    <row r="969" spans="1:54" s="188" customFormat="1" ht="13.5">
      <c r="A969" s="179"/>
      <c r="B969" s="175"/>
      <c r="C969" s="180" t="str">
        <f>IFERROR(IF(VLOOKUP($B969,勘定科目!$A:$H,HLOOKUP($E$5,勘定科目!$F$1:$H$2,2,0),0)="","",VLOOKUP($B969,勘定科目!$A:$E,2,0)),"")</f>
        <v/>
      </c>
      <c r="D969" s="236" t="str">
        <f>IF(C969="","",VLOOKUP($B969,勘定科目!$A:$E,4,0))</f>
        <v/>
      </c>
      <c r="E969" s="242"/>
      <c r="F969" s="237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197"/>
      <c r="S969" s="198"/>
      <c r="T969" s="199"/>
      <c r="U969" s="243"/>
      <c r="V969" s="243"/>
      <c r="W969" s="243"/>
      <c r="BA969"/>
      <c r="BB969"/>
    </row>
    <row r="970" spans="1:54" s="188" customFormat="1" ht="13.5">
      <c r="A970" s="179"/>
      <c r="B970" s="175"/>
      <c r="C970" s="180" t="str">
        <f>IFERROR(IF(VLOOKUP($B970,勘定科目!$A:$H,HLOOKUP($E$5,勘定科目!$F$1:$H$2,2,0),0)="","",VLOOKUP($B970,勘定科目!$A:$E,2,0)),"")</f>
        <v/>
      </c>
      <c r="D970" s="236" t="str">
        <f>IF(C970="","",VLOOKUP($B970,勘定科目!$A:$E,4,0))</f>
        <v/>
      </c>
      <c r="E970" s="242"/>
      <c r="F970" s="237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197"/>
      <c r="S970" s="198"/>
      <c r="T970" s="199"/>
      <c r="U970" s="243"/>
      <c r="V970" s="243"/>
      <c r="W970" s="243"/>
      <c r="BA970"/>
      <c r="BB970"/>
    </row>
    <row r="971" spans="1:54" s="188" customFormat="1" ht="13.5">
      <c r="A971" s="179"/>
      <c r="B971" s="175"/>
      <c r="C971" s="180" t="str">
        <f>IFERROR(IF(VLOOKUP($B971,勘定科目!$A:$H,HLOOKUP($E$5,勘定科目!$F$1:$H$2,2,0),0)="","",VLOOKUP($B971,勘定科目!$A:$E,2,0)),"")</f>
        <v/>
      </c>
      <c r="D971" s="236" t="str">
        <f>IF(C971="","",VLOOKUP($B971,勘定科目!$A:$E,4,0))</f>
        <v/>
      </c>
      <c r="E971" s="242"/>
      <c r="F971" s="237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197"/>
      <c r="S971" s="198"/>
      <c r="T971" s="199"/>
      <c r="U971" s="243"/>
      <c r="V971" s="243"/>
      <c r="W971" s="243"/>
      <c r="BA971"/>
      <c r="BB971"/>
    </row>
    <row r="972" spans="1:54" s="188" customFormat="1" ht="13.5">
      <c r="A972" s="179"/>
      <c r="B972" s="175"/>
      <c r="C972" s="180" t="str">
        <f>IFERROR(IF(VLOOKUP($B972,勘定科目!$A:$H,HLOOKUP($E$5,勘定科目!$F$1:$H$2,2,0),0)="","",VLOOKUP($B972,勘定科目!$A:$E,2,0)),"")</f>
        <v/>
      </c>
      <c r="D972" s="236" t="str">
        <f>IF(C972="","",VLOOKUP($B972,勘定科目!$A:$E,4,0))</f>
        <v/>
      </c>
      <c r="E972" s="242"/>
      <c r="F972" s="237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197"/>
      <c r="S972" s="198"/>
      <c r="T972" s="199"/>
      <c r="U972" s="243"/>
      <c r="V972" s="243"/>
      <c r="W972" s="243"/>
      <c r="BA972"/>
      <c r="BB972"/>
    </row>
    <row r="973" spans="1:54" s="188" customFormat="1" ht="13.5">
      <c r="A973" s="179"/>
      <c r="B973" s="175"/>
      <c r="C973" s="180" t="str">
        <f>IFERROR(IF(VLOOKUP($B973,勘定科目!$A:$H,HLOOKUP($E$5,勘定科目!$F$1:$H$2,2,0),0)="","",VLOOKUP($B973,勘定科目!$A:$E,2,0)),"")</f>
        <v/>
      </c>
      <c r="D973" s="236" t="str">
        <f>IF(C973="","",VLOOKUP($B973,勘定科目!$A:$E,4,0))</f>
        <v/>
      </c>
      <c r="E973" s="242"/>
      <c r="F973" s="237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197"/>
      <c r="S973" s="198"/>
      <c r="T973" s="199"/>
      <c r="U973" s="243"/>
      <c r="V973" s="243"/>
      <c r="W973" s="243"/>
      <c r="BA973"/>
      <c r="BB973"/>
    </row>
    <row r="974" spans="1:54" s="188" customFormat="1" ht="13.5">
      <c r="A974" s="179"/>
      <c r="B974" s="175"/>
      <c r="C974" s="180" t="str">
        <f>IFERROR(IF(VLOOKUP($B974,勘定科目!$A:$H,HLOOKUP($E$5,勘定科目!$F$1:$H$2,2,0),0)="","",VLOOKUP($B974,勘定科目!$A:$E,2,0)),"")</f>
        <v/>
      </c>
      <c r="D974" s="236" t="str">
        <f>IF(C974="","",VLOOKUP($B974,勘定科目!$A:$E,4,0))</f>
        <v/>
      </c>
      <c r="E974" s="242"/>
      <c r="F974" s="237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197"/>
      <c r="S974" s="198"/>
      <c r="T974" s="199"/>
      <c r="U974" s="243"/>
      <c r="V974" s="243"/>
      <c r="W974" s="243"/>
      <c r="BA974"/>
      <c r="BB974"/>
    </row>
    <row r="975" spans="1:54" s="188" customFormat="1" ht="13.5">
      <c r="A975" s="179"/>
      <c r="B975" s="175"/>
      <c r="C975" s="180" t="str">
        <f>IFERROR(IF(VLOOKUP($B975,勘定科目!$A:$H,HLOOKUP($E$5,勘定科目!$F$1:$H$2,2,0),0)="","",VLOOKUP($B975,勘定科目!$A:$E,2,0)),"")</f>
        <v/>
      </c>
      <c r="D975" s="236" t="str">
        <f>IF(C975="","",VLOOKUP($B975,勘定科目!$A:$E,4,0))</f>
        <v/>
      </c>
      <c r="E975" s="242"/>
      <c r="F975" s="237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197"/>
      <c r="S975" s="198"/>
      <c r="T975" s="199"/>
      <c r="U975" s="243"/>
      <c r="V975" s="243"/>
      <c r="W975" s="243"/>
      <c r="BA975"/>
      <c r="BB975"/>
    </row>
    <row r="976" spans="1:54" s="188" customFormat="1" ht="13.5">
      <c r="A976" s="179"/>
      <c r="B976" s="175"/>
      <c r="C976" s="180" t="str">
        <f>IFERROR(IF(VLOOKUP($B976,勘定科目!$A:$H,HLOOKUP($E$5,勘定科目!$F$1:$H$2,2,0),0)="","",VLOOKUP($B976,勘定科目!$A:$E,2,0)),"")</f>
        <v/>
      </c>
      <c r="D976" s="236" t="str">
        <f>IF(C976="","",VLOOKUP($B976,勘定科目!$A:$E,4,0))</f>
        <v/>
      </c>
      <c r="E976" s="242"/>
      <c r="F976" s="237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197"/>
      <c r="S976" s="198"/>
      <c r="T976" s="199"/>
      <c r="U976" s="243"/>
      <c r="V976" s="243"/>
      <c r="W976" s="243"/>
      <c r="BA976"/>
      <c r="BB976"/>
    </row>
    <row r="977" spans="1:54" s="188" customFormat="1" ht="13.5">
      <c r="A977" s="179"/>
      <c r="B977" s="175"/>
      <c r="C977" s="180" t="str">
        <f>IFERROR(IF(VLOOKUP($B977,勘定科目!$A:$H,HLOOKUP($E$5,勘定科目!$F$1:$H$2,2,0),0)="","",VLOOKUP($B977,勘定科目!$A:$E,2,0)),"")</f>
        <v/>
      </c>
      <c r="D977" s="236" t="str">
        <f>IF(C977="","",VLOOKUP($B977,勘定科目!$A:$E,4,0))</f>
        <v/>
      </c>
      <c r="E977" s="242"/>
      <c r="F977" s="237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197"/>
      <c r="S977" s="198"/>
      <c r="T977" s="199"/>
      <c r="U977" s="243"/>
      <c r="V977" s="243"/>
      <c r="W977" s="243"/>
      <c r="BA977"/>
      <c r="BB977"/>
    </row>
    <row r="978" spans="1:54" s="188" customFormat="1" ht="13.5">
      <c r="A978" s="179"/>
      <c r="B978" s="175"/>
      <c r="C978" s="180" t="str">
        <f>IFERROR(IF(VLOOKUP($B978,勘定科目!$A:$H,HLOOKUP($E$5,勘定科目!$F$1:$H$2,2,0),0)="","",VLOOKUP($B978,勘定科目!$A:$E,2,0)),"")</f>
        <v/>
      </c>
      <c r="D978" s="236" t="str">
        <f>IF(C978="","",VLOOKUP($B978,勘定科目!$A:$E,4,0))</f>
        <v/>
      </c>
      <c r="E978" s="242"/>
      <c r="F978" s="237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197"/>
      <c r="S978" s="198"/>
      <c r="T978" s="199"/>
      <c r="U978" s="243"/>
      <c r="V978" s="243"/>
      <c r="W978" s="243"/>
      <c r="BA978"/>
      <c r="BB978"/>
    </row>
    <row r="979" spans="1:54" s="188" customFormat="1" ht="13.5">
      <c r="A979" s="179"/>
      <c r="B979" s="175"/>
      <c r="C979" s="180" t="str">
        <f>IFERROR(IF(VLOOKUP($B979,勘定科目!$A:$H,HLOOKUP($E$5,勘定科目!$F$1:$H$2,2,0),0)="","",VLOOKUP($B979,勘定科目!$A:$E,2,0)),"")</f>
        <v/>
      </c>
      <c r="D979" s="236" t="str">
        <f>IF(C979="","",VLOOKUP($B979,勘定科目!$A:$E,4,0))</f>
        <v/>
      </c>
      <c r="E979" s="242"/>
      <c r="F979" s="237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197"/>
      <c r="S979" s="198"/>
      <c r="T979" s="199"/>
      <c r="U979" s="243"/>
      <c r="V979" s="243"/>
      <c r="W979" s="243"/>
      <c r="BA979"/>
      <c r="BB979"/>
    </row>
    <row r="980" spans="1:54" s="188" customFormat="1" ht="13.5">
      <c r="A980" s="179"/>
      <c r="B980" s="175"/>
      <c r="C980" s="180" t="str">
        <f>IFERROR(IF(VLOOKUP($B980,勘定科目!$A:$H,HLOOKUP($E$5,勘定科目!$F$1:$H$2,2,0),0)="","",VLOOKUP($B980,勘定科目!$A:$E,2,0)),"")</f>
        <v/>
      </c>
      <c r="D980" s="236" t="str">
        <f>IF(C980="","",VLOOKUP($B980,勘定科目!$A:$E,4,0))</f>
        <v/>
      </c>
      <c r="E980" s="242"/>
      <c r="F980" s="237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197"/>
      <c r="S980" s="198"/>
      <c r="T980" s="199"/>
      <c r="U980" s="243"/>
      <c r="V980" s="243"/>
      <c r="W980" s="243"/>
      <c r="BA980"/>
      <c r="BB980"/>
    </row>
    <row r="981" spans="1:54" s="188" customFormat="1" ht="13.5">
      <c r="A981" s="179"/>
      <c r="B981" s="175"/>
      <c r="C981" s="180" t="str">
        <f>IFERROR(IF(VLOOKUP($B981,勘定科目!$A:$H,HLOOKUP($E$5,勘定科目!$F$1:$H$2,2,0),0)="","",VLOOKUP($B981,勘定科目!$A:$E,2,0)),"")</f>
        <v/>
      </c>
      <c r="D981" s="236" t="str">
        <f>IF(C981="","",VLOOKUP($B981,勘定科目!$A:$E,4,0))</f>
        <v/>
      </c>
      <c r="E981" s="242"/>
      <c r="F981" s="237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197"/>
      <c r="S981" s="198"/>
      <c r="T981" s="199"/>
      <c r="U981" s="243"/>
      <c r="V981" s="243"/>
      <c r="W981" s="243"/>
      <c r="BA981"/>
      <c r="BB981"/>
    </row>
    <row r="982" spans="1:54" s="188" customFormat="1" ht="13.5">
      <c r="A982" s="179"/>
      <c r="B982" s="175"/>
      <c r="C982" s="180" t="str">
        <f>IFERROR(IF(VLOOKUP($B982,勘定科目!$A:$H,HLOOKUP($E$5,勘定科目!$F$1:$H$2,2,0),0)="","",VLOOKUP($B982,勘定科目!$A:$E,2,0)),"")</f>
        <v/>
      </c>
      <c r="D982" s="236" t="str">
        <f>IF(C982="","",VLOOKUP($B982,勘定科目!$A:$E,4,0))</f>
        <v/>
      </c>
      <c r="E982" s="242"/>
      <c r="F982" s="237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197"/>
      <c r="S982" s="198"/>
      <c r="T982" s="199"/>
      <c r="U982" s="243"/>
      <c r="V982" s="243"/>
      <c r="W982" s="243"/>
      <c r="BA982"/>
      <c r="BB982"/>
    </row>
    <row r="983" spans="1:54" s="188" customFormat="1" ht="13.5">
      <c r="A983" s="179"/>
      <c r="B983" s="175"/>
      <c r="C983" s="180" t="str">
        <f>IFERROR(IF(VLOOKUP($B983,勘定科目!$A:$H,HLOOKUP($E$5,勘定科目!$F$1:$H$2,2,0),0)="","",VLOOKUP($B983,勘定科目!$A:$E,2,0)),"")</f>
        <v/>
      </c>
      <c r="D983" s="236" t="str">
        <f>IF(C983="","",VLOOKUP($B983,勘定科目!$A:$E,4,0))</f>
        <v/>
      </c>
      <c r="E983" s="242"/>
      <c r="F983" s="237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197"/>
      <c r="S983" s="198"/>
      <c r="T983" s="199"/>
      <c r="U983" s="243"/>
      <c r="V983" s="243"/>
      <c r="W983" s="243"/>
      <c r="BA983"/>
      <c r="BB983"/>
    </row>
    <row r="984" spans="1:54" s="188" customFormat="1" ht="13.5">
      <c r="A984" s="179"/>
      <c r="B984" s="175"/>
      <c r="C984" s="180" t="str">
        <f>IFERROR(IF(VLOOKUP($B984,勘定科目!$A:$H,HLOOKUP($E$5,勘定科目!$F$1:$H$2,2,0),0)="","",VLOOKUP($B984,勘定科目!$A:$E,2,0)),"")</f>
        <v/>
      </c>
      <c r="D984" s="236" t="str">
        <f>IF(C984="","",VLOOKUP($B984,勘定科目!$A:$E,4,0))</f>
        <v/>
      </c>
      <c r="E984" s="242"/>
      <c r="F984" s="237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197"/>
      <c r="S984" s="198"/>
      <c r="T984" s="199"/>
      <c r="U984" s="243"/>
      <c r="V984" s="243"/>
      <c r="W984" s="243"/>
      <c r="BA984"/>
      <c r="BB984"/>
    </row>
    <row r="985" spans="1:54" s="188" customFormat="1" ht="13.5">
      <c r="A985" s="179"/>
      <c r="B985" s="175"/>
      <c r="C985" s="180" t="str">
        <f>IFERROR(IF(VLOOKUP($B985,勘定科目!$A:$H,HLOOKUP($E$5,勘定科目!$F$1:$H$2,2,0),0)="","",VLOOKUP($B985,勘定科目!$A:$E,2,0)),"")</f>
        <v/>
      </c>
      <c r="D985" s="236" t="str">
        <f>IF(C985="","",VLOOKUP($B985,勘定科目!$A:$E,4,0))</f>
        <v/>
      </c>
      <c r="E985" s="242"/>
      <c r="F985" s="237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197"/>
      <c r="S985" s="198"/>
      <c r="T985" s="199"/>
      <c r="U985" s="243"/>
      <c r="V985" s="243"/>
      <c r="W985" s="243"/>
      <c r="BA985"/>
      <c r="BB985"/>
    </row>
    <row r="986" spans="1:54" s="188" customFormat="1" ht="13.5">
      <c r="A986" s="179"/>
      <c r="B986" s="175"/>
      <c r="C986" s="180" t="str">
        <f>IFERROR(IF(VLOOKUP($B986,勘定科目!$A:$H,HLOOKUP($E$5,勘定科目!$F$1:$H$2,2,0),0)="","",VLOOKUP($B986,勘定科目!$A:$E,2,0)),"")</f>
        <v/>
      </c>
      <c r="D986" s="236" t="str">
        <f>IF(C986="","",VLOOKUP($B986,勘定科目!$A:$E,4,0))</f>
        <v/>
      </c>
      <c r="E986" s="242"/>
      <c r="F986" s="237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197"/>
      <c r="S986" s="198"/>
      <c r="T986" s="199"/>
      <c r="U986" s="243"/>
      <c r="V986" s="243"/>
      <c r="W986" s="243"/>
      <c r="BA986"/>
      <c r="BB986"/>
    </row>
    <row r="987" spans="1:54" s="188" customFormat="1" ht="13.5">
      <c r="A987" s="179"/>
      <c r="B987" s="175"/>
      <c r="C987" s="180" t="str">
        <f>IFERROR(IF(VLOOKUP($B987,勘定科目!$A:$H,HLOOKUP($E$5,勘定科目!$F$1:$H$2,2,0),0)="","",VLOOKUP($B987,勘定科目!$A:$E,2,0)),"")</f>
        <v/>
      </c>
      <c r="D987" s="236" t="str">
        <f>IF(C987="","",VLOOKUP($B987,勘定科目!$A:$E,4,0))</f>
        <v/>
      </c>
      <c r="E987" s="242"/>
      <c r="F987" s="237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197"/>
      <c r="S987" s="198"/>
      <c r="T987" s="199"/>
      <c r="U987" s="243"/>
      <c r="V987" s="243"/>
      <c r="W987" s="243"/>
      <c r="BA987"/>
      <c r="BB987"/>
    </row>
    <row r="988" spans="1:54" s="188" customFormat="1" ht="13.5">
      <c r="A988" s="179"/>
      <c r="B988" s="175"/>
      <c r="C988" s="180" t="str">
        <f>IFERROR(IF(VLOOKUP($B988,勘定科目!$A:$H,HLOOKUP($E$5,勘定科目!$F$1:$H$2,2,0),0)="","",VLOOKUP($B988,勘定科目!$A:$E,2,0)),"")</f>
        <v/>
      </c>
      <c r="D988" s="236" t="str">
        <f>IF(C988="","",VLOOKUP($B988,勘定科目!$A:$E,4,0))</f>
        <v/>
      </c>
      <c r="E988" s="242"/>
      <c r="F988" s="237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197"/>
      <c r="S988" s="198"/>
      <c r="T988" s="199"/>
      <c r="U988" s="243"/>
      <c r="V988" s="243"/>
      <c r="W988" s="243"/>
      <c r="BA988"/>
      <c r="BB988"/>
    </row>
    <row r="989" spans="1:54" s="188" customFormat="1" ht="13.5">
      <c r="A989" s="179"/>
      <c r="B989" s="175"/>
      <c r="C989" s="180" t="str">
        <f>IFERROR(IF(VLOOKUP($B989,勘定科目!$A:$H,HLOOKUP($E$5,勘定科目!$F$1:$H$2,2,0),0)="","",VLOOKUP($B989,勘定科目!$A:$E,2,0)),"")</f>
        <v/>
      </c>
      <c r="D989" s="236" t="str">
        <f>IF(C989="","",VLOOKUP($B989,勘定科目!$A:$E,4,0))</f>
        <v/>
      </c>
      <c r="E989" s="242"/>
      <c r="F989" s="237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197"/>
      <c r="S989" s="198"/>
      <c r="T989" s="199"/>
      <c r="U989" s="243"/>
      <c r="V989" s="243"/>
      <c r="W989" s="243"/>
      <c r="BA989"/>
      <c r="BB989"/>
    </row>
    <row r="990" spans="1:54" s="188" customFormat="1" ht="13.5">
      <c r="A990" s="179"/>
      <c r="B990" s="175"/>
      <c r="C990" s="180" t="str">
        <f>IFERROR(IF(VLOOKUP($B990,勘定科目!$A:$H,HLOOKUP($E$5,勘定科目!$F$1:$H$2,2,0),0)="","",VLOOKUP($B990,勘定科目!$A:$E,2,0)),"")</f>
        <v/>
      </c>
      <c r="D990" s="236" t="str">
        <f>IF(C990="","",VLOOKUP($B990,勘定科目!$A:$E,4,0))</f>
        <v/>
      </c>
      <c r="E990" s="242"/>
      <c r="F990" s="237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197"/>
      <c r="S990" s="198"/>
      <c r="T990" s="199"/>
      <c r="U990" s="243"/>
      <c r="V990" s="243"/>
      <c r="W990" s="243"/>
      <c r="BA990"/>
      <c r="BB990"/>
    </row>
    <row r="991" spans="1:54" s="188" customFormat="1" ht="13.5">
      <c r="A991" s="179"/>
      <c r="B991" s="175"/>
      <c r="C991" s="180" t="str">
        <f>IFERROR(IF(VLOOKUP($B991,勘定科目!$A:$H,HLOOKUP($E$5,勘定科目!$F$1:$H$2,2,0),0)="","",VLOOKUP($B991,勘定科目!$A:$E,2,0)),"")</f>
        <v/>
      </c>
      <c r="D991" s="236" t="str">
        <f>IF(C991="","",VLOOKUP($B991,勘定科目!$A:$E,4,0))</f>
        <v/>
      </c>
      <c r="E991" s="242"/>
      <c r="F991" s="237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197"/>
      <c r="S991" s="198"/>
      <c r="T991" s="199"/>
      <c r="U991" s="243"/>
      <c r="V991" s="243"/>
      <c r="W991" s="243"/>
      <c r="BA991"/>
      <c r="BB991"/>
    </row>
    <row r="992" spans="1:54" s="188" customFormat="1" ht="13.5">
      <c r="A992" s="179"/>
      <c r="B992" s="175"/>
      <c r="C992" s="180" t="str">
        <f>IFERROR(IF(VLOOKUP($B992,勘定科目!$A:$H,HLOOKUP($E$5,勘定科目!$F$1:$H$2,2,0),0)="","",VLOOKUP($B992,勘定科目!$A:$E,2,0)),"")</f>
        <v/>
      </c>
      <c r="D992" s="236" t="str">
        <f>IF(C992="","",VLOOKUP($B992,勘定科目!$A:$E,4,0))</f>
        <v/>
      </c>
      <c r="E992" s="242"/>
      <c r="F992" s="237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197"/>
      <c r="S992" s="198"/>
      <c r="T992" s="199"/>
      <c r="U992" s="243"/>
      <c r="V992" s="243"/>
      <c r="W992" s="243"/>
      <c r="BA992"/>
      <c r="BB992"/>
    </row>
    <row r="993" spans="1:54" s="188" customFormat="1" ht="13.5">
      <c r="A993" s="179"/>
      <c r="B993" s="175"/>
      <c r="C993" s="180" t="str">
        <f>IFERROR(IF(VLOOKUP($B993,勘定科目!$A:$H,HLOOKUP($E$5,勘定科目!$F$1:$H$2,2,0),0)="","",VLOOKUP($B993,勘定科目!$A:$E,2,0)),"")</f>
        <v/>
      </c>
      <c r="D993" s="236" t="str">
        <f>IF(C993="","",VLOOKUP($B993,勘定科目!$A:$E,4,0))</f>
        <v/>
      </c>
      <c r="E993" s="242"/>
      <c r="F993" s="237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197"/>
      <c r="S993" s="198"/>
      <c r="T993" s="199"/>
      <c r="U993" s="243"/>
      <c r="V993" s="243"/>
      <c r="W993" s="243"/>
      <c r="BA993"/>
      <c r="BB993"/>
    </row>
    <row r="994" spans="1:54" s="188" customFormat="1" ht="13.5">
      <c r="A994" s="179"/>
      <c r="B994" s="175"/>
      <c r="C994" s="180" t="str">
        <f>IFERROR(IF(VLOOKUP($B994,勘定科目!$A:$H,HLOOKUP($E$5,勘定科目!$F$1:$H$2,2,0),0)="","",VLOOKUP($B994,勘定科目!$A:$E,2,0)),"")</f>
        <v/>
      </c>
      <c r="D994" s="236" t="str">
        <f>IF(C994="","",VLOOKUP($B994,勘定科目!$A:$E,4,0))</f>
        <v/>
      </c>
      <c r="E994" s="242"/>
      <c r="F994" s="237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197"/>
      <c r="S994" s="198"/>
      <c r="T994" s="199"/>
      <c r="U994" s="243"/>
      <c r="V994" s="243"/>
      <c r="W994" s="243"/>
      <c r="BA994"/>
      <c r="BB994"/>
    </row>
    <row r="995" spans="1:54" s="188" customFormat="1" ht="13.5">
      <c r="A995" s="179"/>
      <c r="B995" s="175"/>
      <c r="C995" s="180" t="str">
        <f>IFERROR(IF(VLOOKUP($B995,勘定科目!$A:$H,HLOOKUP($E$5,勘定科目!$F$1:$H$2,2,0),0)="","",VLOOKUP($B995,勘定科目!$A:$E,2,0)),"")</f>
        <v/>
      </c>
      <c r="D995" s="236" t="str">
        <f>IF(C995="","",VLOOKUP($B995,勘定科目!$A:$E,4,0))</f>
        <v/>
      </c>
      <c r="E995" s="242"/>
      <c r="F995" s="237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197"/>
      <c r="S995" s="198"/>
      <c r="T995" s="199"/>
      <c r="U995" s="243"/>
      <c r="V995" s="243"/>
      <c r="W995" s="243"/>
      <c r="BA995"/>
      <c r="BB995"/>
    </row>
    <row r="996" spans="1:54" s="188" customFormat="1" ht="13.5">
      <c r="A996" s="179"/>
      <c r="B996" s="175"/>
      <c r="C996" s="180" t="str">
        <f>IFERROR(IF(VLOOKUP($B996,勘定科目!$A:$H,HLOOKUP($E$5,勘定科目!$F$1:$H$2,2,0),0)="","",VLOOKUP($B996,勘定科目!$A:$E,2,0)),"")</f>
        <v/>
      </c>
      <c r="D996" s="236" t="str">
        <f>IF(C996="","",VLOOKUP($B996,勘定科目!$A:$E,4,0))</f>
        <v/>
      </c>
      <c r="E996" s="242"/>
      <c r="F996" s="237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197"/>
      <c r="S996" s="198"/>
      <c r="T996" s="199"/>
      <c r="U996" s="243"/>
      <c r="V996" s="243"/>
      <c r="W996" s="243"/>
      <c r="BA996"/>
      <c r="BB996"/>
    </row>
    <row r="997" spans="1:54" s="188" customFormat="1" ht="13.5">
      <c r="A997" s="179"/>
      <c r="B997" s="175"/>
      <c r="C997" s="180" t="str">
        <f>IFERROR(IF(VLOOKUP($B997,勘定科目!$A:$H,HLOOKUP($E$5,勘定科目!$F$1:$H$2,2,0),0)="","",VLOOKUP($B997,勘定科目!$A:$E,2,0)),"")</f>
        <v/>
      </c>
      <c r="D997" s="236" t="str">
        <f>IF(C997="","",VLOOKUP($B997,勘定科目!$A:$E,4,0))</f>
        <v/>
      </c>
      <c r="E997" s="242"/>
      <c r="F997" s="237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197"/>
      <c r="S997" s="198"/>
      <c r="T997" s="199"/>
      <c r="U997" s="243"/>
      <c r="V997" s="243"/>
      <c r="W997" s="243"/>
      <c r="BA997"/>
      <c r="BB997"/>
    </row>
    <row r="998" spans="1:54" s="188" customFormat="1" ht="13.5">
      <c r="A998" s="179"/>
      <c r="B998" s="175"/>
      <c r="C998" s="180" t="str">
        <f>IFERROR(IF(VLOOKUP($B998,勘定科目!$A:$H,HLOOKUP($E$5,勘定科目!$F$1:$H$2,2,0),0)="","",VLOOKUP($B998,勘定科目!$A:$E,2,0)),"")</f>
        <v/>
      </c>
      <c r="D998" s="236" t="str">
        <f>IF(C998="","",VLOOKUP($B998,勘定科目!$A:$E,4,0))</f>
        <v/>
      </c>
      <c r="E998" s="242"/>
      <c r="F998" s="237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197"/>
      <c r="S998" s="198"/>
      <c r="T998" s="199"/>
      <c r="U998" s="243"/>
      <c r="V998" s="243"/>
      <c r="W998" s="243"/>
      <c r="BA998"/>
      <c r="BB998"/>
    </row>
  </sheetData>
  <autoFilter ref="A7:T797" xr:uid="{385B82A2-693F-41C2-9DC4-2A6920A24160}"/>
  <phoneticPr fontId="3"/>
  <conditionalFormatting sqref="F3:Q3">
    <cfRule type="expression" dxfId="0" priority="1">
      <formula>F3&lt;&gt;"OK"</formula>
    </cfRule>
  </conditionalFormatting>
  <dataValidations disablePrompts="1" count="1">
    <dataValidation type="list" allowBlank="1" showInputMessage="1" showErrorMessage="1" sqref="T8:T797" xr:uid="{FD362554-243B-490C-A242-1B7BE24F1ACE}">
      <formula1>WBS</formula1>
    </dataValidation>
  </dataValidations>
  <pageMargins left="0.75" right="0.75" top="1" bottom="1" header="0.51200000000000001" footer="0.51200000000000001"/>
  <pageSetup paperSize="8" scale="59" orientation="landscape" r:id="rId1"/>
  <headerFooter alignWithMargins="0"/>
  <rowBreaks count="1" manualBreakCount="1">
    <brk id="54" min="1" max="18" man="1"/>
  </rowBreaks>
  <colBreaks count="1" manualBreakCount="1">
    <brk id="19" max="31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FD57-348B-4409-98C9-8BEC2ED37E0F}">
  <sheetPr codeName="Sheet4">
    <pageSetUpPr fitToPage="1"/>
  </sheetPr>
  <dimension ref="B1:S55"/>
  <sheetViews>
    <sheetView tabSelected="1" zoomScaleNormal="100" workbookViewId="0">
      <pane xSplit="3" ySplit="3" topLeftCell="N4" activePane="bottomRight" state="frozen"/>
      <selection pane="topRight" activeCell="D1" sqref="D1"/>
      <selection pane="bottomLeft" activeCell="A4" sqref="A4"/>
      <selection pane="bottomRight" activeCell="P14" sqref="P14"/>
    </sheetView>
  </sheetViews>
  <sheetFormatPr defaultColWidth="9" defaultRowHeight="13.5"/>
  <cols>
    <col min="1" max="1" width="3.125" style="48" customWidth="1"/>
    <col min="2" max="2" width="12.5" style="48" customWidth="1"/>
    <col min="3" max="3" width="53.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部品検査2課</v>
      </c>
      <c r="E1" s="275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4" customFormat="1" ht="27">
      <c r="B3" s="279" t="s">
        <v>330</v>
      </c>
      <c r="C3" s="279" t="s">
        <v>146</v>
      </c>
      <c r="D3" s="280" t="s">
        <v>147</v>
      </c>
      <c r="E3" s="281">
        <v>4</v>
      </c>
      <c r="F3" s="281">
        <v>5</v>
      </c>
      <c r="G3" s="281">
        <v>6</v>
      </c>
      <c r="H3" s="281">
        <v>7</v>
      </c>
      <c r="I3" s="281">
        <v>8</v>
      </c>
      <c r="J3" s="281">
        <v>9</v>
      </c>
      <c r="K3" s="281">
        <v>10</v>
      </c>
      <c r="L3" s="281">
        <v>11</v>
      </c>
      <c r="M3" s="281">
        <v>12</v>
      </c>
      <c r="N3" s="281">
        <v>1</v>
      </c>
      <c r="O3" s="281">
        <v>2</v>
      </c>
      <c r="P3" s="281">
        <v>3</v>
      </c>
      <c r="Q3" s="282" t="s">
        <v>643</v>
      </c>
      <c r="R3" s="285" t="s">
        <v>644</v>
      </c>
      <c r="S3" s="283" t="s">
        <v>417</v>
      </c>
    </row>
    <row r="4" spans="2:19" ht="35.25" customHeight="1">
      <c r="B4" s="311">
        <v>1412000092</v>
      </c>
      <c r="C4" s="311" t="s">
        <v>728</v>
      </c>
      <c r="D4" s="315" t="s">
        <v>729</v>
      </c>
      <c r="E4" s="312"/>
      <c r="F4" s="312"/>
      <c r="G4" s="312"/>
      <c r="H4" s="312"/>
      <c r="I4" s="312"/>
      <c r="J4" s="312"/>
      <c r="K4" s="312">
        <v>3511787248.3526001</v>
      </c>
      <c r="L4" s="312"/>
      <c r="M4" s="312"/>
      <c r="N4" s="312"/>
      <c r="O4" s="312"/>
      <c r="P4" s="312"/>
      <c r="Q4" s="314">
        <v>84</v>
      </c>
      <c r="R4" s="314">
        <v>3511787248.3526001</v>
      </c>
      <c r="S4" s="273"/>
    </row>
    <row r="5" spans="2:19">
      <c r="B5" s="311">
        <v>1412000092</v>
      </c>
      <c r="C5" s="309" t="s">
        <v>730</v>
      </c>
      <c r="D5" s="315" t="s">
        <v>731</v>
      </c>
      <c r="E5" s="316">
        <v>1500779125.9913988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4">
        <v>60</v>
      </c>
      <c r="R5" s="314">
        <v>1500779125.9913988</v>
      </c>
      <c r="S5" s="273"/>
    </row>
    <row r="6" spans="2:19">
      <c r="B6" s="311">
        <v>1412000092</v>
      </c>
      <c r="C6" s="309" t="s">
        <v>732</v>
      </c>
      <c r="D6" s="315" t="s">
        <v>733</v>
      </c>
      <c r="E6" s="316">
        <v>338533333.33333248</v>
      </c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4">
        <v>60</v>
      </c>
      <c r="R6" s="314">
        <v>338533333.33333248</v>
      </c>
      <c r="S6" s="273"/>
    </row>
    <row r="7" spans="2:19">
      <c r="B7" s="311">
        <v>1412000092</v>
      </c>
      <c r="C7" s="310" t="s">
        <v>734</v>
      </c>
      <c r="D7" s="315" t="s">
        <v>733</v>
      </c>
      <c r="E7" s="316">
        <v>629672000</v>
      </c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4">
        <v>60</v>
      </c>
      <c r="R7" s="314">
        <v>629672000</v>
      </c>
      <c r="S7" s="273"/>
    </row>
    <row r="8" spans="2:19">
      <c r="B8" s="311">
        <v>1412000092</v>
      </c>
      <c r="C8" s="311" t="s">
        <v>735</v>
      </c>
      <c r="D8" s="311" t="s">
        <v>729</v>
      </c>
      <c r="E8" s="313"/>
      <c r="F8" s="313">
        <v>1052745570</v>
      </c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4">
        <v>60</v>
      </c>
      <c r="R8" s="314">
        <v>1052745570</v>
      </c>
      <c r="S8" s="273"/>
    </row>
    <row r="9" spans="2:19">
      <c r="B9" s="311"/>
      <c r="C9" s="311"/>
      <c r="D9" s="311"/>
      <c r="E9" s="313"/>
      <c r="F9" s="313"/>
      <c r="G9" s="313"/>
      <c r="H9" s="313"/>
      <c r="I9" s="313"/>
      <c r="J9" s="313"/>
      <c r="K9" s="313"/>
      <c r="L9" s="313"/>
      <c r="M9" s="313"/>
      <c r="N9" s="313"/>
      <c r="O9" s="313"/>
      <c r="P9" s="313"/>
      <c r="Q9" s="314"/>
      <c r="R9" s="314">
        <v>0</v>
      </c>
      <c r="S9" s="273"/>
    </row>
    <row r="10" spans="2:19">
      <c r="B10" s="309"/>
      <c r="C10" s="309"/>
      <c r="D10" s="309"/>
      <c r="E10" s="313"/>
      <c r="F10" s="313"/>
      <c r="G10" s="313"/>
      <c r="H10" s="313"/>
      <c r="I10" s="313"/>
      <c r="J10" s="313"/>
      <c r="K10" s="313"/>
      <c r="L10" s="313"/>
      <c r="M10" s="313"/>
      <c r="N10" s="313"/>
      <c r="O10" s="313"/>
      <c r="P10" s="313"/>
      <c r="Q10" s="314"/>
      <c r="R10" s="314">
        <v>0</v>
      </c>
      <c r="S10" s="273"/>
    </row>
    <row r="11" spans="2:19">
      <c r="B11" s="65"/>
      <c r="C11" s="65"/>
      <c r="D11" s="65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8"/>
      <c r="R11" s="278">
        <f t="shared" ref="R11:R50" si="0">SUM(E11:P11)</f>
        <v>0</v>
      </c>
      <c r="S11" s="273"/>
    </row>
    <row r="12" spans="2:19">
      <c r="B12" s="65"/>
      <c r="C12" s="65"/>
      <c r="D12" s="65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8"/>
      <c r="R12" s="278">
        <f t="shared" si="0"/>
        <v>0</v>
      </c>
      <c r="S12" s="273"/>
    </row>
    <row r="13" spans="2:19">
      <c r="B13" s="65"/>
      <c r="C13" s="65"/>
      <c r="D13" s="65"/>
      <c r="E13" s="276"/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8"/>
      <c r="R13" s="278">
        <f t="shared" si="0"/>
        <v>0</v>
      </c>
      <c r="S13" s="273"/>
    </row>
    <row r="14" spans="2:19">
      <c r="B14" s="65"/>
      <c r="C14" s="65"/>
      <c r="D14" s="65"/>
      <c r="E14" s="276"/>
      <c r="F14" s="276"/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8"/>
      <c r="R14" s="278">
        <f t="shared" si="0"/>
        <v>0</v>
      </c>
      <c r="S14" s="273"/>
    </row>
    <row r="15" spans="2:19">
      <c r="B15" s="65"/>
      <c r="C15" s="65"/>
      <c r="D15" s="65"/>
      <c r="E15" s="276"/>
      <c r="F15" s="276"/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8"/>
      <c r="R15" s="278">
        <f t="shared" si="0"/>
        <v>0</v>
      </c>
      <c r="S15" s="273"/>
    </row>
    <row r="16" spans="2:19">
      <c r="B16" s="65"/>
      <c r="C16" s="65"/>
      <c r="D16" s="65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8"/>
      <c r="R16" s="278">
        <f t="shared" si="0"/>
        <v>0</v>
      </c>
      <c r="S16" s="273"/>
    </row>
    <row r="17" spans="2:19">
      <c r="B17" s="65"/>
      <c r="C17" s="65"/>
      <c r="D17" s="65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8"/>
      <c r="R17" s="278">
        <f t="shared" si="0"/>
        <v>0</v>
      </c>
      <c r="S17" s="273"/>
    </row>
    <row r="18" spans="2:19">
      <c r="B18" s="65"/>
      <c r="C18" s="65"/>
      <c r="D18" s="65"/>
      <c r="E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/>
      <c r="P18" s="276"/>
      <c r="Q18" s="278"/>
      <c r="R18" s="278">
        <f t="shared" si="0"/>
        <v>0</v>
      </c>
      <c r="S18" s="273"/>
    </row>
    <row r="19" spans="2:19">
      <c r="B19" s="65"/>
      <c r="C19" s="65"/>
      <c r="D19" s="65"/>
      <c r="E19" s="276"/>
      <c r="F19" s="276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8"/>
      <c r="R19" s="278">
        <f t="shared" si="0"/>
        <v>0</v>
      </c>
      <c r="S19" s="273"/>
    </row>
    <row r="20" spans="2:19">
      <c r="B20" s="65"/>
      <c r="C20" s="65"/>
      <c r="D20" s="65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8"/>
      <c r="R20" s="278">
        <f t="shared" si="0"/>
        <v>0</v>
      </c>
      <c r="S20" s="273"/>
    </row>
    <row r="21" spans="2:19">
      <c r="B21" s="65"/>
      <c r="C21" s="65"/>
      <c r="D21" s="65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278"/>
      <c r="R21" s="278">
        <f t="shared" si="0"/>
        <v>0</v>
      </c>
      <c r="S21" s="273"/>
    </row>
    <row r="22" spans="2:19">
      <c r="B22" s="65"/>
      <c r="C22" s="65"/>
      <c r="D22" s="65"/>
      <c r="E22" s="276"/>
      <c r="F22" s="276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8"/>
      <c r="R22" s="278">
        <f t="shared" si="0"/>
        <v>0</v>
      </c>
      <c r="S22" s="273"/>
    </row>
    <row r="23" spans="2:19">
      <c r="B23" s="65"/>
      <c r="C23" s="65"/>
      <c r="D23" s="65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8"/>
      <c r="R23" s="278">
        <f t="shared" si="0"/>
        <v>0</v>
      </c>
      <c r="S23" s="273"/>
    </row>
    <row r="24" spans="2:19">
      <c r="B24" s="65"/>
      <c r="C24" s="65"/>
      <c r="D24" s="65"/>
      <c r="E24" s="276"/>
      <c r="F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8"/>
      <c r="R24" s="278">
        <f t="shared" si="0"/>
        <v>0</v>
      </c>
      <c r="S24" s="273"/>
    </row>
    <row r="25" spans="2:19">
      <c r="B25" s="65"/>
      <c r="C25" s="65"/>
      <c r="D25" s="65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8"/>
      <c r="R25" s="278">
        <f t="shared" si="0"/>
        <v>0</v>
      </c>
      <c r="S25" s="273"/>
    </row>
    <row r="26" spans="2:19">
      <c r="B26" s="65"/>
      <c r="C26" s="65"/>
      <c r="D26" s="65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8"/>
      <c r="R26" s="278">
        <f t="shared" si="0"/>
        <v>0</v>
      </c>
      <c r="S26" s="273"/>
    </row>
    <row r="27" spans="2:19">
      <c r="B27" s="65"/>
      <c r="C27" s="65"/>
      <c r="D27" s="65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8"/>
      <c r="R27" s="278">
        <f t="shared" si="0"/>
        <v>0</v>
      </c>
      <c r="S27" s="273"/>
    </row>
    <row r="28" spans="2:19">
      <c r="B28" s="65"/>
      <c r="C28" s="65"/>
      <c r="D28" s="65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8"/>
      <c r="R28" s="278">
        <f t="shared" si="0"/>
        <v>0</v>
      </c>
      <c r="S28" s="273"/>
    </row>
    <row r="29" spans="2:19">
      <c r="B29" s="65"/>
      <c r="C29" s="65"/>
      <c r="D29" s="65"/>
      <c r="E29" s="276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8"/>
      <c r="R29" s="278">
        <f t="shared" si="0"/>
        <v>0</v>
      </c>
      <c r="S29" s="273"/>
    </row>
    <row r="30" spans="2:19">
      <c r="B30" s="65"/>
      <c r="C30" s="65"/>
      <c r="D30" s="65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8"/>
      <c r="R30" s="278">
        <f t="shared" si="0"/>
        <v>0</v>
      </c>
      <c r="S30" s="273"/>
    </row>
    <row r="31" spans="2:19">
      <c r="B31" s="65"/>
      <c r="C31" s="65"/>
      <c r="D31" s="65"/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Q31" s="278"/>
      <c r="R31" s="278">
        <f t="shared" si="0"/>
        <v>0</v>
      </c>
      <c r="S31" s="273"/>
    </row>
    <row r="32" spans="2:19">
      <c r="B32" s="65"/>
      <c r="C32" s="65"/>
      <c r="D32" s="65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8"/>
      <c r="R32" s="278">
        <f t="shared" si="0"/>
        <v>0</v>
      </c>
      <c r="S32" s="273"/>
    </row>
    <row r="33" spans="2:19">
      <c r="B33" s="65"/>
      <c r="C33" s="65"/>
      <c r="D33" s="65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8"/>
      <c r="R33" s="278">
        <f t="shared" si="0"/>
        <v>0</v>
      </c>
      <c r="S33" s="273"/>
    </row>
    <row r="34" spans="2:19">
      <c r="B34" s="65"/>
      <c r="C34" s="65"/>
      <c r="D34" s="65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8"/>
      <c r="R34" s="278">
        <f t="shared" si="0"/>
        <v>0</v>
      </c>
      <c r="S34" s="273"/>
    </row>
    <row r="35" spans="2:19">
      <c r="B35" s="65"/>
      <c r="C35" s="65"/>
      <c r="D35" s="65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8"/>
      <c r="R35" s="278">
        <f t="shared" si="0"/>
        <v>0</v>
      </c>
      <c r="S35" s="273"/>
    </row>
    <row r="36" spans="2:19">
      <c r="B36" s="65"/>
      <c r="C36" s="65"/>
      <c r="D36" s="65"/>
      <c r="E36" s="276"/>
      <c r="F36" s="276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8"/>
      <c r="R36" s="278">
        <f t="shared" si="0"/>
        <v>0</v>
      </c>
      <c r="S36" s="273"/>
    </row>
    <row r="37" spans="2:19">
      <c r="B37" s="65"/>
      <c r="C37" s="65"/>
      <c r="D37" s="65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8"/>
      <c r="R37" s="278">
        <f t="shared" si="0"/>
        <v>0</v>
      </c>
      <c r="S37" s="273"/>
    </row>
    <row r="38" spans="2:19">
      <c r="B38" s="65"/>
      <c r="C38" s="65"/>
      <c r="D38" s="65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8"/>
      <c r="R38" s="278">
        <f t="shared" si="0"/>
        <v>0</v>
      </c>
      <c r="S38" s="273"/>
    </row>
    <row r="39" spans="2:19">
      <c r="B39" s="65"/>
      <c r="C39" s="65"/>
      <c r="D39" s="65"/>
      <c r="E39" s="276"/>
      <c r="F39" s="276"/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8"/>
      <c r="R39" s="278">
        <f t="shared" si="0"/>
        <v>0</v>
      </c>
      <c r="S39" s="273"/>
    </row>
    <row r="40" spans="2:19">
      <c r="B40" s="65"/>
      <c r="C40" s="65"/>
      <c r="D40" s="65"/>
      <c r="E40" s="276"/>
      <c r="F40" s="276"/>
      <c r="G40" s="276"/>
      <c r="H40" s="276"/>
      <c r="I40" s="276"/>
      <c r="J40" s="276"/>
      <c r="K40" s="276"/>
      <c r="L40" s="276"/>
      <c r="M40" s="276"/>
      <c r="N40" s="276"/>
      <c r="O40" s="276"/>
      <c r="P40" s="276"/>
      <c r="Q40" s="278"/>
      <c r="R40" s="278">
        <f t="shared" si="0"/>
        <v>0</v>
      </c>
      <c r="S40" s="273"/>
    </row>
    <row r="41" spans="2:19">
      <c r="B41" s="65"/>
      <c r="C41" s="65"/>
      <c r="D41" s="65"/>
      <c r="E41" s="276"/>
      <c r="F41" s="276"/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278"/>
      <c r="R41" s="278">
        <f t="shared" si="0"/>
        <v>0</v>
      </c>
      <c r="S41" s="273"/>
    </row>
    <row r="42" spans="2:19">
      <c r="B42" s="65"/>
      <c r="C42" s="65"/>
      <c r="D42" s="65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78"/>
      <c r="R42" s="278">
        <f t="shared" si="0"/>
        <v>0</v>
      </c>
      <c r="S42" s="273"/>
    </row>
    <row r="43" spans="2:19">
      <c r="B43" s="65"/>
      <c r="C43" s="65"/>
      <c r="D43" s="65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8"/>
      <c r="R43" s="278">
        <f t="shared" si="0"/>
        <v>0</v>
      </c>
      <c r="S43" s="273"/>
    </row>
    <row r="44" spans="2:19">
      <c r="B44" s="65"/>
      <c r="C44" s="65"/>
      <c r="D44" s="65"/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8"/>
      <c r="R44" s="278">
        <f t="shared" si="0"/>
        <v>0</v>
      </c>
      <c r="S44" s="273"/>
    </row>
    <row r="45" spans="2:19">
      <c r="B45" s="65"/>
      <c r="C45" s="65"/>
      <c r="D45" s="65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8"/>
      <c r="R45" s="278">
        <f t="shared" si="0"/>
        <v>0</v>
      </c>
      <c r="S45" s="273"/>
    </row>
    <row r="46" spans="2:19">
      <c r="B46" s="65"/>
      <c r="C46" s="65"/>
      <c r="D46" s="65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8"/>
      <c r="R46" s="278">
        <f t="shared" si="0"/>
        <v>0</v>
      </c>
      <c r="S46" s="273"/>
    </row>
    <row r="47" spans="2:19">
      <c r="B47" s="65"/>
      <c r="C47" s="65"/>
      <c r="D47" s="65"/>
      <c r="E47" s="276"/>
      <c r="F47" s="276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8"/>
      <c r="R47" s="278">
        <f t="shared" si="0"/>
        <v>0</v>
      </c>
      <c r="S47" s="273"/>
    </row>
    <row r="48" spans="2:19">
      <c r="B48" s="65"/>
      <c r="C48" s="65"/>
      <c r="D48" s="65"/>
      <c r="E48" s="276"/>
      <c r="F48" s="276"/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8"/>
      <c r="R48" s="278">
        <f t="shared" si="0"/>
        <v>0</v>
      </c>
      <c r="S48" s="273"/>
    </row>
    <row r="49" spans="2:19">
      <c r="B49" s="65"/>
      <c r="C49" s="65"/>
      <c r="D49" s="65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8"/>
      <c r="R49" s="278">
        <f t="shared" si="0"/>
        <v>0</v>
      </c>
      <c r="S49" s="273"/>
    </row>
    <row r="50" spans="2:19">
      <c r="B50" s="56"/>
      <c r="C50" s="56"/>
      <c r="D50" s="56" t="s">
        <v>148</v>
      </c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>
        <f t="shared" si="0"/>
        <v>0</v>
      </c>
      <c r="S50" s="274"/>
    </row>
    <row r="51" spans="2:19">
      <c r="S51" s="48"/>
    </row>
    <row r="52" spans="2:19">
      <c r="B52" s="90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064CAFEE-C4A0-4F09-89FD-D4855BF4AF27}"/>
  <phoneticPr fontId="3"/>
  <dataValidations count="1">
    <dataValidation type="list" allowBlank="1" showInputMessage="1" showErrorMessage="1" sqref="S4:S49" xr:uid="{4292400E-0879-4981-BBED-D6B8AB493E16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397A-7A53-43C3-8A4A-936D4E86A509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3" bestFit="1" customWidth="1"/>
    <col min="2" max="2" width="34.75" style="104" bestFit="1" customWidth="1"/>
    <col min="3" max="3" width="32.625" style="104" bestFit="1" customWidth="1"/>
    <col min="4" max="4" width="18" style="104" bestFit="1" customWidth="1"/>
    <col min="5" max="5" width="32.625" style="104" bestFit="1" customWidth="1"/>
    <col min="6" max="7" width="8.375" style="104" bestFit="1" customWidth="1"/>
    <col min="8" max="8" width="9" style="103"/>
    <col min="9" max="9" width="41.25" style="104" bestFit="1" customWidth="1"/>
    <col min="10" max="16384" width="9" style="104"/>
  </cols>
  <sheetData>
    <row r="1" spans="1:9" s="81" customFormat="1" ht="12">
      <c r="A1" s="77" t="s">
        <v>345</v>
      </c>
      <c r="B1" s="78" t="s">
        <v>157</v>
      </c>
      <c r="C1" s="78" t="s">
        <v>346</v>
      </c>
      <c r="D1" s="79" t="s">
        <v>158</v>
      </c>
      <c r="E1" s="80" t="s">
        <v>347</v>
      </c>
      <c r="F1" s="80" t="s">
        <v>159</v>
      </c>
      <c r="G1" s="80" t="s">
        <v>160</v>
      </c>
      <c r="H1" s="80" t="s">
        <v>161</v>
      </c>
      <c r="I1" s="80" t="s">
        <v>348</v>
      </c>
    </row>
    <row r="2" spans="1:9" s="81" customFormat="1" ht="0.75" customHeight="1">
      <c r="A2" s="106"/>
      <c r="B2" s="107"/>
      <c r="C2" s="107"/>
      <c r="D2" s="107"/>
      <c r="E2" s="107"/>
      <c r="F2" s="119">
        <f>COLUMNS($A$2:F2)</f>
        <v>6</v>
      </c>
      <c r="G2" s="119">
        <f>COLUMNS($A$2:G2)</f>
        <v>7</v>
      </c>
      <c r="H2" s="119">
        <f>COLUMNS($A$2:H2)</f>
        <v>8</v>
      </c>
      <c r="I2" s="107"/>
    </row>
    <row r="3" spans="1:9" s="81" customFormat="1">
      <c r="A3" s="102">
        <v>7001065118</v>
      </c>
      <c r="B3" t="s">
        <v>116</v>
      </c>
      <c r="C3" t="s">
        <v>32</v>
      </c>
      <c r="D3" t="s">
        <v>116</v>
      </c>
      <c r="E3" t="s">
        <v>14</v>
      </c>
      <c r="F3" s="105" t="s">
        <v>461</v>
      </c>
      <c r="G3" s="105">
        <v>7001065118</v>
      </c>
      <c r="H3" s="105">
        <v>7001065118</v>
      </c>
      <c r="I3"/>
    </row>
    <row r="4" spans="1:9" s="81" customFormat="1">
      <c r="A4" s="102">
        <v>7001075118</v>
      </c>
      <c r="B4" t="s">
        <v>33</v>
      </c>
      <c r="C4" t="s">
        <v>32</v>
      </c>
      <c r="D4" t="s">
        <v>116</v>
      </c>
      <c r="E4" t="s">
        <v>14</v>
      </c>
      <c r="F4" s="105" t="s">
        <v>462</v>
      </c>
      <c r="G4" s="105">
        <v>7001075118</v>
      </c>
      <c r="H4" s="105">
        <v>7001075118</v>
      </c>
      <c r="I4"/>
    </row>
    <row r="5" spans="1:9" s="81" customFormat="1">
      <c r="A5" s="102">
        <v>7001065119</v>
      </c>
      <c r="B5" t="s">
        <v>40</v>
      </c>
      <c r="C5" t="s">
        <v>32</v>
      </c>
      <c r="D5" t="s">
        <v>116</v>
      </c>
      <c r="E5" t="s">
        <v>14</v>
      </c>
      <c r="F5" s="105" t="s">
        <v>463</v>
      </c>
      <c r="G5" s="105">
        <v>7001065119</v>
      </c>
      <c r="H5" s="105">
        <v>7001065119</v>
      </c>
      <c r="I5"/>
    </row>
    <row r="6" spans="1:9" s="81" customFormat="1">
      <c r="A6" s="102">
        <v>5001016131</v>
      </c>
      <c r="B6" t="s">
        <v>400</v>
      </c>
      <c r="C6" t="s">
        <v>35</v>
      </c>
      <c r="D6" t="s">
        <v>101</v>
      </c>
      <c r="E6" t="s">
        <v>349</v>
      </c>
      <c r="F6" s="105" t="s">
        <v>464</v>
      </c>
      <c r="G6" s="105"/>
      <c r="H6" s="105"/>
      <c r="I6" t="s">
        <v>446</v>
      </c>
    </row>
    <row r="7" spans="1:9" s="81" customFormat="1">
      <c r="A7" s="102">
        <v>5001016134</v>
      </c>
      <c r="B7" t="s">
        <v>416</v>
      </c>
      <c r="C7" t="s">
        <v>35</v>
      </c>
      <c r="D7" t="s">
        <v>101</v>
      </c>
      <c r="E7" t="s">
        <v>349</v>
      </c>
      <c r="F7" s="105" t="s">
        <v>465</v>
      </c>
      <c r="G7" s="105">
        <v>5001016134</v>
      </c>
      <c r="H7" s="105">
        <v>5001016134</v>
      </c>
      <c r="I7" t="s">
        <v>447</v>
      </c>
    </row>
    <row r="8" spans="1:9" s="81" customFormat="1">
      <c r="A8" s="102">
        <v>5001016135</v>
      </c>
      <c r="B8" t="s">
        <v>152</v>
      </c>
      <c r="C8" t="s">
        <v>35</v>
      </c>
      <c r="D8" t="s">
        <v>101</v>
      </c>
      <c r="E8" t="s">
        <v>349</v>
      </c>
      <c r="F8" s="105" t="s">
        <v>466</v>
      </c>
      <c r="G8" s="105">
        <v>5001016135</v>
      </c>
      <c r="H8" s="105">
        <v>5001016135</v>
      </c>
      <c r="I8"/>
    </row>
    <row r="9" spans="1:9" s="81" customFormat="1">
      <c r="A9" s="102">
        <v>5001016136</v>
      </c>
      <c r="B9" t="s">
        <v>103</v>
      </c>
      <c r="C9" t="s">
        <v>35</v>
      </c>
      <c r="D9" t="s">
        <v>101</v>
      </c>
      <c r="E9" t="s">
        <v>349</v>
      </c>
      <c r="F9" s="105" t="s">
        <v>467</v>
      </c>
      <c r="G9" s="105">
        <v>5001016136</v>
      </c>
      <c r="H9" s="105">
        <v>5001016136</v>
      </c>
      <c r="I9"/>
    </row>
    <row r="10" spans="1:9" s="81" customFormat="1">
      <c r="A10" s="102">
        <v>5001016142</v>
      </c>
      <c r="B10" t="s">
        <v>163</v>
      </c>
      <c r="C10" t="s">
        <v>35</v>
      </c>
      <c r="D10" t="s">
        <v>120</v>
      </c>
      <c r="E10" t="s">
        <v>350</v>
      </c>
      <c r="F10" s="105" t="s">
        <v>468</v>
      </c>
      <c r="G10" s="105">
        <v>5001016142</v>
      </c>
      <c r="H10" s="105">
        <v>5001016142</v>
      </c>
      <c r="I10"/>
    </row>
    <row r="11" spans="1:9" s="81" customFormat="1">
      <c r="A11" s="102">
        <v>5001016149</v>
      </c>
      <c r="B11" t="s">
        <v>351</v>
      </c>
      <c r="C11" t="s">
        <v>35</v>
      </c>
      <c r="D11" t="s">
        <v>101</v>
      </c>
      <c r="E11" t="s">
        <v>349</v>
      </c>
      <c r="F11" s="105" t="s">
        <v>686</v>
      </c>
      <c r="G11" s="105">
        <v>5001016149</v>
      </c>
      <c r="H11" s="105">
        <v>5001016149</v>
      </c>
      <c r="I11" t="s">
        <v>352</v>
      </c>
    </row>
    <row r="12" spans="1:9" s="81" customFormat="1">
      <c r="A12" s="102">
        <v>5001016151</v>
      </c>
      <c r="B12" t="s">
        <v>162</v>
      </c>
      <c r="C12" t="s">
        <v>35</v>
      </c>
      <c r="D12" t="s">
        <v>101</v>
      </c>
      <c r="E12" t="s">
        <v>349</v>
      </c>
      <c r="F12" s="105" t="s">
        <v>469</v>
      </c>
      <c r="G12" s="105"/>
      <c r="H12" s="105"/>
      <c r="I12" t="s">
        <v>448</v>
      </c>
    </row>
    <row r="13" spans="1:9" s="81" customFormat="1">
      <c r="A13" s="102">
        <v>5004046221</v>
      </c>
      <c r="B13" t="s">
        <v>164</v>
      </c>
      <c r="C13" t="s">
        <v>149</v>
      </c>
      <c r="D13" t="s">
        <v>41</v>
      </c>
      <c r="E13" t="s">
        <v>149</v>
      </c>
      <c r="F13" s="105" t="s">
        <v>470</v>
      </c>
      <c r="G13" s="105"/>
      <c r="H13" s="105"/>
      <c r="I13"/>
    </row>
    <row r="14" spans="1:9" s="81" customFormat="1">
      <c r="A14" s="102">
        <v>5004046371</v>
      </c>
      <c r="B14" t="s">
        <v>165</v>
      </c>
      <c r="C14" t="s">
        <v>150</v>
      </c>
      <c r="D14" t="s">
        <v>41</v>
      </c>
      <c r="E14" t="s">
        <v>149</v>
      </c>
      <c r="F14" s="105" t="s">
        <v>471</v>
      </c>
      <c r="G14" s="105"/>
      <c r="H14" s="105"/>
      <c r="I14"/>
    </row>
    <row r="15" spans="1:9" s="81" customFormat="1">
      <c r="A15" s="102">
        <v>5005016371</v>
      </c>
      <c r="B15" t="s">
        <v>166</v>
      </c>
      <c r="C15" t="s">
        <v>151</v>
      </c>
      <c r="D15" t="s">
        <v>55</v>
      </c>
      <c r="E15" t="s">
        <v>353</v>
      </c>
      <c r="F15" s="105" t="s">
        <v>472</v>
      </c>
      <c r="G15" s="105"/>
      <c r="H15" s="105"/>
      <c r="I15"/>
    </row>
    <row r="16" spans="1:9" s="81" customFormat="1">
      <c r="A16" s="102">
        <v>5005016372</v>
      </c>
      <c r="B16" t="s">
        <v>167</v>
      </c>
      <c r="C16" t="s">
        <v>151</v>
      </c>
      <c r="D16" t="s">
        <v>55</v>
      </c>
      <c r="E16" t="s">
        <v>353</v>
      </c>
      <c r="F16" s="105" t="s">
        <v>473</v>
      </c>
      <c r="G16" s="105"/>
      <c r="H16" s="105"/>
      <c r="I16"/>
    </row>
    <row r="17" spans="1:9" s="81" customFormat="1">
      <c r="A17" s="102">
        <v>5005016373</v>
      </c>
      <c r="B17" t="s">
        <v>413</v>
      </c>
      <c r="C17" t="s">
        <v>151</v>
      </c>
      <c r="D17" t="s">
        <v>55</v>
      </c>
      <c r="E17" t="s">
        <v>353</v>
      </c>
      <c r="F17" s="105" t="s">
        <v>474</v>
      </c>
      <c r="G17" s="105"/>
      <c r="H17" s="105"/>
      <c r="I17" t="s">
        <v>448</v>
      </c>
    </row>
    <row r="18" spans="1:9" s="81" customFormat="1">
      <c r="A18" s="102">
        <v>5005026371</v>
      </c>
      <c r="B18" t="s">
        <v>168</v>
      </c>
      <c r="C18" t="s">
        <v>151</v>
      </c>
      <c r="D18" t="s">
        <v>104</v>
      </c>
      <c r="E18" t="s">
        <v>354</v>
      </c>
      <c r="F18" s="105" t="s">
        <v>475</v>
      </c>
      <c r="G18" s="105"/>
      <c r="H18" s="105"/>
      <c r="I18"/>
    </row>
    <row r="19" spans="1:9" s="81" customFormat="1">
      <c r="A19" s="102">
        <v>5005026372</v>
      </c>
      <c r="B19" t="s">
        <v>169</v>
      </c>
      <c r="C19" t="s">
        <v>151</v>
      </c>
      <c r="D19" t="s">
        <v>54</v>
      </c>
      <c r="E19" t="s">
        <v>355</v>
      </c>
      <c r="F19" s="105" t="s">
        <v>476</v>
      </c>
      <c r="G19" s="105"/>
      <c r="H19" s="105"/>
      <c r="I19"/>
    </row>
    <row r="20" spans="1:9" s="81" customFormat="1">
      <c r="A20" s="102">
        <v>5006016241</v>
      </c>
      <c r="B20" t="s">
        <v>170</v>
      </c>
      <c r="C20" t="s">
        <v>21</v>
      </c>
      <c r="D20" t="s">
        <v>45</v>
      </c>
      <c r="E20" t="s">
        <v>356</v>
      </c>
      <c r="F20" s="105" t="s">
        <v>477</v>
      </c>
      <c r="G20" s="105"/>
      <c r="H20" s="105"/>
      <c r="I20"/>
    </row>
    <row r="21" spans="1:9" s="81" customFormat="1">
      <c r="A21" s="102">
        <v>5006016242</v>
      </c>
      <c r="B21" t="s">
        <v>22</v>
      </c>
      <c r="C21" t="s">
        <v>21</v>
      </c>
      <c r="D21" t="s">
        <v>45</v>
      </c>
      <c r="E21" t="s">
        <v>356</v>
      </c>
      <c r="F21" s="105" t="s">
        <v>478</v>
      </c>
      <c r="G21" s="105"/>
      <c r="H21" s="105"/>
      <c r="I21"/>
    </row>
    <row r="22" spans="1:9" s="81" customFormat="1">
      <c r="A22" s="102">
        <v>5006016243</v>
      </c>
      <c r="B22" t="s">
        <v>23</v>
      </c>
      <c r="C22" t="s">
        <v>21</v>
      </c>
      <c r="D22" t="s">
        <v>45</v>
      </c>
      <c r="E22" t="s">
        <v>356</v>
      </c>
      <c r="F22" s="105" t="s">
        <v>479</v>
      </c>
      <c r="G22" s="105"/>
      <c r="H22" s="105"/>
      <c r="I22"/>
    </row>
    <row r="23" spans="1:9" s="81" customFormat="1">
      <c r="A23" s="102">
        <v>5006016244</v>
      </c>
      <c r="B23" t="s">
        <v>24</v>
      </c>
      <c r="C23" t="s">
        <v>21</v>
      </c>
      <c r="D23" t="s">
        <v>45</v>
      </c>
      <c r="E23" t="s">
        <v>356</v>
      </c>
      <c r="F23" s="105" t="s">
        <v>480</v>
      </c>
      <c r="G23" s="105"/>
      <c r="H23" s="105"/>
      <c r="I23"/>
    </row>
    <row r="24" spans="1:9" s="81" customFormat="1">
      <c r="A24" s="102">
        <v>5006016245</v>
      </c>
      <c r="B24" t="s">
        <v>25</v>
      </c>
      <c r="C24" t="s">
        <v>21</v>
      </c>
      <c r="D24" t="s">
        <v>45</v>
      </c>
      <c r="E24" t="s">
        <v>356</v>
      </c>
      <c r="F24" s="105" t="s">
        <v>481</v>
      </c>
      <c r="G24" s="105"/>
      <c r="H24" s="105"/>
      <c r="I24"/>
    </row>
    <row r="25" spans="1:9" s="81" customFormat="1">
      <c r="A25" s="102">
        <v>5005036246</v>
      </c>
      <c r="B25" t="s">
        <v>171</v>
      </c>
      <c r="C25" t="s">
        <v>21</v>
      </c>
      <c r="D25" t="s">
        <v>46</v>
      </c>
      <c r="E25" t="s">
        <v>357</v>
      </c>
      <c r="F25" s="105" t="s">
        <v>482</v>
      </c>
      <c r="G25" s="105"/>
      <c r="H25" s="105"/>
      <c r="I25"/>
    </row>
    <row r="26" spans="1:9" s="81" customFormat="1">
      <c r="A26" s="102">
        <v>5006016247</v>
      </c>
      <c r="B26" t="s">
        <v>172</v>
      </c>
      <c r="C26" t="s">
        <v>21</v>
      </c>
      <c r="D26" t="s">
        <v>45</v>
      </c>
      <c r="E26" t="s">
        <v>356</v>
      </c>
      <c r="F26" s="105" t="s">
        <v>483</v>
      </c>
      <c r="G26" s="105"/>
      <c r="H26" s="105"/>
      <c r="I26"/>
    </row>
    <row r="27" spans="1:9" s="81" customFormat="1">
      <c r="A27" s="102">
        <v>5006016248</v>
      </c>
      <c r="B27" t="s">
        <v>173</v>
      </c>
      <c r="C27" t="s">
        <v>21</v>
      </c>
      <c r="D27" t="s">
        <v>45</v>
      </c>
      <c r="E27" t="s">
        <v>356</v>
      </c>
      <c r="F27" s="105" t="s">
        <v>484</v>
      </c>
      <c r="G27" s="105"/>
      <c r="H27" s="105"/>
      <c r="I27"/>
    </row>
    <row r="28" spans="1:9" s="81" customFormat="1">
      <c r="A28" s="102">
        <v>5006016249</v>
      </c>
      <c r="B28" t="s">
        <v>26</v>
      </c>
      <c r="C28" t="s">
        <v>21</v>
      </c>
      <c r="D28" t="s">
        <v>45</v>
      </c>
      <c r="E28" t="s">
        <v>356</v>
      </c>
      <c r="F28" s="105" t="s">
        <v>485</v>
      </c>
      <c r="G28" s="105"/>
      <c r="H28" s="105"/>
      <c r="I28"/>
    </row>
    <row r="29" spans="1:9" s="81" customFormat="1">
      <c r="A29" s="102">
        <v>5006016250</v>
      </c>
      <c r="B29" t="s">
        <v>27</v>
      </c>
      <c r="C29" t="s">
        <v>21</v>
      </c>
      <c r="D29" t="s">
        <v>45</v>
      </c>
      <c r="E29" t="s">
        <v>356</v>
      </c>
      <c r="F29" s="105" t="s">
        <v>486</v>
      </c>
      <c r="G29" s="105"/>
      <c r="H29" s="105"/>
      <c r="I29"/>
    </row>
    <row r="30" spans="1:9" s="81" customFormat="1">
      <c r="A30" s="102">
        <v>5006016251</v>
      </c>
      <c r="B30" t="s">
        <v>28</v>
      </c>
      <c r="C30" t="s">
        <v>21</v>
      </c>
      <c r="D30" t="s">
        <v>45</v>
      </c>
      <c r="E30" t="s">
        <v>356</v>
      </c>
      <c r="F30" s="105" t="s">
        <v>487</v>
      </c>
      <c r="G30" s="105"/>
      <c r="H30" s="105"/>
      <c r="I30"/>
    </row>
    <row r="31" spans="1:9" s="81" customFormat="1">
      <c r="A31" s="102">
        <v>5006016252</v>
      </c>
      <c r="B31" t="s">
        <v>29</v>
      </c>
      <c r="C31" t="s">
        <v>21</v>
      </c>
      <c r="D31" t="s">
        <v>45</v>
      </c>
      <c r="E31" t="s">
        <v>356</v>
      </c>
      <c r="F31" s="105" t="s">
        <v>488</v>
      </c>
      <c r="G31" s="105"/>
      <c r="H31" s="105"/>
      <c r="I31"/>
    </row>
    <row r="32" spans="1:9" s="81" customFormat="1">
      <c r="A32" s="102">
        <v>5006016253</v>
      </c>
      <c r="B32" t="s">
        <v>174</v>
      </c>
      <c r="C32" t="s">
        <v>21</v>
      </c>
      <c r="D32" t="s">
        <v>45</v>
      </c>
      <c r="E32" t="s">
        <v>356</v>
      </c>
      <c r="F32" s="105" t="s">
        <v>489</v>
      </c>
      <c r="G32" s="105"/>
      <c r="H32" s="105"/>
      <c r="I32"/>
    </row>
    <row r="33" spans="1:9" s="81" customFormat="1">
      <c r="A33" s="102">
        <v>5006016254</v>
      </c>
      <c r="B33" t="s">
        <v>175</v>
      </c>
      <c r="C33" t="s">
        <v>21</v>
      </c>
      <c r="D33" t="s">
        <v>45</v>
      </c>
      <c r="E33" t="s">
        <v>356</v>
      </c>
      <c r="F33" s="105" t="s">
        <v>490</v>
      </c>
      <c r="G33" s="105"/>
      <c r="H33" s="105"/>
      <c r="I33"/>
    </row>
    <row r="34" spans="1:9" s="81" customFormat="1">
      <c r="A34" s="102">
        <v>5006016255</v>
      </c>
      <c r="B34" t="s">
        <v>176</v>
      </c>
      <c r="C34" t="s">
        <v>21</v>
      </c>
      <c r="D34" t="s">
        <v>45</v>
      </c>
      <c r="E34" t="s">
        <v>356</v>
      </c>
      <c r="F34" s="105" t="s">
        <v>491</v>
      </c>
      <c r="G34" s="105"/>
      <c r="H34" s="105"/>
      <c r="I34"/>
    </row>
    <row r="35" spans="1:9" s="81" customFormat="1">
      <c r="A35" s="102">
        <v>5006016256</v>
      </c>
      <c r="B35" t="s">
        <v>177</v>
      </c>
      <c r="C35" t="s">
        <v>21</v>
      </c>
      <c r="D35" t="s">
        <v>45</v>
      </c>
      <c r="E35" t="s">
        <v>356</v>
      </c>
      <c r="F35" s="105" t="s">
        <v>492</v>
      </c>
      <c r="G35" s="105"/>
      <c r="H35" s="105"/>
      <c r="I35"/>
    </row>
    <row r="36" spans="1:9" s="81" customFormat="1">
      <c r="A36" s="102">
        <v>5006016257</v>
      </c>
      <c r="B36" t="s">
        <v>30</v>
      </c>
      <c r="C36" t="s">
        <v>21</v>
      </c>
      <c r="D36" t="s">
        <v>45</v>
      </c>
      <c r="E36" t="s">
        <v>356</v>
      </c>
      <c r="F36" s="105" t="s">
        <v>493</v>
      </c>
      <c r="G36" s="105"/>
      <c r="H36" s="105"/>
      <c r="I36"/>
    </row>
    <row r="37" spans="1:9" s="81" customFormat="1">
      <c r="A37" s="102">
        <v>5006016258</v>
      </c>
      <c r="B37" t="s">
        <v>178</v>
      </c>
      <c r="C37" t="s">
        <v>21</v>
      </c>
      <c r="D37" t="s">
        <v>45</v>
      </c>
      <c r="E37" t="s">
        <v>356</v>
      </c>
      <c r="F37" s="105" t="s">
        <v>494</v>
      </c>
      <c r="G37" s="105"/>
      <c r="H37" s="105"/>
      <c r="I37"/>
    </row>
    <row r="38" spans="1:9" s="81" customFormat="1">
      <c r="A38" s="102">
        <v>5006016259</v>
      </c>
      <c r="B38" t="s">
        <v>179</v>
      </c>
      <c r="C38" t="s">
        <v>21</v>
      </c>
      <c r="D38" t="s">
        <v>45</v>
      </c>
      <c r="E38" t="s">
        <v>356</v>
      </c>
      <c r="F38" s="105" t="s">
        <v>495</v>
      </c>
      <c r="G38" s="105"/>
      <c r="H38" s="105"/>
      <c r="I38"/>
    </row>
    <row r="39" spans="1:9" s="81" customFormat="1">
      <c r="A39" s="102">
        <v>5006016260</v>
      </c>
      <c r="B39" t="s">
        <v>180</v>
      </c>
      <c r="C39" t="s">
        <v>21</v>
      </c>
      <c r="D39" t="s">
        <v>45</v>
      </c>
      <c r="E39" t="s">
        <v>356</v>
      </c>
      <c r="F39" s="105" t="s">
        <v>496</v>
      </c>
      <c r="G39" s="105"/>
      <c r="H39" s="105"/>
      <c r="I39"/>
    </row>
    <row r="40" spans="1:9" s="81" customFormat="1">
      <c r="A40" s="102">
        <v>5006016261</v>
      </c>
      <c r="B40" t="s">
        <v>181</v>
      </c>
      <c r="C40" t="s">
        <v>21</v>
      </c>
      <c r="D40" t="s">
        <v>45</v>
      </c>
      <c r="E40" t="s">
        <v>356</v>
      </c>
      <c r="F40" s="105" t="s">
        <v>497</v>
      </c>
      <c r="G40" s="105"/>
      <c r="H40" s="105"/>
      <c r="I40"/>
    </row>
    <row r="41" spans="1:9" s="81" customFormat="1">
      <c r="A41" s="102">
        <v>5004096281</v>
      </c>
      <c r="B41" t="s">
        <v>182</v>
      </c>
      <c r="C41" t="s">
        <v>31</v>
      </c>
      <c r="D41" t="s">
        <v>115</v>
      </c>
      <c r="E41" t="s">
        <v>358</v>
      </c>
      <c r="F41" s="105" t="s">
        <v>498</v>
      </c>
      <c r="G41" s="105"/>
      <c r="H41" s="105"/>
      <c r="I41"/>
    </row>
    <row r="42" spans="1:9" s="81" customFormat="1">
      <c r="A42" s="102">
        <v>5005046281</v>
      </c>
      <c r="B42" t="s">
        <v>183</v>
      </c>
      <c r="C42" t="s">
        <v>31</v>
      </c>
      <c r="D42" t="s">
        <v>59</v>
      </c>
      <c r="E42" t="s">
        <v>359</v>
      </c>
      <c r="F42" s="105" t="s">
        <v>499</v>
      </c>
      <c r="G42" s="105"/>
      <c r="H42" s="105"/>
      <c r="I42"/>
    </row>
    <row r="43" spans="1:9" s="81" customFormat="1">
      <c r="A43" s="102">
        <v>5005046282</v>
      </c>
      <c r="B43" t="s">
        <v>184</v>
      </c>
      <c r="C43" t="s">
        <v>31</v>
      </c>
      <c r="D43" t="s">
        <v>59</v>
      </c>
      <c r="E43" t="s">
        <v>359</v>
      </c>
      <c r="F43" s="105" t="s">
        <v>500</v>
      </c>
      <c r="G43" s="105"/>
      <c r="H43" s="105"/>
      <c r="I43"/>
    </row>
    <row r="44" spans="1:9" s="81" customFormat="1">
      <c r="A44" s="102">
        <v>5005046283</v>
      </c>
      <c r="B44" t="s">
        <v>185</v>
      </c>
      <c r="C44" t="s">
        <v>31</v>
      </c>
      <c r="D44" t="s">
        <v>59</v>
      </c>
      <c r="E44" t="s">
        <v>359</v>
      </c>
      <c r="F44" s="105" t="s">
        <v>501</v>
      </c>
      <c r="G44" s="105"/>
      <c r="H44" s="105"/>
      <c r="I44"/>
    </row>
    <row r="45" spans="1:9" s="81" customFormat="1">
      <c r="A45" s="102">
        <v>5005046284</v>
      </c>
      <c r="B45" t="s">
        <v>412</v>
      </c>
      <c r="C45" t="s">
        <v>31</v>
      </c>
      <c r="D45" t="s">
        <v>59</v>
      </c>
      <c r="E45" t="s">
        <v>359</v>
      </c>
      <c r="F45" s="105" t="s">
        <v>502</v>
      </c>
      <c r="G45" s="105"/>
      <c r="H45" s="105"/>
      <c r="I45" t="s">
        <v>448</v>
      </c>
    </row>
    <row r="46" spans="1:9" s="81" customFormat="1">
      <c r="A46" s="102">
        <v>5005066281</v>
      </c>
      <c r="B46" t="s">
        <v>186</v>
      </c>
      <c r="C46" t="s">
        <v>31</v>
      </c>
      <c r="D46" t="s">
        <v>97</v>
      </c>
      <c r="E46" t="s">
        <v>360</v>
      </c>
      <c r="F46" s="105" t="s">
        <v>503</v>
      </c>
      <c r="G46" s="105"/>
      <c r="H46" s="105"/>
      <c r="I46"/>
    </row>
    <row r="47" spans="1:9" s="81" customFormat="1">
      <c r="A47" s="102">
        <v>5005066282</v>
      </c>
      <c r="B47" t="s">
        <v>187</v>
      </c>
      <c r="C47" t="s">
        <v>31</v>
      </c>
      <c r="D47" t="s">
        <v>97</v>
      </c>
      <c r="E47" t="s">
        <v>360</v>
      </c>
      <c r="F47" s="105" t="s">
        <v>504</v>
      </c>
      <c r="G47" s="105"/>
      <c r="H47" s="105"/>
      <c r="I47"/>
    </row>
    <row r="48" spans="1:9" s="81" customFormat="1">
      <c r="A48" s="102">
        <v>5005056281</v>
      </c>
      <c r="B48" t="s">
        <v>188</v>
      </c>
      <c r="C48" t="s">
        <v>31</v>
      </c>
      <c r="D48" t="s">
        <v>97</v>
      </c>
      <c r="E48" t="s">
        <v>360</v>
      </c>
      <c r="F48" s="105" t="s">
        <v>505</v>
      </c>
      <c r="G48" s="105"/>
      <c r="H48" s="105"/>
      <c r="I48"/>
    </row>
    <row r="49" spans="1:9" s="81" customFormat="1">
      <c r="A49" s="102">
        <v>5005076281</v>
      </c>
      <c r="B49" t="s">
        <v>189</v>
      </c>
      <c r="C49" t="s">
        <v>31</v>
      </c>
      <c r="D49" t="s">
        <v>61</v>
      </c>
      <c r="E49" t="s">
        <v>361</v>
      </c>
      <c r="F49" s="105" t="s">
        <v>506</v>
      </c>
      <c r="G49" s="105"/>
      <c r="H49" s="105"/>
      <c r="I49"/>
    </row>
    <row r="50" spans="1:9" s="81" customFormat="1">
      <c r="A50" s="102">
        <v>5005076282</v>
      </c>
      <c r="B50" t="s">
        <v>190</v>
      </c>
      <c r="C50" t="s">
        <v>31</v>
      </c>
      <c r="D50" t="s">
        <v>61</v>
      </c>
      <c r="E50" t="s">
        <v>361</v>
      </c>
      <c r="F50" s="105" t="s">
        <v>507</v>
      </c>
      <c r="G50" s="105"/>
      <c r="H50" s="105"/>
      <c r="I50"/>
    </row>
    <row r="51" spans="1:9" s="81" customFormat="1">
      <c r="A51" s="102">
        <v>5005076283</v>
      </c>
      <c r="B51" t="s">
        <v>191</v>
      </c>
      <c r="C51" t="s">
        <v>31</v>
      </c>
      <c r="D51" t="s">
        <v>61</v>
      </c>
      <c r="E51" t="s">
        <v>361</v>
      </c>
      <c r="F51" s="105" t="s">
        <v>508</v>
      </c>
      <c r="G51" s="105"/>
      <c r="H51" s="105"/>
      <c r="I51"/>
    </row>
    <row r="52" spans="1:9" s="81" customFormat="1">
      <c r="A52" s="102">
        <v>5005076284</v>
      </c>
      <c r="B52" t="s">
        <v>192</v>
      </c>
      <c r="C52" t="s">
        <v>31</v>
      </c>
      <c r="D52" t="s">
        <v>61</v>
      </c>
      <c r="E52" t="s">
        <v>361</v>
      </c>
      <c r="F52" s="105" t="s">
        <v>509</v>
      </c>
      <c r="G52" s="105"/>
      <c r="H52" s="105"/>
      <c r="I52"/>
    </row>
    <row r="53" spans="1:9" s="81" customFormat="1">
      <c r="A53" s="102">
        <v>5005076285</v>
      </c>
      <c r="B53" s="292" t="s">
        <v>591</v>
      </c>
      <c r="C53" t="s">
        <v>31</v>
      </c>
      <c r="D53" t="s">
        <v>61</v>
      </c>
      <c r="E53" t="s">
        <v>361</v>
      </c>
      <c r="F53" s="105" t="s">
        <v>510</v>
      </c>
      <c r="G53" s="105"/>
      <c r="H53" s="105"/>
      <c r="I53"/>
    </row>
    <row r="54" spans="1:9" s="81" customFormat="1">
      <c r="A54" s="102">
        <v>5005076286</v>
      </c>
      <c r="B54" s="292" t="s">
        <v>592</v>
      </c>
      <c r="C54" t="s">
        <v>31</v>
      </c>
      <c r="D54" t="s">
        <v>61</v>
      </c>
      <c r="E54" t="s">
        <v>361</v>
      </c>
      <c r="F54" s="105" t="s">
        <v>511</v>
      </c>
      <c r="G54" s="105"/>
      <c r="H54" s="105"/>
      <c r="I54"/>
    </row>
    <row r="55" spans="1:9" s="81" customFormat="1">
      <c r="A55" s="102">
        <v>5005076287</v>
      </c>
      <c r="B55" s="292" t="s">
        <v>677</v>
      </c>
      <c r="C55" t="s">
        <v>31</v>
      </c>
      <c r="D55" t="s">
        <v>61</v>
      </c>
      <c r="E55" t="s">
        <v>361</v>
      </c>
      <c r="F55" s="105" t="s">
        <v>512</v>
      </c>
      <c r="G55" s="105"/>
      <c r="H55" s="105"/>
      <c r="I55"/>
    </row>
    <row r="56" spans="1:9" s="81" customFormat="1">
      <c r="A56" s="102">
        <v>5005076288</v>
      </c>
      <c r="B56" t="s">
        <v>193</v>
      </c>
      <c r="C56" t="s">
        <v>31</v>
      </c>
      <c r="D56" t="s">
        <v>60</v>
      </c>
      <c r="E56" t="s">
        <v>362</v>
      </c>
      <c r="F56" s="105" t="s">
        <v>513</v>
      </c>
      <c r="G56" s="105"/>
      <c r="H56" s="105"/>
      <c r="I56"/>
    </row>
    <row r="57" spans="1:9" s="81" customFormat="1">
      <c r="A57" s="102">
        <v>5005076289</v>
      </c>
      <c r="B57" t="s">
        <v>194</v>
      </c>
      <c r="C57" t="s">
        <v>31</v>
      </c>
      <c r="D57" t="s">
        <v>61</v>
      </c>
      <c r="E57" t="s">
        <v>361</v>
      </c>
      <c r="F57" s="105" t="s">
        <v>514</v>
      </c>
      <c r="G57" s="105"/>
      <c r="H57" s="105"/>
      <c r="I57"/>
    </row>
    <row r="58" spans="1:9" s="81" customFormat="1">
      <c r="A58" s="102">
        <v>5005076291</v>
      </c>
      <c r="B58" t="s">
        <v>409</v>
      </c>
      <c r="C58" t="s">
        <v>31</v>
      </c>
      <c r="D58" t="s">
        <v>61</v>
      </c>
      <c r="E58" t="s">
        <v>361</v>
      </c>
      <c r="F58" s="105" t="s">
        <v>515</v>
      </c>
      <c r="G58" s="105"/>
      <c r="H58" s="105"/>
      <c r="I58" t="s">
        <v>448</v>
      </c>
    </row>
    <row r="59" spans="1:9" s="81" customFormat="1">
      <c r="A59" s="102">
        <v>5005076292</v>
      </c>
      <c r="B59" t="s">
        <v>410</v>
      </c>
      <c r="C59" t="s">
        <v>31</v>
      </c>
      <c r="D59" t="s">
        <v>61</v>
      </c>
      <c r="E59" t="s">
        <v>361</v>
      </c>
      <c r="F59" s="105" t="s">
        <v>516</v>
      </c>
      <c r="G59" s="105"/>
      <c r="H59" s="105"/>
      <c r="I59" t="s">
        <v>448</v>
      </c>
    </row>
    <row r="60" spans="1:9" s="81" customFormat="1">
      <c r="A60" s="102">
        <v>5005076293</v>
      </c>
      <c r="B60" t="s">
        <v>411</v>
      </c>
      <c r="C60" t="s">
        <v>31</v>
      </c>
      <c r="D60" t="s">
        <v>61</v>
      </c>
      <c r="E60" t="s">
        <v>361</v>
      </c>
      <c r="F60" s="105" t="s">
        <v>517</v>
      </c>
      <c r="G60" s="105"/>
      <c r="H60" s="105"/>
      <c r="I60" t="s">
        <v>448</v>
      </c>
    </row>
    <row r="61" spans="1:9" s="81" customFormat="1">
      <c r="A61" s="102">
        <v>5005076294</v>
      </c>
      <c r="B61" t="s">
        <v>414</v>
      </c>
      <c r="C61" t="s">
        <v>31</v>
      </c>
      <c r="D61" t="s">
        <v>61</v>
      </c>
      <c r="E61" t="s">
        <v>361</v>
      </c>
      <c r="F61" s="105" t="s">
        <v>518</v>
      </c>
      <c r="G61" s="105"/>
      <c r="H61" s="105"/>
      <c r="I61" t="s">
        <v>448</v>
      </c>
    </row>
    <row r="62" spans="1:9" s="81" customFormat="1">
      <c r="A62" s="102">
        <v>5005086281</v>
      </c>
      <c r="B62" t="s">
        <v>195</v>
      </c>
      <c r="C62" t="s">
        <v>31</v>
      </c>
      <c r="D62" t="s">
        <v>44</v>
      </c>
      <c r="E62" t="s">
        <v>363</v>
      </c>
      <c r="F62" s="105" t="s">
        <v>519</v>
      </c>
      <c r="G62" s="105"/>
      <c r="H62" s="105"/>
      <c r="I62"/>
    </row>
    <row r="63" spans="1:9" s="81" customFormat="1">
      <c r="A63" s="102">
        <v>5005136281</v>
      </c>
      <c r="B63" t="s">
        <v>196</v>
      </c>
      <c r="C63" t="s">
        <v>31</v>
      </c>
      <c r="D63" t="s">
        <v>58</v>
      </c>
      <c r="E63" t="s">
        <v>364</v>
      </c>
      <c r="F63" s="105" t="s">
        <v>520</v>
      </c>
      <c r="G63" s="105"/>
      <c r="H63" s="105"/>
      <c r="I63"/>
    </row>
    <row r="64" spans="1:9" s="81" customFormat="1">
      <c r="A64" s="102">
        <v>5005246281</v>
      </c>
      <c r="B64" t="s">
        <v>197</v>
      </c>
      <c r="C64" t="s">
        <v>31</v>
      </c>
      <c r="D64" t="s">
        <v>98</v>
      </c>
      <c r="E64" t="s">
        <v>365</v>
      </c>
      <c r="F64" s="105" t="s">
        <v>521</v>
      </c>
      <c r="G64" s="105"/>
      <c r="H64" s="105"/>
      <c r="I64"/>
    </row>
    <row r="65" spans="1:9" s="81" customFormat="1">
      <c r="A65" s="102">
        <v>5005246282</v>
      </c>
      <c r="B65" t="s">
        <v>198</v>
      </c>
      <c r="C65" t="s">
        <v>31</v>
      </c>
      <c r="D65" t="s">
        <v>98</v>
      </c>
      <c r="E65" t="s">
        <v>365</v>
      </c>
      <c r="F65" s="105" t="s">
        <v>522</v>
      </c>
      <c r="G65" s="105"/>
      <c r="H65" s="105"/>
      <c r="I65"/>
    </row>
    <row r="66" spans="1:9" s="81" customFormat="1">
      <c r="A66" s="102">
        <v>5005246283</v>
      </c>
      <c r="B66" t="s">
        <v>199</v>
      </c>
      <c r="C66" t="s">
        <v>31</v>
      </c>
      <c r="D66" t="s">
        <v>98</v>
      </c>
      <c r="E66" t="s">
        <v>365</v>
      </c>
      <c r="F66" s="105" t="s">
        <v>523</v>
      </c>
      <c r="G66" s="105"/>
      <c r="H66" s="105"/>
      <c r="I66"/>
    </row>
    <row r="67" spans="1:9" s="81" customFormat="1">
      <c r="A67" s="102">
        <v>5005246284</v>
      </c>
      <c r="B67" t="s">
        <v>200</v>
      </c>
      <c r="C67" t="s">
        <v>31</v>
      </c>
      <c r="D67" t="s">
        <v>99</v>
      </c>
      <c r="E67" t="s">
        <v>366</v>
      </c>
      <c r="F67" s="105" t="s">
        <v>524</v>
      </c>
      <c r="G67" s="105"/>
      <c r="H67" s="105"/>
      <c r="I67"/>
    </row>
    <row r="68" spans="1:9" s="81" customFormat="1">
      <c r="A68" s="102">
        <v>5005216281</v>
      </c>
      <c r="B68" t="s">
        <v>201</v>
      </c>
      <c r="C68" t="s">
        <v>31</v>
      </c>
      <c r="D68" t="s">
        <v>51</v>
      </c>
      <c r="E68" t="s">
        <v>367</v>
      </c>
      <c r="F68" s="105" t="s">
        <v>525</v>
      </c>
      <c r="G68" s="105"/>
      <c r="H68" s="105"/>
      <c r="I68"/>
    </row>
    <row r="69" spans="1:9" s="81" customFormat="1">
      <c r="A69" s="102">
        <v>5005226281</v>
      </c>
      <c r="B69" t="s">
        <v>202</v>
      </c>
      <c r="C69" t="s">
        <v>31</v>
      </c>
      <c r="D69" t="s">
        <v>49</v>
      </c>
      <c r="E69" t="s">
        <v>368</v>
      </c>
      <c r="F69" s="105" t="s">
        <v>526</v>
      </c>
      <c r="G69" s="105"/>
      <c r="H69" s="105"/>
      <c r="I69"/>
    </row>
    <row r="70" spans="1:9" s="81" customFormat="1">
      <c r="A70" s="102">
        <v>5005236281</v>
      </c>
      <c r="B70" t="s">
        <v>203</v>
      </c>
      <c r="C70" t="s">
        <v>31</v>
      </c>
      <c r="D70" t="s">
        <v>47</v>
      </c>
      <c r="E70" t="s">
        <v>369</v>
      </c>
      <c r="F70" s="105" t="s">
        <v>527</v>
      </c>
      <c r="G70" s="105"/>
      <c r="H70" s="105"/>
      <c r="I70"/>
    </row>
    <row r="71" spans="1:9" s="81" customFormat="1">
      <c r="A71" s="102">
        <v>5005236282</v>
      </c>
      <c r="B71" t="s">
        <v>204</v>
      </c>
      <c r="C71" t="s">
        <v>31</v>
      </c>
      <c r="D71" t="s">
        <v>47</v>
      </c>
      <c r="E71" t="s">
        <v>369</v>
      </c>
      <c r="F71" s="105" t="s">
        <v>528</v>
      </c>
      <c r="G71" s="105"/>
      <c r="H71" s="105"/>
      <c r="I71"/>
    </row>
    <row r="72" spans="1:9" s="81" customFormat="1">
      <c r="A72" s="102">
        <v>5005246285</v>
      </c>
      <c r="B72" t="s">
        <v>205</v>
      </c>
      <c r="C72" t="s">
        <v>31</v>
      </c>
      <c r="D72" t="s">
        <v>50</v>
      </c>
      <c r="E72" t="s">
        <v>370</v>
      </c>
      <c r="F72" s="105" t="s">
        <v>529</v>
      </c>
      <c r="G72" s="105"/>
      <c r="H72" s="105"/>
      <c r="I72"/>
    </row>
    <row r="73" spans="1:9" s="81" customFormat="1">
      <c r="A73" s="102">
        <v>5005246286</v>
      </c>
      <c r="B73" t="s">
        <v>206</v>
      </c>
      <c r="C73" t="s">
        <v>31</v>
      </c>
      <c r="D73" t="s">
        <v>50</v>
      </c>
      <c r="E73" t="s">
        <v>370</v>
      </c>
      <c r="F73" s="105" t="s">
        <v>530</v>
      </c>
      <c r="G73" s="105"/>
      <c r="H73" s="105"/>
      <c r="I73"/>
    </row>
    <row r="74" spans="1:9" s="81" customFormat="1">
      <c r="A74" s="102">
        <v>5005246287</v>
      </c>
      <c r="B74" t="s">
        <v>207</v>
      </c>
      <c r="C74" t="s">
        <v>31</v>
      </c>
      <c r="D74" t="s">
        <v>50</v>
      </c>
      <c r="E74" t="s">
        <v>370</v>
      </c>
      <c r="F74" s="105" t="s">
        <v>531</v>
      </c>
      <c r="G74" s="105"/>
      <c r="H74" s="105"/>
      <c r="I74"/>
    </row>
    <row r="75" spans="1:9" s="81" customFormat="1">
      <c r="A75" s="102">
        <v>5005246288</v>
      </c>
      <c r="B75" t="s">
        <v>208</v>
      </c>
      <c r="C75" t="s">
        <v>31</v>
      </c>
      <c r="D75" t="s">
        <v>98</v>
      </c>
      <c r="E75" t="s">
        <v>365</v>
      </c>
      <c r="F75" s="105" t="s">
        <v>532</v>
      </c>
      <c r="G75" s="105"/>
      <c r="H75" s="105"/>
      <c r="I75"/>
    </row>
    <row r="76" spans="1:9" s="81" customFormat="1">
      <c r="A76" s="102">
        <v>5004086291</v>
      </c>
      <c r="B76" t="s">
        <v>209</v>
      </c>
      <c r="C76" t="s">
        <v>36</v>
      </c>
      <c r="D76" t="s">
        <v>42</v>
      </c>
      <c r="E76" t="s">
        <v>371</v>
      </c>
      <c r="F76" s="105" t="s">
        <v>533</v>
      </c>
      <c r="G76" s="105"/>
      <c r="H76" s="105"/>
      <c r="I76"/>
    </row>
    <row r="77" spans="1:9" s="81" customFormat="1">
      <c r="A77" s="102">
        <v>5004086293</v>
      </c>
      <c r="B77" t="s">
        <v>210</v>
      </c>
      <c r="C77" t="s">
        <v>36</v>
      </c>
      <c r="D77" t="s">
        <v>115</v>
      </c>
      <c r="E77" t="s">
        <v>358</v>
      </c>
      <c r="F77" s="105" t="s">
        <v>534</v>
      </c>
      <c r="G77" s="105"/>
      <c r="H77" s="105"/>
      <c r="I77"/>
    </row>
    <row r="78" spans="1:9" s="81" customFormat="1">
      <c r="A78" s="102">
        <v>5005116291</v>
      </c>
      <c r="B78" t="s">
        <v>211</v>
      </c>
      <c r="C78" t="s">
        <v>36</v>
      </c>
      <c r="D78" t="s">
        <v>56</v>
      </c>
      <c r="E78" t="s">
        <v>372</v>
      </c>
      <c r="F78" s="105" t="s">
        <v>535</v>
      </c>
      <c r="G78" s="105"/>
      <c r="H78" s="105"/>
      <c r="I78"/>
    </row>
    <row r="79" spans="1:9" s="81" customFormat="1">
      <c r="A79" s="102">
        <v>5005116292</v>
      </c>
      <c r="B79" t="s">
        <v>212</v>
      </c>
      <c r="C79" t="s">
        <v>36</v>
      </c>
      <c r="D79" t="s">
        <v>57</v>
      </c>
      <c r="E79" t="s">
        <v>373</v>
      </c>
      <c r="F79" s="105" t="s">
        <v>536</v>
      </c>
      <c r="G79" s="105"/>
      <c r="H79" s="105"/>
      <c r="I79"/>
    </row>
    <row r="80" spans="1:9" s="81" customFormat="1">
      <c r="A80" s="102">
        <v>5005136291</v>
      </c>
      <c r="B80" t="s">
        <v>213</v>
      </c>
      <c r="C80" t="s">
        <v>36</v>
      </c>
      <c r="D80" t="s">
        <v>58</v>
      </c>
      <c r="E80" t="s">
        <v>364</v>
      </c>
      <c r="F80" s="105" t="s">
        <v>537</v>
      </c>
      <c r="G80" s="105"/>
      <c r="H80" s="105"/>
      <c r="I80"/>
    </row>
    <row r="81" spans="1:9" s="81" customFormat="1">
      <c r="A81" s="102">
        <v>5005166291</v>
      </c>
      <c r="B81" t="s">
        <v>214</v>
      </c>
      <c r="C81" t="s">
        <v>36</v>
      </c>
      <c r="D81" t="s">
        <v>53</v>
      </c>
      <c r="E81" t="s">
        <v>374</v>
      </c>
      <c r="F81" s="105" t="s">
        <v>687</v>
      </c>
      <c r="G81" s="105"/>
      <c r="H81" s="105"/>
      <c r="I81"/>
    </row>
    <row r="82" spans="1:9" s="81" customFormat="1">
      <c r="A82" s="102">
        <v>5005186292</v>
      </c>
      <c r="B82" t="s">
        <v>215</v>
      </c>
      <c r="C82" t="s">
        <v>36</v>
      </c>
      <c r="D82" t="s">
        <v>48</v>
      </c>
      <c r="E82" t="s">
        <v>375</v>
      </c>
      <c r="F82" s="105" t="s">
        <v>538</v>
      </c>
      <c r="G82" s="105"/>
      <c r="H82" s="105"/>
      <c r="I82"/>
    </row>
    <row r="83" spans="1:9" s="81" customFormat="1">
      <c r="A83" s="102">
        <v>5005196373</v>
      </c>
      <c r="B83" t="s">
        <v>376</v>
      </c>
      <c r="C83" t="s">
        <v>151</v>
      </c>
      <c r="D83" t="s">
        <v>63</v>
      </c>
      <c r="E83" t="s">
        <v>377</v>
      </c>
      <c r="F83" s="105" t="s">
        <v>688</v>
      </c>
      <c r="G83" s="105">
        <v>5005196373</v>
      </c>
      <c r="H83" s="105">
        <v>5005196373</v>
      </c>
      <c r="I83" t="s">
        <v>352</v>
      </c>
    </row>
    <row r="84" spans="1:9" s="81" customFormat="1">
      <c r="A84" s="102">
        <v>5005196277</v>
      </c>
      <c r="B84" t="s">
        <v>378</v>
      </c>
      <c r="C84" t="s">
        <v>31</v>
      </c>
      <c r="D84" t="s">
        <v>63</v>
      </c>
      <c r="E84" t="s">
        <v>377</v>
      </c>
      <c r="F84" s="105" t="s">
        <v>689</v>
      </c>
      <c r="G84" s="105">
        <v>5005196277</v>
      </c>
      <c r="H84" s="105">
        <v>5005196277</v>
      </c>
      <c r="I84" t="s">
        <v>352</v>
      </c>
    </row>
    <row r="85" spans="1:9" s="81" customFormat="1">
      <c r="A85" s="102">
        <v>5005246291</v>
      </c>
      <c r="B85" t="s">
        <v>216</v>
      </c>
      <c r="C85" t="s">
        <v>36</v>
      </c>
      <c r="D85" t="s">
        <v>99</v>
      </c>
      <c r="E85" t="s">
        <v>366</v>
      </c>
      <c r="F85" s="105" t="s">
        <v>539</v>
      </c>
      <c r="G85" s="105"/>
      <c r="H85" s="105"/>
      <c r="I85"/>
    </row>
    <row r="86" spans="1:9" s="81" customFormat="1">
      <c r="A86" s="102">
        <v>5005246292</v>
      </c>
      <c r="B86" t="s">
        <v>217</v>
      </c>
      <c r="C86" t="s">
        <v>36</v>
      </c>
      <c r="D86" t="s">
        <v>64</v>
      </c>
      <c r="E86" t="s">
        <v>379</v>
      </c>
      <c r="F86" s="105" t="s">
        <v>540</v>
      </c>
      <c r="G86" s="105"/>
      <c r="H86" s="105"/>
      <c r="I86"/>
    </row>
    <row r="87" spans="1:9" s="81" customFormat="1">
      <c r="A87" s="102">
        <v>5005246294</v>
      </c>
      <c r="B87" t="s">
        <v>399</v>
      </c>
      <c r="C87" t="s">
        <v>36</v>
      </c>
      <c r="D87" t="s">
        <v>64</v>
      </c>
      <c r="E87" t="s">
        <v>379</v>
      </c>
      <c r="F87" s="105" t="s">
        <v>690</v>
      </c>
      <c r="G87" s="105"/>
      <c r="H87" s="105"/>
      <c r="I87" t="s">
        <v>449</v>
      </c>
    </row>
    <row r="88" spans="1:9" s="81" customFormat="1">
      <c r="A88" s="102">
        <v>5005256291</v>
      </c>
      <c r="B88" t="s">
        <v>218</v>
      </c>
      <c r="C88" t="s">
        <v>36</v>
      </c>
      <c r="D88" t="s">
        <v>62</v>
      </c>
      <c r="E88" t="s">
        <v>380</v>
      </c>
      <c r="F88" s="105" t="s">
        <v>541</v>
      </c>
      <c r="G88" s="105"/>
      <c r="H88" s="105"/>
      <c r="I88"/>
    </row>
    <row r="89" spans="1:9" s="81" customFormat="1">
      <c r="A89" s="102">
        <v>5101016174</v>
      </c>
      <c r="B89" t="s">
        <v>219</v>
      </c>
      <c r="C89" t="s">
        <v>132</v>
      </c>
      <c r="D89" t="s">
        <v>102</v>
      </c>
      <c r="E89" t="s">
        <v>12</v>
      </c>
      <c r="F89" s="105" t="s">
        <v>542</v>
      </c>
      <c r="G89" s="105"/>
      <c r="H89" s="105"/>
      <c r="I89"/>
    </row>
    <row r="90" spans="1:9" s="81" customFormat="1">
      <c r="A90" s="102">
        <v>5101016179</v>
      </c>
      <c r="B90" t="s">
        <v>220</v>
      </c>
      <c r="C90" t="s">
        <v>132</v>
      </c>
      <c r="D90" t="s">
        <v>43</v>
      </c>
      <c r="E90" t="s">
        <v>381</v>
      </c>
      <c r="F90" s="105" t="s">
        <v>543</v>
      </c>
      <c r="G90" s="105"/>
      <c r="H90" s="105"/>
      <c r="I90"/>
    </row>
    <row r="91" spans="1:9" s="81" customFormat="1">
      <c r="A91" s="102">
        <v>5101016187</v>
      </c>
      <c r="B91" t="s">
        <v>221</v>
      </c>
      <c r="C91" t="s">
        <v>132</v>
      </c>
      <c r="D91" t="s">
        <v>117</v>
      </c>
      <c r="E91" t="s">
        <v>382</v>
      </c>
      <c r="F91" s="105" t="s">
        <v>544</v>
      </c>
      <c r="G91" s="105"/>
      <c r="H91" s="105"/>
      <c r="I91"/>
    </row>
    <row r="92" spans="1:9" s="81" customFormat="1">
      <c r="A92" s="102">
        <v>5101016189</v>
      </c>
      <c r="B92" t="s">
        <v>383</v>
      </c>
      <c r="C92" t="s">
        <v>34</v>
      </c>
      <c r="D92" t="s">
        <v>116</v>
      </c>
      <c r="E92" t="s">
        <v>14</v>
      </c>
      <c r="F92" s="105" t="s">
        <v>691</v>
      </c>
      <c r="G92" s="105"/>
      <c r="H92" s="105"/>
      <c r="I92" t="s">
        <v>352</v>
      </c>
    </row>
    <row r="93" spans="1:9" s="81" customFormat="1">
      <c r="A93" s="102">
        <v>6004046511</v>
      </c>
      <c r="B93" t="s">
        <v>222</v>
      </c>
      <c r="C93" t="s">
        <v>128</v>
      </c>
      <c r="D93" t="s">
        <v>41</v>
      </c>
      <c r="E93" t="s">
        <v>149</v>
      </c>
      <c r="F93" s="105"/>
      <c r="G93" s="105"/>
      <c r="H93" s="105">
        <v>6004046511</v>
      </c>
      <c r="I93"/>
    </row>
    <row r="94" spans="1:9" s="81" customFormat="1">
      <c r="A94" s="102">
        <v>6003036412</v>
      </c>
      <c r="B94" t="s">
        <v>223</v>
      </c>
      <c r="C94" t="s">
        <v>129</v>
      </c>
      <c r="D94" t="s">
        <v>60</v>
      </c>
      <c r="E94" t="s">
        <v>362</v>
      </c>
      <c r="F94" s="105"/>
      <c r="G94" s="105"/>
      <c r="H94" s="105">
        <v>6003036412</v>
      </c>
      <c r="I94"/>
    </row>
    <row r="95" spans="1:9" s="81" customFormat="1">
      <c r="A95" s="102">
        <v>6005016413</v>
      </c>
      <c r="B95" t="s">
        <v>224</v>
      </c>
      <c r="C95" t="s">
        <v>130</v>
      </c>
      <c r="D95" t="s">
        <v>55</v>
      </c>
      <c r="E95" t="s">
        <v>353</v>
      </c>
      <c r="F95" s="105"/>
      <c r="G95" s="105"/>
      <c r="H95" s="105">
        <v>6005016413</v>
      </c>
      <c r="I95"/>
    </row>
    <row r="96" spans="1:9" s="81" customFormat="1">
      <c r="A96" s="102">
        <v>6005016414</v>
      </c>
      <c r="B96" t="s">
        <v>403</v>
      </c>
      <c r="C96" t="s">
        <v>130</v>
      </c>
      <c r="D96" t="s">
        <v>104</v>
      </c>
      <c r="E96" t="s">
        <v>354</v>
      </c>
      <c r="F96" s="105"/>
      <c r="G96" s="105">
        <v>6005016414</v>
      </c>
      <c r="H96" s="105">
        <v>6005016414</v>
      </c>
      <c r="I96" t="s">
        <v>448</v>
      </c>
    </row>
    <row r="97" spans="1:9" s="81" customFormat="1">
      <c r="A97" s="102">
        <v>6006016521</v>
      </c>
      <c r="B97" t="s">
        <v>225</v>
      </c>
      <c r="C97" t="s">
        <v>21</v>
      </c>
      <c r="D97" t="s">
        <v>45</v>
      </c>
      <c r="E97" t="s">
        <v>356</v>
      </c>
      <c r="F97" s="105"/>
      <c r="G97" s="105"/>
      <c r="H97" s="105">
        <v>6006016521</v>
      </c>
      <c r="I97"/>
    </row>
    <row r="98" spans="1:9" s="81" customFormat="1">
      <c r="A98" s="102">
        <v>6006016522</v>
      </c>
      <c r="B98" t="s">
        <v>133</v>
      </c>
      <c r="C98" t="s">
        <v>21</v>
      </c>
      <c r="D98" t="s">
        <v>45</v>
      </c>
      <c r="E98" t="s">
        <v>356</v>
      </c>
      <c r="F98" s="105"/>
      <c r="G98" s="105"/>
      <c r="H98" s="105">
        <v>6006016522</v>
      </c>
      <c r="I98"/>
    </row>
    <row r="99" spans="1:9" s="81" customFormat="1">
      <c r="A99" s="102">
        <v>6006016523</v>
      </c>
      <c r="B99" t="s">
        <v>134</v>
      </c>
      <c r="C99" t="s">
        <v>21</v>
      </c>
      <c r="D99" t="s">
        <v>45</v>
      </c>
      <c r="E99" t="s">
        <v>356</v>
      </c>
      <c r="F99" s="105"/>
      <c r="G99" s="105"/>
      <c r="H99" s="105">
        <v>6006016523</v>
      </c>
      <c r="I99"/>
    </row>
    <row r="100" spans="1:9" s="81" customFormat="1">
      <c r="A100" s="102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5"/>
      <c r="G100" s="105"/>
      <c r="H100" s="105">
        <v>6006016524</v>
      </c>
      <c r="I100"/>
    </row>
    <row r="101" spans="1:9" s="81" customFormat="1">
      <c r="A101" s="102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5"/>
      <c r="G101" s="105"/>
      <c r="H101" s="105">
        <v>6006016525</v>
      </c>
      <c r="I101"/>
    </row>
    <row r="102" spans="1:9" s="81" customFormat="1">
      <c r="A102" s="102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5"/>
      <c r="G102" s="105"/>
      <c r="H102" s="105">
        <v>6006016526</v>
      </c>
      <c r="I102"/>
    </row>
    <row r="103" spans="1:9" s="81" customFormat="1">
      <c r="A103" s="102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5"/>
      <c r="G103" s="105"/>
      <c r="H103" s="105">
        <v>6006016527</v>
      </c>
      <c r="I103"/>
    </row>
    <row r="104" spans="1:9" s="81" customFormat="1">
      <c r="A104" s="102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5"/>
      <c r="G104" s="105"/>
      <c r="H104" s="105">
        <v>6006016528</v>
      </c>
      <c r="I104"/>
    </row>
    <row r="105" spans="1:9" s="81" customFormat="1">
      <c r="A105" s="102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5"/>
      <c r="G105" s="105"/>
      <c r="H105" s="105">
        <v>6006016529</v>
      </c>
      <c r="I105"/>
    </row>
    <row r="106" spans="1:9" s="81" customFormat="1">
      <c r="A106" s="102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5"/>
      <c r="G106" s="105"/>
      <c r="H106" s="105">
        <v>6006016530</v>
      </c>
      <c r="I106"/>
    </row>
    <row r="107" spans="1:9" s="81" customFormat="1">
      <c r="A107" s="102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5"/>
      <c r="G107" s="105"/>
      <c r="H107" s="105">
        <v>6006016531</v>
      </c>
      <c r="I107"/>
    </row>
    <row r="108" spans="1:9" s="81" customFormat="1">
      <c r="A108" s="102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5"/>
      <c r="G108" s="105"/>
      <c r="H108" s="105">
        <v>6006016532</v>
      </c>
      <c r="I108"/>
    </row>
    <row r="109" spans="1:9" s="81" customFormat="1">
      <c r="A109" s="102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5"/>
      <c r="G109" s="105"/>
      <c r="H109" s="105">
        <v>6006016533</v>
      </c>
      <c r="I109"/>
    </row>
    <row r="110" spans="1:9" s="81" customFormat="1">
      <c r="A110" s="102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5"/>
      <c r="G110" s="105"/>
      <c r="H110" s="105">
        <v>6006016534</v>
      </c>
      <c r="I110"/>
    </row>
    <row r="111" spans="1:9" s="81" customFormat="1">
      <c r="A111" s="102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5"/>
      <c r="G111" s="105"/>
      <c r="H111" s="105">
        <v>6006016535</v>
      </c>
      <c r="I111"/>
    </row>
    <row r="112" spans="1:9" s="81" customFormat="1">
      <c r="A112" s="102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5"/>
      <c r="G112" s="105"/>
      <c r="H112" s="105">
        <v>6006016536</v>
      </c>
      <c r="I112"/>
    </row>
    <row r="113" spans="1:9" s="81" customFormat="1">
      <c r="A113" s="102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5"/>
      <c r="G113" s="105"/>
      <c r="H113" s="105">
        <v>6006016537</v>
      </c>
      <c r="I113"/>
    </row>
    <row r="114" spans="1:9" s="81" customFormat="1">
      <c r="A114" s="102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5"/>
      <c r="G114" s="105"/>
      <c r="H114" s="105">
        <v>6006016538</v>
      </c>
      <c r="I114"/>
    </row>
    <row r="115" spans="1:9" s="81" customFormat="1">
      <c r="A115" s="102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5"/>
      <c r="G115" s="105"/>
      <c r="H115" s="105">
        <v>6006016539</v>
      </c>
      <c r="I115"/>
    </row>
    <row r="116" spans="1:9" s="81" customFormat="1">
      <c r="A116" s="102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5"/>
      <c r="G116" s="105"/>
      <c r="H116" s="105">
        <v>6006016540</v>
      </c>
      <c r="I116"/>
    </row>
    <row r="117" spans="1:9" s="81" customFormat="1">
      <c r="A117" s="102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5"/>
      <c r="G117" s="105"/>
      <c r="H117" s="105">
        <v>6005046541</v>
      </c>
      <c r="I117"/>
    </row>
    <row r="118" spans="1:9" s="81" customFormat="1">
      <c r="A118" s="102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5"/>
      <c r="G118" s="105"/>
      <c r="H118" s="105">
        <v>6005046542</v>
      </c>
      <c r="I118"/>
    </row>
    <row r="119" spans="1:9" s="81" customFormat="1">
      <c r="A119" s="102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5"/>
      <c r="G119" s="105"/>
      <c r="H119" s="105">
        <v>6003016541</v>
      </c>
      <c r="I119"/>
    </row>
    <row r="120" spans="1:9" s="81" customFormat="1">
      <c r="A120" s="102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5"/>
      <c r="G120" s="105"/>
      <c r="H120" s="105">
        <v>6003026541</v>
      </c>
      <c r="I120"/>
    </row>
    <row r="121" spans="1:9" s="81" customFormat="1">
      <c r="A121" s="102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5"/>
      <c r="G121" s="105"/>
      <c r="H121" s="105">
        <v>6003036541</v>
      </c>
      <c r="I121"/>
    </row>
    <row r="122" spans="1:9" s="81" customFormat="1">
      <c r="A122" s="102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5"/>
      <c r="G122" s="105"/>
      <c r="H122" s="105">
        <v>6003036542</v>
      </c>
      <c r="I122"/>
    </row>
    <row r="123" spans="1:9" s="81" customFormat="1">
      <c r="A123" s="102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5" t="s">
        <v>545</v>
      </c>
      <c r="G123" s="105"/>
      <c r="H123" s="105">
        <v>6003036543</v>
      </c>
      <c r="I123"/>
    </row>
    <row r="124" spans="1:9" s="81" customFormat="1">
      <c r="A124" s="102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5" t="s">
        <v>546</v>
      </c>
      <c r="G124" s="105">
        <v>6003036544</v>
      </c>
      <c r="H124" s="105">
        <v>6003036544</v>
      </c>
      <c r="I124"/>
    </row>
    <row r="125" spans="1:9" s="81" customFormat="1">
      <c r="A125" s="102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5"/>
      <c r="G125" s="105"/>
      <c r="H125" s="105">
        <v>6003036545</v>
      </c>
      <c r="I125"/>
    </row>
    <row r="126" spans="1:9" s="81" customFormat="1">
      <c r="A126" s="102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5"/>
      <c r="G126" s="105"/>
      <c r="H126" s="105">
        <v>6003036546</v>
      </c>
      <c r="I126"/>
    </row>
    <row r="127" spans="1:9" s="81" customFormat="1">
      <c r="A127" s="102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5"/>
      <c r="G127" s="105"/>
      <c r="H127" s="105">
        <v>6003036547</v>
      </c>
      <c r="I127"/>
    </row>
    <row r="128" spans="1:9" s="81" customFormat="1">
      <c r="A128" s="102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5"/>
      <c r="G128" s="105"/>
      <c r="H128" s="105">
        <v>6003036548</v>
      </c>
      <c r="I128"/>
    </row>
    <row r="129" spans="1:9" s="81" customFormat="1">
      <c r="A129" s="102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5"/>
      <c r="G129" s="105"/>
      <c r="H129" s="105">
        <v>6003036549</v>
      </c>
      <c r="I129"/>
    </row>
    <row r="130" spans="1:9" s="81" customFormat="1">
      <c r="A130" s="102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5"/>
      <c r="G130" s="105"/>
      <c r="H130" s="105">
        <v>6003036550</v>
      </c>
      <c r="I130"/>
    </row>
    <row r="131" spans="1:9" s="81" customFormat="1">
      <c r="A131" s="102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5"/>
      <c r="G131" s="105"/>
      <c r="H131" s="105">
        <v>6003036551</v>
      </c>
      <c r="I131"/>
    </row>
    <row r="132" spans="1:9" s="81" customFormat="1">
      <c r="A132" s="102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5" t="s">
        <v>547</v>
      </c>
      <c r="G132" s="105"/>
      <c r="H132" s="105">
        <v>6003036552</v>
      </c>
      <c r="I132"/>
    </row>
    <row r="133" spans="1:9" s="81" customFormat="1">
      <c r="A133" s="102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5" t="s">
        <v>548</v>
      </c>
      <c r="G133" s="105">
        <v>6003036554</v>
      </c>
      <c r="H133" s="105">
        <v>6003036554</v>
      </c>
      <c r="I133" t="s">
        <v>448</v>
      </c>
    </row>
    <row r="134" spans="1:9" s="81" customFormat="1">
      <c r="A134" s="102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5" t="s">
        <v>549</v>
      </c>
      <c r="G134" s="105">
        <v>6003036555</v>
      </c>
      <c r="H134" s="105">
        <v>6003036555</v>
      </c>
      <c r="I134" t="s">
        <v>448</v>
      </c>
    </row>
    <row r="135" spans="1:9" s="81" customFormat="1">
      <c r="A135" s="102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5" t="s">
        <v>550</v>
      </c>
      <c r="G135" s="105">
        <v>6003036556</v>
      </c>
      <c r="H135" s="105">
        <v>6003036556</v>
      </c>
      <c r="I135" t="s">
        <v>448</v>
      </c>
    </row>
    <row r="136" spans="1:9" s="81" customFormat="1">
      <c r="A136" s="102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5" t="s">
        <v>551</v>
      </c>
      <c r="G136" s="105">
        <v>6003036557</v>
      </c>
      <c r="H136" s="105">
        <v>6003036557</v>
      </c>
      <c r="I136" t="s">
        <v>448</v>
      </c>
    </row>
    <row r="137" spans="1:9" s="81" customFormat="1">
      <c r="A137" s="102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5"/>
      <c r="G137" s="105"/>
      <c r="H137" s="105">
        <v>6004096541</v>
      </c>
      <c r="I137"/>
    </row>
    <row r="138" spans="1:9" s="81" customFormat="1">
      <c r="A138" s="102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5"/>
      <c r="G138" s="105"/>
      <c r="H138" s="105">
        <v>6005056541</v>
      </c>
      <c r="I138"/>
    </row>
    <row r="139" spans="1:9" s="81" customFormat="1">
      <c r="A139" s="102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5"/>
      <c r="G139" s="105"/>
      <c r="H139" s="105">
        <v>6005056542</v>
      </c>
      <c r="I139"/>
    </row>
    <row r="140" spans="1:9" s="81" customFormat="1">
      <c r="A140" s="102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5"/>
      <c r="G140" s="105"/>
      <c r="H140" s="105">
        <v>6005056543</v>
      </c>
      <c r="I140"/>
    </row>
    <row r="141" spans="1:9" s="81" customFormat="1">
      <c r="A141" s="102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5"/>
      <c r="G141" s="105"/>
      <c r="H141" s="105">
        <v>6005136541</v>
      </c>
      <c r="I141"/>
    </row>
    <row r="142" spans="1:9" s="81" customFormat="1">
      <c r="A142" s="102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5"/>
      <c r="G142" s="105"/>
      <c r="H142" s="105">
        <v>6005146541</v>
      </c>
      <c r="I142"/>
    </row>
    <row r="143" spans="1:9" s="81" customFormat="1">
      <c r="A143" s="102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5"/>
      <c r="G143" s="105"/>
      <c r="H143" s="105">
        <v>6005146542</v>
      </c>
      <c r="I143"/>
    </row>
    <row r="144" spans="1:9" s="81" customFormat="1">
      <c r="A144" s="102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5"/>
      <c r="G144" s="105"/>
      <c r="H144" s="105">
        <v>6005146543</v>
      </c>
      <c r="I144"/>
    </row>
    <row r="145" spans="1:9" s="81" customFormat="1">
      <c r="A145" s="102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5"/>
      <c r="G145" s="105"/>
      <c r="H145" s="105">
        <v>6005156541</v>
      </c>
      <c r="I145"/>
    </row>
    <row r="146" spans="1:9" s="81" customFormat="1">
      <c r="A146" s="102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5"/>
      <c r="G146" s="105"/>
      <c r="H146" s="105">
        <v>6005206541</v>
      </c>
      <c r="I146"/>
    </row>
    <row r="147" spans="1:9" s="81" customFormat="1">
      <c r="A147" s="102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5"/>
      <c r="G147" s="105"/>
      <c r="H147" s="105">
        <v>6005216541</v>
      </c>
      <c r="I147"/>
    </row>
    <row r="148" spans="1:9" s="81" customFormat="1">
      <c r="A148" s="102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5"/>
      <c r="G148" s="105"/>
      <c r="H148" s="105">
        <v>6005226541</v>
      </c>
      <c r="I148"/>
    </row>
    <row r="149" spans="1:9" s="81" customFormat="1">
      <c r="A149" s="102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5"/>
      <c r="G149" s="105"/>
      <c r="H149" s="105">
        <v>6005236541</v>
      </c>
      <c r="I149"/>
    </row>
    <row r="150" spans="1:9" s="81" customFormat="1">
      <c r="A150" s="102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5"/>
      <c r="G150" s="105"/>
      <c r="H150" s="105">
        <v>6005246541</v>
      </c>
      <c r="I150"/>
    </row>
    <row r="151" spans="1:9" s="81" customFormat="1">
      <c r="A151" s="102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5" t="s">
        <v>552</v>
      </c>
      <c r="G151" s="105">
        <v>6005246542</v>
      </c>
      <c r="H151" s="105">
        <v>6005246542</v>
      </c>
      <c r="I151"/>
    </row>
    <row r="152" spans="1:9" s="81" customFormat="1">
      <c r="A152" s="102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5" t="s">
        <v>553</v>
      </c>
      <c r="G152" s="105">
        <v>6005246543</v>
      </c>
      <c r="H152" s="105">
        <v>6005246543</v>
      </c>
      <c r="I152"/>
    </row>
    <row r="153" spans="1:9" s="81" customFormat="1">
      <c r="A153" s="102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5"/>
      <c r="G153" s="105"/>
      <c r="H153" s="105">
        <v>6005246544</v>
      </c>
      <c r="I153"/>
    </row>
    <row r="154" spans="1:9" s="81" customFormat="1">
      <c r="A154" s="102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5"/>
      <c r="G154" s="105"/>
      <c r="H154" s="105">
        <v>6004086551</v>
      </c>
      <c r="I154"/>
    </row>
    <row r="155" spans="1:9" s="81" customFormat="1">
      <c r="A155" s="102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5"/>
      <c r="G155" s="105"/>
      <c r="H155" s="105">
        <v>6004086553</v>
      </c>
      <c r="I155"/>
    </row>
    <row r="156" spans="1:9" s="81" customFormat="1">
      <c r="A156" s="102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5"/>
      <c r="G156" s="105"/>
      <c r="H156" s="105">
        <v>6005116551</v>
      </c>
      <c r="I156"/>
    </row>
    <row r="157" spans="1:9" s="81" customFormat="1">
      <c r="A157" s="102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5"/>
      <c r="G157" s="105"/>
      <c r="H157" s="105">
        <v>6005116552</v>
      </c>
      <c r="I157"/>
    </row>
    <row r="158" spans="1:9" s="81" customFormat="1">
      <c r="A158" s="102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5"/>
      <c r="G158" s="105"/>
      <c r="H158" s="105">
        <v>6005136551</v>
      </c>
      <c r="I158"/>
    </row>
    <row r="159" spans="1:9" s="81" customFormat="1">
      <c r="A159" s="102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5"/>
      <c r="G159" s="105"/>
      <c r="H159" s="105">
        <v>6005166551</v>
      </c>
      <c r="I159"/>
    </row>
    <row r="160" spans="1:9" s="81" customFormat="1">
      <c r="A160" s="102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5"/>
      <c r="G160" s="105"/>
      <c r="H160" s="105">
        <v>6005186552</v>
      </c>
      <c r="I160"/>
    </row>
    <row r="161" spans="1:9" s="81" customFormat="1">
      <c r="A161" s="102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5"/>
      <c r="G161" s="105"/>
      <c r="H161" s="105">
        <v>6005246551</v>
      </c>
      <c r="I161"/>
    </row>
    <row r="162" spans="1:9" s="81" customFormat="1">
      <c r="A162" s="102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5"/>
      <c r="G162" s="105"/>
      <c r="H162" s="105">
        <v>6005246552</v>
      </c>
      <c r="I162"/>
    </row>
    <row r="163" spans="1:9" s="81" customFormat="1">
      <c r="A163" s="102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5"/>
      <c r="G163" s="105"/>
      <c r="H163" s="105">
        <v>6005246553</v>
      </c>
      <c r="I163"/>
    </row>
    <row r="164" spans="1:9" s="81" customFormat="1">
      <c r="A164" s="102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5"/>
      <c r="G164" s="105">
        <v>6004046421</v>
      </c>
      <c r="H164" s="105"/>
      <c r="I164"/>
    </row>
    <row r="165" spans="1:9" s="81" customFormat="1">
      <c r="A165" s="102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5"/>
      <c r="G165" s="105">
        <v>6005016422</v>
      </c>
      <c r="H165" s="105"/>
      <c r="I165" t="s">
        <v>447</v>
      </c>
    </row>
    <row r="166" spans="1:9" s="81" customFormat="1">
      <c r="A166" s="102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5"/>
      <c r="G166" s="105">
        <v>6005016423</v>
      </c>
      <c r="H166" s="105">
        <v>6005016423</v>
      </c>
      <c r="I166" t="s">
        <v>448</v>
      </c>
    </row>
    <row r="167" spans="1:9" s="81" customFormat="1">
      <c r="A167" s="102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5"/>
      <c r="G167" s="105">
        <v>6005126423</v>
      </c>
      <c r="H167" s="105"/>
      <c r="I167"/>
    </row>
    <row r="168" spans="1:9" s="81" customFormat="1">
      <c r="A168" s="102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5"/>
      <c r="G168" s="105">
        <v>6006016611</v>
      </c>
      <c r="H168" s="105"/>
      <c r="I168"/>
    </row>
    <row r="169" spans="1:9" s="81" customFormat="1">
      <c r="A169" s="102">
        <v>6006016612</v>
      </c>
      <c r="B169" t="s">
        <v>2</v>
      </c>
      <c r="C169" t="s">
        <v>21</v>
      </c>
      <c r="D169" t="s">
        <v>45</v>
      </c>
      <c r="E169" t="s">
        <v>356</v>
      </c>
      <c r="F169" s="105"/>
      <c r="G169" s="105">
        <v>6006016612</v>
      </c>
      <c r="H169" s="105"/>
      <c r="I169"/>
    </row>
    <row r="170" spans="1:9" s="81" customFormat="1">
      <c r="A170" s="102">
        <v>6006016613</v>
      </c>
      <c r="B170" t="s">
        <v>3</v>
      </c>
      <c r="C170" t="s">
        <v>21</v>
      </c>
      <c r="D170" t="s">
        <v>45</v>
      </c>
      <c r="E170" t="s">
        <v>356</v>
      </c>
      <c r="F170" s="105"/>
      <c r="G170" s="105">
        <v>6006016613</v>
      </c>
      <c r="H170" s="105"/>
      <c r="I170"/>
    </row>
    <row r="171" spans="1:9" s="81" customFormat="1">
      <c r="A171" s="102">
        <v>6006016614</v>
      </c>
      <c r="B171" t="s">
        <v>4</v>
      </c>
      <c r="C171" t="s">
        <v>21</v>
      </c>
      <c r="D171" t="s">
        <v>45</v>
      </c>
      <c r="E171" t="s">
        <v>356</v>
      </c>
      <c r="F171" s="105"/>
      <c r="G171" s="105">
        <v>6006016614</v>
      </c>
      <c r="H171" s="105"/>
      <c r="I171"/>
    </row>
    <row r="172" spans="1:9" s="81" customFormat="1">
      <c r="A172" s="102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5"/>
      <c r="G172" s="105">
        <v>6006016615</v>
      </c>
      <c r="H172" s="105"/>
      <c r="I172"/>
    </row>
    <row r="173" spans="1:9" s="81" customFormat="1">
      <c r="A173" s="102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5"/>
      <c r="G173" s="105">
        <v>6006016616</v>
      </c>
      <c r="H173" s="105"/>
      <c r="I173"/>
    </row>
    <row r="174" spans="1:9" s="81" customFormat="1">
      <c r="A174" s="102">
        <v>6006016617</v>
      </c>
      <c r="B174" t="s">
        <v>5</v>
      </c>
      <c r="C174" t="s">
        <v>21</v>
      </c>
      <c r="D174" t="s">
        <v>45</v>
      </c>
      <c r="E174" t="s">
        <v>356</v>
      </c>
      <c r="F174" s="105"/>
      <c r="G174" s="105">
        <v>6006016617</v>
      </c>
      <c r="H174" s="105"/>
      <c r="I174"/>
    </row>
    <row r="175" spans="1:9" s="81" customFormat="1">
      <c r="A175" s="102">
        <v>6006016618</v>
      </c>
      <c r="B175" t="s">
        <v>6</v>
      </c>
      <c r="C175" t="s">
        <v>21</v>
      </c>
      <c r="D175" t="s">
        <v>45</v>
      </c>
      <c r="E175" t="s">
        <v>356</v>
      </c>
      <c r="F175" s="105"/>
      <c r="G175" s="105">
        <v>6006016618</v>
      </c>
      <c r="H175" s="105"/>
      <c r="I175"/>
    </row>
    <row r="176" spans="1:9" s="81" customFormat="1">
      <c r="A176" s="102">
        <v>6006016619</v>
      </c>
      <c r="B176" t="s">
        <v>7</v>
      </c>
      <c r="C176" t="s">
        <v>21</v>
      </c>
      <c r="D176" t="s">
        <v>45</v>
      </c>
      <c r="E176" t="s">
        <v>356</v>
      </c>
      <c r="F176" s="105"/>
      <c r="G176" s="105">
        <v>6006016619</v>
      </c>
      <c r="H176" s="105"/>
      <c r="I176"/>
    </row>
    <row r="177" spans="1:9" s="81" customFormat="1">
      <c r="A177" s="102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5"/>
      <c r="G177" s="105">
        <v>6006016620</v>
      </c>
      <c r="H177" s="105"/>
      <c r="I177"/>
    </row>
    <row r="178" spans="1:9" s="81" customFormat="1">
      <c r="A178" s="102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5"/>
      <c r="G178" s="105">
        <v>6006016621</v>
      </c>
      <c r="H178" s="105"/>
      <c r="I178"/>
    </row>
    <row r="179" spans="1:9" s="81" customFormat="1">
      <c r="A179" s="102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5"/>
      <c r="G179" s="105">
        <v>6006016622</v>
      </c>
      <c r="H179" s="105"/>
      <c r="I179"/>
    </row>
    <row r="180" spans="1:9" s="81" customFormat="1">
      <c r="A180" s="102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5"/>
      <c r="G180" s="105">
        <v>6006016623</v>
      </c>
      <c r="H180" s="105"/>
      <c r="I180"/>
    </row>
    <row r="181" spans="1:9" s="81" customFormat="1">
      <c r="A181" s="102">
        <v>6006016624</v>
      </c>
      <c r="B181" t="s">
        <v>8</v>
      </c>
      <c r="C181" t="s">
        <v>21</v>
      </c>
      <c r="D181" t="s">
        <v>45</v>
      </c>
      <c r="E181" t="s">
        <v>356</v>
      </c>
      <c r="F181" s="105"/>
      <c r="G181" s="105">
        <v>6006016624</v>
      </c>
      <c r="H181" s="105"/>
      <c r="I181"/>
    </row>
    <row r="182" spans="1:9" s="81" customFormat="1">
      <c r="A182" s="102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5"/>
      <c r="G182" s="105">
        <v>6006016625</v>
      </c>
      <c r="H182" s="105"/>
      <c r="I182"/>
    </row>
    <row r="183" spans="1:9" s="81" customFormat="1">
      <c r="A183" s="102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5"/>
      <c r="G183" s="105">
        <v>6006016626</v>
      </c>
      <c r="H183" s="105"/>
      <c r="I183"/>
    </row>
    <row r="184" spans="1:9" s="81" customFormat="1">
      <c r="A184" s="102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5"/>
      <c r="G184" s="105">
        <v>6006016627</v>
      </c>
      <c r="H184" s="105"/>
      <c r="I184"/>
    </row>
    <row r="185" spans="1:9" s="81" customFormat="1">
      <c r="A185" s="102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5"/>
      <c r="G185" s="105">
        <v>6006016628</v>
      </c>
      <c r="H185" s="105"/>
      <c r="I185"/>
    </row>
    <row r="186" spans="1:9" s="81" customFormat="1">
      <c r="A186" s="102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5"/>
      <c r="G186" s="105">
        <v>6006016629</v>
      </c>
      <c r="H186" s="105"/>
      <c r="I186"/>
    </row>
    <row r="187" spans="1:9" s="81" customFormat="1">
      <c r="A187" s="102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5"/>
      <c r="G187" s="105">
        <v>6005186425</v>
      </c>
      <c r="H187" s="105"/>
      <c r="I187"/>
    </row>
    <row r="188" spans="1:9" s="81" customFormat="1">
      <c r="A188" s="102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5"/>
      <c r="G188" s="105">
        <v>6005186429</v>
      </c>
      <c r="H188" s="105"/>
      <c r="I188"/>
    </row>
    <row r="189" spans="1:9" s="81" customFormat="1">
      <c r="A189" s="102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5"/>
      <c r="G189" s="105">
        <v>6005266426</v>
      </c>
      <c r="H189" s="105"/>
      <c r="I189"/>
    </row>
    <row r="190" spans="1:9" s="81" customFormat="1">
      <c r="A190" s="102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5"/>
      <c r="G190" s="105">
        <v>6004096621</v>
      </c>
      <c r="H190" s="105"/>
      <c r="I190"/>
    </row>
    <row r="191" spans="1:9" s="81" customFormat="1">
      <c r="A191" s="102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5"/>
      <c r="G191" s="105">
        <v>6005046622</v>
      </c>
      <c r="H191" s="105"/>
      <c r="I191"/>
    </row>
    <row r="192" spans="1:9" s="81" customFormat="1">
      <c r="A192" s="102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5"/>
      <c r="G192" s="105">
        <v>6005046635</v>
      </c>
      <c r="H192" s="105"/>
      <c r="I192"/>
    </row>
    <row r="193" spans="1:9" s="81" customFormat="1">
      <c r="A193" s="102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5"/>
      <c r="G193" s="105">
        <v>6005056623</v>
      </c>
      <c r="H193" s="105"/>
      <c r="I193"/>
    </row>
    <row r="194" spans="1:9" s="81" customFormat="1">
      <c r="A194" s="102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5"/>
      <c r="G194" s="105">
        <v>6005056624</v>
      </c>
      <c r="H194" s="105"/>
      <c r="I194"/>
    </row>
    <row r="195" spans="1:9" s="81" customFormat="1">
      <c r="A195" s="102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5"/>
      <c r="G195" s="105">
        <v>6005056625</v>
      </c>
      <c r="H195" s="105"/>
      <c r="I195"/>
    </row>
    <row r="196" spans="1:9" s="81" customFormat="1">
      <c r="A196" s="102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5"/>
      <c r="G196" s="105">
        <v>6005136626</v>
      </c>
      <c r="H196" s="105"/>
      <c r="I196"/>
    </row>
    <row r="197" spans="1:9" s="81" customFormat="1">
      <c r="A197" s="102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5"/>
      <c r="G197" s="105">
        <v>6005146627</v>
      </c>
      <c r="H197" s="105"/>
      <c r="I197"/>
    </row>
    <row r="198" spans="1:9" s="81" customFormat="1">
      <c r="A198" s="102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5"/>
      <c r="G198" s="105">
        <v>6005146628</v>
      </c>
      <c r="H198" s="105"/>
      <c r="I198"/>
    </row>
    <row r="199" spans="1:9" s="81" customFormat="1">
      <c r="A199" s="102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5"/>
      <c r="G199" s="105">
        <v>6005146629</v>
      </c>
      <c r="H199" s="105"/>
      <c r="I199"/>
    </row>
    <row r="200" spans="1:9" s="81" customFormat="1">
      <c r="A200" s="102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5"/>
      <c r="G200" s="105">
        <v>6005156630</v>
      </c>
      <c r="H200" s="105"/>
      <c r="I200"/>
    </row>
    <row r="201" spans="1:9" s="81" customFormat="1">
      <c r="A201" s="102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5"/>
      <c r="G201" s="105">
        <v>6005206631</v>
      </c>
      <c r="H201" s="105"/>
      <c r="I201"/>
    </row>
    <row r="202" spans="1:9" s="81" customFormat="1">
      <c r="A202" s="102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5"/>
      <c r="G202" s="105">
        <v>6005216632</v>
      </c>
      <c r="H202" s="105"/>
      <c r="I202"/>
    </row>
    <row r="203" spans="1:9" s="81" customFormat="1">
      <c r="A203" s="102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5"/>
      <c r="G203" s="105">
        <v>6005226633</v>
      </c>
      <c r="H203" s="105"/>
      <c r="I203"/>
    </row>
    <row r="204" spans="1:9" s="81" customFormat="1">
      <c r="A204" s="102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5"/>
      <c r="G204" s="105">
        <v>6005236634</v>
      </c>
      <c r="H204" s="105"/>
      <c r="I204"/>
    </row>
    <row r="205" spans="1:9" s="81" customFormat="1">
      <c r="A205" s="102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5"/>
      <c r="G205" s="105">
        <v>6005246636</v>
      </c>
      <c r="H205" s="105"/>
      <c r="I205"/>
    </row>
    <row r="206" spans="1:9" s="81" customFormat="1">
      <c r="A206" s="102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5"/>
      <c r="G206" s="105">
        <v>6005246672</v>
      </c>
      <c r="H206" s="105"/>
      <c r="I206"/>
    </row>
    <row r="207" spans="1:9" s="81" customFormat="1">
      <c r="A207" s="102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5"/>
      <c r="G207" s="105">
        <v>6005246673</v>
      </c>
      <c r="H207" s="105"/>
      <c r="I207"/>
    </row>
    <row r="208" spans="1:9" s="81" customFormat="1">
      <c r="A208" s="102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5"/>
      <c r="G208" s="105">
        <v>6005246674</v>
      </c>
      <c r="H208" s="105"/>
      <c r="I208"/>
    </row>
    <row r="209" spans="1:9" s="81" customFormat="1">
      <c r="A209" s="102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5"/>
      <c r="G209" s="105">
        <v>6004086651</v>
      </c>
      <c r="H209" s="105"/>
      <c r="I209"/>
    </row>
    <row r="210" spans="1:9" s="81" customFormat="1">
      <c r="A210" s="102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5"/>
      <c r="G210" s="105">
        <v>6004086653</v>
      </c>
      <c r="H210" s="105"/>
      <c r="I210"/>
    </row>
    <row r="211" spans="1:9" s="81" customFormat="1">
      <c r="A211" s="102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5"/>
      <c r="G211" s="105">
        <v>6005116654</v>
      </c>
      <c r="H211" s="105"/>
      <c r="I211"/>
    </row>
    <row r="212" spans="1:9" s="81" customFormat="1">
      <c r="A212" s="102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5"/>
      <c r="G212" s="105">
        <v>6005116655</v>
      </c>
      <c r="H212" s="105"/>
      <c r="I212"/>
    </row>
    <row r="213" spans="1:9" s="81" customFormat="1">
      <c r="A213" s="102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5"/>
      <c r="G213" s="105">
        <v>6005136657</v>
      </c>
      <c r="H213" s="105"/>
      <c r="I213"/>
    </row>
    <row r="214" spans="1:9" s="81" customFormat="1">
      <c r="A214" s="102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5"/>
      <c r="G214" s="105">
        <v>6005166658</v>
      </c>
      <c r="H214" s="105"/>
      <c r="I214"/>
    </row>
    <row r="215" spans="1:9" s="81" customFormat="1">
      <c r="A215" s="102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5"/>
      <c r="G215" s="105">
        <v>6005176659</v>
      </c>
      <c r="H215" s="105"/>
      <c r="I215"/>
    </row>
    <row r="216" spans="1:9" s="81" customFormat="1">
      <c r="A216" s="102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5"/>
      <c r="G216" s="105">
        <v>6005246671</v>
      </c>
      <c r="H216" s="105"/>
      <c r="I216"/>
    </row>
    <row r="217" spans="1:9" s="81" customFormat="1">
      <c r="A217" s="102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5"/>
      <c r="G217" s="105">
        <v>6005246675</v>
      </c>
      <c r="H217" s="105"/>
      <c r="I217"/>
    </row>
    <row r="218" spans="1:9" s="81" customFormat="1">
      <c r="A218" s="102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5"/>
      <c r="G218" s="105">
        <v>6005246676</v>
      </c>
      <c r="H218" s="105"/>
      <c r="I218" t="s">
        <v>449</v>
      </c>
    </row>
    <row r="219" spans="1:9" s="81" customFormat="1">
      <c r="A219" s="102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5" t="s">
        <v>554</v>
      </c>
      <c r="G219" s="105">
        <v>8001017111</v>
      </c>
      <c r="H219" s="105">
        <v>8001017111</v>
      </c>
      <c r="I219"/>
    </row>
    <row r="220" spans="1:9" s="81" customFormat="1">
      <c r="A220" s="102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5" t="s">
        <v>555</v>
      </c>
      <c r="G220" s="105">
        <v>8001027111</v>
      </c>
      <c r="H220" s="105">
        <v>8001027111</v>
      </c>
      <c r="I220"/>
    </row>
    <row r="221" spans="1:9" s="81" customFormat="1">
      <c r="A221" s="102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5" t="s">
        <v>556</v>
      </c>
      <c r="G221" s="105">
        <v>8001037111</v>
      </c>
      <c r="H221" s="105">
        <v>8001037111</v>
      </c>
      <c r="I221"/>
    </row>
    <row r="222" spans="1:9" s="81" customFormat="1">
      <c r="A222" s="102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5" t="s">
        <v>557</v>
      </c>
      <c r="G222" s="105">
        <v>7002048111</v>
      </c>
      <c r="H222" s="105">
        <v>7002048111</v>
      </c>
      <c r="I222"/>
    </row>
    <row r="223" spans="1:9" s="81" customFormat="1">
      <c r="A223" s="102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5" t="s">
        <v>558</v>
      </c>
      <c r="G223" s="105">
        <v>7002048112</v>
      </c>
      <c r="H223" s="105">
        <v>7002048112</v>
      </c>
      <c r="I223"/>
    </row>
    <row r="224" spans="1:9" s="81" customFormat="1">
      <c r="A224" s="102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5" t="s">
        <v>559</v>
      </c>
      <c r="G224" s="105">
        <v>8002018111</v>
      </c>
      <c r="H224" s="105">
        <v>8002018111</v>
      </c>
      <c r="I224"/>
    </row>
    <row r="225" spans="1:9" s="81" customFormat="1">
      <c r="A225" s="102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5" t="s">
        <v>560</v>
      </c>
      <c r="G225" s="105">
        <v>8002028111</v>
      </c>
      <c r="H225" s="105">
        <v>8002028111</v>
      </c>
      <c r="I225"/>
    </row>
    <row r="226" spans="1:9" s="81" customFormat="1">
      <c r="A226" s="102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5" t="s">
        <v>561</v>
      </c>
      <c r="G226" s="105">
        <v>8002038111</v>
      </c>
      <c r="H226" s="105">
        <v>8002038111</v>
      </c>
      <c r="I226"/>
    </row>
    <row r="227" spans="1:9" s="81" customFormat="1">
      <c r="A227" s="102">
        <v>9114120002</v>
      </c>
      <c r="B227" t="s">
        <v>70</v>
      </c>
      <c r="C227"/>
      <c r="D227" t="s">
        <v>70</v>
      </c>
      <c r="E227" t="s">
        <v>387</v>
      </c>
      <c r="F227" s="105" t="s">
        <v>562</v>
      </c>
      <c r="G227" s="105">
        <v>9114120002</v>
      </c>
      <c r="H227" s="105">
        <v>9114120002</v>
      </c>
      <c r="I227"/>
    </row>
    <row r="228" spans="1:9" s="81" customFormat="1">
      <c r="A228" s="102">
        <v>9114120004</v>
      </c>
      <c r="B228" t="s">
        <v>73</v>
      </c>
      <c r="C228"/>
      <c r="D228" t="s">
        <v>73</v>
      </c>
      <c r="E228" t="s">
        <v>388</v>
      </c>
      <c r="F228" s="105" t="s">
        <v>563</v>
      </c>
      <c r="G228" s="105">
        <v>9114120004</v>
      </c>
      <c r="H228" s="105">
        <v>9114120004</v>
      </c>
      <c r="I228"/>
    </row>
    <row r="229" spans="1:9" s="81" customFormat="1">
      <c r="A229" s="102">
        <v>9114120005</v>
      </c>
      <c r="B229" t="s">
        <v>107</v>
      </c>
      <c r="C229"/>
      <c r="D229" t="s">
        <v>121</v>
      </c>
      <c r="E229" t="s">
        <v>389</v>
      </c>
      <c r="F229" s="105" t="s">
        <v>564</v>
      </c>
      <c r="G229" s="105">
        <v>9114120005</v>
      </c>
      <c r="H229" s="105">
        <v>9114120005</v>
      </c>
      <c r="I229"/>
    </row>
    <row r="230" spans="1:9" s="81" customFormat="1">
      <c r="A230" s="293">
        <v>9114120006</v>
      </c>
      <c r="B230" s="294" t="s">
        <v>142</v>
      </c>
      <c r="C230"/>
      <c r="D230" s="294" t="s">
        <v>101</v>
      </c>
      <c r="E230" t="s">
        <v>349</v>
      </c>
      <c r="F230" s="105" t="s">
        <v>565</v>
      </c>
      <c r="G230" s="105">
        <v>9114120006</v>
      </c>
      <c r="H230" s="105">
        <v>9114120006</v>
      </c>
      <c r="I230"/>
    </row>
    <row r="231" spans="1:9" s="81" customFormat="1">
      <c r="A231" s="102">
        <v>9114120007</v>
      </c>
      <c r="B231" t="s">
        <v>108</v>
      </c>
      <c r="C231"/>
      <c r="D231" t="s">
        <v>114</v>
      </c>
      <c r="E231" t="s">
        <v>390</v>
      </c>
      <c r="F231" s="105" t="s">
        <v>566</v>
      </c>
      <c r="G231" s="105">
        <v>9114120007</v>
      </c>
      <c r="H231" s="105">
        <v>9114120007</v>
      </c>
      <c r="I231"/>
    </row>
    <row r="232" spans="1:9" s="81" customFormat="1">
      <c r="A232" s="102">
        <v>9114120008</v>
      </c>
      <c r="B232" t="s">
        <v>102</v>
      </c>
      <c r="C232"/>
      <c r="D232" t="s">
        <v>102</v>
      </c>
      <c r="E232" t="s">
        <v>12</v>
      </c>
      <c r="F232" s="105" t="s">
        <v>567</v>
      </c>
      <c r="G232" s="105"/>
      <c r="H232" s="105"/>
      <c r="I232"/>
    </row>
    <row r="233" spans="1:9" s="81" customFormat="1">
      <c r="A233" s="102">
        <v>9114120009</v>
      </c>
      <c r="B233" t="s">
        <v>109</v>
      </c>
      <c r="C233"/>
      <c r="D233" t="s">
        <v>122</v>
      </c>
      <c r="E233" t="s">
        <v>391</v>
      </c>
      <c r="F233" s="105" t="s">
        <v>568</v>
      </c>
      <c r="G233" s="105">
        <v>9114120009</v>
      </c>
      <c r="H233" s="105">
        <v>9114120009</v>
      </c>
      <c r="I233"/>
    </row>
    <row r="234" spans="1:9" s="81" customFormat="1">
      <c r="A234" s="102">
        <v>9114120011</v>
      </c>
      <c r="B234" t="s">
        <v>100</v>
      </c>
      <c r="C234"/>
      <c r="D234" t="s">
        <v>100</v>
      </c>
      <c r="E234" t="s">
        <v>392</v>
      </c>
      <c r="F234" s="105" t="s">
        <v>569</v>
      </c>
      <c r="G234" s="105">
        <v>9114120011</v>
      </c>
      <c r="H234" s="105">
        <v>9114120011</v>
      </c>
      <c r="I234"/>
    </row>
    <row r="235" spans="1:9" s="81" customFormat="1">
      <c r="A235" s="102">
        <v>9114120014</v>
      </c>
      <c r="B235" t="s">
        <v>74</v>
      </c>
      <c r="C235"/>
      <c r="D235" t="s">
        <v>74</v>
      </c>
      <c r="E235" t="s">
        <v>393</v>
      </c>
      <c r="F235" s="105" t="s">
        <v>570</v>
      </c>
      <c r="G235" s="105">
        <v>9114120014</v>
      </c>
      <c r="H235" s="105">
        <v>9114120014</v>
      </c>
      <c r="I235"/>
    </row>
    <row r="236" spans="1:9" s="81" customFormat="1">
      <c r="A236" s="102">
        <v>9114120018</v>
      </c>
      <c r="B236" t="s">
        <v>106</v>
      </c>
      <c r="C236"/>
      <c r="D236" t="s">
        <v>106</v>
      </c>
      <c r="E236" t="s">
        <v>394</v>
      </c>
      <c r="F236" s="105" t="s">
        <v>571</v>
      </c>
      <c r="G236" s="105">
        <v>9114120018</v>
      </c>
      <c r="H236" s="105">
        <v>9114120018</v>
      </c>
      <c r="I236"/>
    </row>
    <row r="237" spans="1:9" s="81" customFormat="1">
      <c r="A237" s="102">
        <v>9114120021</v>
      </c>
      <c r="B237" t="s">
        <v>143</v>
      </c>
      <c r="C237"/>
      <c r="D237" t="s">
        <v>143</v>
      </c>
      <c r="E237" t="s">
        <v>395</v>
      </c>
      <c r="F237" s="105" t="s">
        <v>572</v>
      </c>
      <c r="G237" s="105">
        <v>9114120021</v>
      </c>
      <c r="H237" s="105">
        <v>9114120021</v>
      </c>
      <c r="I237"/>
    </row>
    <row r="238" spans="1:9" s="81" customFormat="1">
      <c r="A238" s="102">
        <v>9114120028</v>
      </c>
      <c r="B238" t="s">
        <v>113</v>
      </c>
      <c r="C238"/>
      <c r="D238" t="s">
        <v>113</v>
      </c>
      <c r="E238" t="s">
        <v>396</v>
      </c>
      <c r="F238" s="105" t="s">
        <v>573</v>
      </c>
      <c r="G238" s="105">
        <v>9114120028</v>
      </c>
      <c r="H238" s="105">
        <v>9114120028</v>
      </c>
      <c r="I238"/>
    </row>
    <row r="239" spans="1:9" s="81" customFormat="1">
      <c r="A239" s="102">
        <v>9114120029</v>
      </c>
      <c r="B239" t="s">
        <v>678</v>
      </c>
      <c r="C239"/>
      <c r="D239" t="s">
        <v>678</v>
      </c>
      <c r="E239" t="s">
        <v>397</v>
      </c>
      <c r="F239" s="105" t="s">
        <v>574</v>
      </c>
      <c r="G239" s="105">
        <v>9114120029</v>
      </c>
      <c r="H239" s="105">
        <v>9114120029</v>
      </c>
      <c r="I239"/>
    </row>
    <row r="240" spans="1:9" s="81" customFormat="1">
      <c r="A240" s="102">
        <v>9114120030</v>
      </c>
      <c r="B240" t="s">
        <v>679</v>
      </c>
      <c r="C240"/>
      <c r="D240" t="s">
        <v>679</v>
      </c>
      <c r="E240" t="s">
        <v>398</v>
      </c>
      <c r="F240" s="105" t="s">
        <v>575</v>
      </c>
      <c r="G240" s="105">
        <v>9114120030</v>
      </c>
      <c r="H240" s="105">
        <v>9114120030</v>
      </c>
      <c r="I240"/>
    </row>
    <row r="241" spans="1:9" s="81" customFormat="1">
      <c r="A241" s="102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5"/>
      <c r="H241"/>
      <c r="I241"/>
    </row>
    <row r="242" spans="1:9" s="81" customFormat="1">
      <c r="A242" s="103">
        <v>5005016373</v>
      </c>
      <c r="B242" s="104" t="s">
        <v>413</v>
      </c>
      <c r="C242" s="104" t="s">
        <v>151</v>
      </c>
      <c r="D242" s="104" t="s">
        <v>55</v>
      </c>
      <c r="E242" s="104" t="s">
        <v>151</v>
      </c>
      <c r="F242" s="104" t="s">
        <v>474</v>
      </c>
      <c r="G242" s="104"/>
      <c r="H242" s="105"/>
      <c r="I242" s="104"/>
    </row>
    <row r="243" spans="1:9" s="81" customFormat="1">
      <c r="A243" s="103">
        <v>6005016422</v>
      </c>
      <c r="B243" s="104" t="s">
        <v>415</v>
      </c>
      <c r="C243" s="104" t="s">
        <v>0</v>
      </c>
      <c r="D243" s="104" t="s">
        <v>55</v>
      </c>
      <c r="E243" s="104" t="s">
        <v>353</v>
      </c>
      <c r="F243" s="104"/>
      <c r="G243" s="104">
        <v>6005016422</v>
      </c>
      <c r="I243" s="104"/>
    </row>
    <row r="244" spans="1:9" s="81" customFormat="1">
      <c r="A244" s="103">
        <v>5001016151</v>
      </c>
      <c r="B244" s="104" t="s">
        <v>162</v>
      </c>
      <c r="C244" s="104" t="s">
        <v>35</v>
      </c>
      <c r="D244" s="104" t="s">
        <v>101</v>
      </c>
      <c r="E244" s="104" t="s">
        <v>35</v>
      </c>
      <c r="F244" s="104" t="s">
        <v>469</v>
      </c>
      <c r="G244" s="104"/>
      <c r="H244" s="105"/>
      <c r="I244" s="104"/>
    </row>
    <row r="245" spans="1:9">
      <c r="A245" s="103">
        <v>6006016630</v>
      </c>
      <c r="B245" s="104" t="s">
        <v>675</v>
      </c>
      <c r="C245" s="104" t="s">
        <v>676</v>
      </c>
      <c r="D245" s="104" t="s">
        <v>45</v>
      </c>
      <c r="E245" s="104" t="s">
        <v>356</v>
      </c>
      <c r="G245" s="104">
        <v>6006016630</v>
      </c>
    </row>
  </sheetData>
  <autoFilter ref="A1:I244" xr:uid="{FAD469EB-CA76-42E6-BF1A-2DF85BFC23DB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694E-BA83-44E0-BF54-D092DDB60CBE}">
  <sheetPr codeName="Sheet8"/>
  <dimension ref="A1:G58"/>
  <sheetViews>
    <sheetView workbookViewId="0">
      <pane ySplit="1" topLeftCell="A23" activePane="bottomLeft" state="frozen"/>
      <selection pane="bottomLeft" activeCell="H51" sqref="H51"/>
    </sheetView>
  </sheetViews>
  <sheetFormatPr defaultColWidth="9" defaultRowHeight="13.5"/>
  <cols>
    <col min="1" max="1" width="11.625" style="289" bestFit="1" customWidth="1"/>
    <col min="2" max="2" width="19" style="286" bestFit="1" customWidth="1"/>
    <col min="3" max="3" width="3.875" style="287" bestFit="1" customWidth="1"/>
    <col min="4" max="4" width="10.25" style="286" bestFit="1" customWidth="1"/>
    <col min="5" max="5" width="9" style="286"/>
    <col min="6" max="6" width="10.875" style="286" bestFit="1" customWidth="1"/>
    <col min="7" max="7" width="19.5" style="286" bestFit="1" customWidth="1"/>
    <col min="8" max="8" width="9" style="286"/>
    <col min="9" max="9" width="13.5" style="286" customWidth="1"/>
    <col min="10" max="16384" width="9" style="286"/>
  </cols>
  <sheetData>
    <row r="1" spans="1:7">
      <c r="B1" s="286" t="s">
        <v>93</v>
      </c>
      <c r="D1" s="286" t="s">
        <v>82</v>
      </c>
      <c r="E1" s="286" t="s">
        <v>83</v>
      </c>
    </row>
    <row r="2" spans="1:7">
      <c r="A2" s="289">
        <v>1412000004</v>
      </c>
      <c r="B2" s="288" t="s">
        <v>665</v>
      </c>
      <c r="C2" s="287" t="s">
        <v>593</v>
      </c>
      <c r="D2" s="286" t="s">
        <v>159</v>
      </c>
      <c r="E2" s="286" t="s">
        <v>159</v>
      </c>
      <c r="G2" s="286" t="s">
        <v>640</v>
      </c>
    </row>
    <row r="3" spans="1:7">
      <c r="A3" s="290">
        <v>1412000005</v>
      </c>
      <c r="B3" s="288" t="s">
        <v>666</v>
      </c>
      <c r="C3" s="287" t="s">
        <v>594</v>
      </c>
      <c r="D3" s="286" t="s">
        <v>159</v>
      </c>
      <c r="E3" s="286" t="s">
        <v>159</v>
      </c>
    </row>
    <row r="4" spans="1:7">
      <c r="A4" s="290">
        <v>1412000062</v>
      </c>
      <c r="B4" s="288" t="s">
        <v>646</v>
      </c>
      <c r="C4" s="287" t="s">
        <v>596</v>
      </c>
      <c r="D4" s="286" t="s">
        <v>444</v>
      </c>
      <c r="E4" s="286" t="s">
        <v>159</v>
      </c>
    </row>
    <row r="5" spans="1:7">
      <c r="A5" s="290">
        <v>1412000034</v>
      </c>
      <c r="B5" s="288" t="s">
        <v>422</v>
      </c>
      <c r="C5" s="287" t="s">
        <v>599</v>
      </c>
      <c r="D5" s="286" t="s">
        <v>159</v>
      </c>
      <c r="E5" s="286" t="s">
        <v>159</v>
      </c>
    </row>
    <row r="6" spans="1:7">
      <c r="A6" s="290">
        <v>1412000048</v>
      </c>
      <c r="B6" s="288" t="s">
        <v>421</v>
      </c>
      <c r="C6" s="287" t="s">
        <v>600</v>
      </c>
      <c r="D6" s="286" t="s">
        <v>444</v>
      </c>
      <c r="E6" s="286" t="s">
        <v>159</v>
      </c>
    </row>
    <row r="7" spans="1:7">
      <c r="A7" s="289">
        <v>1412000055</v>
      </c>
      <c r="B7" s="286" t="s">
        <v>659</v>
      </c>
      <c r="C7" s="287" t="s">
        <v>601</v>
      </c>
      <c r="D7" s="286" t="s">
        <v>444</v>
      </c>
      <c r="E7" s="286" t="s">
        <v>159</v>
      </c>
    </row>
    <row r="8" spans="1:7">
      <c r="A8" s="290">
        <v>1412000050</v>
      </c>
      <c r="B8" s="288" t="s">
        <v>619</v>
      </c>
      <c r="C8" s="287" t="s">
        <v>620</v>
      </c>
      <c r="D8" s="286" t="s">
        <v>159</v>
      </c>
      <c r="E8" s="286" t="s">
        <v>159</v>
      </c>
    </row>
    <row r="9" spans="1:7">
      <c r="A9" s="289">
        <v>1412000077</v>
      </c>
      <c r="B9" s="288" t="s">
        <v>621</v>
      </c>
      <c r="C9" s="287" t="s">
        <v>622</v>
      </c>
      <c r="D9" s="286" t="s">
        <v>159</v>
      </c>
      <c r="E9" s="286" t="s">
        <v>159</v>
      </c>
    </row>
    <row r="10" spans="1:7">
      <c r="A10" s="290">
        <v>1412000053</v>
      </c>
      <c r="B10" s="288" t="s">
        <v>582</v>
      </c>
      <c r="C10" s="287" t="s">
        <v>597</v>
      </c>
      <c r="D10" s="286" t="s">
        <v>444</v>
      </c>
      <c r="E10" s="286" t="s">
        <v>159</v>
      </c>
    </row>
    <row r="11" spans="1:7">
      <c r="A11" s="290">
        <v>1412000008</v>
      </c>
      <c r="B11" s="288" t="s">
        <v>432</v>
      </c>
      <c r="C11" s="287" t="s">
        <v>606</v>
      </c>
      <c r="D11" s="286" t="s">
        <v>444</v>
      </c>
      <c r="E11" s="286" t="s">
        <v>159</v>
      </c>
    </row>
    <row r="12" spans="1:7">
      <c r="A12" s="290">
        <v>1412000010</v>
      </c>
      <c r="B12" s="288" t="s">
        <v>430</v>
      </c>
      <c r="C12" s="287" t="s">
        <v>607</v>
      </c>
      <c r="D12" s="286" t="s">
        <v>576</v>
      </c>
      <c r="E12" s="286" t="s">
        <v>159</v>
      </c>
    </row>
    <row r="13" spans="1:7">
      <c r="A13" s="290">
        <v>1412000054</v>
      </c>
      <c r="B13" s="288" t="s">
        <v>423</v>
      </c>
      <c r="C13" s="287" t="s">
        <v>608</v>
      </c>
      <c r="D13" s="286" t="s">
        <v>576</v>
      </c>
      <c r="E13" s="286" t="s">
        <v>159</v>
      </c>
    </row>
    <row r="14" spans="1:7">
      <c r="A14" s="290">
        <v>1412000036</v>
      </c>
      <c r="B14" s="288" t="s">
        <v>645</v>
      </c>
      <c r="C14" s="287" t="s">
        <v>611</v>
      </c>
      <c r="D14" s="286" t="s">
        <v>444</v>
      </c>
      <c r="E14" s="286" t="s">
        <v>159</v>
      </c>
    </row>
    <row r="15" spans="1:7">
      <c r="A15" s="290">
        <v>1412000006</v>
      </c>
      <c r="B15" s="288" t="s">
        <v>424</v>
      </c>
      <c r="C15" s="287" t="s">
        <v>614</v>
      </c>
      <c r="D15" s="286" t="s">
        <v>576</v>
      </c>
      <c r="E15" s="286" t="s">
        <v>159</v>
      </c>
    </row>
    <row r="16" spans="1:7">
      <c r="A16" s="290">
        <v>1412000039</v>
      </c>
      <c r="B16" s="288" t="s">
        <v>425</v>
      </c>
      <c r="C16" s="287" t="s">
        <v>615</v>
      </c>
      <c r="D16" s="286" t="s">
        <v>576</v>
      </c>
      <c r="E16" s="286" t="s">
        <v>159</v>
      </c>
    </row>
    <row r="17" spans="1:5">
      <c r="A17" s="290">
        <v>1412000040</v>
      </c>
      <c r="B17" s="288" t="s">
        <v>443</v>
      </c>
      <c r="C17" s="287" t="s">
        <v>616</v>
      </c>
      <c r="D17" s="286" t="s">
        <v>576</v>
      </c>
      <c r="E17" s="286" t="s">
        <v>159</v>
      </c>
    </row>
    <row r="18" spans="1:5">
      <c r="A18" s="289">
        <v>1412000013</v>
      </c>
      <c r="B18" s="288" t="s">
        <v>667</v>
      </c>
      <c r="C18" s="287" t="s">
        <v>609</v>
      </c>
      <c r="D18" s="286" t="s">
        <v>576</v>
      </c>
      <c r="E18" s="286" t="s">
        <v>159</v>
      </c>
    </row>
    <row r="19" spans="1:5">
      <c r="A19" s="289">
        <v>1412000080</v>
      </c>
      <c r="B19" s="288" t="s">
        <v>440</v>
      </c>
      <c r="C19" s="287" t="s">
        <v>605</v>
      </c>
      <c r="D19" s="286" t="s">
        <v>576</v>
      </c>
      <c r="E19" s="286" t="s">
        <v>159</v>
      </c>
    </row>
    <row r="20" spans="1:5">
      <c r="A20" s="289">
        <v>1412000044</v>
      </c>
      <c r="B20" s="288" t="s">
        <v>442</v>
      </c>
      <c r="C20" s="287" t="s">
        <v>604</v>
      </c>
      <c r="D20" s="286" t="s">
        <v>444</v>
      </c>
      <c r="E20" s="286" t="s">
        <v>159</v>
      </c>
    </row>
    <row r="21" spans="1:5">
      <c r="A21" s="290">
        <v>1412000056</v>
      </c>
      <c r="B21" s="288" t="s">
        <v>441</v>
      </c>
      <c r="C21" s="287" t="s">
        <v>603</v>
      </c>
      <c r="D21" s="286" t="s">
        <v>159</v>
      </c>
      <c r="E21" s="286" t="s">
        <v>159</v>
      </c>
    </row>
    <row r="22" spans="1:5">
      <c r="A22" s="290">
        <v>1412000018</v>
      </c>
      <c r="B22" s="288" t="s">
        <v>428</v>
      </c>
      <c r="C22" s="287" t="s">
        <v>626</v>
      </c>
      <c r="D22" s="286" t="s">
        <v>577</v>
      </c>
      <c r="E22" s="286" t="s">
        <v>159</v>
      </c>
    </row>
    <row r="23" spans="1:5">
      <c r="A23" s="290">
        <v>1412000019</v>
      </c>
      <c r="B23" s="288" t="s">
        <v>588</v>
      </c>
      <c r="C23" s="287" t="s">
        <v>627</v>
      </c>
      <c r="D23" s="286" t="s">
        <v>577</v>
      </c>
      <c r="E23" s="286" t="s">
        <v>159</v>
      </c>
    </row>
    <row r="24" spans="1:5">
      <c r="A24" s="290">
        <v>1412000058</v>
      </c>
      <c r="B24" s="288" t="s">
        <v>433</v>
      </c>
      <c r="C24" s="287" t="s">
        <v>628</v>
      </c>
      <c r="D24" s="286" t="s">
        <v>577</v>
      </c>
      <c r="E24" s="286" t="s">
        <v>159</v>
      </c>
    </row>
    <row r="25" spans="1:5">
      <c r="A25" s="290">
        <v>1412000042</v>
      </c>
      <c r="B25" s="288" t="s">
        <v>434</v>
      </c>
      <c r="C25" s="287" t="s">
        <v>629</v>
      </c>
      <c r="D25" s="286" t="s">
        <v>577</v>
      </c>
      <c r="E25" s="286" t="s">
        <v>159</v>
      </c>
    </row>
    <row r="26" spans="1:5">
      <c r="A26" s="290">
        <v>1412000021</v>
      </c>
      <c r="B26" s="288" t="s">
        <v>435</v>
      </c>
      <c r="C26" s="287" t="s">
        <v>630</v>
      </c>
      <c r="D26" s="286" t="s">
        <v>577</v>
      </c>
      <c r="E26" s="286" t="s">
        <v>159</v>
      </c>
    </row>
    <row r="27" spans="1:5">
      <c r="A27" s="290">
        <v>1412000022</v>
      </c>
      <c r="B27" s="288" t="s">
        <v>439</v>
      </c>
      <c r="C27" s="287" t="s">
        <v>632</v>
      </c>
      <c r="D27" s="286" t="s">
        <v>577</v>
      </c>
      <c r="E27" s="286" t="s">
        <v>159</v>
      </c>
    </row>
    <row r="28" spans="1:5">
      <c r="A28" s="290">
        <v>1412000024</v>
      </c>
      <c r="B28" s="288" t="s">
        <v>437</v>
      </c>
      <c r="C28" s="287" t="s">
        <v>633</v>
      </c>
      <c r="D28" s="286" t="s">
        <v>578</v>
      </c>
      <c r="E28" s="286" t="s">
        <v>160</v>
      </c>
    </row>
    <row r="29" spans="1:5">
      <c r="A29" s="290">
        <v>1412000025</v>
      </c>
      <c r="B29" s="288" t="s">
        <v>426</v>
      </c>
      <c r="C29" s="287" t="s">
        <v>634</v>
      </c>
      <c r="D29" s="286" t="s">
        <v>578</v>
      </c>
      <c r="E29" s="286" t="s">
        <v>160</v>
      </c>
    </row>
    <row r="30" spans="1:5">
      <c r="A30" s="290">
        <v>1412000026</v>
      </c>
      <c r="B30" s="288" t="s">
        <v>431</v>
      </c>
      <c r="C30" s="287" t="s">
        <v>635</v>
      </c>
      <c r="D30" s="286" t="s">
        <v>578</v>
      </c>
      <c r="E30" s="286" t="s">
        <v>160</v>
      </c>
    </row>
    <row r="31" spans="1:5">
      <c r="A31" s="290">
        <v>1412000028</v>
      </c>
      <c r="B31" s="288" t="s">
        <v>427</v>
      </c>
      <c r="C31" s="287" t="s">
        <v>636</v>
      </c>
      <c r="D31" s="286" t="s">
        <v>578</v>
      </c>
      <c r="E31" s="286" t="s">
        <v>160</v>
      </c>
    </row>
    <row r="32" spans="1:5">
      <c r="A32" s="290">
        <v>1412000029</v>
      </c>
      <c r="B32" s="288" t="s">
        <v>436</v>
      </c>
      <c r="C32" s="287" t="s">
        <v>637</v>
      </c>
      <c r="D32" s="286" t="s">
        <v>578</v>
      </c>
      <c r="E32" s="286" t="s">
        <v>160</v>
      </c>
    </row>
    <row r="33" spans="1:5">
      <c r="A33" s="290">
        <v>1412000030</v>
      </c>
      <c r="B33" s="288" t="s">
        <v>438</v>
      </c>
      <c r="C33" s="287" t="s">
        <v>638</v>
      </c>
      <c r="D33" s="286" t="s">
        <v>578</v>
      </c>
      <c r="E33" s="286" t="s">
        <v>161</v>
      </c>
    </row>
    <row r="34" spans="1:5">
      <c r="A34" s="290">
        <v>1412000086</v>
      </c>
      <c r="B34" s="288" t="s">
        <v>429</v>
      </c>
      <c r="C34" s="287" t="s">
        <v>639</v>
      </c>
      <c r="D34" s="286" t="s">
        <v>578</v>
      </c>
      <c r="E34" s="286" t="s">
        <v>160</v>
      </c>
    </row>
    <row r="35" spans="1:5">
      <c r="A35" s="290">
        <v>1412000063</v>
      </c>
      <c r="B35" s="288" t="s">
        <v>668</v>
      </c>
      <c r="C35" s="287" t="s">
        <v>602</v>
      </c>
      <c r="D35" s="286" t="s">
        <v>444</v>
      </c>
      <c r="E35" s="286" t="s">
        <v>159</v>
      </c>
    </row>
    <row r="36" spans="1:5">
      <c r="A36" s="290">
        <v>1412000066</v>
      </c>
      <c r="B36" s="288" t="s">
        <v>420</v>
      </c>
      <c r="C36" s="287" t="s">
        <v>595</v>
      </c>
      <c r="D36" s="286" t="s">
        <v>159</v>
      </c>
      <c r="E36" s="286" t="s">
        <v>159</v>
      </c>
    </row>
    <row r="37" spans="1:5">
      <c r="A37" s="290">
        <v>1412000035</v>
      </c>
      <c r="B37" s="288" t="s">
        <v>587</v>
      </c>
      <c r="C37" s="287" t="s">
        <v>610</v>
      </c>
      <c r="D37" s="286" t="s">
        <v>576</v>
      </c>
      <c r="E37" s="286" t="s">
        <v>159</v>
      </c>
    </row>
    <row r="38" spans="1:5">
      <c r="A38" s="290">
        <v>1412000016</v>
      </c>
      <c r="B38" s="288" t="s">
        <v>584</v>
      </c>
      <c r="C38" s="287" t="s">
        <v>617</v>
      </c>
      <c r="D38" s="286" t="s">
        <v>576</v>
      </c>
      <c r="E38" s="286" t="s">
        <v>159</v>
      </c>
    </row>
    <row r="39" spans="1:5">
      <c r="A39" s="290">
        <v>1412000069</v>
      </c>
      <c r="B39" s="288" t="s">
        <v>585</v>
      </c>
      <c r="C39" s="287" t="s">
        <v>618</v>
      </c>
      <c r="D39" s="286" t="s">
        <v>576</v>
      </c>
      <c r="E39" s="286" t="s">
        <v>159</v>
      </c>
    </row>
    <row r="40" spans="1:5">
      <c r="A40" s="290">
        <v>1412000070</v>
      </c>
      <c r="B40" s="288" t="s">
        <v>589</v>
      </c>
      <c r="C40" s="287" t="s">
        <v>631</v>
      </c>
      <c r="D40" s="286" t="s">
        <v>577</v>
      </c>
      <c r="E40" s="286" t="s">
        <v>159</v>
      </c>
    </row>
    <row r="41" spans="1:5">
      <c r="A41" s="290">
        <v>1412000072</v>
      </c>
      <c r="B41" s="288" t="s">
        <v>647</v>
      </c>
      <c r="C41" s="287" t="s">
        <v>612</v>
      </c>
      <c r="D41" s="286" t="s">
        <v>444</v>
      </c>
      <c r="E41" s="286" t="s">
        <v>161</v>
      </c>
    </row>
    <row r="42" spans="1:5">
      <c r="A42" s="290">
        <v>1412000073</v>
      </c>
      <c r="B42" s="288" t="s">
        <v>586</v>
      </c>
      <c r="C42" s="287" t="s">
        <v>613</v>
      </c>
      <c r="D42" s="286" t="s">
        <v>444</v>
      </c>
      <c r="E42" s="286" t="s">
        <v>159</v>
      </c>
    </row>
    <row r="43" spans="1:5">
      <c r="A43" s="289">
        <v>1412000075</v>
      </c>
      <c r="B43" s="288" t="s">
        <v>583</v>
      </c>
      <c r="C43" s="287" t="s">
        <v>598</v>
      </c>
      <c r="D43" s="286" t="s">
        <v>444</v>
      </c>
      <c r="E43" s="286" t="s">
        <v>159</v>
      </c>
    </row>
    <row r="44" spans="1:5">
      <c r="A44" s="289">
        <v>1412000057</v>
      </c>
      <c r="B44" s="288" t="s">
        <v>623</v>
      </c>
      <c r="C44" s="287" t="s">
        <v>624</v>
      </c>
      <c r="D44" s="286" t="s">
        <v>159</v>
      </c>
      <c r="E44" s="286" t="s">
        <v>159</v>
      </c>
    </row>
    <row r="45" spans="1:5">
      <c r="A45" s="290">
        <v>1412000078</v>
      </c>
      <c r="B45" s="288" t="s">
        <v>669</v>
      </c>
      <c r="C45" s="287" t="s">
        <v>625</v>
      </c>
      <c r="D45" s="286" t="s">
        <v>159</v>
      </c>
      <c r="E45" s="286" t="s">
        <v>159</v>
      </c>
    </row>
    <row r="46" spans="1:5">
      <c r="A46" s="289">
        <v>1412000081</v>
      </c>
      <c r="B46" s="288" t="s">
        <v>648</v>
      </c>
      <c r="C46" s="287" t="s">
        <v>641</v>
      </c>
      <c r="D46" s="286" t="s">
        <v>159</v>
      </c>
      <c r="E46" s="286" t="s">
        <v>159</v>
      </c>
    </row>
    <row r="47" spans="1:5">
      <c r="A47" s="289">
        <v>1412000083</v>
      </c>
      <c r="B47" s="288" t="s">
        <v>649</v>
      </c>
      <c r="C47" s="287" t="s">
        <v>651</v>
      </c>
      <c r="D47" s="286" t="s">
        <v>159</v>
      </c>
      <c r="E47" s="286" t="s">
        <v>159</v>
      </c>
    </row>
    <row r="48" spans="1:5">
      <c r="A48" s="289">
        <v>1412000084</v>
      </c>
      <c r="B48" s="286" t="s">
        <v>650</v>
      </c>
      <c r="C48" s="287" t="s">
        <v>655</v>
      </c>
      <c r="D48" s="286" t="s">
        <v>576</v>
      </c>
      <c r="E48" s="286" t="s">
        <v>159</v>
      </c>
    </row>
    <row r="49" spans="1:5">
      <c r="A49" s="289">
        <v>1412000087</v>
      </c>
      <c r="B49" s="288" t="s">
        <v>652</v>
      </c>
      <c r="C49" s="287" t="s">
        <v>656</v>
      </c>
      <c r="D49" s="286" t="s">
        <v>444</v>
      </c>
      <c r="E49" s="286" t="s">
        <v>159</v>
      </c>
    </row>
    <row r="50" spans="1:5">
      <c r="A50" s="289">
        <v>1412000088</v>
      </c>
      <c r="B50" s="286" t="s">
        <v>653</v>
      </c>
      <c r="C50" s="287" t="s">
        <v>657</v>
      </c>
      <c r="D50" s="286" t="s">
        <v>444</v>
      </c>
      <c r="E50" s="286" t="s">
        <v>159</v>
      </c>
    </row>
    <row r="51" spans="1:5">
      <c r="A51" s="289">
        <v>1412000089</v>
      </c>
      <c r="B51" s="286" t="s">
        <v>654</v>
      </c>
      <c r="C51" s="287" t="s">
        <v>658</v>
      </c>
      <c r="D51" s="286" t="s">
        <v>576</v>
      </c>
      <c r="E51" s="286" t="s">
        <v>159</v>
      </c>
    </row>
    <row r="52" spans="1:5">
      <c r="A52" s="289">
        <v>1412000091</v>
      </c>
      <c r="B52" s="286" t="s">
        <v>661</v>
      </c>
      <c r="C52" s="291" t="s">
        <v>660</v>
      </c>
      <c r="D52" s="286" t="s">
        <v>578</v>
      </c>
      <c r="E52" s="286" t="s">
        <v>160</v>
      </c>
    </row>
    <row r="53" spans="1:5">
      <c r="A53" s="301">
        <v>1412000092</v>
      </c>
      <c r="B53" s="302" t="s">
        <v>662</v>
      </c>
      <c r="C53" s="303" t="s">
        <v>663</v>
      </c>
      <c r="D53" s="302" t="s">
        <v>444</v>
      </c>
      <c r="E53" s="286" t="s">
        <v>159</v>
      </c>
    </row>
    <row r="54" spans="1:5">
      <c r="A54" s="289">
        <v>1412000093</v>
      </c>
      <c r="B54" s="286" t="s">
        <v>670</v>
      </c>
      <c r="C54" s="291" t="s">
        <v>664</v>
      </c>
      <c r="D54" s="286" t="s">
        <v>578</v>
      </c>
      <c r="E54" s="286" t="s">
        <v>160</v>
      </c>
    </row>
    <row r="55" spans="1:5">
      <c r="A55" s="289">
        <v>1412000094</v>
      </c>
      <c r="B55" s="286" t="s">
        <v>671</v>
      </c>
      <c r="C55" s="291" t="s">
        <v>682</v>
      </c>
      <c r="D55" s="286" t="s">
        <v>444</v>
      </c>
      <c r="E55" s="286" t="s">
        <v>159</v>
      </c>
    </row>
    <row r="56" spans="1:5">
      <c r="A56" s="289">
        <v>1412000096</v>
      </c>
      <c r="B56" s="288" t="s">
        <v>672</v>
      </c>
      <c r="C56" s="291" t="s">
        <v>683</v>
      </c>
      <c r="D56" s="286" t="s">
        <v>159</v>
      </c>
      <c r="E56" s="286" t="s">
        <v>159</v>
      </c>
    </row>
    <row r="57" spans="1:5">
      <c r="A57" s="289">
        <v>1412000098</v>
      </c>
      <c r="B57" s="286" t="s">
        <v>680</v>
      </c>
      <c r="C57" s="291" t="s">
        <v>684</v>
      </c>
      <c r="D57" s="286" t="s">
        <v>159</v>
      </c>
      <c r="E57" s="286" t="s">
        <v>159</v>
      </c>
    </row>
    <row r="58" spans="1:5">
      <c r="A58" s="289">
        <v>1412000099</v>
      </c>
      <c r="B58" s="286" t="s">
        <v>681</v>
      </c>
      <c r="C58" s="291" t="s">
        <v>685</v>
      </c>
      <c r="D58" s="286" t="s">
        <v>159</v>
      </c>
      <c r="E58" s="286" t="s">
        <v>159</v>
      </c>
    </row>
  </sheetData>
  <autoFilter ref="A1:K479" xr:uid="{A03DA05A-5848-4320-B9DF-1586022A3FAC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8E06-627B-4471-9579-649A28BA0574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5" customWidth="1"/>
  </cols>
  <sheetData>
    <row r="2" spans="1:2">
      <c r="A2" s="120" t="s">
        <v>674</v>
      </c>
      <c r="B2" s="245" t="s">
        <v>401</v>
      </c>
    </row>
    <row r="3" spans="1:2" ht="15">
      <c r="A3" s="89">
        <v>4</v>
      </c>
      <c r="B3" s="246">
        <v>20</v>
      </c>
    </row>
    <row r="4" spans="1:2" ht="15">
      <c r="A4" s="89">
        <v>5</v>
      </c>
      <c r="B4" s="246">
        <v>19</v>
      </c>
    </row>
    <row r="5" spans="1:2" ht="15">
      <c r="A5" s="89">
        <v>6</v>
      </c>
      <c r="B5" s="246">
        <v>21</v>
      </c>
    </row>
    <row r="6" spans="1:2" ht="15">
      <c r="A6" s="89">
        <v>7</v>
      </c>
      <c r="B6" s="246">
        <v>23</v>
      </c>
    </row>
    <row r="7" spans="1:2" ht="15">
      <c r="A7" s="89">
        <v>8</v>
      </c>
      <c r="B7" s="246">
        <v>20</v>
      </c>
    </row>
    <row r="8" spans="1:2" ht="15">
      <c r="A8" s="89">
        <v>9</v>
      </c>
      <c r="B8" s="246">
        <v>19</v>
      </c>
    </row>
    <row r="9" spans="1:2" ht="15">
      <c r="A9" s="89">
        <v>10</v>
      </c>
      <c r="B9" s="246">
        <v>23</v>
      </c>
    </row>
    <row r="10" spans="1:2" ht="15">
      <c r="A10" s="89">
        <v>11</v>
      </c>
      <c r="B10" s="246">
        <v>20</v>
      </c>
    </row>
    <row r="11" spans="1:2" ht="15">
      <c r="A11" s="89">
        <v>12</v>
      </c>
      <c r="B11" s="246">
        <v>22</v>
      </c>
    </row>
    <row r="12" spans="1:2" ht="15">
      <c r="A12" s="89">
        <v>1</v>
      </c>
      <c r="B12" s="246">
        <v>20</v>
      </c>
    </row>
    <row r="13" spans="1:2" ht="15">
      <c r="A13" s="89">
        <v>2</v>
      </c>
      <c r="B13" s="246">
        <v>15</v>
      </c>
    </row>
    <row r="14" spans="1:2" ht="15">
      <c r="A14" s="89">
        <v>3</v>
      </c>
      <c r="B14" s="246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'内訳ﾘｽﾄ(4～3月)'!Print_Area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Lê Thi Giang(Le Thi Giang)</cp:lastModifiedBy>
  <cp:lastPrinted>2025-01-07T08:07:32Z</cp:lastPrinted>
  <dcterms:created xsi:type="dcterms:W3CDTF">2002-04-10T08:05:47Z</dcterms:created>
  <dcterms:modified xsi:type="dcterms:W3CDTF">2025-01-08T08:24:57Z</dcterms:modified>
</cp:coreProperties>
</file>