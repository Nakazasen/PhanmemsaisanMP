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82BF59CC-5697-4355-B803-BF42EC726E39}" xr6:coauthVersionLast="47" xr6:coauthVersionMax="47" xr10:uidLastSave="{00000000-0000-0000-0000-000000000000}"/>
  <bookViews>
    <workbookView xWindow="-110" yWindow="-110" windowWidth="19420" windowHeight="1030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'内訳ﾘｽﾄ(4～3月)'!$A$7:$T$781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0" l="1"/>
  <c r="O26" i="10"/>
  <c r="N26" i="10"/>
  <c r="M26" i="10"/>
  <c r="L26" i="10"/>
  <c r="J26" i="10"/>
  <c r="I26" i="10"/>
  <c r="H26" i="10"/>
  <c r="G26" i="10"/>
  <c r="F26" i="10"/>
  <c r="P26" i="10"/>
  <c r="K26" i="10"/>
  <c r="Y31" i="10" l="1"/>
  <c r="AD31" i="10"/>
  <c r="AB31" i="10"/>
  <c r="AA31" i="10"/>
  <c r="Z31" i="10"/>
  <c r="V31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AG31" i="10"/>
  <c r="AF31" i="10"/>
  <c r="AE31" i="10"/>
  <c r="AC31" i="10"/>
  <c r="X31" i="10"/>
  <c r="W31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D97" i="10"/>
  <c r="D96" i="10"/>
  <c r="D95" i="10"/>
  <c r="D94" i="10"/>
  <c r="D93" i="10"/>
  <c r="D92" i="10"/>
  <c r="D91" i="10"/>
  <c r="D90" i="10"/>
  <c r="D83" i="10"/>
  <c r="D82" i="10"/>
  <c r="D77" i="10"/>
  <c r="D76" i="10"/>
  <c r="D75" i="10"/>
  <c r="D74" i="10"/>
  <c r="D73" i="10"/>
  <c r="D72" i="10"/>
  <c r="D62" i="10"/>
  <c r="D60" i="10"/>
  <c r="O94" i="10"/>
  <c r="L94" i="10"/>
  <c r="I94" i="10"/>
  <c r="R53" i="10"/>
  <c r="R52" i="10"/>
  <c r="G60" i="10" l="1"/>
  <c r="H60" i="10"/>
  <c r="I60" i="10"/>
  <c r="J60" i="10"/>
  <c r="K60" i="10"/>
  <c r="L60" i="10"/>
  <c r="M60" i="10"/>
  <c r="N60" i="10"/>
  <c r="O60" i="10"/>
  <c r="P60" i="10"/>
  <c r="Q60" i="10"/>
  <c r="F60" i="10"/>
  <c r="R55" i="10"/>
  <c r="O95" i="10" l="1"/>
  <c r="I95" i="10"/>
  <c r="F95" i="10"/>
  <c r="O96" i="10"/>
  <c r="I96" i="10"/>
  <c r="F96" i="10"/>
  <c r="O97" i="10"/>
  <c r="I97" i="10"/>
  <c r="F97" i="10"/>
  <c r="O93" i="10"/>
  <c r="I93" i="10"/>
  <c r="F93" i="10"/>
  <c r="O92" i="10"/>
  <c r="L92" i="10"/>
  <c r="I92" i="10"/>
  <c r="F92" i="10"/>
  <c r="O91" i="10"/>
  <c r="R54" i="10"/>
  <c r="N54" i="10"/>
  <c r="L54" i="10"/>
  <c r="K54" i="10"/>
  <c r="I54" i="10"/>
  <c r="G54" i="10"/>
  <c r="F54" i="10"/>
  <c r="Q54" i="10"/>
  <c r="Q86" i="10" l="1"/>
  <c r="P86" i="10"/>
  <c r="O86" i="10"/>
  <c r="N86" i="10"/>
  <c r="M86" i="10"/>
  <c r="L86" i="10"/>
  <c r="K86" i="10"/>
  <c r="J86" i="10"/>
  <c r="I86" i="10"/>
  <c r="H86" i="10"/>
  <c r="G86" i="10"/>
  <c r="R88" i="10"/>
  <c r="L91" i="10"/>
  <c r="I91" i="10"/>
  <c r="F91" i="10"/>
  <c r="O90" i="10"/>
  <c r="I90" i="10"/>
  <c r="F90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R63" i="10"/>
  <c r="R64" i="10"/>
  <c r="R83" i="10"/>
  <c r="L55" i="10" l="1"/>
  <c r="R82" i="10"/>
  <c r="F81" i="10" l="1"/>
  <c r="F55" i="10"/>
  <c r="F77" i="10"/>
  <c r="F76" i="10"/>
  <c r="F75" i="10"/>
  <c r="F74" i="10"/>
  <c r="F73" i="10"/>
  <c r="F72" i="10"/>
  <c r="Q51" i="10" l="1"/>
  <c r="P51" i="10"/>
  <c r="O51" i="10"/>
  <c r="N51" i="10"/>
  <c r="M51" i="10"/>
  <c r="L51" i="10"/>
  <c r="K51" i="10"/>
  <c r="J51" i="10"/>
  <c r="I51" i="10"/>
  <c r="H51" i="10"/>
  <c r="G51" i="10"/>
  <c r="F51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Q49" i="10"/>
  <c r="Q48" i="10"/>
  <c r="P49" i="10"/>
  <c r="P48" i="10"/>
  <c r="O49" i="10"/>
  <c r="O48" i="10"/>
  <c r="N49" i="10"/>
  <c r="N48" i="10"/>
  <c r="M49" i="10"/>
  <c r="M48" i="10"/>
  <c r="L49" i="10"/>
  <c r="L48" i="10"/>
  <c r="K49" i="10"/>
  <c r="K48" i="10"/>
  <c r="J49" i="10"/>
  <c r="J48" i="10"/>
  <c r="I49" i="10"/>
  <c r="I48" i="10"/>
  <c r="H49" i="10"/>
  <c r="H48" i="10"/>
  <c r="G49" i="10"/>
  <c r="G48" i="10"/>
  <c r="F49" i="10"/>
  <c r="F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F46" i="10"/>
  <c r="Q46" i="10"/>
  <c r="P46" i="10"/>
  <c r="O46" i="10"/>
  <c r="N46" i="10"/>
  <c r="M46" i="10"/>
  <c r="L46" i="10"/>
  <c r="K46" i="10"/>
  <c r="J46" i="10"/>
  <c r="I46" i="10"/>
  <c r="H46" i="10"/>
  <c r="G46" i="10"/>
  <c r="R51" i="10" l="1"/>
  <c r="R50" i="10"/>
  <c r="Q44" i="10" l="1"/>
  <c r="P44" i="10"/>
  <c r="O44" i="10"/>
  <c r="N44" i="10"/>
  <c r="M44" i="10"/>
  <c r="L44" i="10"/>
  <c r="K44" i="10"/>
  <c r="J44" i="10"/>
  <c r="I44" i="10"/>
  <c r="H44" i="10"/>
  <c r="G44" i="10"/>
  <c r="F44" i="10"/>
  <c r="R44" i="10" l="1"/>
  <c r="R62" i="10"/>
  <c r="G40" i="10"/>
  <c r="H40" i="10"/>
  <c r="I40" i="10"/>
  <c r="J40" i="10"/>
  <c r="K40" i="10"/>
  <c r="L40" i="10"/>
  <c r="M40" i="10"/>
  <c r="N40" i="10"/>
  <c r="O40" i="10"/>
  <c r="P40" i="10"/>
  <c r="Q40" i="10"/>
  <c r="F40" i="10"/>
  <c r="G41" i="10"/>
  <c r="H41" i="10"/>
  <c r="I41" i="10"/>
  <c r="J41" i="10"/>
  <c r="K41" i="10"/>
  <c r="L41" i="10"/>
  <c r="M41" i="10"/>
  <c r="N41" i="10"/>
  <c r="O41" i="10"/>
  <c r="P41" i="10"/>
  <c r="Q41" i="10"/>
  <c r="F41" i="10"/>
  <c r="R42" i="10"/>
  <c r="R43" i="10"/>
  <c r="R40" i="10" l="1"/>
  <c r="Q69" i="10"/>
  <c r="P69" i="10"/>
  <c r="Q68" i="10"/>
  <c r="P68" i="10"/>
  <c r="O69" i="10"/>
  <c r="O68" i="10"/>
  <c r="N69" i="10"/>
  <c r="N68" i="10"/>
  <c r="M69" i="10"/>
  <c r="M68" i="10"/>
  <c r="L69" i="10"/>
  <c r="L68" i="10"/>
  <c r="J69" i="10"/>
  <c r="J68" i="10"/>
  <c r="K69" i="10"/>
  <c r="K68" i="10"/>
  <c r="I69" i="10"/>
  <c r="I68" i="10"/>
  <c r="H69" i="10"/>
  <c r="H68" i="10"/>
  <c r="G69" i="10"/>
  <c r="G68" i="10"/>
  <c r="F69" i="10"/>
  <c r="F68" i="10"/>
  <c r="Q67" i="10"/>
  <c r="P67" i="10"/>
  <c r="O67" i="10"/>
  <c r="N67" i="10"/>
  <c r="Q66" i="10"/>
  <c r="P66" i="10"/>
  <c r="O66" i="10"/>
  <c r="N66" i="10"/>
  <c r="M67" i="10"/>
  <c r="M66" i="10"/>
  <c r="L67" i="10"/>
  <c r="L66" i="10"/>
  <c r="K67" i="10"/>
  <c r="K66" i="10"/>
  <c r="J67" i="10"/>
  <c r="J66" i="10"/>
  <c r="I67" i="10"/>
  <c r="I66" i="10"/>
  <c r="H67" i="10"/>
  <c r="H66" i="10"/>
  <c r="G67" i="10"/>
  <c r="G66" i="10"/>
  <c r="F67" i="10"/>
  <c r="F66" i="10"/>
  <c r="P56" i="10" l="1"/>
  <c r="M57" i="10" l="1"/>
  <c r="L57" i="10" l="1"/>
  <c r="K56" i="10"/>
  <c r="G56" i="10"/>
  <c r="P58" i="10"/>
  <c r="K58" i="10"/>
  <c r="M61" i="10"/>
  <c r="I58" i="10"/>
  <c r="P57" i="10"/>
  <c r="G59" i="10"/>
  <c r="H59" i="10"/>
  <c r="I59" i="10"/>
  <c r="J59" i="10"/>
  <c r="K59" i="10"/>
  <c r="L59" i="10"/>
  <c r="M59" i="10"/>
  <c r="N59" i="10"/>
  <c r="O59" i="10"/>
  <c r="P59" i="10"/>
  <c r="Q59" i="10"/>
  <c r="F59" i="10"/>
  <c r="R57" i="10" l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K69" i="5" s="1"/>
  <c r="K69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M97" i="5"/>
  <c r="M97" i="32" s="1"/>
  <c r="L97" i="5"/>
  <c r="L97" i="32" s="1"/>
  <c r="K97" i="5"/>
  <c r="J97" i="5"/>
  <c r="J97" i="32" s="1"/>
  <c r="I97" i="5"/>
  <c r="I97" i="32" s="1"/>
  <c r="H97" i="5"/>
  <c r="G97" i="5"/>
  <c r="G97" i="32" s="1"/>
  <c r="F97" i="5"/>
  <c r="E97" i="5"/>
  <c r="E97" i="32" s="1"/>
  <c r="D97" i="5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2" i="32" s="1"/>
  <c r="M92" i="5"/>
  <c r="M92" i="32" s="1"/>
  <c r="L92" i="5"/>
  <c r="L92" i="32" s="1"/>
  <c r="K92" i="5"/>
  <c r="J92" i="5"/>
  <c r="J92" i="32" s="1"/>
  <c r="I92" i="5"/>
  <c r="I92" i="32" s="1"/>
  <c r="H92" i="5"/>
  <c r="G92" i="5"/>
  <c r="G92" i="32" s="1"/>
  <c r="F92" i="5"/>
  <c r="F92" i="32" s="1"/>
  <c r="E92" i="5"/>
  <c r="E92" i="32" s="1"/>
  <c r="D92" i="5"/>
  <c r="C92" i="5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J87" i="32" s="1"/>
  <c r="I87" i="5"/>
  <c r="H87" i="5"/>
  <c r="H87" i="32" s="1"/>
  <c r="G87" i="5"/>
  <c r="G87" i="32" s="1"/>
  <c r="F87" i="5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7" i="10"/>
  <c r="R96" i="10"/>
  <c r="R95" i="10"/>
  <c r="R94" i="10"/>
  <c r="R93" i="10"/>
  <c r="R92" i="10"/>
  <c r="R91" i="10"/>
  <c r="R90" i="10"/>
  <c r="R87" i="10"/>
  <c r="R86" i="10"/>
  <c r="R81" i="10"/>
  <c r="R80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1" i="10"/>
  <c r="R60" i="10"/>
  <c r="R59" i="10"/>
  <c r="R58" i="10"/>
  <c r="R56" i="10"/>
  <c r="R49" i="10"/>
  <c r="R48" i="10"/>
  <c r="R47" i="10"/>
  <c r="R46" i="10"/>
  <c r="R41" i="10"/>
  <c r="R39" i="10"/>
  <c r="R38" i="10"/>
  <c r="Q29" i="10"/>
  <c r="P29" i="10"/>
  <c r="O29" i="10"/>
  <c r="N29" i="10"/>
  <c r="M29" i="10"/>
  <c r="L29" i="10"/>
  <c r="K29" i="10"/>
  <c r="J29" i="10"/>
  <c r="I29" i="10"/>
  <c r="H29" i="10"/>
  <c r="G29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R36" i="10"/>
  <c r="F29" i="10"/>
  <c r="F28" i="10"/>
  <c r="F27" i="10"/>
  <c r="C1" i="5"/>
  <c r="C1" i="32" s="1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L71" i="5" l="1"/>
  <c r="L71" i="32" s="1"/>
  <c r="C88" i="10"/>
  <c r="D88" i="10" s="1"/>
  <c r="C64" i="10"/>
  <c r="D64" i="10" s="1"/>
  <c r="C63" i="10"/>
  <c r="D63" i="10" s="1"/>
  <c r="C55" i="10"/>
  <c r="D55" i="10" s="1"/>
  <c r="C44" i="10"/>
  <c r="D44" i="10" s="1"/>
  <c r="C51" i="10"/>
  <c r="D51" i="10" s="1"/>
  <c r="C54" i="10"/>
  <c r="D54" i="10" s="1"/>
  <c r="C42" i="10"/>
  <c r="D42" i="10" s="1"/>
  <c r="C43" i="10"/>
  <c r="D43" i="10" s="1"/>
  <c r="Q5" i="10"/>
  <c r="C52" i="10"/>
  <c r="D52" i="10" s="1"/>
  <c r="C53" i="10"/>
  <c r="D53" i="10" s="1"/>
  <c r="J5" i="10"/>
  <c r="M5" i="10"/>
  <c r="O5" i="10"/>
  <c r="F5" i="10"/>
  <c r="P5" i="10"/>
  <c r="E94" i="32"/>
  <c r="C276" i="10"/>
  <c r="D276" i="10" s="1"/>
  <c r="C50" i="10"/>
  <c r="C669" i="10"/>
  <c r="D669" i="10" s="1"/>
  <c r="C57" i="10"/>
  <c r="D57" i="10" s="1"/>
  <c r="C78" i="5"/>
  <c r="C78" i="32" s="1"/>
  <c r="M75" i="5"/>
  <c r="M75" i="32" s="1"/>
  <c r="G94" i="32"/>
  <c r="K78" i="5"/>
  <c r="K78" i="32" s="1"/>
  <c r="J71" i="5"/>
  <c r="J71" i="32" s="1"/>
  <c r="C69" i="5"/>
  <c r="C69" i="32" s="1"/>
  <c r="C70" i="5"/>
  <c r="C70" i="32" s="1"/>
  <c r="J69" i="5"/>
  <c r="J69" i="32" s="1"/>
  <c r="G72" i="5"/>
  <c r="G72" i="32" s="1"/>
  <c r="J77" i="5"/>
  <c r="J77" i="32" s="1"/>
  <c r="K76" i="5"/>
  <c r="K76" i="32" s="1"/>
  <c r="D71" i="5"/>
  <c r="D71" i="32" s="1"/>
  <c r="K77" i="5"/>
  <c r="K77" i="32" s="1"/>
  <c r="O78" i="5"/>
  <c r="D70" i="5"/>
  <c r="D70" i="32" s="1"/>
  <c r="H78" i="5"/>
  <c r="H78" i="32" s="1"/>
  <c r="G77" i="5"/>
  <c r="G77" i="32" s="1"/>
  <c r="G75" i="5"/>
  <c r="G75" i="32" s="1"/>
  <c r="O72" i="5"/>
  <c r="C629" i="10"/>
  <c r="D629" i="10" s="1"/>
  <c r="F70" i="5"/>
  <c r="F70" i="32" s="1"/>
  <c r="N70" i="5"/>
  <c r="N70" i="32" s="1"/>
  <c r="C714" i="10"/>
  <c r="D714" i="10" s="1"/>
  <c r="D76" i="5"/>
  <c r="D76" i="32" s="1"/>
  <c r="H70" i="5"/>
  <c r="H70" i="32" s="1"/>
  <c r="C974" i="10"/>
  <c r="D974" i="10" s="1"/>
  <c r="C196" i="10"/>
  <c r="D196" i="10" s="1"/>
  <c r="C884" i="10"/>
  <c r="D884" i="10" s="1"/>
  <c r="N89" i="5"/>
  <c r="F99" i="5"/>
  <c r="N99" i="5"/>
  <c r="C738" i="10"/>
  <c r="D738" i="10" s="1"/>
  <c r="C875" i="10"/>
  <c r="D875" i="10" s="1"/>
  <c r="C762" i="10"/>
  <c r="D762" i="10" s="1"/>
  <c r="C733" i="10"/>
  <c r="D733" i="10" s="1"/>
  <c r="C280" i="10"/>
  <c r="D280" i="10" s="1"/>
  <c r="C86" i="10"/>
  <c r="D86" i="10" s="1"/>
  <c r="C694" i="10"/>
  <c r="D694" i="10" s="1"/>
  <c r="C485" i="10"/>
  <c r="D485" i="10" s="1"/>
  <c r="C897" i="10"/>
  <c r="D897" i="10" s="1"/>
  <c r="C358" i="10"/>
  <c r="D358" i="10" s="1"/>
  <c r="C936" i="10"/>
  <c r="D936" i="10" s="1"/>
  <c r="C503" i="10"/>
  <c r="D503" i="10" s="1"/>
  <c r="C168" i="10"/>
  <c r="D168" i="10" s="1"/>
  <c r="C356" i="10"/>
  <c r="D356" i="10" s="1"/>
  <c r="C232" i="10"/>
  <c r="D232" i="10" s="1"/>
  <c r="C773" i="10"/>
  <c r="D773" i="10" s="1"/>
  <c r="C701" i="10"/>
  <c r="D701" i="10" s="1"/>
  <c r="C214" i="10"/>
  <c r="D214" i="10" s="1"/>
  <c r="C622" i="10"/>
  <c r="D622" i="10" s="1"/>
  <c r="O68" i="5"/>
  <c r="L69" i="5"/>
  <c r="L69" i="32" s="1"/>
  <c r="K70" i="5"/>
  <c r="K70" i="32" s="1"/>
  <c r="C77" i="5"/>
  <c r="C77" i="32" s="1"/>
  <c r="J76" i="5"/>
  <c r="J76" i="32" s="1"/>
  <c r="C75" i="5"/>
  <c r="C75" i="32" s="1"/>
  <c r="I77" i="5"/>
  <c r="I77" i="32" s="1"/>
  <c r="E77" i="5"/>
  <c r="E77" i="32" s="1"/>
  <c r="F77" i="5"/>
  <c r="F77" i="32" s="1"/>
  <c r="C76" i="5"/>
  <c r="C76" i="32" s="1"/>
  <c r="H72" i="5"/>
  <c r="H72" i="32" s="1"/>
  <c r="L76" i="5"/>
  <c r="L76" i="32" s="1"/>
  <c r="D1" i="21"/>
  <c r="F78" i="5"/>
  <c r="F78" i="32" s="1"/>
  <c r="O69" i="5"/>
  <c r="F72" i="5"/>
  <c r="F72" i="32" s="1"/>
  <c r="F75" i="5"/>
  <c r="F75" i="32" s="1"/>
  <c r="E72" i="5"/>
  <c r="E72" i="32" s="1"/>
  <c r="C541" i="10"/>
  <c r="D541" i="10" s="1"/>
  <c r="C879" i="10"/>
  <c r="D879" i="10" s="1"/>
  <c r="C115" i="10"/>
  <c r="D115" i="10" s="1"/>
  <c r="C635" i="10"/>
  <c r="D635" i="10" s="1"/>
  <c r="C338" i="10"/>
  <c r="D338" i="10" s="1"/>
  <c r="C799" i="10"/>
  <c r="D799" i="10" s="1"/>
  <c r="C38" i="10"/>
  <c r="D38" i="10" s="1"/>
  <c r="H69" i="5"/>
  <c r="H69" i="32" s="1"/>
  <c r="G78" i="5"/>
  <c r="G78" i="32" s="1"/>
  <c r="J78" i="5"/>
  <c r="J78" i="32" s="1"/>
  <c r="N75" i="5"/>
  <c r="N75" i="32" s="1"/>
  <c r="D78" i="5"/>
  <c r="D78" i="32" s="1"/>
  <c r="I69" i="5"/>
  <c r="I69" i="32" s="1"/>
  <c r="M76" i="5"/>
  <c r="M76" i="32" s="1"/>
  <c r="F71" i="5"/>
  <c r="F71" i="32" s="1"/>
  <c r="C443" i="10"/>
  <c r="D443" i="10" s="1"/>
  <c r="C834" i="10"/>
  <c r="D834" i="10" s="1"/>
  <c r="C241" i="10"/>
  <c r="D241" i="10" s="1"/>
  <c r="C527" i="10"/>
  <c r="D527" i="10" s="1"/>
  <c r="C246" i="10"/>
  <c r="D246" i="10" s="1"/>
  <c r="C526" i="10"/>
  <c r="D526" i="10" s="1"/>
  <c r="F76" i="5"/>
  <c r="F76" i="32" s="1"/>
  <c r="M71" i="5"/>
  <c r="M71" i="32" s="1"/>
  <c r="D75" i="5"/>
  <c r="D75" i="32" s="1"/>
  <c r="D72" i="5"/>
  <c r="D72" i="32" s="1"/>
  <c r="F69" i="5"/>
  <c r="F69" i="32" s="1"/>
  <c r="L77" i="5"/>
  <c r="L77" i="32" s="1"/>
  <c r="N78" i="5"/>
  <c r="N78" i="32" s="1"/>
  <c r="I76" i="5"/>
  <c r="I76" i="32" s="1"/>
  <c r="C287" i="10"/>
  <c r="D287" i="10" s="1"/>
  <c r="C106" i="10"/>
  <c r="D106" i="10" s="1"/>
  <c r="C898" i="10"/>
  <c r="D898" i="10" s="1"/>
  <c r="C523" i="10"/>
  <c r="D523" i="10" s="1"/>
  <c r="C441" i="10"/>
  <c r="D441" i="10" s="1"/>
  <c r="O93" i="5"/>
  <c r="O97" i="5"/>
  <c r="O70" i="5"/>
  <c r="K75" i="5"/>
  <c r="K75" i="32" s="1"/>
  <c r="K71" i="5"/>
  <c r="K71" i="32" s="1"/>
  <c r="I72" i="5"/>
  <c r="I72" i="32" s="1"/>
  <c r="E69" i="5"/>
  <c r="E69" i="32" s="1"/>
  <c r="E71" i="5"/>
  <c r="E71" i="32" s="1"/>
  <c r="J75" i="5"/>
  <c r="J75" i="32" s="1"/>
  <c r="N76" i="5"/>
  <c r="N76" i="32" s="1"/>
  <c r="C188" i="10"/>
  <c r="D188" i="10" s="1"/>
  <c r="C901" i="10"/>
  <c r="D901" i="10" s="1"/>
  <c r="C465" i="10"/>
  <c r="D465" i="10" s="1"/>
  <c r="C505" i="10"/>
  <c r="D505" i="10" s="1"/>
  <c r="C355" i="10"/>
  <c r="D355" i="10" s="1"/>
  <c r="C108" i="10"/>
  <c r="D108" i="10" s="1"/>
  <c r="M89" i="5"/>
  <c r="G89" i="32"/>
  <c r="C89" i="32"/>
  <c r="K89" i="32"/>
  <c r="N87" i="32"/>
  <c r="N89" i="32" s="1"/>
  <c r="D99" i="5"/>
  <c r="M99" i="5"/>
  <c r="D97" i="32"/>
  <c r="D99" i="32" s="1"/>
  <c r="D94" i="5"/>
  <c r="L94" i="32"/>
  <c r="E94" i="5"/>
  <c r="D92" i="32"/>
  <c r="D94" i="32" s="1"/>
  <c r="O92" i="5"/>
  <c r="J89" i="32"/>
  <c r="D89" i="32"/>
  <c r="G99" i="5"/>
  <c r="R29" i="10"/>
  <c r="R5" i="10" s="1"/>
  <c r="G99" i="32"/>
  <c r="C99" i="5"/>
  <c r="F97" i="32"/>
  <c r="F99" i="32" s="1"/>
  <c r="J99" i="5"/>
  <c r="N97" i="32"/>
  <c r="N99" i="32" s="1"/>
  <c r="O98" i="5"/>
  <c r="J89" i="5"/>
  <c r="G89" i="5"/>
  <c r="C89" i="5"/>
  <c r="J94" i="5"/>
  <c r="C99" i="32"/>
  <c r="L89" i="5"/>
  <c r="R26" i="10"/>
  <c r="O74" i="5"/>
  <c r="E89" i="32"/>
  <c r="K89" i="5"/>
  <c r="C927" i="10"/>
  <c r="D927" i="10" s="1"/>
  <c r="D77" i="5"/>
  <c r="D77" i="32" s="1"/>
  <c r="H77" i="5"/>
  <c r="H77" i="32" s="1"/>
  <c r="E78" i="5"/>
  <c r="E78" i="32" s="1"/>
  <c r="G70" i="5"/>
  <c r="G70" i="32" s="1"/>
  <c r="N69" i="5"/>
  <c r="I78" i="5"/>
  <c r="I78" i="32" s="1"/>
  <c r="G76" i="5"/>
  <c r="G76" i="32" s="1"/>
  <c r="C72" i="5"/>
  <c r="C72" i="32" s="1"/>
  <c r="N77" i="5"/>
  <c r="N77" i="32" s="1"/>
  <c r="H76" i="5"/>
  <c r="H76" i="32" s="1"/>
  <c r="L78" i="5"/>
  <c r="L78" i="32" s="1"/>
  <c r="M78" i="5"/>
  <c r="M78" i="32" s="1"/>
  <c r="N72" i="5"/>
  <c r="N72" i="32" s="1"/>
  <c r="C630" i="10"/>
  <c r="D630" i="10" s="1"/>
  <c r="C434" i="10"/>
  <c r="D434" i="10" s="1"/>
  <c r="C169" i="10"/>
  <c r="D169" i="10" s="1"/>
  <c r="C235" i="10"/>
  <c r="D235" i="10" s="1"/>
  <c r="C49" i="10"/>
  <c r="D49" i="10" s="1"/>
  <c r="C244" i="10"/>
  <c r="D244" i="10" s="1"/>
  <c r="C224" i="10"/>
  <c r="D224" i="10" s="1"/>
  <c r="C507" i="10"/>
  <c r="D507" i="10" s="1"/>
  <c r="C729" i="10"/>
  <c r="D729" i="10" s="1"/>
  <c r="N94" i="32"/>
  <c r="R28" i="10"/>
  <c r="J99" i="32"/>
  <c r="G94" i="5"/>
  <c r="O68" i="32"/>
  <c r="R27" i="10"/>
  <c r="D89" i="5"/>
  <c r="L89" i="32"/>
  <c r="C337" i="10"/>
  <c r="D337" i="10" s="1"/>
  <c r="J72" i="5"/>
  <c r="J72" i="32" s="1"/>
  <c r="M70" i="5"/>
  <c r="M70" i="32" s="1"/>
  <c r="D69" i="5"/>
  <c r="H71" i="5"/>
  <c r="H71" i="32" s="1"/>
  <c r="O75" i="5"/>
  <c r="I70" i="5"/>
  <c r="I70" i="32" s="1"/>
  <c r="M69" i="5"/>
  <c r="M69" i="32" s="1"/>
  <c r="O71" i="5"/>
  <c r="M77" i="5"/>
  <c r="M77" i="32" s="1"/>
  <c r="I71" i="5"/>
  <c r="I71" i="32" s="1"/>
  <c r="H75" i="5"/>
  <c r="H75" i="32" s="1"/>
  <c r="K72" i="5"/>
  <c r="K72" i="32" s="1"/>
  <c r="C296" i="10"/>
  <c r="D296" i="10" s="1"/>
  <c r="C237" i="10"/>
  <c r="D237" i="10" s="1"/>
  <c r="C138" i="10"/>
  <c r="D138" i="10" s="1"/>
  <c r="C547" i="10"/>
  <c r="D547" i="10" s="1"/>
  <c r="C742" i="10"/>
  <c r="D742" i="10" s="1"/>
  <c r="C327" i="10"/>
  <c r="D327" i="10" s="1"/>
  <c r="C392" i="10"/>
  <c r="D392" i="10" s="1"/>
  <c r="C612" i="10"/>
  <c r="D612" i="10" s="1"/>
  <c r="C559" i="10"/>
  <c r="D559" i="10" s="1"/>
  <c r="L70" i="5"/>
  <c r="L94" i="5"/>
  <c r="M89" i="32"/>
  <c r="N94" i="5"/>
  <c r="O76" i="5"/>
  <c r="E76" i="5"/>
  <c r="E76" i="32" s="1"/>
  <c r="G69" i="5"/>
  <c r="G69" i="32" s="1"/>
  <c r="E75" i="5"/>
  <c r="E75" i="32" s="1"/>
  <c r="G71" i="5"/>
  <c r="G71" i="32" s="1"/>
  <c r="L75" i="5"/>
  <c r="E70" i="5"/>
  <c r="E70" i="32" s="1"/>
  <c r="O77" i="5"/>
  <c r="N71" i="5"/>
  <c r="N71" i="32" s="1"/>
  <c r="C71" i="5"/>
  <c r="C71" i="32" s="1"/>
  <c r="L72" i="5"/>
  <c r="L72" i="32" s="1"/>
  <c r="J70" i="5"/>
  <c r="J70" i="32" s="1"/>
  <c r="I75" i="5"/>
  <c r="M72" i="5"/>
  <c r="M72" i="32" s="1"/>
  <c r="C864" i="10"/>
  <c r="D864" i="10" s="1"/>
  <c r="C491" i="10"/>
  <c r="D491" i="10" s="1"/>
  <c r="C687" i="10"/>
  <c r="D687" i="10" s="1"/>
  <c r="C821" i="10"/>
  <c r="D821" i="10" s="1"/>
  <c r="C940" i="10"/>
  <c r="D940" i="10" s="1"/>
  <c r="C665" i="10"/>
  <c r="D665" i="10" s="1"/>
  <c r="C387" i="10"/>
  <c r="D387" i="10" s="1"/>
  <c r="C501" i="10"/>
  <c r="D501" i="10" s="1"/>
  <c r="C506" i="10"/>
  <c r="D506" i="10" s="1"/>
  <c r="E89" i="5"/>
  <c r="I99" i="5"/>
  <c r="C839" i="10"/>
  <c r="D839" i="10" s="1"/>
  <c r="C964" i="10"/>
  <c r="D964" i="10" s="1"/>
  <c r="C437" i="10"/>
  <c r="D437" i="10" s="1"/>
  <c r="C692" i="10"/>
  <c r="D692" i="10" s="1"/>
  <c r="C202" i="10"/>
  <c r="D202" i="10" s="1"/>
  <c r="C900" i="10"/>
  <c r="D900" i="10" s="1"/>
  <c r="C945" i="10"/>
  <c r="D945" i="10" s="1"/>
  <c r="C654" i="10"/>
  <c r="D654" i="10" s="1"/>
  <c r="C748" i="10"/>
  <c r="D748" i="10" s="1"/>
  <c r="C643" i="10"/>
  <c r="D643" i="10" s="1"/>
  <c r="C976" i="10"/>
  <c r="D976" i="10" s="1"/>
  <c r="C623" i="10"/>
  <c r="D623" i="10" s="1"/>
  <c r="C681" i="10"/>
  <c r="D681" i="10" s="1"/>
  <c r="C737" i="10"/>
  <c r="D737" i="10" s="1"/>
  <c r="C516" i="10"/>
  <c r="D516" i="10" s="1"/>
  <c r="C862" i="10"/>
  <c r="D862" i="10" s="1"/>
  <c r="C227" i="10"/>
  <c r="D227" i="10" s="1"/>
  <c r="C956" i="10"/>
  <c r="D956" i="10" s="1"/>
  <c r="C759" i="10"/>
  <c r="D759" i="10" s="1"/>
  <c r="C167" i="10"/>
  <c r="D167" i="10" s="1"/>
  <c r="C890" i="10"/>
  <c r="D890" i="10" s="1"/>
  <c r="C103" i="10"/>
  <c r="D103" i="10" s="1"/>
  <c r="C386" i="10"/>
  <c r="D386" i="10" s="1"/>
  <c r="C452" i="10"/>
  <c r="D452" i="10" s="1"/>
  <c r="C552" i="10"/>
  <c r="D552" i="10" s="1"/>
  <c r="C707" i="10"/>
  <c r="D707" i="10" s="1"/>
  <c r="C172" i="10"/>
  <c r="D172" i="10" s="1"/>
  <c r="C302" i="10"/>
  <c r="D302" i="10" s="1"/>
  <c r="C803" i="10"/>
  <c r="D803" i="10" s="1"/>
  <c r="C220" i="10"/>
  <c r="D220" i="10" s="1"/>
  <c r="C299" i="10"/>
  <c r="D299" i="10" s="1"/>
  <c r="C307" i="10"/>
  <c r="D307" i="10" s="1"/>
  <c r="C186" i="10"/>
  <c r="D186" i="10" s="1"/>
  <c r="C511" i="10"/>
  <c r="D511" i="10" s="1"/>
  <c r="C460" i="10"/>
  <c r="D460" i="10" s="1"/>
  <c r="C591" i="10"/>
  <c r="D591" i="10" s="1"/>
  <c r="C639" i="10"/>
  <c r="D639" i="10" s="1"/>
  <c r="C764" i="10"/>
  <c r="D764" i="10" s="1"/>
  <c r="C755" i="10"/>
  <c r="D755" i="10" s="1"/>
  <c r="C532" i="10"/>
  <c r="D532" i="10" s="1"/>
  <c r="C185" i="10"/>
  <c r="D185" i="10" s="1"/>
  <c r="C841" i="10"/>
  <c r="D841" i="10" s="1"/>
  <c r="C867" i="10"/>
  <c r="D867" i="10" s="1"/>
  <c r="C142" i="10"/>
  <c r="D142" i="10" s="1"/>
  <c r="C229" i="10"/>
  <c r="D229" i="10" s="1"/>
  <c r="C817" i="10"/>
  <c r="D817" i="10" s="1"/>
  <c r="C911" i="10"/>
  <c r="D911" i="10" s="1"/>
  <c r="C265" i="10"/>
  <c r="D265" i="10" s="1"/>
  <c r="C537" i="10"/>
  <c r="D537" i="10" s="1"/>
  <c r="C263" i="10"/>
  <c r="D263" i="10" s="1"/>
  <c r="C264" i="10"/>
  <c r="D264" i="10" s="1"/>
  <c r="C463" i="10"/>
  <c r="D463" i="10" s="1"/>
  <c r="C597" i="10"/>
  <c r="D597" i="10" s="1"/>
  <c r="C646" i="10"/>
  <c r="D646" i="10" s="1"/>
  <c r="C705" i="10"/>
  <c r="D705" i="10" s="1"/>
  <c r="C766" i="10"/>
  <c r="D766" i="10" s="1"/>
  <c r="C904" i="10"/>
  <c r="D904" i="10" s="1"/>
  <c r="C683" i="10"/>
  <c r="D683" i="10" s="1"/>
  <c r="C158" i="10"/>
  <c r="D158" i="10" s="1"/>
  <c r="C980" i="10"/>
  <c r="D980" i="10" s="1"/>
  <c r="C804" i="10"/>
  <c r="D804" i="10" s="1"/>
  <c r="C155" i="10"/>
  <c r="D155" i="10" s="1"/>
  <c r="C404" i="10"/>
  <c r="D404" i="10" s="1"/>
  <c r="C583" i="10"/>
  <c r="D583" i="10" s="1"/>
  <c r="C728" i="10"/>
  <c r="D728" i="10" s="1"/>
  <c r="C860" i="10"/>
  <c r="D860" i="10" s="1"/>
  <c r="C40" i="10"/>
  <c r="D40" i="10" s="1"/>
  <c r="C894" i="10"/>
  <c r="D894" i="10" s="1"/>
  <c r="C905" i="10"/>
  <c r="D905" i="10" s="1"/>
  <c r="C814" i="10"/>
  <c r="D814" i="10" s="1"/>
  <c r="C134" i="10"/>
  <c r="D134" i="10" s="1"/>
  <c r="C847" i="10"/>
  <c r="D847" i="10" s="1"/>
  <c r="C440" i="10"/>
  <c r="D440" i="10" s="1"/>
  <c r="C599" i="10"/>
  <c r="D599" i="10" s="1"/>
  <c r="C850" i="10"/>
  <c r="D850" i="10" s="1"/>
  <c r="C171" i="10"/>
  <c r="D171" i="10" s="1"/>
  <c r="C809" i="10"/>
  <c r="D809" i="10" s="1"/>
  <c r="C521" i="10"/>
  <c r="D521" i="10" s="1"/>
  <c r="C682" i="10"/>
  <c r="D682" i="10" s="1"/>
  <c r="C607" i="10"/>
  <c r="D607" i="10" s="1"/>
  <c r="C700" i="10"/>
  <c r="D700" i="10" s="1"/>
  <c r="C381" i="10"/>
  <c r="D381" i="10" s="1"/>
  <c r="C925" i="10"/>
  <c r="D925" i="10" s="1"/>
  <c r="C959" i="10"/>
  <c r="D959" i="10" s="1"/>
  <c r="C389" i="10"/>
  <c r="D389" i="10" s="1"/>
  <c r="C107" i="10"/>
  <c r="D107" i="10" s="1"/>
  <c r="C885" i="10"/>
  <c r="D885" i="10" s="1"/>
  <c r="C195" i="10"/>
  <c r="D195" i="10" s="1"/>
  <c r="C578" i="10"/>
  <c r="D578" i="10" s="1"/>
  <c r="C907" i="10"/>
  <c r="D907" i="10" s="1"/>
  <c r="C659" i="10"/>
  <c r="D659" i="10" s="1"/>
  <c r="C66" i="10"/>
  <c r="D66" i="10" s="1"/>
  <c r="C369" i="10"/>
  <c r="D369" i="10" s="1"/>
  <c r="C730" i="10"/>
  <c r="D730" i="10" s="1"/>
  <c r="C391" i="10"/>
  <c r="D391" i="10" s="1"/>
  <c r="C534" i="10"/>
  <c r="D534" i="10" s="1"/>
  <c r="C304" i="10"/>
  <c r="D304" i="10" s="1"/>
  <c r="C574" i="10"/>
  <c r="D574" i="10" s="1"/>
  <c r="C696" i="10"/>
  <c r="D696" i="10" s="1"/>
  <c r="C613" i="10"/>
  <c r="D613" i="10" s="1"/>
  <c r="C668" i="10"/>
  <c r="D668" i="10" s="1"/>
  <c r="C724" i="10"/>
  <c r="D724" i="10" s="1"/>
  <c r="C805" i="10"/>
  <c r="D805" i="10" s="1"/>
  <c r="C201" i="10"/>
  <c r="D201" i="10" s="1"/>
  <c r="C977" i="10"/>
  <c r="D977" i="10" s="1"/>
  <c r="C837" i="10"/>
  <c r="D837" i="10" s="1"/>
  <c r="C695" i="10"/>
  <c r="D695" i="10" s="1"/>
  <c r="C104" i="10"/>
  <c r="D104" i="10" s="1"/>
  <c r="C221" i="10"/>
  <c r="D221" i="10" s="1"/>
  <c r="C784" i="10"/>
  <c r="D784" i="10" s="1"/>
  <c r="C706" i="10"/>
  <c r="D706" i="10" s="1"/>
  <c r="C800" i="10"/>
  <c r="D800" i="10" s="1"/>
  <c r="C198" i="10"/>
  <c r="D198" i="10" s="1"/>
  <c r="C204" i="10"/>
  <c r="D204" i="10" s="1"/>
  <c r="C557" i="10"/>
  <c r="D557" i="10" s="1"/>
  <c r="C711" i="10"/>
  <c r="D711" i="10" s="1"/>
  <c r="C305" i="10"/>
  <c r="D305" i="10" s="1"/>
  <c r="C908" i="10"/>
  <c r="D908" i="10" s="1"/>
  <c r="C120" i="10"/>
  <c r="D120" i="10" s="1"/>
  <c r="C166" i="10"/>
  <c r="D166" i="10" s="1"/>
  <c r="C494" i="10"/>
  <c r="D494" i="10" s="1"/>
  <c r="C852" i="10"/>
  <c r="D852" i="10" s="1"/>
  <c r="C699" i="10"/>
  <c r="D699" i="10" s="1"/>
  <c r="C462" i="10"/>
  <c r="D462" i="10" s="1"/>
  <c r="C311" i="10"/>
  <c r="D311" i="10" s="1"/>
  <c r="C433" i="10"/>
  <c r="D433" i="10" s="1"/>
  <c r="C282" i="10"/>
  <c r="D282" i="10" s="1"/>
  <c r="C414" i="10"/>
  <c r="D414" i="10" s="1"/>
  <c r="C673" i="10"/>
  <c r="D673" i="10" s="1"/>
  <c r="C750" i="10"/>
  <c r="D750" i="10" s="1"/>
  <c r="C483" i="10"/>
  <c r="D483" i="10" s="1"/>
  <c r="C249" i="10"/>
  <c r="D249" i="10" s="1"/>
  <c r="C820" i="10"/>
  <c r="D820" i="10" s="1"/>
  <c r="C896" i="10"/>
  <c r="D896" i="10" s="1"/>
  <c r="C844" i="10"/>
  <c r="D844" i="10" s="1"/>
  <c r="C978" i="10"/>
  <c r="D978" i="10" s="1"/>
  <c r="C361" i="10"/>
  <c r="D361" i="10" s="1"/>
  <c r="C127" i="10"/>
  <c r="D127" i="10" s="1"/>
  <c r="C874" i="10"/>
  <c r="D874" i="10" s="1"/>
  <c r="C878" i="10"/>
  <c r="D878" i="10" s="1"/>
  <c r="C771" i="10"/>
  <c r="D771" i="10" s="1"/>
  <c r="C951" i="10"/>
  <c r="D951" i="10" s="1"/>
  <c r="C148" i="10"/>
  <c r="D148" i="10" s="1"/>
  <c r="C124" i="10"/>
  <c r="D124" i="10" s="1"/>
  <c r="C428" i="10"/>
  <c r="D428" i="10" s="1"/>
  <c r="C677" i="10"/>
  <c r="D677" i="10" s="1"/>
  <c r="C830" i="10"/>
  <c r="D830" i="10" s="1"/>
  <c r="C826" i="10"/>
  <c r="D826" i="10" s="1"/>
  <c r="C954" i="10"/>
  <c r="D954" i="10" s="1"/>
  <c r="C859" i="10"/>
  <c r="D859" i="10" s="1"/>
  <c r="C58" i="10"/>
  <c r="D58" i="10" s="1"/>
  <c r="C269" i="10"/>
  <c r="D269" i="10" s="1"/>
  <c r="C579" i="10"/>
  <c r="D579" i="10" s="1"/>
  <c r="C192" i="10"/>
  <c r="D192" i="10" s="1"/>
  <c r="C279" i="10"/>
  <c r="D279" i="10" s="1"/>
  <c r="C473" i="10"/>
  <c r="D473" i="10" s="1"/>
  <c r="C468" i="10"/>
  <c r="D468" i="10" s="1"/>
  <c r="C228" i="10"/>
  <c r="D228" i="10" s="1"/>
  <c r="C312" i="10"/>
  <c r="D312" i="10" s="1"/>
  <c r="C542" i="10"/>
  <c r="D542" i="10" s="1"/>
  <c r="C533" i="10"/>
  <c r="D533" i="10" s="1"/>
  <c r="C749" i="10"/>
  <c r="D749" i="10" s="1"/>
  <c r="C651" i="10"/>
  <c r="D651" i="10" s="1"/>
  <c r="C946" i="10"/>
  <c r="D946" i="10" s="1"/>
  <c r="C836" i="10"/>
  <c r="D836" i="10" s="1"/>
  <c r="C787" i="10"/>
  <c r="D787" i="10" s="1"/>
  <c r="C942" i="10"/>
  <c r="D942" i="10" s="1"/>
  <c r="C517" i="10"/>
  <c r="D517" i="10" s="1"/>
  <c r="C679" i="10"/>
  <c r="D679" i="10" s="1"/>
  <c r="C34" i="10"/>
  <c r="D34" i="10" s="1"/>
  <c r="C217" i="10"/>
  <c r="D217" i="10" s="1"/>
  <c r="C139" i="10"/>
  <c r="D139" i="10" s="1"/>
  <c r="C126" i="10"/>
  <c r="D126" i="10" s="1"/>
  <c r="C321" i="10"/>
  <c r="D321" i="10" s="1"/>
  <c r="C813" i="10"/>
  <c r="D813" i="10" s="1"/>
  <c r="C518" i="10"/>
  <c r="D518" i="10" s="1"/>
  <c r="C346" i="10"/>
  <c r="D346" i="10" s="1"/>
  <c r="C886" i="10"/>
  <c r="D886" i="10" s="1"/>
  <c r="C500" i="10"/>
  <c r="D500" i="10" s="1"/>
  <c r="C854" i="10"/>
  <c r="D854" i="10" s="1"/>
  <c r="C119" i="10"/>
  <c r="D119" i="10" s="1"/>
  <c r="C791" i="10"/>
  <c r="D791" i="10" s="1"/>
  <c r="C634" i="10"/>
  <c r="D634" i="10" s="1"/>
  <c r="C937" i="10"/>
  <c r="D937" i="10" s="1"/>
  <c r="C827" i="10"/>
  <c r="D827" i="10" s="1"/>
  <c r="C213" i="10"/>
  <c r="D213" i="10" s="1"/>
  <c r="C564" i="10"/>
  <c r="D564" i="10" s="1"/>
  <c r="C39" i="10"/>
  <c r="D39" i="10" s="1"/>
  <c r="C445" i="10"/>
  <c r="D445" i="10" s="1"/>
  <c r="C582" i="10"/>
  <c r="D582" i="10" s="1"/>
  <c r="C322" i="10"/>
  <c r="D322" i="10" s="1"/>
  <c r="C510" i="10"/>
  <c r="D510" i="10" s="1"/>
  <c r="C594" i="10"/>
  <c r="D594" i="10" s="1"/>
  <c r="C617" i="10"/>
  <c r="D617" i="10" s="1"/>
  <c r="C769" i="10"/>
  <c r="D769" i="10" s="1"/>
  <c r="C178" i="10"/>
  <c r="D178" i="10" s="1"/>
  <c r="C691" i="10"/>
  <c r="D691" i="10" s="1"/>
  <c r="C840" i="10"/>
  <c r="D840" i="10" s="1"/>
  <c r="C895" i="10"/>
  <c r="D895" i="10" s="1"/>
  <c r="C606" i="10"/>
  <c r="D606" i="10" s="1"/>
  <c r="C277" i="10"/>
  <c r="D277" i="10" s="1"/>
  <c r="C143" i="10"/>
  <c r="D143" i="10" s="1"/>
  <c r="C833" i="10"/>
  <c r="D833" i="10" s="1"/>
  <c r="C823" i="10"/>
  <c r="D823" i="10" s="1"/>
  <c r="C191" i="10"/>
  <c r="D191" i="10" s="1"/>
  <c r="C140" i="10"/>
  <c r="D140" i="10" s="1"/>
  <c r="C116" i="10"/>
  <c r="D116" i="10" s="1"/>
  <c r="C243" i="10"/>
  <c r="D243" i="10" s="1"/>
  <c r="C476" i="10"/>
  <c r="D476" i="10" s="1"/>
  <c r="C873" i="10"/>
  <c r="D873" i="10" s="1"/>
  <c r="C869" i="10"/>
  <c r="D869" i="10" s="1"/>
  <c r="C667" i="10"/>
  <c r="D667" i="10" s="1"/>
  <c r="C923" i="10"/>
  <c r="D923" i="10" s="1"/>
  <c r="C315" i="10"/>
  <c r="D315" i="10" s="1"/>
  <c r="C448" i="10"/>
  <c r="D448" i="10" s="1"/>
  <c r="C160" i="10"/>
  <c r="D160" i="10" s="1"/>
  <c r="C341" i="10"/>
  <c r="D341" i="10" s="1"/>
  <c r="C550" i="10"/>
  <c r="D550" i="10" s="1"/>
  <c r="C553" i="10"/>
  <c r="D553" i="10" s="1"/>
  <c r="C250" i="10"/>
  <c r="D250" i="10" s="1"/>
  <c r="C334" i="10"/>
  <c r="D334" i="10" s="1"/>
  <c r="C396" i="10"/>
  <c r="D396" i="10" s="1"/>
  <c r="C614" i="10"/>
  <c r="D614" i="10" s="1"/>
  <c r="C253" i="10"/>
  <c r="D253" i="10" s="1"/>
  <c r="C664" i="10"/>
  <c r="D664" i="10" s="1"/>
  <c r="C162" i="10"/>
  <c r="D162" i="10" s="1"/>
  <c r="C779" i="10"/>
  <c r="D779" i="10" s="1"/>
  <c r="C457" i="10"/>
  <c r="D457" i="10" s="1"/>
  <c r="C109" i="10"/>
  <c r="D109" i="10" s="1"/>
  <c r="C871" i="10"/>
  <c r="D871" i="10" s="1"/>
  <c r="C319" i="10"/>
  <c r="D319" i="10" s="1"/>
  <c r="C739" i="10"/>
  <c r="D739" i="10" s="1"/>
  <c r="C502" i="10"/>
  <c r="D502" i="10" s="1"/>
  <c r="C161" i="10"/>
  <c r="D161" i="10" s="1"/>
  <c r="C260" i="10"/>
  <c r="D260" i="10" s="1"/>
  <c r="C656" i="10"/>
  <c r="D656" i="10" s="1"/>
  <c r="C810" i="10"/>
  <c r="D810" i="10" s="1"/>
  <c r="C110" i="10"/>
  <c r="D110" i="10" s="1"/>
  <c r="C459" i="10"/>
  <c r="D459" i="10" s="1"/>
  <c r="C899" i="10"/>
  <c r="D899" i="10" s="1"/>
  <c r="C170" i="10"/>
  <c r="D170" i="10" s="1"/>
  <c r="C71" i="10"/>
  <c r="D71" i="10" s="1"/>
  <c r="C379" i="10"/>
  <c r="D379" i="10" s="1"/>
  <c r="C390" i="10"/>
  <c r="D390" i="10" s="1"/>
  <c r="C876" i="10"/>
  <c r="D876" i="10" s="1"/>
  <c r="C689" i="10"/>
  <c r="D689" i="10" s="1"/>
  <c r="C353" i="10"/>
  <c r="D353" i="10" s="1"/>
  <c r="C939" i="10"/>
  <c r="D939" i="10" s="1"/>
  <c r="C153" i="10"/>
  <c r="D153" i="10" s="1"/>
  <c r="C919" i="10"/>
  <c r="D919" i="10" s="1"/>
  <c r="C261" i="10"/>
  <c r="D261" i="10" s="1"/>
  <c r="C848" i="10"/>
  <c r="D848" i="10" s="1"/>
  <c r="C955" i="10"/>
  <c r="D955" i="10" s="1"/>
  <c r="C297" i="10"/>
  <c r="D297" i="10" s="1"/>
  <c r="C81" i="10"/>
  <c r="D81" i="10" s="1"/>
  <c r="C176" i="10"/>
  <c r="D176" i="10" s="1"/>
  <c r="C650" i="10"/>
  <c r="D650" i="10" s="1"/>
  <c r="C366" i="10"/>
  <c r="D366" i="10" s="1"/>
  <c r="C685" i="10"/>
  <c r="D685" i="10" s="1"/>
  <c r="C768" i="10"/>
  <c r="D768" i="10" s="1"/>
  <c r="C633" i="10"/>
  <c r="D633" i="10" s="1"/>
  <c r="C702" i="10"/>
  <c r="D702" i="10" s="1"/>
  <c r="C413" i="10"/>
  <c r="D413" i="10" s="1"/>
  <c r="C70" i="10"/>
  <c r="D70" i="10" s="1"/>
  <c r="C948" i="10"/>
  <c r="D948" i="10" s="1"/>
  <c r="C767" i="10"/>
  <c r="D767" i="10" s="1"/>
  <c r="C497" i="10"/>
  <c r="D497" i="10" s="1"/>
  <c r="C211" i="10"/>
  <c r="D211" i="10" s="1"/>
  <c r="C193" i="10"/>
  <c r="D193" i="10" s="1"/>
  <c r="C818" i="10"/>
  <c r="D818" i="10" s="1"/>
  <c r="C785" i="10"/>
  <c r="D785" i="10" s="1"/>
  <c r="C179" i="10"/>
  <c r="D179" i="10" s="1"/>
  <c r="C132" i="10"/>
  <c r="D132" i="10" s="1"/>
  <c r="C32" i="10"/>
  <c r="D32" i="10" s="1"/>
  <c r="C745" i="10"/>
  <c r="D745" i="10" s="1"/>
  <c r="C136" i="10"/>
  <c r="D136" i="10" s="1"/>
  <c r="C933" i="10"/>
  <c r="D933" i="10" s="1"/>
  <c r="C218" i="10"/>
  <c r="D218" i="10" s="1"/>
  <c r="C512" i="10"/>
  <c r="D512" i="10" s="1"/>
  <c r="C744" i="10"/>
  <c r="D744" i="10" s="1"/>
  <c r="C903" i="10"/>
  <c r="D903" i="10" s="1"/>
  <c r="C111" i="10"/>
  <c r="D111" i="10" s="1"/>
  <c r="C887" i="10"/>
  <c r="D887" i="10" s="1"/>
  <c r="C100" i="10"/>
  <c r="D100" i="10" s="1"/>
  <c r="C325" i="10"/>
  <c r="D325" i="10" s="1"/>
  <c r="C788" i="10"/>
  <c r="D788" i="10" s="1"/>
  <c r="C912" i="10"/>
  <c r="D912" i="10" s="1"/>
  <c r="C410" i="10"/>
  <c r="D410" i="10" s="1"/>
  <c r="C69" i="10"/>
  <c r="D69" i="10" s="1"/>
  <c r="C226" i="10"/>
  <c r="D226" i="10" s="1"/>
  <c r="C408" i="10"/>
  <c r="D408" i="10" s="1"/>
  <c r="C292" i="10"/>
  <c r="D292" i="10" s="1"/>
  <c r="C481" i="10"/>
  <c r="D481" i="10" s="1"/>
  <c r="C628" i="10"/>
  <c r="D628" i="10" s="1"/>
  <c r="C845" i="10"/>
  <c r="D845" i="10" s="1"/>
  <c r="C972" i="10"/>
  <c r="D972" i="10" s="1"/>
  <c r="C757" i="10"/>
  <c r="D757" i="10" s="1"/>
  <c r="C536" i="10"/>
  <c r="D536" i="10" s="1"/>
  <c r="C472" i="10"/>
  <c r="D472" i="10" s="1"/>
  <c r="C666" i="10"/>
  <c r="D666" i="10" s="1"/>
  <c r="C538" i="10"/>
  <c r="D538" i="10" s="1"/>
  <c r="C474" i="10"/>
  <c r="D474" i="10" s="1"/>
  <c r="C406" i="10"/>
  <c r="D406" i="10" s="1"/>
  <c r="C380" i="10"/>
  <c r="D380" i="10" s="1"/>
  <c r="C348" i="10"/>
  <c r="D348" i="10" s="1"/>
  <c r="C294" i="10"/>
  <c r="D294" i="10" s="1"/>
  <c r="C262" i="10"/>
  <c r="D262" i="10" s="1"/>
  <c r="C238" i="10"/>
  <c r="D238" i="10" s="1"/>
  <c r="C620" i="10"/>
  <c r="D620" i="10" s="1"/>
  <c r="C543" i="10"/>
  <c r="D543" i="10" s="1"/>
  <c r="C426" i="10"/>
  <c r="D426" i="10" s="1"/>
  <c r="C339" i="10"/>
  <c r="D339" i="10" s="1"/>
  <c r="C715" i="10"/>
  <c r="D715" i="10" s="1"/>
  <c r="C113" i="10"/>
  <c r="D113" i="10" s="1"/>
  <c r="C671" i="10"/>
  <c r="D671" i="10" s="1"/>
  <c r="C880" i="10"/>
  <c r="D880" i="10" s="1"/>
  <c r="C801" i="10"/>
  <c r="D801" i="10" s="1"/>
  <c r="C80" i="10"/>
  <c r="D80" i="10" s="1"/>
  <c r="C868" i="10"/>
  <c r="D868" i="10" s="1"/>
  <c r="C786" i="10"/>
  <c r="D786" i="10" s="1"/>
  <c r="C589" i="10"/>
  <c r="D589" i="10" s="1"/>
  <c r="C746" i="10"/>
  <c r="D746" i="10" s="1"/>
  <c r="C531" i="10"/>
  <c r="D531" i="10" s="1"/>
  <c r="C451" i="10"/>
  <c r="D451" i="10" s="1"/>
  <c r="C374" i="10"/>
  <c r="D374" i="10" s="1"/>
  <c r="C342" i="10"/>
  <c r="D342" i="10" s="1"/>
  <c r="C298" i="10"/>
  <c r="D298" i="10" s="1"/>
  <c r="C268" i="10"/>
  <c r="D268" i="10" s="1"/>
  <c r="C802" i="10"/>
  <c r="D802" i="10" s="1"/>
  <c r="C429" i="10"/>
  <c r="D429" i="10" s="1"/>
  <c r="C722" i="10"/>
  <c r="D722" i="10" s="1"/>
  <c r="C498" i="10"/>
  <c r="D498" i="10" s="1"/>
  <c r="C373" i="10"/>
  <c r="D373" i="10" s="1"/>
  <c r="C271" i="10"/>
  <c r="D271" i="10" s="1"/>
  <c r="C208" i="10"/>
  <c r="D208" i="10" s="1"/>
  <c r="C180" i="10"/>
  <c r="D180" i="10" s="1"/>
  <c r="C780" i="10"/>
  <c r="D780" i="10" s="1"/>
  <c r="C174" i="10"/>
  <c r="D174" i="10" s="1"/>
  <c r="C770" i="10"/>
  <c r="D770" i="10" s="1"/>
  <c r="C544" i="10"/>
  <c r="D544" i="10" s="1"/>
  <c r="C461" i="10"/>
  <c r="D461" i="10" s="1"/>
  <c r="C588" i="10"/>
  <c r="D588" i="10" s="1"/>
  <c r="C427" i="10"/>
  <c r="D427" i="10" s="1"/>
  <c r="C370" i="10"/>
  <c r="D370" i="10" s="1"/>
  <c r="C288" i="10"/>
  <c r="D288" i="10" s="1"/>
  <c r="C718" i="10"/>
  <c r="D718" i="10" s="1"/>
  <c r="C752" i="10"/>
  <c r="D752" i="10" s="1"/>
  <c r="C720" i="10"/>
  <c r="D720" i="10" s="1"/>
  <c r="C967" i="10"/>
  <c r="D967" i="10" s="1"/>
  <c r="C48" i="10"/>
  <c r="D48" i="10" s="1"/>
  <c r="C772" i="10"/>
  <c r="D772" i="10" s="1"/>
  <c r="C601" i="10"/>
  <c r="D601" i="10" s="1"/>
  <c r="C343" i="10"/>
  <c r="D343" i="10" s="1"/>
  <c r="C922" i="10"/>
  <c r="D922" i="10" s="1"/>
  <c r="C163" i="10"/>
  <c r="D163" i="10" s="1"/>
  <c r="C535" i="10"/>
  <c r="D535" i="10" s="1"/>
  <c r="C916" i="10"/>
  <c r="D916" i="10" s="1"/>
  <c r="C731" i="10"/>
  <c r="D731" i="10" s="1"/>
  <c r="C154" i="10"/>
  <c r="D154" i="10" s="1"/>
  <c r="C487" i="10"/>
  <c r="D487" i="10" s="1"/>
  <c r="C632" i="10"/>
  <c r="D632" i="10" s="1"/>
  <c r="C354" i="10"/>
  <c r="D354" i="10" s="1"/>
  <c r="C754" i="10"/>
  <c r="D754" i="10" s="1"/>
  <c r="C540" i="10"/>
  <c r="D540" i="10" s="1"/>
  <c r="C735" i="10"/>
  <c r="D735" i="10" s="1"/>
  <c r="C712" i="10"/>
  <c r="D712" i="10" s="1"/>
  <c r="C600" i="10"/>
  <c r="D600" i="10" s="1"/>
  <c r="C520" i="10"/>
  <c r="D520" i="10" s="1"/>
  <c r="C624" i="10"/>
  <c r="D624" i="10" s="1"/>
  <c r="C513" i="10"/>
  <c r="D513" i="10" s="1"/>
  <c r="C454" i="10"/>
  <c r="D454" i="10" s="1"/>
  <c r="C394" i="10"/>
  <c r="D394" i="10" s="1"/>
  <c r="C372" i="10"/>
  <c r="D372" i="10" s="1"/>
  <c r="C340" i="10"/>
  <c r="D340" i="10" s="1"/>
  <c r="C316" i="10"/>
  <c r="D316" i="10" s="1"/>
  <c r="C286" i="10"/>
  <c r="D286" i="10" s="1"/>
  <c r="C230" i="10"/>
  <c r="D230" i="10" s="1"/>
  <c r="C586" i="10"/>
  <c r="D586" i="10" s="1"/>
  <c r="C519" i="10"/>
  <c r="D519" i="10" s="1"/>
  <c r="C401" i="10"/>
  <c r="D401" i="10" s="1"/>
  <c r="C704" i="10"/>
  <c r="D704" i="10" s="1"/>
  <c r="C489" i="10"/>
  <c r="D489" i="10" s="1"/>
  <c r="C816" i="10"/>
  <c r="D816" i="10" s="1"/>
  <c r="C812" i="10"/>
  <c r="D812" i="10" s="1"/>
  <c r="C935" i="10"/>
  <c r="D935" i="10" s="1"/>
  <c r="C893" i="10"/>
  <c r="D893" i="10" s="1"/>
  <c r="C194" i="10"/>
  <c r="D194" i="10" s="1"/>
  <c r="C157" i="10"/>
  <c r="D157" i="10" s="1"/>
  <c r="C741" i="10"/>
  <c r="D741" i="10" s="1"/>
  <c r="C568" i="10"/>
  <c r="D568" i="10" s="1"/>
  <c r="C509" i="10"/>
  <c r="D509" i="10" s="1"/>
  <c r="C661" i="10"/>
  <c r="D661" i="10" s="1"/>
  <c r="C430" i="10"/>
  <c r="D430" i="10" s="1"/>
  <c r="C362" i="10"/>
  <c r="D362" i="10" s="1"/>
  <c r="C330" i="10"/>
  <c r="D330" i="10" s="1"/>
  <c r="C290" i="10"/>
  <c r="D290" i="10" s="1"/>
  <c r="C258" i="10"/>
  <c r="D258" i="10" s="1"/>
  <c r="C693" i="10"/>
  <c r="D693" i="10" s="1"/>
  <c r="C548" i="10"/>
  <c r="D548" i="10" s="1"/>
  <c r="C395" i="10"/>
  <c r="D395" i="10" s="1"/>
  <c r="C580" i="10"/>
  <c r="D580" i="10" s="1"/>
  <c r="C466" i="10"/>
  <c r="D466" i="10" s="1"/>
  <c r="C335" i="10"/>
  <c r="D335" i="10" s="1"/>
  <c r="C247" i="10"/>
  <c r="D247" i="10" s="1"/>
  <c r="C200" i="10"/>
  <c r="D200" i="10" s="1"/>
  <c r="C41" i="10"/>
  <c r="D41" i="10" s="1"/>
  <c r="C456" i="10"/>
  <c r="D456" i="10" s="1"/>
  <c r="C141" i="10"/>
  <c r="D141" i="10" s="1"/>
  <c r="C610" i="10"/>
  <c r="D610" i="10" s="1"/>
  <c r="C525" i="10"/>
  <c r="D525" i="10" s="1"/>
  <c r="C556" i="10"/>
  <c r="D556" i="10" s="1"/>
  <c r="C467" i="10"/>
  <c r="D467" i="10" s="1"/>
  <c r="C403" i="10"/>
  <c r="D403" i="10" s="1"/>
  <c r="C726" i="10"/>
  <c r="D726" i="10" s="1"/>
  <c r="C703" i="10"/>
  <c r="D703" i="10" s="1"/>
  <c r="C783" i="10"/>
  <c r="D783" i="10" s="1"/>
  <c r="C477" i="10"/>
  <c r="D477" i="10" s="1"/>
  <c r="C514" i="10"/>
  <c r="D514" i="10" s="1"/>
  <c r="C402" i="10"/>
  <c r="D402" i="10" s="1"/>
  <c r="C397" i="10"/>
  <c r="D397" i="10" s="1"/>
  <c r="C240" i="10"/>
  <c r="D240" i="10" s="1"/>
  <c r="C653" i="10"/>
  <c r="D653" i="10" s="1"/>
  <c r="C947" i="10"/>
  <c r="D947" i="10" s="1"/>
  <c r="C424" i="10"/>
  <c r="D424" i="10" s="1"/>
  <c r="C926" i="10"/>
  <c r="D926" i="10" s="1"/>
  <c r="C207" i="10"/>
  <c r="D207" i="10" s="1"/>
  <c r="C585" i="10"/>
  <c r="D585" i="10" s="1"/>
  <c r="C958" i="10"/>
  <c r="D958" i="10" s="1"/>
  <c r="C795" i="10"/>
  <c r="D795" i="10" s="1"/>
  <c r="C233" i="10"/>
  <c r="D233" i="10" s="1"/>
  <c r="C546" i="10"/>
  <c r="D546" i="10" s="1"/>
  <c r="C421" i="10"/>
  <c r="D421" i="10" s="1"/>
  <c r="C376" i="10"/>
  <c r="D376" i="10" s="1"/>
  <c r="C493" i="10"/>
  <c r="D493" i="10" s="1"/>
  <c r="C872" i="10"/>
  <c r="D872" i="10" s="1"/>
  <c r="C843" i="10"/>
  <c r="D843" i="10" s="1"/>
  <c r="C245" i="10"/>
  <c r="D245" i="10" s="1"/>
  <c r="C385" i="10"/>
  <c r="D385" i="10" s="1"/>
  <c r="C658" i="10"/>
  <c r="D658" i="10" s="1"/>
  <c r="C581" i="10"/>
  <c r="D581" i="10" s="1"/>
  <c r="C504" i="10"/>
  <c r="D504" i="10" s="1"/>
  <c r="C26" i="10"/>
  <c r="D26" i="10" s="1"/>
  <c r="C577" i="10"/>
  <c r="D577" i="10" s="1"/>
  <c r="C438" i="10"/>
  <c r="D438" i="10" s="1"/>
  <c r="C388" i="10"/>
  <c r="D388" i="10" s="1"/>
  <c r="C364" i="10"/>
  <c r="D364" i="10" s="1"/>
  <c r="C332" i="10"/>
  <c r="D332" i="10" s="1"/>
  <c r="C308" i="10"/>
  <c r="D308" i="10" s="1"/>
  <c r="C278" i="10"/>
  <c r="D278" i="10" s="1"/>
  <c r="C254" i="10"/>
  <c r="D254" i="10" s="1"/>
  <c r="C760" i="10"/>
  <c r="D760" i="10" s="1"/>
  <c r="C482" i="10"/>
  <c r="D482" i="10" s="1"/>
  <c r="C371" i="10"/>
  <c r="D371" i="10" s="1"/>
  <c r="C587" i="10"/>
  <c r="D587" i="10" s="1"/>
  <c r="C203" i="10"/>
  <c r="D203" i="10" s="1"/>
  <c r="C117" i="10"/>
  <c r="D117" i="10" s="1"/>
  <c r="C165" i="10"/>
  <c r="D165" i="10" s="1"/>
  <c r="C209" i="10"/>
  <c r="D209" i="10" s="1"/>
  <c r="C68" i="10"/>
  <c r="D68" i="10" s="1"/>
  <c r="C125" i="10"/>
  <c r="D125" i="10" s="1"/>
  <c r="C575" i="10"/>
  <c r="D575" i="10" s="1"/>
  <c r="C674" i="10"/>
  <c r="D674" i="10" s="1"/>
  <c r="C549" i="10"/>
  <c r="D549" i="10" s="1"/>
  <c r="C971" i="10"/>
  <c r="D971" i="10" s="1"/>
  <c r="C808" i="10"/>
  <c r="D808" i="10" s="1"/>
  <c r="C882" i="10"/>
  <c r="D882" i="10" s="1"/>
  <c r="C273" i="10"/>
  <c r="D273" i="10" s="1"/>
  <c r="C832" i="10"/>
  <c r="D832" i="10" s="1"/>
  <c r="C28" i="10"/>
  <c r="D28" i="10" s="1"/>
  <c r="C46" i="10"/>
  <c r="D46" i="10" s="1"/>
  <c r="C475" i="10"/>
  <c r="D475" i="10" s="1"/>
  <c r="C101" i="10"/>
  <c r="D101" i="10" s="1"/>
  <c r="C902" i="10"/>
  <c r="D902" i="10" s="1"/>
  <c r="C181" i="10"/>
  <c r="D181" i="10" s="1"/>
  <c r="C173" i="10"/>
  <c r="D173" i="10" s="1"/>
  <c r="C909" i="10"/>
  <c r="D909" i="10" s="1"/>
  <c r="C934" i="10"/>
  <c r="D934" i="10" s="1"/>
  <c r="C149" i="10"/>
  <c r="D149" i="10" s="1"/>
  <c r="C798" i="10"/>
  <c r="D798" i="10" s="1"/>
  <c r="C145" i="10"/>
  <c r="D145" i="10" s="1"/>
  <c r="C717" i="10"/>
  <c r="D717" i="10" s="1"/>
  <c r="C949" i="10"/>
  <c r="D949" i="10" s="1"/>
  <c r="C420" i="10"/>
  <c r="D420" i="10" s="1"/>
  <c r="C27" i="10"/>
  <c r="D27" i="10" s="1"/>
  <c r="C822" i="10"/>
  <c r="D822" i="10" s="1"/>
  <c r="C853" i="10"/>
  <c r="D853" i="10" s="1"/>
  <c r="C807" i="10"/>
  <c r="D807" i="10" s="1"/>
  <c r="C105" i="10"/>
  <c r="D105" i="10" s="1"/>
  <c r="C357" i="10"/>
  <c r="D357" i="10" s="1"/>
  <c r="C969" i="10"/>
  <c r="D969" i="10" s="1"/>
  <c r="C496" i="10"/>
  <c r="D496" i="10" s="1"/>
  <c r="C545" i="10"/>
  <c r="D545" i="10" s="1"/>
  <c r="C398" i="10"/>
  <c r="D398" i="10" s="1"/>
  <c r="C274" i="10"/>
  <c r="D274" i="10" s="1"/>
  <c r="C412" i="10"/>
  <c r="D412" i="10" s="1"/>
  <c r="C479" i="10"/>
  <c r="D479" i="10" s="1"/>
  <c r="C231" i="10"/>
  <c r="D231" i="10" s="1"/>
  <c r="C618" i="10"/>
  <c r="D618" i="10" s="1"/>
  <c r="C393" i="10"/>
  <c r="D393" i="10" s="1"/>
  <c r="C815" i="10"/>
  <c r="D815" i="10" s="1"/>
  <c r="C962" i="10"/>
  <c r="D962" i="10" s="1"/>
  <c r="C966" i="10"/>
  <c r="D966" i="10" s="1"/>
  <c r="C838" i="10"/>
  <c r="D838" i="10" s="1"/>
  <c r="C598" i="10"/>
  <c r="D598" i="10" s="1"/>
  <c r="C257" i="10"/>
  <c r="D257" i="10" s="1"/>
  <c r="C87" i="10"/>
  <c r="D87" i="10" s="1"/>
  <c r="C114" i="10"/>
  <c r="D114" i="10" s="1"/>
  <c r="C146" i="10"/>
  <c r="D146" i="10" s="1"/>
  <c r="C187" i="10"/>
  <c r="D187" i="10" s="1"/>
  <c r="C835" i="10"/>
  <c r="D835" i="10" s="1"/>
  <c r="C870" i="10"/>
  <c r="D870" i="10" s="1"/>
  <c r="C866" i="10"/>
  <c r="D866" i="10" s="1"/>
  <c r="C147" i="10"/>
  <c r="D147" i="10" s="1"/>
  <c r="C99" i="10"/>
  <c r="D99" i="10" s="1"/>
  <c r="C351" i="10"/>
  <c r="D351" i="10" s="1"/>
  <c r="C777" i="10"/>
  <c r="D777" i="10" s="1"/>
  <c r="C819" i="10"/>
  <c r="D819" i="10" s="1"/>
  <c r="C313" i="10"/>
  <c r="D313" i="10" s="1"/>
  <c r="C566" i="10"/>
  <c r="D566" i="10" s="1"/>
  <c r="C732" i="10"/>
  <c r="D732" i="10" s="1"/>
  <c r="C686" i="10"/>
  <c r="D686" i="10" s="1"/>
  <c r="C627" i="10"/>
  <c r="D627" i="10" s="1"/>
  <c r="C603" i="10"/>
  <c r="D603" i="10" s="1"/>
  <c r="C152" i="10"/>
  <c r="D152" i="10" s="1"/>
  <c r="C222" i="10"/>
  <c r="D222" i="10" s="1"/>
  <c r="C359" i="10"/>
  <c r="D359" i="10" s="1"/>
  <c r="C455" i="10"/>
  <c r="D455" i="10" s="1"/>
  <c r="C561" i="10"/>
  <c r="D561" i="10" s="1"/>
  <c r="C415" i="10"/>
  <c r="D415" i="10" s="1"/>
  <c r="C539" i="10"/>
  <c r="D539" i="10" s="1"/>
  <c r="C776" i="10"/>
  <c r="D776" i="10" s="1"/>
  <c r="C256" i="10"/>
  <c r="D256" i="10" s="1"/>
  <c r="C306" i="10"/>
  <c r="D306" i="10" s="1"/>
  <c r="C350" i="10"/>
  <c r="D350" i="10" s="1"/>
  <c r="C636" i="10"/>
  <c r="D636" i="10" s="1"/>
  <c r="C560" i="10"/>
  <c r="D560" i="10" s="1"/>
  <c r="C137" i="10"/>
  <c r="D137" i="10" s="1"/>
  <c r="C723" i="10"/>
  <c r="D723" i="10" s="1"/>
  <c r="C164" i="10"/>
  <c r="D164" i="10" s="1"/>
  <c r="C530" i="10"/>
  <c r="D530" i="10" s="1"/>
  <c r="C458" i="10"/>
  <c r="D458" i="10" s="1"/>
  <c r="C236" i="10"/>
  <c r="D236" i="10" s="1"/>
  <c r="C310" i="10"/>
  <c r="D310" i="10" s="1"/>
  <c r="C384" i="10"/>
  <c r="D384" i="10" s="1"/>
  <c r="C563" i="10"/>
  <c r="D563" i="10" s="1"/>
  <c r="C528" i="10"/>
  <c r="D528" i="10" s="1"/>
  <c r="C405" i="10"/>
  <c r="D405" i="10" s="1"/>
  <c r="C953" i="10"/>
  <c r="D953" i="10" s="1"/>
  <c r="C444" i="10"/>
  <c r="D444" i="10" s="1"/>
  <c r="C270" i="10"/>
  <c r="D270" i="10" s="1"/>
  <c r="C736" i="10"/>
  <c r="D736" i="10" s="1"/>
  <c r="C797" i="10"/>
  <c r="D797" i="10" s="1"/>
  <c r="C573" i="10"/>
  <c r="D573" i="10" s="1"/>
  <c r="C210" i="10"/>
  <c r="D210" i="10" s="1"/>
  <c r="C675" i="10"/>
  <c r="D675" i="10" s="1"/>
  <c r="C442" i="10"/>
  <c r="D442" i="10" s="1"/>
  <c r="C285" i="10"/>
  <c r="D285" i="10" s="1"/>
  <c r="I87" i="32"/>
  <c r="I89" i="32" s="1"/>
  <c r="I89" i="5"/>
  <c r="C970" i="10"/>
  <c r="D970" i="10" s="1"/>
  <c r="O88" i="32"/>
  <c r="C851" i="10"/>
  <c r="D851" i="10" s="1"/>
  <c r="C917" i="10"/>
  <c r="D917" i="10" s="1"/>
  <c r="C865" i="10"/>
  <c r="D865" i="10" s="1"/>
  <c r="C861" i="10"/>
  <c r="D861" i="10" s="1"/>
  <c r="C857" i="10"/>
  <c r="D857" i="10" s="1"/>
  <c r="C133" i="10"/>
  <c r="D133" i="10" s="1"/>
  <c r="C906" i="10"/>
  <c r="D906" i="10" s="1"/>
  <c r="C915" i="10"/>
  <c r="D915" i="10" s="1"/>
  <c r="C928" i="10"/>
  <c r="D928" i="10" s="1"/>
  <c r="C782" i="10"/>
  <c r="D782" i="10" s="1"/>
  <c r="C375" i="10"/>
  <c r="D375" i="10" s="1"/>
  <c r="C930" i="10"/>
  <c r="D930" i="10" s="1"/>
  <c r="C317" i="10"/>
  <c r="D317" i="10" s="1"/>
  <c r="C638" i="10"/>
  <c r="D638" i="10" s="1"/>
  <c r="C492" i="10"/>
  <c r="D492" i="10" s="1"/>
  <c r="C336" i="10"/>
  <c r="D336" i="10" s="1"/>
  <c r="C655" i="10"/>
  <c r="D655" i="10" s="1"/>
  <c r="C781" i="10"/>
  <c r="D781" i="10" s="1"/>
  <c r="C431" i="10"/>
  <c r="D431" i="10" s="1"/>
  <c r="C212" i="10"/>
  <c r="D212" i="10" s="1"/>
  <c r="C67" i="10"/>
  <c r="D67" i="10" s="1"/>
  <c r="C453" i="10"/>
  <c r="D453" i="10" s="1"/>
  <c r="C329" i="10"/>
  <c r="D329" i="10" s="1"/>
  <c r="C205" i="10"/>
  <c r="D205" i="10" s="1"/>
  <c r="C751" i="10"/>
  <c r="D751" i="10" s="1"/>
  <c r="C920" i="10"/>
  <c r="D920" i="10" s="1"/>
  <c r="C924" i="10"/>
  <c r="D924" i="10" s="1"/>
  <c r="C796" i="10"/>
  <c r="D796" i="10" s="1"/>
  <c r="C551" i="10"/>
  <c r="D551" i="10" s="1"/>
  <c r="C349" i="10"/>
  <c r="D349" i="10" s="1"/>
  <c r="C215" i="10"/>
  <c r="D215" i="10" s="1"/>
  <c r="C122" i="10"/>
  <c r="D122" i="10" s="1"/>
  <c r="C159" i="10"/>
  <c r="D159" i="10" s="1"/>
  <c r="C963" i="10"/>
  <c r="D963" i="10" s="1"/>
  <c r="C727" i="10"/>
  <c r="D727" i="10" s="1"/>
  <c r="C914" i="10"/>
  <c r="D914" i="10" s="1"/>
  <c r="C131" i="10"/>
  <c r="D131" i="10" s="1"/>
  <c r="C399" i="10"/>
  <c r="D399" i="10" s="1"/>
  <c r="C792" i="10"/>
  <c r="D792" i="10" s="1"/>
  <c r="C825" i="10"/>
  <c r="D825" i="10" s="1"/>
  <c r="C647" i="10"/>
  <c r="D647" i="10" s="1"/>
  <c r="C35" i="10"/>
  <c r="D35" i="10" s="1"/>
  <c r="C698" i="10"/>
  <c r="D698" i="10" s="1"/>
  <c r="C761" i="10"/>
  <c r="D761" i="10" s="1"/>
  <c r="C721" i="10"/>
  <c r="D721" i="10" s="1"/>
  <c r="C657" i="10"/>
  <c r="D657" i="10" s="1"/>
  <c r="C619" i="10"/>
  <c r="D619" i="10" s="1"/>
  <c r="C595" i="10"/>
  <c r="D595" i="10" s="1"/>
  <c r="C61" i="10"/>
  <c r="D61" i="10" s="1"/>
  <c r="C30" i="10"/>
  <c r="D30" i="10" s="1"/>
  <c r="C206" i="10"/>
  <c r="D206" i="10" s="1"/>
  <c r="C239" i="10"/>
  <c r="D239" i="10" s="1"/>
  <c r="C407" i="10"/>
  <c r="D407" i="10" s="1"/>
  <c r="C486" i="10"/>
  <c r="D486" i="10" s="1"/>
  <c r="C688" i="10"/>
  <c r="D688" i="10" s="1"/>
  <c r="C567" i="10"/>
  <c r="D567" i="10" s="1"/>
  <c r="C234" i="10"/>
  <c r="D234" i="10" s="1"/>
  <c r="C318" i="10"/>
  <c r="D318" i="10" s="1"/>
  <c r="C360" i="10"/>
  <c r="D360" i="10" s="1"/>
  <c r="C446" i="10"/>
  <c r="D446" i="10" s="1"/>
  <c r="C725" i="10"/>
  <c r="D725" i="10" s="1"/>
  <c r="C584" i="10"/>
  <c r="D584" i="10" s="1"/>
  <c r="C950" i="10"/>
  <c r="D950" i="10" s="1"/>
  <c r="C47" i="10"/>
  <c r="D47" i="10" s="1"/>
  <c r="C303" i="10"/>
  <c r="D303" i="10" s="1"/>
  <c r="C515" i="10"/>
  <c r="D515" i="10" s="1"/>
  <c r="C248" i="10"/>
  <c r="D248" i="10" s="1"/>
  <c r="C320" i="10"/>
  <c r="D320" i="10" s="1"/>
  <c r="C411" i="10"/>
  <c r="D411" i="10" s="1"/>
  <c r="C608" i="10"/>
  <c r="D608" i="10" s="1"/>
  <c r="C616" i="10"/>
  <c r="D616" i="10" s="1"/>
  <c r="C432" i="10"/>
  <c r="D432" i="10" s="1"/>
  <c r="C259" i="10"/>
  <c r="D259" i="10" s="1"/>
  <c r="C562" i="10"/>
  <c r="D562" i="10" s="1"/>
  <c r="C300" i="10"/>
  <c r="D300" i="10" s="1"/>
  <c r="C422" i="10"/>
  <c r="D422" i="10" s="1"/>
  <c r="C488" i="10"/>
  <c r="D488" i="10" s="1"/>
  <c r="C626" i="10"/>
  <c r="D626" i="10" s="1"/>
  <c r="C435" i="10"/>
  <c r="D435" i="10" s="1"/>
  <c r="C960" i="10"/>
  <c r="D960" i="10" s="1"/>
  <c r="C982" i="10"/>
  <c r="D982" i="10" s="1"/>
  <c r="C662" i="10"/>
  <c r="D662" i="10" s="1"/>
  <c r="C331" i="10"/>
  <c r="D331" i="10" s="1"/>
  <c r="C979" i="10"/>
  <c r="D979" i="10" s="1"/>
  <c r="C590" i="10"/>
  <c r="D590" i="10" s="1"/>
  <c r="C281" i="10"/>
  <c r="D281" i="10" s="1"/>
  <c r="C225" i="10"/>
  <c r="D225" i="10" s="1"/>
  <c r="C863" i="10"/>
  <c r="D863" i="10" s="1"/>
  <c r="C824" i="10"/>
  <c r="D824" i="10" s="1"/>
  <c r="C790" i="10"/>
  <c r="D790" i="10" s="1"/>
  <c r="C743" i="10"/>
  <c r="D743" i="10" s="1"/>
  <c r="C121" i="10"/>
  <c r="D121" i="10" s="1"/>
  <c r="C323" i="10"/>
  <c r="D323" i="10" s="1"/>
  <c r="C129" i="10"/>
  <c r="D129" i="10" s="1"/>
  <c r="C267" i="10"/>
  <c r="D267" i="10" s="1"/>
  <c r="C418" i="10"/>
  <c r="D418" i="10" s="1"/>
  <c r="C961" i="10"/>
  <c r="D961" i="10" s="1"/>
  <c r="C490" i="10"/>
  <c r="D490" i="10" s="1"/>
  <c r="C59" i="10"/>
  <c r="D59" i="10" s="1"/>
  <c r="C973" i="10"/>
  <c r="D973" i="10" s="1"/>
  <c r="C365" i="10"/>
  <c r="D365" i="10" s="1"/>
  <c r="C938" i="10"/>
  <c r="D938" i="10" s="1"/>
  <c r="C309" i="10"/>
  <c r="D309" i="10" s="1"/>
  <c r="C913" i="10"/>
  <c r="D913" i="10" s="1"/>
  <c r="C56" i="10"/>
  <c r="D56" i="10" s="1"/>
  <c r="C846" i="10"/>
  <c r="D846" i="10" s="1"/>
  <c r="C197" i="10"/>
  <c r="D197" i="10" s="1"/>
  <c r="C471" i="10"/>
  <c r="D471" i="10" s="1"/>
  <c r="C921" i="10"/>
  <c r="D921" i="10" s="1"/>
  <c r="C957" i="10"/>
  <c r="D957" i="10" s="1"/>
  <c r="C189" i="10"/>
  <c r="D189" i="10" s="1"/>
  <c r="C33" i="10"/>
  <c r="D33" i="10" s="1"/>
  <c r="C508" i="10"/>
  <c r="D508" i="10" s="1"/>
  <c r="C932" i="10"/>
  <c r="D932" i="10" s="1"/>
  <c r="C219" i="10"/>
  <c r="D219" i="10" s="1"/>
  <c r="C576" i="10"/>
  <c r="D576" i="10" s="1"/>
  <c r="C765" i="10"/>
  <c r="D765" i="10" s="1"/>
  <c r="C378" i="10"/>
  <c r="D378" i="10" s="1"/>
  <c r="C314" i="10"/>
  <c r="D314" i="10" s="1"/>
  <c r="C252" i="10"/>
  <c r="D252" i="10" s="1"/>
  <c r="C558" i="10"/>
  <c r="D558" i="10" s="1"/>
  <c r="C555" i="10"/>
  <c r="D555" i="10" s="1"/>
  <c r="C345" i="10"/>
  <c r="D345" i="10" s="1"/>
  <c r="C156" i="10"/>
  <c r="D156" i="10" s="1"/>
  <c r="C554" i="10"/>
  <c r="D554" i="10" s="1"/>
  <c r="C416" i="10"/>
  <c r="D416" i="10" s="1"/>
  <c r="C283" i="10"/>
  <c r="D283" i="10" s="1"/>
  <c r="C31" i="10"/>
  <c r="D31" i="10" s="1"/>
  <c r="C943" i="10"/>
  <c r="D943" i="10" s="1"/>
  <c r="C877" i="10"/>
  <c r="D877" i="10" s="1"/>
  <c r="C881" i="10"/>
  <c r="D881" i="10" s="1"/>
  <c r="C968" i="10"/>
  <c r="D968" i="10" s="1"/>
  <c r="C484" i="10"/>
  <c r="D484" i="10" s="1"/>
  <c r="C293" i="10"/>
  <c r="D293" i="10" s="1"/>
  <c r="C182" i="10"/>
  <c r="D182" i="10" s="1"/>
  <c r="C130" i="10"/>
  <c r="D130" i="10" s="1"/>
  <c r="C175" i="10"/>
  <c r="D175" i="10" s="1"/>
  <c r="C774" i="10"/>
  <c r="D774" i="10" s="1"/>
  <c r="C918" i="10"/>
  <c r="D918" i="10" s="1"/>
  <c r="C449" i="10"/>
  <c r="D449" i="10" s="1"/>
  <c r="C747" i="10"/>
  <c r="D747" i="10" s="1"/>
  <c r="C892" i="10"/>
  <c r="D892" i="10" s="1"/>
  <c r="C888" i="10"/>
  <c r="D888" i="10" s="1"/>
  <c r="C775" i="10"/>
  <c r="D775" i="10" s="1"/>
  <c r="C400" i="10"/>
  <c r="D400" i="10" s="1"/>
  <c r="C794" i="10"/>
  <c r="D794" i="10" s="1"/>
  <c r="C753" i="10"/>
  <c r="D753" i="10" s="1"/>
  <c r="C713" i="10"/>
  <c r="D713" i="10" s="1"/>
  <c r="C676" i="10"/>
  <c r="D676" i="10" s="1"/>
  <c r="C644" i="10"/>
  <c r="D644" i="10" s="1"/>
  <c r="C611" i="10"/>
  <c r="D611" i="10" s="1"/>
  <c r="C184" i="10"/>
  <c r="D184" i="10" s="1"/>
  <c r="C295" i="10"/>
  <c r="D295" i="10" s="1"/>
  <c r="C436" i="10"/>
  <c r="D436" i="10" s="1"/>
  <c r="C347" i="10"/>
  <c r="D347" i="10" s="1"/>
  <c r="C447" i="10"/>
  <c r="D447" i="10" s="1"/>
  <c r="C602" i="10"/>
  <c r="D602" i="10" s="1"/>
  <c r="C266" i="10"/>
  <c r="D266" i="10" s="1"/>
  <c r="C328" i="10"/>
  <c r="D328" i="10" s="1"/>
  <c r="C382" i="10"/>
  <c r="D382" i="10" s="1"/>
  <c r="C499" i="10"/>
  <c r="D499" i="10" s="1"/>
  <c r="C480" i="10"/>
  <c r="D480" i="10" s="1"/>
  <c r="C645" i="10"/>
  <c r="D645" i="10" s="1"/>
  <c r="C367" i="10"/>
  <c r="D367" i="10" s="1"/>
  <c r="C36" i="10"/>
  <c r="D36" i="10" s="1"/>
  <c r="C216" i="10"/>
  <c r="D216" i="10" s="1"/>
  <c r="C417" i="10"/>
  <c r="D417" i="10" s="1"/>
  <c r="C572" i="10"/>
  <c r="D572" i="10" s="1"/>
  <c r="C352" i="10"/>
  <c r="D352" i="10" s="1"/>
  <c r="C478" i="10"/>
  <c r="D478" i="10" s="1"/>
  <c r="C464" i="10"/>
  <c r="D464" i="10" s="1"/>
  <c r="C849" i="10"/>
  <c r="D849" i="10" s="1"/>
  <c r="C596" i="10"/>
  <c r="D596" i="10" s="1"/>
  <c r="C680" i="10"/>
  <c r="D680" i="10" s="1"/>
  <c r="C324" i="10"/>
  <c r="D324" i="10" s="1"/>
  <c r="C495" i="10"/>
  <c r="D495" i="10" s="1"/>
  <c r="C565" i="10"/>
  <c r="D565" i="10" s="1"/>
  <c r="C522" i="10"/>
  <c r="D522" i="10" s="1"/>
  <c r="C272" i="10"/>
  <c r="D272" i="10" s="1"/>
  <c r="C383" i="10"/>
  <c r="D383" i="10" s="1"/>
  <c r="C289" i="10"/>
  <c r="D289" i="10" s="1"/>
  <c r="C944" i="10"/>
  <c r="D944" i="10" s="1"/>
  <c r="O74" i="32"/>
  <c r="F87" i="32"/>
  <c r="F89" i="5"/>
  <c r="C94" i="5"/>
  <c r="C92" i="32"/>
  <c r="L98" i="32"/>
  <c r="L99" i="32" s="1"/>
  <c r="L99" i="5"/>
  <c r="O89" i="5"/>
  <c r="H89" i="32"/>
  <c r="H89" i="5"/>
  <c r="H94" i="5"/>
  <c r="H92" i="32"/>
  <c r="H94" i="32" s="1"/>
  <c r="K92" i="32"/>
  <c r="K94" i="32" s="1"/>
  <c r="K94" i="5"/>
  <c r="H97" i="32"/>
  <c r="H99" i="32" s="1"/>
  <c r="H99" i="5"/>
  <c r="M94" i="5"/>
  <c r="M99" i="32"/>
  <c r="I93" i="32"/>
  <c r="I94" i="32" s="1"/>
  <c r="I94" i="5"/>
  <c r="E98" i="32"/>
  <c r="E99" i="5"/>
  <c r="F93" i="32"/>
  <c r="F94" i="5"/>
  <c r="K97" i="32"/>
  <c r="K99" i="5"/>
  <c r="C965" i="10"/>
  <c r="D965" i="10" s="1"/>
  <c r="C856" i="10"/>
  <c r="D856" i="10" s="1"/>
  <c r="C931" i="10"/>
  <c r="D931" i="10" s="1"/>
  <c r="C199" i="10"/>
  <c r="D199" i="10" s="1"/>
  <c r="C716" i="10"/>
  <c r="D716" i="10" s="1"/>
  <c r="C150" i="10"/>
  <c r="D150" i="10" s="1"/>
  <c r="C368" i="10"/>
  <c r="D368" i="10" s="1"/>
  <c r="C123" i="10"/>
  <c r="D123" i="10" s="1"/>
  <c r="C423" i="10"/>
  <c r="D423" i="10" s="1"/>
  <c r="C637" i="10"/>
  <c r="D637" i="10" s="1"/>
  <c r="C831" i="10"/>
  <c r="D831" i="10" s="1"/>
  <c r="C118" i="10"/>
  <c r="D118" i="10" s="1"/>
  <c r="C975" i="10"/>
  <c r="D975" i="10" s="1"/>
  <c r="C592" i="10"/>
  <c r="D592" i="10" s="1"/>
  <c r="C649" i="10"/>
  <c r="D649" i="10" s="1"/>
  <c r="C811" i="10"/>
  <c r="D811" i="10" s="1"/>
  <c r="C112" i="10"/>
  <c r="D112" i="10" s="1"/>
  <c r="C709" i="10"/>
  <c r="D709" i="10" s="1"/>
  <c r="C605" i="10"/>
  <c r="D605" i="10" s="1"/>
  <c r="C756" i="10"/>
  <c r="D756" i="10" s="1"/>
  <c r="C929" i="10"/>
  <c r="D929" i="10" s="1"/>
  <c r="C177" i="10"/>
  <c r="D177" i="10" s="1"/>
  <c r="C151" i="10"/>
  <c r="D151" i="10" s="1"/>
  <c r="C409" i="10"/>
  <c r="D409" i="10" s="1"/>
  <c r="C719" i="10"/>
  <c r="D719" i="10" s="1"/>
  <c r="C571" i="10"/>
  <c r="D571" i="10" s="1"/>
  <c r="C672" i="10"/>
  <c r="D672" i="10" s="1"/>
  <c r="C524" i="10"/>
  <c r="D524" i="10" s="1"/>
  <c r="C615" i="10"/>
  <c r="D615" i="10" s="1"/>
  <c r="C778" i="10"/>
  <c r="D778" i="10" s="1"/>
  <c r="C910" i="10"/>
  <c r="D910" i="10" s="1"/>
  <c r="C952" i="10"/>
  <c r="D952" i="10" s="1"/>
  <c r="C144" i="10"/>
  <c r="D144" i="10" s="1"/>
  <c r="C439" i="10"/>
  <c r="D439" i="10" s="1"/>
  <c r="C763" i="10"/>
  <c r="D763" i="10" s="1"/>
  <c r="C640" i="10"/>
  <c r="D640" i="10" s="1"/>
  <c r="C363" i="10"/>
  <c r="D363" i="10" s="1"/>
  <c r="C570" i="10"/>
  <c r="D570" i="10" s="1"/>
  <c r="C663" i="10"/>
  <c r="D663" i="10" s="1"/>
  <c r="C734" i="10"/>
  <c r="D734" i="10" s="1"/>
  <c r="C425" i="10"/>
  <c r="D425" i="10" s="1"/>
  <c r="C858" i="10"/>
  <c r="D858" i="10" s="1"/>
  <c r="C690" i="10"/>
  <c r="D690" i="10" s="1"/>
  <c r="C135" i="10"/>
  <c r="D135" i="10" s="1"/>
  <c r="C793" i="10"/>
  <c r="D793" i="10" s="1"/>
  <c r="C183" i="10"/>
  <c r="D183" i="10" s="1"/>
  <c r="C102" i="10"/>
  <c r="D102" i="10" s="1"/>
  <c r="C275" i="10"/>
  <c r="D275" i="10" s="1"/>
  <c r="C29" i="10"/>
  <c r="D29" i="10" s="1"/>
  <c r="C941" i="10"/>
  <c r="D941" i="10" s="1"/>
  <c r="C470" i="10"/>
  <c r="D470" i="10" s="1"/>
  <c r="C450" i="10"/>
  <c r="D450" i="10" s="1"/>
  <c r="C242" i="10"/>
  <c r="D242" i="10" s="1"/>
  <c r="C419" i="10"/>
  <c r="D419" i="10" s="1"/>
  <c r="C604" i="10"/>
  <c r="D604" i="10" s="1"/>
  <c r="C621" i="10"/>
  <c r="D621" i="10" s="1"/>
  <c r="C631" i="10"/>
  <c r="D631" i="10" s="1"/>
  <c r="C708" i="10"/>
  <c r="D708" i="10" s="1"/>
  <c r="C648" i="10"/>
  <c r="D648" i="10" s="1"/>
  <c r="C883" i="10"/>
  <c r="D883" i="10" s="1"/>
  <c r="C806" i="10"/>
  <c r="D806" i="10" s="1"/>
  <c r="C829" i="10"/>
  <c r="D829" i="10" s="1"/>
  <c r="C828" i="10"/>
  <c r="D828" i="10" s="1"/>
  <c r="C377" i="10"/>
  <c r="D377" i="10" s="1"/>
  <c r="C223" i="10"/>
  <c r="D223" i="10" s="1"/>
  <c r="C652" i="10"/>
  <c r="D652" i="10" s="1"/>
  <c r="C889" i="10"/>
  <c r="D889" i="10" s="1"/>
  <c r="C678" i="10"/>
  <c r="D678" i="10" s="1"/>
  <c r="C284" i="10"/>
  <c r="D284" i="10" s="1"/>
  <c r="C291" i="10"/>
  <c r="D291" i="10" s="1"/>
  <c r="C251" i="10"/>
  <c r="D251" i="10" s="1"/>
  <c r="C697" i="10"/>
  <c r="D697" i="10" s="1"/>
  <c r="C190" i="10"/>
  <c r="D190" i="10" s="1"/>
  <c r="C301" i="10"/>
  <c r="D301" i="10" s="1"/>
  <c r="C326" i="10"/>
  <c r="D326" i="10" s="1"/>
  <c r="C670" i="10"/>
  <c r="D670" i="10" s="1"/>
  <c r="C642" i="10"/>
  <c r="D642" i="10" s="1"/>
  <c r="C855" i="10"/>
  <c r="D855" i="10" s="1"/>
  <c r="C128" i="10"/>
  <c r="D128" i="10" s="1"/>
  <c r="C37" i="10"/>
  <c r="D37" i="10" s="1"/>
  <c r="C569" i="10"/>
  <c r="D569" i="10" s="1"/>
  <c r="C981" i="10"/>
  <c r="D981" i="10" s="1"/>
  <c r="C891" i="10"/>
  <c r="D891" i="10" s="1"/>
  <c r="C333" i="10"/>
  <c r="D333" i="10" s="1"/>
  <c r="C255" i="10"/>
  <c r="D255" i="10" s="1"/>
  <c r="C529" i="10"/>
  <c r="D529" i="10" s="1"/>
  <c r="C344" i="10"/>
  <c r="D344" i="10" s="1"/>
  <c r="C469" i="10"/>
  <c r="D469" i="10" s="1"/>
  <c r="C842" i="10"/>
  <c r="D842" i="10" s="1"/>
  <c r="C593" i="10"/>
  <c r="D593" i="10" s="1"/>
  <c r="C609" i="10"/>
  <c r="D609" i="10" s="1"/>
  <c r="C625" i="10"/>
  <c r="D625" i="10" s="1"/>
  <c r="C641" i="10"/>
  <c r="D641" i="10" s="1"/>
  <c r="C660" i="10"/>
  <c r="D660" i="10" s="1"/>
  <c r="C684" i="10"/>
  <c r="D684" i="10" s="1"/>
  <c r="C710" i="10"/>
  <c r="D710" i="10" s="1"/>
  <c r="C740" i="10"/>
  <c r="D740" i="10" s="1"/>
  <c r="C758" i="10"/>
  <c r="D758" i="10" s="1"/>
  <c r="C789" i="10"/>
  <c r="D789" i="10" s="1"/>
  <c r="I99" i="32"/>
  <c r="M94" i="32"/>
  <c r="J94" i="32"/>
  <c r="K5" i="10" l="1"/>
  <c r="D50" i="10"/>
  <c r="H79" i="5"/>
  <c r="M73" i="32"/>
  <c r="O99" i="5"/>
  <c r="I5" i="10"/>
  <c r="H5" i="10"/>
  <c r="L5" i="10"/>
  <c r="G5" i="10"/>
  <c r="N5" i="10"/>
  <c r="M73" i="5"/>
  <c r="K79" i="5"/>
  <c r="H73" i="32"/>
  <c r="H73" i="5"/>
  <c r="O94" i="5"/>
  <c r="C79" i="32"/>
  <c r="M79" i="32"/>
  <c r="G79" i="32"/>
  <c r="C79" i="5"/>
  <c r="O73" i="5"/>
  <c r="C73" i="32"/>
  <c r="F73" i="32"/>
  <c r="F79" i="32"/>
  <c r="F73" i="5"/>
  <c r="J79" i="32"/>
  <c r="J79" i="5"/>
  <c r="J73" i="32"/>
  <c r="N79" i="32"/>
  <c r="O72" i="32"/>
  <c r="O76" i="32"/>
  <c r="F79" i="5"/>
  <c r="H79" i="32"/>
  <c r="O78" i="32"/>
  <c r="N79" i="5"/>
  <c r="E79" i="5"/>
  <c r="I73" i="32"/>
  <c r="K73" i="32"/>
  <c r="G73" i="5"/>
  <c r="J73" i="5"/>
  <c r="I73" i="5"/>
  <c r="O77" i="32"/>
  <c r="O98" i="32"/>
  <c r="D79" i="32"/>
  <c r="N69" i="32"/>
  <c r="N73" i="32" s="1"/>
  <c r="N73" i="5"/>
  <c r="C73" i="5"/>
  <c r="K73" i="5"/>
  <c r="E79" i="32"/>
  <c r="L70" i="32"/>
  <c r="L73" i="5"/>
  <c r="E73" i="5"/>
  <c r="E63" i="5"/>
  <c r="E63" i="32" s="1"/>
  <c r="L79" i="5"/>
  <c r="L75" i="32"/>
  <c r="L79" i="32" s="1"/>
  <c r="D73" i="5"/>
  <c r="D69" i="32"/>
  <c r="M79" i="5"/>
  <c r="I79" i="5"/>
  <c r="I75" i="32"/>
  <c r="E73" i="32"/>
  <c r="G79" i="5"/>
  <c r="D79" i="5"/>
  <c r="E99" i="32"/>
  <c r="F89" i="32"/>
  <c r="O87" i="32"/>
  <c r="O89" i="32" s="1"/>
  <c r="C94" i="32"/>
  <c r="O92" i="32"/>
  <c r="M27" i="5"/>
  <c r="M27" i="32" s="1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D62" i="5"/>
  <c r="D62" i="32" s="1"/>
  <c r="L61" i="5"/>
  <c r="L61" i="32" s="1"/>
  <c r="N64" i="5"/>
  <c r="N64" i="32" s="1"/>
  <c r="D59" i="5"/>
  <c r="D59" i="32" s="1"/>
  <c r="M61" i="5"/>
  <c r="M61" i="32" s="1"/>
  <c r="D63" i="5"/>
  <c r="D63" i="32" s="1"/>
  <c r="L64" i="5"/>
  <c r="L64" i="32" s="1"/>
  <c r="J61" i="5"/>
  <c r="J61" i="32" s="1"/>
  <c r="K34" i="5"/>
  <c r="K34" i="32" s="1"/>
  <c r="O54" i="5"/>
  <c r="J43" i="5"/>
  <c r="J43" i="32" s="1"/>
  <c r="C6" i="5"/>
  <c r="I62" i="5"/>
  <c r="I62" i="32" s="1"/>
  <c r="F94" i="32"/>
  <c r="O93" i="32"/>
  <c r="I27" i="5"/>
  <c r="I27" i="32" s="1"/>
  <c r="L63" i="5"/>
  <c r="L63" i="32" s="1"/>
  <c r="E64" i="5"/>
  <c r="E64" i="32" s="1"/>
  <c r="J62" i="5"/>
  <c r="J62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D61" i="5"/>
  <c r="D61" i="32" s="1"/>
  <c r="F64" i="5"/>
  <c r="F64" i="32" s="1"/>
  <c r="M64" i="5"/>
  <c r="M64" i="32" s="1"/>
  <c r="C62" i="5"/>
  <c r="C62" i="32" s="1"/>
  <c r="L62" i="5"/>
  <c r="L62" i="32" s="1"/>
  <c r="I61" i="5"/>
  <c r="I61" i="32" s="1"/>
  <c r="M22" i="5"/>
  <c r="M22" i="32" s="1"/>
  <c r="N56" i="5"/>
  <c r="N56" i="32" s="1"/>
  <c r="O43" i="5"/>
  <c r="G22" i="5"/>
  <c r="G22" i="32" s="1"/>
  <c r="K79" i="32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H62" i="5"/>
  <c r="H62" i="32" s="1"/>
  <c r="G62" i="5"/>
  <c r="G6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M62" i="5"/>
  <c r="M62" i="32" s="1"/>
  <c r="N61" i="5"/>
  <c r="N61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N62" i="5"/>
  <c r="N62" i="32" s="1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F62" i="5"/>
  <c r="F62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F61" i="5"/>
  <c r="F61" i="32" s="1"/>
  <c r="E61" i="5"/>
  <c r="E61" i="32" s="1"/>
  <c r="K63" i="5"/>
  <c r="K63" i="32" s="1"/>
  <c r="F63" i="5"/>
  <c r="F63" i="32" s="1"/>
  <c r="O62" i="5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G61" i="5"/>
  <c r="G61" i="32" s="1"/>
  <c r="H61" i="5"/>
  <c r="H61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K62" i="5"/>
  <c r="K62" i="32" s="1"/>
  <c r="C61" i="5"/>
  <c r="C61" i="32" s="1"/>
  <c r="I63" i="5"/>
  <c r="I63" i="32" s="1"/>
  <c r="K61" i="5"/>
  <c r="K61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O61" i="5"/>
  <c r="H63" i="5"/>
  <c r="H63" i="32" s="1"/>
  <c r="G63" i="5"/>
  <c r="G63" i="32" s="1"/>
  <c r="E62" i="5"/>
  <c r="E62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O71" i="32"/>
  <c r="H67" i="5" l="1"/>
  <c r="M67" i="5"/>
  <c r="M67" i="32"/>
  <c r="H67" i="32"/>
  <c r="K67" i="5"/>
  <c r="G67" i="32"/>
  <c r="O67" i="5"/>
  <c r="C67" i="32"/>
  <c r="F67" i="5"/>
  <c r="K67" i="32"/>
  <c r="E67" i="5"/>
  <c r="C67" i="5"/>
  <c r="J67" i="5"/>
  <c r="J67" i="32"/>
  <c r="F67" i="32"/>
  <c r="N67" i="32"/>
  <c r="G67" i="5"/>
  <c r="E67" i="32"/>
  <c r="N67" i="5"/>
  <c r="O99" i="32"/>
  <c r="I67" i="5"/>
  <c r="O94" i="32"/>
  <c r="D67" i="5"/>
  <c r="L67" i="5"/>
  <c r="I79" i="32"/>
  <c r="I67" i="32" s="1"/>
  <c r="O75" i="32"/>
  <c r="O79" i="32" s="1"/>
  <c r="O70" i="32"/>
  <c r="L73" i="32"/>
  <c r="L67" i="32" s="1"/>
  <c r="D73" i="32"/>
  <c r="D67" i="32" s="1"/>
  <c r="O69" i="32"/>
  <c r="O37" i="32"/>
  <c r="O61" i="32"/>
  <c r="O32" i="32"/>
  <c r="O26" i="32"/>
  <c r="O40" i="32"/>
  <c r="O51" i="32"/>
  <c r="D13" i="5"/>
  <c r="G3" i="10" s="1" a="1"/>
  <c r="G3" i="10" s="1"/>
  <c r="D14" i="32"/>
  <c r="D13" i="32" s="1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N13" i="32" s="1"/>
  <c r="N13" i="5"/>
  <c r="Q3" i="10" s="1" a="1"/>
  <c r="Q3" i="10" s="1"/>
  <c r="O46" i="32"/>
  <c r="H14" i="32"/>
  <c r="H13" i="32" s="1"/>
  <c r="H13" i="5"/>
  <c r="K3" i="10" s="1" a="1"/>
  <c r="K3" i="10" s="1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3" i="5"/>
  <c r="P3" i="10" s="1" a="1"/>
  <c r="P3" i="10" s="1"/>
  <c r="M14" i="32"/>
  <c r="M13" i="32" s="1"/>
  <c r="F6" i="32"/>
  <c r="F8" i="32" s="1"/>
  <c r="F5" i="32" s="1"/>
  <c r="F12" i="32" s="1"/>
  <c r="F8" i="5"/>
  <c r="F5" i="5" s="1"/>
  <c r="F12" i="5" s="1"/>
  <c r="G13" i="5"/>
  <c r="J3" i="10" s="1" a="1"/>
  <c r="J3" i="10" s="1"/>
  <c r="G14" i="32"/>
  <c r="G13" i="32" s="1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I13" i="32" s="1"/>
  <c r="I13" i="5"/>
  <c r="L3" i="10" s="1" a="1"/>
  <c r="L3" i="10" s="1"/>
  <c r="F14" i="32"/>
  <c r="F13" i="32" s="1"/>
  <c r="F13" i="5"/>
  <c r="I3" i="10" s="1" a="1"/>
  <c r="I3" i="10" s="1"/>
  <c r="O23" i="32"/>
  <c r="O44" i="32"/>
  <c r="O13" i="5"/>
  <c r="O33" i="32"/>
  <c r="O39" i="32"/>
  <c r="O19" i="32"/>
  <c r="C13" i="5"/>
  <c r="F3" i="10" s="1" a="1"/>
  <c r="F3" i="10" s="1"/>
  <c r="C14" i="32"/>
  <c r="M6" i="32"/>
  <c r="M8" i="32" s="1"/>
  <c r="M5" i="32" s="1"/>
  <c r="M12" i="32" s="1"/>
  <c r="M8" i="5"/>
  <c r="M5" i="5" s="1"/>
  <c r="M12" i="5" s="1"/>
  <c r="K14" i="32"/>
  <c r="K13" i="32" s="1"/>
  <c r="K13" i="5"/>
  <c r="N3" i="10" s="1" a="1"/>
  <c r="N3" i="10" s="1"/>
  <c r="O63" i="32"/>
  <c r="O59" i="32"/>
  <c r="E14" i="32"/>
  <c r="E13" i="32" s="1"/>
  <c r="E13" i="5"/>
  <c r="H3" i="10" s="1" a="1"/>
  <c r="H3" i="10" s="1"/>
  <c r="L13" i="5"/>
  <c r="O3" i="10" s="1" a="1"/>
  <c r="O3" i="10" s="1"/>
  <c r="L14" i="32"/>
  <c r="L13" i="32" s="1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J13" i="32" s="1"/>
  <c r="J13" i="5"/>
  <c r="M3" i="10" s="1" a="1"/>
  <c r="M3" i="10" s="1"/>
  <c r="O41" i="32"/>
  <c r="G6" i="32"/>
  <c r="G8" i="32" s="1"/>
  <c r="G5" i="32" s="1"/>
  <c r="G12" i="32" s="1"/>
  <c r="G8" i="5"/>
  <c r="G5" i="5" s="1"/>
  <c r="G12" i="5" s="1"/>
  <c r="O25" i="32"/>
  <c r="O62" i="32"/>
  <c r="O73" i="32" l="1"/>
  <c r="O67" i="32" s="1"/>
  <c r="H81" i="5"/>
  <c r="H66" i="5"/>
  <c r="H80" i="5" s="1"/>
  <c r="N66" i="5"/>
  <c r="N80" i="5" s="1"/>
  <c r="N81" i="5"/>
  <c r="I66" i="5"/>
  <c r="I80" i="5" s="1"/>
  <c r="I81" i="5"/>
  <c r="L66" i="32"/>
  <c r="L80" i="32" s="1"/>
  <c r="L81" i="32"/>
  <c r="G81" i="32"/>
  <c r="G66" i="32"/>
  <c r="G80" i="32" s="1"/>
  <c r="K81" i="32"/>
  <c r="K66" i="32"/>
  <c r="K80" i="32" s="1"/>
  <c r="M81" i="32"/>
  <c r="M66" i="32"/>
  <c r="M80" i="32" s="1"/>
  <c r="N66" i="32"/>
  <c r="N80" i="32" s="1"/>
  <c r="N81" i="32"/>
  <c r="F81" i="5"/>
  <c r="F66" i="5"/>
  <c r="F80" i="5" s="1"/>
  <c r="I81" i="32"/>
  <c r="I66" i="32"/>
  <c r="I80" i="32" s="1"/>
  <c r="E81" i="5"/>
  <c r="E66" i="5"/>
  <c r="E80" i="5" s="1"/>
  <c r="L81" i="5"/>
  <c r="L66" i="5"/>
  <c r="L80" i="5" s="1"/>
  <c r="C13" i="32"/>
  <c r="O14" i="32"/>
  <c r="O13" i="32" s="1"/>
  <c r="O66" i="5"/>
  <c r="O80" i="5" s="1"/>
  <c r="O81" i="5"/>
  <c r="F81" i="32"/>
  <c r="F66" i="32"/>
  <c r="F80" i="32" s="1"/>
  <c r="D81" i="5"/>
  <c r="D66" i="5"/>
  <c r="D80" i="5" s="1"/>
  <c r="E81" i="32"/>
  <c r="E66" i="32"/>
  <c r="E80" i="32" s="1"/>
  <c r="G81" i="5"/>
  <c r="G66" i="5"/>
  <c r="G80" i="5" s="1"/>
  <c r="K66" i="5"/>
  <c r="K80" i="5" s="1"/>
  <c r="K81" i="5"/>
  <c r="M66" i="5"/>
  <c r="M80" i="5" s="1"/>
  <c r="M81" i="5"/>
  <c r="J66" i="5"/>
  <c r="J80" i="5" s="1"/>
  <c r="J81" i="5"/>
  <c r="C81" i="5"/>
  <c r="C66" i="5"/>
  <c r="C80" i="5" s="1"/>
  <c r="J81" i="32"/>
  <c r="J66" i="32"/>
  <c r="J80" i="32" s="1"/>
  <c r="O6" i="32"/>
  <c r="O8" i="32" s="1"/>
  <c r="O5" i="32" s="1"/>
  <c r="O12" i="32" s="1"/>
  <c r="C8" i="32"/>
  <c r="C5" i="32" s="1"/>
  <c r="C12" i="32" s="1"/>
  <c r="H81" i="32"/>
  <c r="H66" i="32"/>
  <c r="H80" i="32" s="1"/>
  <c r="D81" i="32"/>
  <c r="D66" i="32"/>
  <c r="D80" i="32" s="1"/>
  <c r="O66" i="32" l="1"/>
  <c r="O80" i="32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<sst xmlns="http://schemas.openxmlformats.org/spreadsheetml/2006/main" count="1703" uniqueCount="743">
  <si>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</si>
  <si>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</si>
  <si>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</si>
  <si>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</si>
  <si>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</si>
  <si>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</si>
  <si>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</si>
  <si>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</si>
  <si>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</si>
  <si>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</si>
  <si>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</si>
  <si>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</si>
  <si>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</si>
  <si>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</si>
  <si>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</si>
  <si>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</si>
  <si>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</si>
  <si>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</si>
  <si>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</si>
  <si>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</si>
  <si>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</si>
  <si>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</si>
  <si>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</si>
  <si>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</si>
  <si>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</si>
  <si>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</si>
  <si>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</si>
  <si>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</si>
  <si>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</si>
  <si>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</si>
  <si>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</si>
  <si>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</si>
  <si>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</si>
  <si>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</si>
  <si>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</si>
  <si>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</si>
  <si>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</si>
  <si>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</si>
  <si>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</si>
  <si>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</si>
  <si>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</si>
  <si>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</si>
  <si>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</si>
  <si>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</si>
  <si>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</si>
  <si>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</si>
  <si>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</si>
  <si>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</si>
  <si>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</si>
  <si>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</si>
  <si>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</si>
  <si>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</si>
  <si>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</si>
  <si>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</si>
  <si>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</si>
  <si>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</si>
  <si>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</si>
  <si>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</si>
  <si>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</si>
  <si>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</si>
  <si>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</si>
  <si>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</si>
  <si>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</si>
  <si>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</si>
  <si>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</si>
  <si>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</si>
  <si>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</si>
  <si>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</si>
  <si>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</si>
  <si>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</si>
  <si>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</si>
  <si>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</si>
  <si>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</si>
  <si>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</si>
  <si>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</si>
  <si>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</si>
  <si>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</si>
  <si>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</si>
  <si>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</si>
  <si>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</si>
  <si>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</si>
  <si>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</si>
  <si>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</si>
  <si>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</si>
  <si>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</si>
  <si>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</si>
  <si>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</si>
  <si>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</si>
  <si>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</si>
  <si>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</si>
  <si>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</si>
  <si>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</si>
  <si>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</si>
  <si>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</si>
  <si>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</si>
  <si>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</si>
  <si>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</si>
  <si>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</si>
  <si>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</si>
  <si>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</si>
  <si>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</si>
  <si>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</si>
  <si>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</si>
  <si>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</si>
  <si>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</si>
  <si>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</si>
  <si>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</si>
  <si>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</si>
  <si>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</si>
  <si>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</si>
  <si>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</si>
  <si>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</si>
  <si>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</si>
  <si>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</si>
  <si>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</si>
  <si>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</si>
  <si>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</si>
  <si>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</si>
  <si>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</si>
  <si>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</si>
  <si>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</si>
  <si>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</si>
  <si>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</si>
  <si>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</si>
  <si>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</si>
  <si>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</si>
  <si>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</si>
  <si>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</si>
  <si>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</si>
  <si>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</si>
  <si>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</si>
  <si>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</si>
  <si>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</si>
  <si>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</si>
  <si>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</si>
  <si>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</si>
  <si>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</si>
  <si>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</si>
  <si>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</si>
  <si>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</si>
  <si>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</si>
  <si>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</si>
  <si>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</si>
  <si>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</si>
  <si>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</si>
  <si>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</si>
  <si>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</si>
  <si>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</si>
  <si>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</si>
  <si>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</si>
  <si>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</si>
  <si>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</si>
  <si>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</si>
  <si>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</si>
  <si>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</si>
  <si>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</si>
  <si>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</si>
  <si>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</si>
  <si>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</si>
  <si>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</si>
  <si>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</si>
  <si>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</si>
  <si>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</si>
  <si>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</si>
  <si>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</si>
  <si>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</si>
  <si>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</si>
  <si>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</si>
  <si>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</si>
  <si>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</si>
  <si>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</si>
  <si>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</si>
  <si>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</si>
  <si>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</si>
  <si>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</si>
  <si>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</si>
  <si>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</si>
  <si>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</si>
  <si>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</si>
  <si>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</si>
  <si>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</si>
  <si>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</si>
  <si>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</si>
  <si>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</si>
  <si>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</si>
  <si>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</si>
  <si>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</si>
  <si>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</si>
  <si>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</si>
  <si>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</si>
  <si>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</si>
  <si>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</si>
  <si>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</si>
  <si>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</si>
  <si>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</si>
  <si>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</si>
  <si>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</si>
  <si>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</si>
  <si>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</si>
  <si>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</si>
  <si>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</si>
  <si>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</si>
  <si>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</si>
  <si>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</si>
  <si>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</si>
  <si>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</si>
  <si>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</si>
  <si>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</si>
  <si>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</si>
  <si>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</si>
  <si>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</si>
  <si>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</si>
  <si>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</si>
  <si>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</si>
  <si>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</si>
  <si>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</si>
  <si>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</si>
  <si>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</si>
  <si>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</si>
  <si>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</si>
  <si>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</si>
  <si>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</si>
  <si>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</si>
  <si>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</si>
  <si>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</si>
  <si>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</si>
  <si>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</si>
  <si>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</si>
  <si>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</si>
  <si>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</si>
  <si>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</si>
  <si>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</si>
  <si>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</si>
  <si>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</si>
  <si>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</si>
  <si>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</si>
  <si>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</si>
  <si>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</si>
  <si>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</si>
  <si>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</si>
  <si>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</si>
  <si>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</si>
  <si>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</si>
  <si>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</si>
  <si>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</si>
  <si>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</si>
  <si>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</si>
  <si>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</si>
  <si>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</si>
  <si>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</si>
  <si>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</si>
  <si>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</si>
  <si>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</si>
  <si>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</si>
  <si>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</si>
  <si>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</si>
  <si>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</si>
  <si>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</si>
  <si>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</si>
  <si>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</si>
  <si>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</si>
  <si>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</si>
  <si>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</si>
  <si>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</si>
  <si>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</si>
  <si>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</si>
  <si>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</si>
  <si>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</si>
  <si>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</si>
  <si>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</si>
  <si>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</si>
  <si>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</si>
  <si>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</si>
  <si>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</si>
  <si>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</si>
  <si>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</si>
  <si>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</si>
  <si>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</si>
  <si>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</si>
  <si>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</si>
  <si>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</si>
  <si>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</si>
  <si>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</si>
  <si>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</si>
  <si>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</si>
  <si>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</si>
  <si>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</si>
  <si>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</si>
  <si>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</si>
  <si>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</si>
  <si>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</si>
  <si>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</si>
  <si>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</si>
  <si>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</si>
  <si>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</si>
  <si>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</si>
  <si>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</si>
  <si>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</si>
  <si>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</si>
  <si>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</si>
  <si>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</si>
  <si>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</si>
  <si>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</si>
  <si>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</si>
  <si>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</si>
  <si>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</si>
  <si>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</si>
  <si>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</si>
  <si>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</si>
  <si>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</si>
  <si>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</si>
  <si>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</si>
  <si>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</si>
  <si>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</si>
  <si>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</si>
  <si>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</si>
  <si>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</si>
  <si>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</si>
  <si>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</si>
  <si>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</si>
  <si>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</si>
  <si>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</si>
  <si>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</si>
  <si>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</si>
  <si>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</si>
  <si>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</si>
  <si>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</si>
  <si>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</si>
  <si>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</si>
  <si>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</si>
  <si>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</si>
  <si>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</si>
  <si>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</si>
  <si>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</si>
  <si>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</si>
  <si>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</si>
  <si>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</si>
  <si>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</si>
  <si>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</si>
  <si>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</si>
  <si>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</si>
  <si>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</si>
  <si>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</si>
  <si>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</si>
  <si>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</si>
  <si>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</si>
  <si>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</si>
  <si>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</si>
  <si>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</si>
  <si>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</si>
  <si>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</si>
  <si>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</si>
  <si>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</si>
  <si>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</si>
  <si>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</si>
  <si>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</si>
  <si>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</si>
  <si>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</si>
  <si>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</si>
  <si>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</si>
  <si>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</si>
  <si>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</si>
  <si>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</si>
  <si>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</si>
  <si>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</si>
  <si>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</si>
  <si>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</si>
  <si>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</si>
  <si>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</si>
  <si>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</si>
  <si>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</si>
  <si>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</si>
  <si>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</si>
  <si>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</si>
  <si>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</si>
  <si>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</si>
  <si>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</si>
  <si>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</si>
  <si>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</si>
  <si>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</si>
  <si>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</si>
  <si>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</si>
  <si>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</si>
  <si>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</si>
  <si>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</si>
  <si>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</si>
  <si>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</si>
  <si>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</si>
  <si>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</si>
  <si>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</si>
  <si>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</si>
  <si>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</si>
  <si>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</si>
  <si>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</si>
  <si>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</si>
  <si>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</si>
  <si>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</si>
  <si>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</si>
  <si>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</si>
  <si>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</si>
  <si>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</si>
  <si>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</si>
  <si>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</si>
  <si>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</si>
  <si>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</si>
  <si>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</si>
  <si>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</si>
  <si>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</si>
  <si>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</si>
  <si>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</si>
  <si>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</si>
  <si>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</si>
  <si>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</si>
  <si>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</si>
  <si>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</si>
  <si>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</si>
  <si>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</si>
  <si>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</si>
  <si>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</si>
  <si>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</si>
  <si>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</si>
  <si>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</si>
  <si>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</si>
  <si>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</si>
  <si>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</si>
  <si>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</si>
  <si>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</si>
  <si>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</si>
  <si>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</si>
  <si>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</si>
  <si>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</si>
  <si>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</si>
  <si>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</si>
  <si>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</si>
  <si>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</si>
  <si>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</si>
  <si>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</si>
  <si>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</si>
  <si>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</si>
  <si>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</si>
  <si>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</si>
  <si>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</si>
  <si>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</si>
  <si>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</si>
  <si>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</si>
  <si>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</si>
  <si>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</si>
  <si>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</si>
  <si>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</si>
  <si>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</si>
  <si>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</si>
  <si>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</si>
  <si>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</si>
  <si>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</si>
  <si>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</si>
  <si>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</si>
  <si>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</si>
  <si>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</si>
  <si>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</si>
  <si>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</si>
  <si>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</si>
  <si>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</si>
  <si>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</si>
  <si>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</si>
  <si>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</si>
  <si>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</si>
  <si>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</si>
  <si>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</si>
  <si>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</si>
  <si>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</si>
  <si>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</si>
  <si>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</si>
  <si>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</si>
  <si>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</si>
  <si>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</si>
  <si>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</si>
  <si>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</si>
  <si>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</si>
  <si>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</si>
  <si>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</si>
  <si>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</si>
  <si>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</si>
  <si>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</si>
  <si>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</si>
  <si>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</si>
  <si>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</si>
  <si>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</si>
  <si>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</si>
  <si>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</si>
  <si>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</si>
  <si>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</si>
  <si>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</si>
  <si>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</si>
  <si>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</si>
  <si>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</si>
  <si>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</si>
  <si>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</si>
  <si>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</si>
  <si>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</si>
  <si>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</si>
  <si>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</si>
  <si>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</si>
  <si>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</si>
  <si>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</si>
  <si>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</si>
  <si>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</si>
  <si>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</si>
  <si>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</si>
  <si>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</si>
  <si>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</si>
  <si>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</si>
  <si>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</si>
  <si>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</si>
  <si>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</si>
  <si>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</si>
  <si>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</si>
  <si>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</si>
  <si>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</si>
  <si>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</si>
  <si>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</si>
  <si>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</si>
  <si>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</si>
  <si>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</si>
  <si>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</si>
  <si>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</si>
  <si>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</si>
  <si>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</si>
  <si>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</si>
  <si>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</si>
  <si>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</si>
  <si>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</si>
  <si>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</si>
  <si>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</si>
  <si>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</si>
  <si>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</si>
  <si>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</si>
  <si>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</si>
  <si>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</si>
  <si>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</si>
  <si>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</si>
  <si>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</si>
  <si>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</si>
  <si>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</si>
  <si>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</si>
  <si>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</si>
  <si>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</si>
  <si>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</si>
  <si>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</si>
  <si>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</si>
  <si>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</si>
  <si>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</si>
  <si>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</si>
  <si>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</si>
  <si>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</si>
  <si>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</si>
  <si>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</si>
  <si>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</si>
  <si>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</si>
  <si>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</si>
  <si>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</si>
  <si>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</si>
  <si>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</si>
  <si>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</si>
  <si>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</si>
  <si>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</si>
  <si>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</si>
  <si>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</si>
  <si>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</si>
  <si>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</si>
  <si>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</si>
  <si>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</si>
  <si>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</si>
  <si>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</si>
  <si>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</si>
  <si>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</si>
  <si>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</si>
  <si>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</si>
  <si>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</si>
  <si>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</si>
  <si>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</si>
  <si>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</si>
  <si>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</si>
  <si>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</si>
  <si>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</si>
  <si>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</si>
  <si>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</si>
  <si>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</si>
  <si>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</si>
  <si>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</si>
  <si>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</si>
  <si>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</si>
  <si>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</si>
  <si>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</si>
  <si>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</si>
  <si>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</si>
  <si>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</si>
  <si>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</si>
  <si>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</si>
  <si>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</si>
  <si>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</si>
  <si>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</si>
  <si>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</si>
  <si>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</si>
  <si>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</si>
  <si>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</si>
  <si>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</si>
  <si>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</si>
  <si>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</si>
  <si>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</si>
  <si>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</si>
  <si>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</si>
  <si>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</si>
  <si>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</si>
  <si>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</si>
  <si>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</si>
  <si>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</si>
  <si>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</si>
  <si>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</si>
  <si>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</si>
  <si>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</si>
  <si>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</si>
  <si>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</si>
  <si>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</si>
  <si>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</si>
  <si>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</si>
  <si>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</si>
  <si>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</si>
  <si>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</si>
  <si>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</si>
  <si>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</si>
  <si>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</si>
  <si>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</si>
  <si>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</si>
  <si>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</si>
  <si>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</si>
  <si>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</si>
  <si>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</si>
  <si>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</si>
  <si>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</si>
  <si>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</si>
  <si>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</si>
  <si>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</si>
  <si>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</si>
  <si>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</si>
  <si>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</si>
  <si>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</si>
  <si>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</si>
  <si>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</si>
  <si>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</si>
  <si>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</si>
  <si>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</si>
  <si>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</si>
  <si>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</si>
  <si>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</si>
  <si>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</si>
  <si>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</si>
  <si>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</si>
  <si>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</si>
  <si>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</si>
  <si>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</si>
  <si>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</si>
  <si>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</si>
  <si>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</si>
  <si>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</si>
  <si>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</si>
  <si>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</si>
  <si>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</si>
  <si>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</si>
  <si>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</si>
  <si>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</si>
  <si>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</si>
  <si>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</si>
  <si>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</si>
  <si>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</si>
  <si>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</si>
  <si>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</si>
  <si>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</si>
  <si>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</si>
  <si>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</si>
  <si>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</si>
  <si>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</si>
  <si>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</si>
  <si>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</si>
  <si>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</si>
  <si>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</si>
  <si>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</si>
  <si>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</si>
  <si>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</si>
  <si>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</si>
  <si>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</si>
  <si>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</si>
  <si>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</si>
  <si>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</si>
  <si>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 xml:space="preserve">出向社員通勤送迎費　 </t>
  </si>
  <si>
    <t xml:space="preserve">物流より配賦：　棚卸資産廃棄損 </t>
  </si>
  <si>
    <t xml:space="preserve">MMCより配賦：　棚卸資産廃棄損 </t>
  </si>
  <si>
    <t>11月：　ポケットカレンダー　800/人</t>
  </si>
  <si>
    <t>7月：Phylosophiの実践～参加賞　25名　100000/人. 2月＋9月：折り畳みコップ配賦　6800/人</t>
  </si>
  <si>
    <t>10月: 月餅 56000/人 ; 11月：運動会 107000/人; 12月：健康診断　男性：174000/人、女性：189000/人</t>
  </si>
  <si>
    <t xml:space="preserve">2月：お年玉配賦100,000/人, 忘年会補助金　300000/人; 5月：社員旅行 1890000/人; 9月: Kyoceraフェスティバル126000/人 </t>
  </si>
  <si>
    <t>建物償却費 Bulding fee</t>
  </si>
  <si>
    <t>土地(償却費 Land fee</t>
  </si>
  <si>
    <t>固定資産金利 建物 Building</t>
  </si>
  <si>
    <t>固定資産金利 土地 Land</t>
  </si>
  <si>
    <t>電気代 Electrica usage cost</t>
  </si>
  <si>
    <t>水道代 Water usage cost</t>
  </si>
  <si>
    <t>使用費　Mail  単価：11.46USD, R3単価：80.77, MES単価： 30.53 4月よりBinhさんのメール追加</t>
  </si>
  <si>
    <t>Domestic import</t>
  </si>
  <si>
    <t>Air export</t>
  </si>
  <si>
    <t>Sea export</t>
  </si>
  <si>
    <t>Courier import+Courier export</t>
  </si>
  <si>
    <t>Air import</t>
  </si>
  <si>
    <t>Sea import</t>
  </si>
  <si>
    <t>DOM IMP</t>
  </si>
  <si>
    <t>日本人の書類申請段取り　9月：宮口さん</t>
  </si>
  <si>
    <t xml:space="preserve">ローカル通勤バス- </t>
  </si>
  <si>
    <t>出向社員通勤タクシー</t>
  </si>
  <si>
    <t>ローカル社員通勤タクシー</t>
  </si>
  <si>
    <t>生産技術管理の固定資産</t>
  </si>
  <si>
    <t>検査用のパソコン、YA1-7001 LABEL SERIAL CHECK JIG （電工製造管理）</t>
  </si>
  <si>
    <t>ワニス機の排気ガス処理システム</t>
  </si>
  <si>
    <t>測定器の外部校正費　</t>
  </si>
  <si>
    <t>通信費 (電話＋Wifi)</t>
  </si>
  <si>
    <t>生産用の副資材</t>
  </si>
  <si>
    <t>生産用の消耗品　</t>
  </si>
  <si>
    <t>新人向けのポケットカレンダー　800/人</t>
  </si>
  <si>
    <t>新人の帽子（白）　33500VND/人</t>
  </si>
  <si>
    <t>新人の制服ズボン  116000VND/人</t>
  </si>
  <si>
    <t>新人の靴　男：84000VND/人、女：82000VND/人</t>
  </si>
  <si>
    <t>新入社員の折りたたみコップ 6,800VND/人</t>
  </si>
  <si>
    <t>新入社員の名札+フィロソフィ手帳+ポケットThẻ từ chấm công +philosophy  (85200vnd/人)</t>
  </si>
  <si>
    <t xml:space="preserve">	新ワーカの名札ケース+ペン+ノート (G7: 10600, G5: 15700)</t>
  </si>
  <si>
    <t>工具器具</t>
  </si>
  <si>
    <t>ワニス機の排気ガス処理システムに対する環境申請</t>
  </si>
  <si>
    <t>新制服配賦　680000/人, 10月　10年勤続記念コンパ　549000/人, 10年勤続記念品　382000/人</t>
  </si>
  <si>
    <t>誕生日会　Tiền sinh nhật 163000/人</t>
  </si>
  <si>
    <t>3名出張者のビザ申請</t>
  </si>
  <si>
    <t>出張時タクシー代</t>
  </si>
  <si>
    <t>新人の長袖　175000VND/人、半袖　　165000VND/人</t>
  </si>
  <si>
    <t>ガス代 gas cost</t>
  </si>
  <si>
    <t>清掃費用 Cleanning cost</t>
  </si>
  <si>
    <t>手洗い洗剤費  hand sanitizer</t>
  </si>
  <si>
    <t>トイレットペーパ WC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</si>
</sst>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5" fillId="34" borderId="39" xfId="67" applyFont="1" applyFill="1" applyBorder="1" applyProtection="1">
      <protection locked="0"/>
    </xf>
    <xf numFmtId="0" fontId="5" fillId="0" borderId="50" xfId="0" applyFont="1" applyBorder="1" applyAlignment="1" applyProtection="1">
      <alignment horizontal="center"/>
      <protection locked="0"/>
    </xf>
    <xf numFmtId="0" fontId="5" fillId="0" borderId="19" xfId="0" applyFont="1" applyBorder="1"/>
    <xf numFmtId="40" fontId="80" fillId="32" borderId="0" xfId="0" applyNumberFormat="1" applyFont="1" applyFill="1"/>
    <xf numFmtId="40" fontId="5" fillId="32" borderId="0" xfId="0" applyNumberFormat="1" applyFont="1" applyFill="1"/>
    <xf numFmtId="40" fontId="73" fillId="32" borderId="39" xfId="66" applyFont="1" applyFill="1" applyBorder="1" applyAlignment="1" applyProtection="1">
      <alignment horizontal="right"/>
      <protection locked="0"/>
    </xf>
    <xf numFmtId="40" fontId="5" fillId="32" borderId="20" xfId="0" applyNumberFormat="1" applyFont="1" applyFill="1" applyBorder="1"/>
    <xf numFmtId="40" fontId="5" fillId="32" borderId="41" xfId="0" applyNumberFormat="1" applyFont="1" applyFill="1" applyBorder="1"/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電工製造課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309341.28000000003</v>
      </c>
      <c r="D5" s="129">
        <f t="shared" ref="D5:O5" si="0">D8+D9</f>
        <v>208021.79</v>
      </c>
      <c r="E5" s="129">
        <f t="shared" si="0"/>
        <v>206490.25</v>
      </c>
      <c r="F5" s="129">
        <f t="shared" si="0"/>
        <v>249225.68</v>
      </c>
      <c r="G5" s="129">
        <f t="shared" si="0"/>
        <v>266957.06</v>
      </c>
      <c r="H5" s="129">
        <f t="shared" si="0"/>
        <v>370459.7</v>
      </c>
      <c r="I5" s="129">
        <f t="shared" si="0"/>
        <v>340117.24</v>
      </c>
      <c r="J5" s="129">
        <f t="shared" si="0"/>
        <v>344341.09</v>
      </c>
      <c r="K5" s="129">
        <f t="shared" si="0"/>
        <v>359886.83</v>
      </c>
      <c r="L5" s="129">
        <f t="shared" si="0"/>
        <v>330104.92</v>
      </c>
      <c r="M5" s="129">
        <f t="shared" si="0"/>
        <v>341642.2</v>
      </c>
      <c r="N5" s="129">
        <f t="shared" si="0"/>
        <v>403272.43</v>
      </c>
      <c r="O5" s="129">
        <f t="shared" si="0"/>
        <v>3729860.47</v>
      </c>
    </row>
    <row r="6" spans="1:15" ht="11.25" customHeight="1">
      <c r="A6" s="26"/>
      <c r="B6" s="29" t="s">
        <v>141</v>
      </c>
      <c r="C6" s="130">
        <f>ROUNDDOWN('採算表(VND)'!C6/$N$1,2)</f>
        <v>309341.28000000003</v>
      </c>
      <c r="D6" s="130">
        <f>ROUNDDOWN('採算表(VND)'!D6/$N$1,2)</f>
        <v>208021.79</v>
      </c>
      <c r="E6" s="130">
        <f>ROUNDDOWN('採算表(VND)'!E6/$N$1,2)</f>
        <v>206490.25</v>
      </c>
      <c r="F6" s="130">
        <f>ROUNDDOWN('採算表(VND)'!F6/$N$1,2)</f>
        <v>249225.68</v>
      </c>
      <c r="G6" s="130">
        <f>ROUNDDOWN('採算表(VND)'!G6/$N$1,2)</f>
        <v>266957.06</v>
      </c>
      <c r="H6" s="130">
        <f>ROUNDDOWN('採算表(VND)'!H6/$N$1,2)</f>
        <v>370459.7</v>
      </c>
      <c r="I6" s="130">
        <f>ROUNDDOWN('採算表(VND)'!I6/$N$1,2)</f>
        <v>340117.24</v>
      </c>
      <c r="J6" s="130">
        <f>ROUNDDOWN('採算表(VND)'!J6/$N$1,2)</f>
        <v>344341.09</v>
      </c>
      <c r="K6" s="130">
        <f>ROUNDDOWN('採算表(VND)'!K6/$N$1,2)</f>
        <v>359886.83</v>
      </c>
      <c r="L6" s="130">
        <f>ROUNDDOWN('採算表(VND)'!L6/$N$1,2)</f>
        <v>330104.92</v>
      </c>
      <c r="M6" s="130">
        <f>ROUNDDOWN('採算表(VND)'!M6/$N$1,2)</f>
        <v>341642.2</v>
      </c>
      <c r="N6" s="130">
        <f>ROUNDDOWN('採算表(VND)'!N6/$N$1,2)</f>
        <v>403272.43</v>
      </c>
      <c r="O6" s="130">
        <f>SUM(C6:N6)</f>
        <v>3729860.47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309341.28000000003</v>
      </c>
      <c r="D8" s="132">
        <f t="shared" si="1"/>
        <v>208021.79</v>
      </c>
      <c r="E8" s="132">
        <f t="shared" si="1"/>
        <v>206490.25</v>
      </c>
      <c r="F8" s="132">
        <f t="shared" si="1"/>
        <v>249225.68</v>
      </c>
      <c r="G8" s="132">
        <f t="shared" si="1"/>
        <v>266957.06</v>
      </c>
      <c r="H8" s="132">
        <f t="shared" si="1"/>
        <v>370459.7</v>
      </c>
      <c r="I8" s="132">
        <f t="shared" si="1"/>
        <v>340117.24</v>
      </c>
      <c r="J8" s="132">
        <f t="shared" si="1"/>
        <v>344341.09</v>
      </c>
      <c r="K8" s="132">
        <f t="shared" si="1"/>
        <v>359886.83</v>
      </c>
      <c r="L8" s="132">
        <f t="shared" si="1"/>
        <v>330104.92</v>
      </c>
      <c r="M8" s="132">
        <f t="shared" si="1"/>
        <v>341642.2</v>
      </c>
      <c r="N8" s="132">
        <f t="shared" si="1"/>
        <v>403272.43</v>
      </c>
      <c r="O8" s="132">
        <f t="shared" si="1"/>
        <v>3729860.47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309341.28000000003</v>
      </c>
      <c r="D12" s="134">
        <f t="shared" ref="D12:O12" si="2">D5-D10</f>
        <v>208021.79</v>
      </c>
      <c r="E12" s="134">
        <f t="shared" si="2"/>
        <v>206490.25</v>
      </c>
      <c r="F12" s="134">
        <f t="shared" si="2"/>
        <v>249225.68</v>
      </c>
      <c r="G12" s="134">
        <f t="shared" si="2"/>
        <v>266957.06</v>
      </c>
      <c r="H12" s="134">
        <f t="shared" si="2"/>
        <v>370459.7</v>
      </c>
      <c r="I12" s="134">
        <f t="shared" si="2"/>
        <v>340117.24</v>
      </c>
      <c r="J12" s="134">
        <f t="shared" si="2"/>
        <v>344341.09</v>
      </c>
      <c r="K12" s="134">
        <f t="shared" si="2"/>
        <v>359886.83</v>
      </c>
      <c r="L12" s="134">
        <f t="shared" si="2"/>
        <v>330104.92</v>
      </c>
      <c r="M12" s="134">
        <f t="shared" si="2"/>
        <v>341642.2</v>
      </c>
      <c r="N12" s="134">
        <f t="shared" si="2"/>
        <v>403272.43</v>
      </c>
      <c r="O12" s="134">
        <f t="shared" si="2"/>
        <v>3729860.47</v>
      </c>
    </row>
    <row r="13" spans="1:15" ht="11.25" customHeight="1">
      <c r="A13" s="26"/>
      <c r="B13" s="28" t="s">
        <v>76</v>
      </c>
      <c r="C13" s="133">
        <f>SUM(C14:C65)</f>
        <v>166698</v>
      </c>
      <c r="D13" s="133">
        <f t="shared" ref="D13:O13" si="3">SUM(D14:D65)</f>
        <v>187550.92999999996</v>
      </c>
      <c r="E13" s="133">
        <f t="shared" si="3"/>
        <v>188841.12000000005</v>
      </c>
      <c r="F13" s="133">
        <f t="shared" si="3"/>
        <v>207251.10000000003</v>
      </c>
      <c r="G13" s="133">
        <f t="shared" si="3"/>
        <v>221298.62000000008</v>
      </c>
      <c r="H13" s="133">
        <f t="shared" si="3"/>
        <v>287910.78999999998</v>
      </c>
      <c r="I13" s="133">
        <f t="shared" si="3"/>
        <v>270995.83999999997</v>
      </c>
      <c r="J13" s="133">
        <f t="shared" si="3"/>
        <v>281207.99999999994</v>
      </c>
      <c r="K13" s="133">
        <f t="shared" si="3"/>
        <v>282377.19</v>
      </c>
      <c r="L13" s="133">
        <f t="shared" si="3"/>
        <v>264627.24000000011</v>
      </c>
      <c r="M13" s="133">
        <f t="shared" si="3"/>
        <v>277908.98000000004</v>
      </c>
      <c r="N13" s="133">
        <f t="shared" si="3"/>
        <v>317182.12000000011</v>
      </c>
      <c r="O13" s="133">
        <f t="shared" si="3"/>
        <v>2953849.9300000006</v>
      </c>
    </row>
    <row r="14" spans="1:15" ht="11.25" customHeight="1">
      <c r="A14" s="34"/>
      <c r="B14" s="35" t="s">
        <v>101</v>
      </c>
      <c r="C14" s="135">
        <f>ROUNDUP('採算表(VND)'!C14/$N$1,2)</f>
        <v>129428.04999999999</v>
      </c>
      <c r="D14" s="135">
        <f>ROUNDUP('採算表(VND)'!D14/$N$1,2)</f>
        <v>146604.54</v>
      </c>
      <c r="E14" s="135">
        <f>ROUNDUP('採算表(VND)'!E14/$N$1,2)</f>
        <v>139476.70000000001</v>
      </c>
      <c r="F14" s="135">
        <f>ROUNDUP('採算表(VND)'!F14/$N$1,2)</f>
        <v>170093.39</v>
      </c>
      <c r="G14" s="135">
        <f>ROUNDUP('採算表(VND)'!G14/$N$1,2)</f>
        <v>186782.96000000002</v>
      </c>
      <c r="H14" s="135">
        <f>ROUNDUP('採算表(VND)'!H14/$N$1,2)</f>
        <v>253759.1</v>
      </c>
      <c r="I14" s="135">
        <f>ROUNDUP('採算表(VND)'!I14/$N$1,2)</f>
        <v>234651.53</v>
      </c>
      <c r="J14" s="135">
        <f>ROUNDUP('採算表(VND)'!J14/$N$1,2)</f>
        <v>247876.88</v>
      </c>
      <c r="K14" s="135">
        <f>ROUNDUP('採算表(VND)'!K14/$N$1,2)</f>
        <v>246997.69</v>
      </c>
      <c r="L14" s="135">
        <f>ROUNDUP('採算表(VND)'!L14/$N$1,2)</f>
        <v>230441.41</v>
      </c>
      <c r="M14" s="135">
        <f>ROUNDUP('採算表(VND)'!M14/$N$1,2)</f>
        <v>244406.07</v>
      </c>
      <c r="N14" s="135">
        <f>ROUNDUP('採算表(VND)'!N14/$N$1,2)</f>
        <v>285300.40000000002</v>
      </c>
      <c r="O14" s="135">
        <f t="shared" ref="O14:O65" si="4">SUM(C14:N14)</f>
        <v>2515818.7199999997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8106.4</v>
      </c>
      <c r="D20" s="136">
        <f>ROUNDUP('採算表(VND)'!D20/$N$1,2)</f>
        <v>8104.46</v>
      </c>
      <c r="E20" s="136">
        <f>ROUNDUP('採算表(VND)'!E20/$N$1,2)</f>
        <v>8104.95</v>
      </c>
      <c r="F20" s="136">
        <f>ROUNDUP('採算表(VND)'!F20/$N$1,2)</f>
        <v>8155.12</v>
      </c>
      <c r="G20" s="136">
        <f>ROUNDUP('採算表(VND)'!G20/$N$1,2)</f>
        <v>8148.85</v>
      </c>
      <c r="H20" s="136">
        <f>ROUNDUP('採算表(VND)'!H20/$N$1,2)</f>
        <v>8131.66</v>
      </c>
      <c r="I20" s="136">
        <f>ROUNDUP('採算表(VND)'!I20/$N$1,2)</f>
        <v>8118.62</v>
      </c>
      <c r="J20" s="136">
        <f>ROUNDUP('採算表(VND)'!J20/$N$1,2)</f>
        <v>8118.27</v>
      </c>
      <c r="K20" s="136">
        <f>ROUNDUP('採算表(VND)'!K20/$N$1,2)</f>
        <v>8118.74</v>
      </c>
      <c r="L20" s="136">
        <f>ROUNDUP('採算表(VND)'!L20/$N$1,2)</f>
        <v>8155.63</v>
      </c>
      <c r="M20" s="136">
        <f>ROUNDUP('採算表(VND)'!M20/$N$1,2)</f>
        <v>8142.88</v>
      </c>
      <c r="N20" s="136">
        <f>ROUNDUP('採算表(VND)'!N20/$N$1,2)</f>
        <v>8152.96</v>
      </c>
      <c r="O20" s="136">
        <f t="shared" si="4"/>
        <v>97558.540000000023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3351.2200000000003</v>
      </c>
      <c r="D25" s="136">
        <f>ROUNDUP('採算表(VND)'!D25/$N$1,2)</f>
        <v>2208.7400000000002</v>
      </c>
      <c r="E25" s="136">
        <f>ROUNDUP('採算表(VND)'!E25/$N$1,2)</f>
        <v>2210.8000000000002</v>
      </c>
      <c r="F25" s="136">
        <f>ROUNDUP('採算表(VND)'!F25/$N$1,2)</f>
        <v>1068.1500000000001</v>
      </c>
      <c r="G25" s="136">
        <f>ROUNDUP('採算表(VND)'!G25/$N$1,2)</f>
        <v>3365.73</v>
      </c>
      <c r="H25" s="136">
        <f>ROUNDUP('採算表(VND)'!H25/$N$1,2)</f>
        <v>2982.5400000000004</v>
      </c>
      <c r="I25" s="136">
        <f>ROUNDUP('採算表(VND)'!I25/$N$1,2)</f>
        <v>1081.27</v>
      </c>
      <c r="J25" s="136">
        <f>ROUNDUP('採算表(VND)'!J25/$N$1,2)</f>
        <v>1077.1400000000001</v>
      </c>
      <c r="K25" s="136">
        <f>ROUNDUP('採算表(VND)'!K25/$N$1,2)</f>
        <v>1080.55</v>
      </c>
      <c r="L25" s="136">
        <f>ROUNDUP('採算表(VND)'!L25/$N$1,2)</f>
        <v>1077.1299999999999</v>
      </c>
      <c r="M25" s="136">
        <f>ROUNDUP('採算表(VND)'!M25/$N$1,2)</f>
        <v>1076.45</v>
      </c>
      <c r="N25" s="136">
        <f>ROUNDUP('採算表(VND)'!N25/$N$1,2)</f>
        <v>1087.1099999999999</v>
      </c>
      <c r="O25" s="136">
        <f t="shared" si="4"/>
        <v>21666.830000000005</v>
      </c>
    </row>
    <row r="26" spans="1:15" ht="11.25" customHeight="1">
      <c r="A26" s="34"/>
      <c r="B26" s="37" t="s">
        <v>104</v>
      </c>
      <c r="C26" s="136">
        <f>ROUNDUP('採算表(VND)'!C26/$N$1,2)</f>
        <v>5559.05</v>
      </c>
      <c r="D26" s="136">
        <f>ROUNDUP('採算表(VND)'!D26/$N$1,2)</f>
        <v>8322.93</v>
      </c>
      <c r="E26" s="136">
        <f>ROUNDUP('採算表(VND)'!E26/$N$1,2)</f>
        <v>5851.97</v>
      </c>
      <c r="F26" s="136">
        <f>ROUNDUP('採算表(VND)'!F26/$N$1,2)</f>
        <v>5344</v>
      </c>
      <c r="G26" s="136">
        <f>ROUNDUP('採算表(VND)'!G26/$N$1,2)</f>
        <v>3312.1000000000004</v>
      </c>
      <c r="H26" s="136">
        <f>ROUNDUP('採算表(VND)'!H26/$N$1,2)</f>
        <v>3685.7700000000004</v>
      </c>
      <c r="I26" s="136">
        <f>ROUNDUP('採算表(VND)'!I26/$N$1,2)</f>
        <v>3698.57</v>
      </c>
      <c r="J26" s="136">
        <f>ROUNDUP('採算表(VND)'!J26/$N$1,2)</f>
        <v>3335.34</v>
      </c>
      <c r="K26" s="136">
        <f>ROUNDUP('採算表(VND)'!K26/$N$1,2)</f>
        <v>5040.13</v>
      </c>
      <c r="L26" s="136">
        <f>ROUNDUP('採算表(VND)'!L26/$N$1,2)</f>
        <v>3532.2700000000004</v>
      </c>
      <c r="M26" s="136">
        <f>ROUNDUP('採算表(VND)'!M26/$N$1,2)</f>
        <v>3619.8</v>
      </c>
      <c r="N26" s="136">
        <f>ROUNDUP('採算表(VND)'!N26/$N$1,2)</f>
        <v>3183.3100000000004</v>
      </c>
      <c r="O26" s="136">
        <f t="shared" si="4"/>
        <v>54485.240000000005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31.51</v>
      </c>
      <c r="D28" s="136">
        <f>ROUNDUP('採算表(VND)'!D28/$N$1,2)</f>
        <v>31.51</v>
      </c>
      <c r="E28" s="136">
        <f>ROUNDUP('採算表(VND)'!E28/$N$1,2)</f>
        <v>31.51</v>
      </c>
      <c r="F28" s="136">
        <f>ROUNDUP('採算表(VND)'!F28/$N$1,2)</f>
        <v>31.51</v>
      </c>
      <c r="G28" s="136">
        <f>ROUNDUP('採算表(VND)'!G28/$N$1,2)</f>
        <v>31.51</v>
      </c>
      <c r="H28" s="136">
        <f>ROUNDUP('採算表(VND)'!H28/$N$1,2)</f>
        <v>31.51</v>
      </c>
      <c r="I28" s="136">
        <f>ROUNDUP('採算表(VND)'!I28/$N$1,2)</f>
        <v>31.51</v>
      </c>
      <c r="J28" s="136">
        <f>ROUNDUP('採算表(VND)'!J28/$N$1,2)</f>
        <v>31.51</v>
      </c>
      <c r="K28" s="136">
        <f>ROUNDUP('採算表(VND)'!K28/$N$1,2)</f>
        <v>31.51</v>
      </c>
      <c r="L28" s="136">
        <f>ROUNDUP('採算表(VND)'!L28/$N$1,2)</f>
        <v>31.51</v>
      </c>
      <c r="M28" s="136">
        <f>ROUNDUP('採算表(VND)'!M28/$N$1,2)</f>
        <v>31.51</v>
      </c>
      <c r="N28" s="136">
        <f>ROUNDUP('採算表(VND)'!N28/$N$1,2)</f>
        <v>31.51</v>
      </c>
      <c r="O28" s="136">
        <f t="shared" si="4"/>
        <v>378.11999999999995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413.55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413.55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413.55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1240.6500000000001</v>
      </c>
    </row>
    <row r="30" spans="1:15" ht="11.25" customHeight="1">
      <c r="A30" s="34"/>
      <c r="B30" s="37" t="s">
        <v>97</v>
      </c>
      <c r="C30" s="136">
        <f>ROUNDUP('採算表(VND)'!C30/$N$1,2)</f>
        <v>548.47</v>
      </c>
      <c r="D30" s="136">
        <f>ROUNDUP('採算表(VND)'!D30/$N$1,2)</f>
        <v>573.38</v>
      </c>
      <c r="E30" s="136">
        <f>ROUNDUP('採算表(VND)'!E30/$N$1,2)</f>
        <v>710.13</v>
      </c>
      <c r="F30" s="136">
        <f>ROUNDUP('採算表(VND)'!F30/$N$1,2)</f>
        <v>809.24</v>
      </c>
      <c r="G30" s="136">
        <f>ROUNDUP('採算表(VND)'!G30/$N$1,2)</f>
        <v>842.99</v>
      </c>
      <c r="H30" s="136">
        <f>ROUNDUP('採算表(VND)'!H30/$N$1,2)</f>
        <v>767.85</v>
      </c>
      <c r="I30" s="136">
        <f>ROUNDUP('採算表(VND)'!I30/$N$1,2)</f>
        <v>747.24</v>
      </c>
      <c r="J30" s="136">
        <f>ROUNDUP('採算表(VND)'!J30/$N$1,2)</f>
        <v>711.31</v>
      </c>
      <c r="K30" s="136">
        <f>ROUNDUP('採算表(VND)'!K30/$N$1,2)</f>
        <v>693.2</v>
      </c>
      <c r="L30" s="136">
        <f>ROUNDUP('採算表(VND)'!L30/$N$1,2)</f>
        <v>633.64</v>
      </c>
      <c r="M30" s="136">
        <f>ROUNDUP('採算表(VND)'!M30/$N$1,2)</f>
        <v>614.55999999999995</v>
      </c>
      <c r="N30" s="136">
        <f>ROUNDUP('採算表(VND)'!N30/$N$1,2)</f>
        <v>530.15</v>
      </c>
      <c r="O30" s="136">
        <f t="shared" si="4"/>
        <v>8182.16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78.78</v>
      </c>
      <c r="E31" s="136">
        <f>ROUNDUP('採算表(VND)'!E31/$N$1,2)</f>
        <v>905.87</v>
      </c>
      <c r="F31" s="136">
        <f>ROUNDUP('採算表(VND)'!F31/$N$1,2)</f>
        <v>78.78</v>
      </c>
      <c r="G31" s="136">
        <f>ROUNDUP('採算表(VND)'!G31/$N$1,2)</f>
        <v>84.68</v>
      </c>
      <c r="H31" s="136">
        <f>ROUNDUP('採算表(VND)'!H31/$N$1,2)</f>
        <v>292.64</v>
      </c>
      <c r="I31" s="136">
        <f>ROUNDUP('採算表(VND)'!I31/$N$1,2)</f>
        <v>1152.03</v>
      </c>
      <c r="J31" s="136">
        <f>ROUNDUP('採算表(VND)'!J31/$N$1,2)</f>
        <v>78.78</v>
      </c>
      <c r="K31" s="136">
        <f>ROUNDUP('採算表(VND)'!K31/$N$1,2)</f>
        <v>78.78</v>
      </c>
      <c r="L31" s="136">
        <f>ROUNDUP('採算表(VND)'!L31/$N$1,2)</f>
        <v>23.64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2773.98</v>
      </c>
    </row>
    <row r="32" spans="1:15" ht="11.25" customHeight="1">
      <c r="A32" s="38"/>
      <c r="B32" s="37" t="s">
        <v>61</v>
      </c>
      <c r="C32" s="136">
        <f>ROUNDUP('採算表(VND)'!C32/$N$1,2)</f>
        <v>7327.88</v>
      </c>
      <c r="D32" s="136">
        <f>ROUNDUP('採算表(VND)'!D32/$N$1,2)</f>
        <v>7290.4400000000005</v>
      </c>
      <c r="E32" s="136">
        <f>ROUNDUP('採算表(VND)'!E32/$N$1,2)</f>
        <v>7365.3200000000006</v>
      </c>
      <c r="F32" s="136">
        <f>ROUNDUP('採算表(VND)'!F32/$N$1,2)</f>
        <v>7440.21</v>
      </c>
      <c r="G32" s="136">
        <f>ROUNDUP('採算表(VND)'!G32/$N$1,2)</f>
        <v>7327.88</v>
      </c>
      <c r="H32" s="136">
        <f>ROUNDUP('採算表(VND)'!H32/$N$1,2)</f>
        <v>7290.4400000000005</v>
      </c>
      <c r="I32" s="136">
        <f>ROUNDUP('採算表(VND)'!I32/$N$1,2)</f>
        <v>7440.21</v>
      </c>
      <c r="J32" s="136">
        <f>ROUNDUP('採算表(VND)'!J32/$N$1,2)</f>
        <v>7327.88</v>
      </c>
      <c r="K32" s="136">
        <f>ROUNDUP('採算表(VND)'!K32/$N$1,2)</f>
        <v>7402.77</v>
      </c>
      <c r="L32" s="136">
        <f>ROUNDUP('採算表(VND)'!L32/$N$1,2)</f>
        <v>7327.88</v>
      </c>
      <c r="M32" s="136">
        <f>ROUNDUP('採算表(VND)'!M32/$N$1,2)</f>
        <v>7140.66</v>
      </c>
      <c r="N32" s="136">
        <f>ROUNDUP('採算表(VND)'!N32/$N$1,2)</f>
        <v>7365.3200000000006</v>
      </c>
      <c r="O32" s="136">
        <f t="shared" si="4"/>
        <v>88046.890000000014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59.82</v>
      </c>
      <c r="D39" s="136">
        <f>ROUNDUP('採算表(VND)'!D39/$N$1,2)</f>
        <v>68.940000000000012</v>
      </c>
      <c r="E39" s="136">
        <f>ROUNDUP('採算表(VND)'!E39/$N$1,2)</f>
        <v>13840.27</v>
      </c>
      <c r="F39" s="136">
        <f>ROUNDUP('採算表(VND)'!F39/$N$1,2)</f>
        <v>65.09</v>
      </c>
      <c r="G39" s="136">
        <f>ROUNDUP('採算表(VND)'!G39/$N$1,2)</f>
        <v>94.02000000000001</v>
      </c>
      <c r="H39" s="136">
        <f>ROUNDUP('採算表(VND)'!H39/$N$1,2)</f>
        <v>94.87</v>
      </c>
      <c r="I39" s="136">
        <f>ROUNDUP('採算表(VND)'!I39/$N$1,2)</f>
        <v>85.940000000000012</v>
      </c>
      <c r="J39" s="136">
        <f>ROUNDUP('採算表(VND)'!J39/$N$1,2)</f>
        <v>86.72</v>
      </c>
      <c r="K39" s="136">
        <f>ROUNDUP('採算表(VND)'!K39/$N$1,2)</f>
        <v>86.97</v>
      </c>
      <c r="L39" s="136">
        <f>ROUNDUP('採算表(VND)'!L39/$N$1,2)</f>
        <v>83.25</v>
      </c>
      <c r="M39" s="136">
        <f>ROUNDUP('採算表(VND)'!M39/$N$1,2)</f>
        <v>100.58</v>
      </c>
      <c r="N39" s="136">
        <f>ROUNDUP('採算表(VND)'!N39/$N$1,2)</f>
        <v>105.26</v>
      </c>
      <c r="O39" s="136">
        <f t="shared" si="4"/>
        <v>14771.730000000001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33.29</v>
      </c>
      <c r="D41" s="136">
        <f>ROUNDUP('採算表(VND)'!D41/$N$1,2)</f>
        <v>33.29</v>
      </c>
      <c r="E41" s="136">
        <f>ROUNDUP('採算表(VND)'!E41/$N$1,2)</f>
        <v>33.29</v>
      </c>
      <c r="F41" s="136">
        <f>ROUNDUP('採算表(VND)'!F41/$N$1,2)</f>
        <v>33.29</v>
      </c>
      <c r="G41" s="136">
        <f>ROUNDUP('採算表(VND)'!G41/$N$1,2)</f>
        <v>33.29</v>
      </c>
      <c r="H41" s="136">
        <f>ROUNDUP('採算表(VND)'!H41/$N$1,2)</f>
        <v>33.29</v>
      </c>
      <c r="I41" s="136">
        <f>ROUNDUP('採算表(VND)'!I41/$N$1,2)</f>
        <v>33.29</v>
      </c>
      <c r="J41" s="136">
        <f>ROUNDUP('採算表(VND)'!J41/$N$1,2)</f>
        <v>33.29</v>
      </c>
      <c r="K41" s="136">
        <f>ROUNDUP('採算表(VND)'!K41/$N$1,2)</f>
        <v>33.29</v>
      </c>
      <c r="L41" s="136">
        <f>ROUNDUP('採算表(VND)'!L41/$N$1,2)</f>
        <v>33.29</v>
      </c>
      <c r="M41" s="136">
        <f>ROUNDUP('採算表(VND)'!M41/$N$1,2)</f>
        <v>33.29</v>
      </c>
      <c r="N41" s="136">
        <f>ROUNDUP('採算表(VND)'!N41/$N$1,2)</f>
        <v>33.29</v>
      </c>
      <c r="O41" s="136">
        <f t="shared" si="4"/>
        <v>399.48000000000008</v>
      </c>
    </row>
    <row r="42" spans="1:15" ht="11.25" customHeight="1">
      <c r="A42" s="38"/>
      <c r="B42" s="37" t="s">
        <v>98</v>
      </c>
      <c r="C42" s="136">
        <f>ROUNDUP('採算表(VND)'!C42/$N$1,2)</f>
        <v>95.440000000000012</v>
      </c>
      <c r="D42" s="136">
        <f>ROUNDUP('採算表(VND)'!D42/$N$1,2)</f>
        <v>80.22</v>
      </c>
      <c r="E42" s="136">
        <f>ROUNDUP('採算表(VND)'!E42/$N$1,2)</f>
        <v>80.22</v>
      </c>
      <c r="F42" s="136">
        <f>ROUNDUP('採算表(VND)'!F42/$N$1,2)</f>
        <v>137.29</v>
      </c>
      <c r="G42" s="136">
        <f>ROUNDUP('採算表(VND)'!G42/$N$1,2)</f>
        <v>80.22</v>
      </c>
      <c r="H42" s="136">
        <f>ROUNDUP('採算表(VND)'!H42/$N$1,2)</f>
        <v>80.22</v>
      </c>
      <c r="I42" s="136">
        <f>ROUNDUP('採算表(VND)'!I42/$N$1,2)</f>
        <v>84.03</v>
      </c>
      <c r="J42" s="136">
        <f>ROUNDUP('採算表(VND)'!J42/$N$1,2)</f>
        <v>81.710000000000008</v>
      </c>
      <c r="K42" s="136">
        <f>ROUNDUP('採算表(VND)'!K42/$N$1,2)</f>
        <v>80.22</v>
      </c>
      <c r="L42" s="136">
        <f>ROUNDUP('採算表(VND)'!L42/$N$1,2)</f>
        <v>129.69</v>
      </c>
      <c r="M42" s="136">
        <f>ROUNDUP('採算表(VND)'!M42/$N$1,2)</f>
        <v>80.22</v>
      </c>
      <c r="N42" s="136">
        <f>ROUNDUP('採算表(VND)'!N42/$N$1,2)</f>
        <v>80.22</v>
      </c>
      <c r="O42" s="136">
        <f t="shared" si="4"/>
        <v>1089.7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1098.4100000000001</v>
      </c>
      <c r="D44" s="136">
        <f>ROUNDUP('採算表(VND)'!D44/$N$1,2)</f>
        <v>2525.65</v>
      </c>
      <c r="E44" s="136">
        <f>ROUNDUP('採算表(VND)'!E44/$N$1,2)</f>
        <v>189.79</v>
      </c>
      <c r="F44" s="136">
        <f>ROUNDUP('採算表(VND)'!F44/$N$1,2)</f>
        <v>938.93999999999994</v>
      </c>
      <c r="G44" s="136">
        <f>ROUNDUP('採算表(VND)'!G44/$N$1,2)</f>
        <v>208.47</v>
      </c>
      <c r="H44" s="136">
        <f>ROUNDUP('採算表(VND)'!H44/$N$1,2)</f>
        <v>457.84</v>
      </c>
      <c r="I44" s="136">
        <f>ROUNDUP('採算表(VND)'!I44/$N$1,2)</f>
        <v>504.28999999999996</v>
      </c>
      <c r="J44" s="136">
        <f>ROUNDUP('採算表(VND)'!J44/$N$1,2)</f>
        <v>395.84999999999997</v>
      </c>
      <c r="K44" s="136">
        <f>ROUNDUP('採算表(VND)'!K44/$N$1,2)</f>
        <v>201.88</v>
      </c>
      <c r="L44" s="136">
        <f>ROUNDUP('採算表(VND)'!L44/$N$1,2)</f>
        <v>736.18999999999994</v>
      </c>
      <c r="M44" s="136">
        <f>ROUNDUP('採算表(VND)'!M44/$N$1,2)</f>
        <v>1564.37</v>
      </c>
      <c r="N44" s="136">
        <f>ROUNDUP('採算表(VND)'!N44/$N$1,2)</f>
        <v>165.84</v>
      </c>
      <c r="O44" s="136">
        <f t="shared" si="4"/>
        <v>8987.52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60</v>
      </c>
      <c r="D51" s="138">
        <f>ROUNDUP('採算表(VND)'!D51/$N$1,2)</f>
        <v>60</v>
      </c>
      <c r="E51" s="138">
        <f>ROUNDUP('採算表(VND)'!E51/$N$1,2)</f>
        <v>60</v>
      </c>
      <c r="F51" s="138">
        <f>ROUNDUP('採算表(VND)'!F51/$N$1,2)</f>
        <v>60</v>
      </c>
      <c r="G51" s="138">
        <f>ROUNDUP('採算表(VND)'!G51/$N$1,2)</f>
        <v>60</v>
      </c>
      <c r="H51" s="138">
        <f>ROUNDUP('採算表(VND)'!H51/$N$1,2)</f>
        <v>60</v>
      </c>
      <c r="I51" s="138">
        <f>ROUNDUP('採算表(VND)'!I51/$N$1,2)</f>
        <v>60</v>
      </c>
      <c r="J51" s="138">
        <f>ROUNDUP('採算表(VND)'!J51/$N$1,2)</f>
        <v>60</v>
      </c>
      <c r="K51" s="138">
        <f>ROUNDUP('採算表(VND)'!K51/$N$1,2)</f>
        <v>60</v>
      </c>
      <c r="L51" s="138">
        <f>ROUNDUP('採算表(VND)'!L51/$N$1,2)</f>
        <v>60</v>
      </c>
      <c r="M51" s="138">
        <f>ROUNDUP('採算表(VND)'!M51/$N$1,2)</f>
        <v>60</v>
      </c>
      <c r="N51" s="138">
        <f>ROUNDUP('採算表(VND)'!N51/$N$1,2)</f>
        <v>60</v>
      </c>
      <c r="O51" s="138">
        <f t="shared" si="4"/>
        <v>720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4492.13</v>
      </c>
      <c r="D57" s="139">
        <f>ROUNDUP('採算表(VND)'!D57/$N$1,2)</f>
        <v>4286.34</v>
      </c>
      <c r="E57" s="139">
        <f>ROUNDUP('採算表(VND)'!E57/$N$1,2)</f>
        <v>4286.66</v>
      </c>
      <c r="F57" s="139">
        <f>ROUNDUP('採算表(VND)'!F57/$N$1,2)</f>
        <v>4320.72</v>
      </c>
      <c r="G57" s="139">
        <f>ROUNDUP('採算表(VND)'!G57/$N$1,2)</f>
        <v>4316.45</v>
      </c>
      <c r="H57" s="139">
        <f>ROUNDUP('採算表(VND)'!H57/$N$1,2)</f>
        <v>4304.8</v>
      </c>
      <c r="I57" s="139">
        <f>ROUNDUP('採算表(VND)'!I57/$N$1,2)</f>
        <v>4295.95</v>
      </c>
      <c r="J57" s="139">
        <f>ROUNDUP('採算表(VND)'!J57/$N$1,2)</f>
        <v>4295.72</v>
      </c>
      <c r="K57" s="139">
        <f>ROUNDUP('採算表(VND)'!K57/$N$1,2)</f>
        <v>4296.0300000000007</v>
      </c>
      <c r="L57" s="139">
        <f>ROUNDUP('採算表(VND)'!L57/$N$1,2)</f>
        <v>4321.04</v>
      </c>
      <c r="M57" s="139">
        <f>ROUNDUP('採算表(VND)'!M57/$N$1,2)</f>
        <v>4312.3999999999996</v>
      </c>
      <c r="N57" s="139">
        <f>ROUNDUP('採算表(VND)'!N57/$N$1,2)</f>
        <v>4319.24</v>
      </c>
      <c r="O57" s="139">
        <f t="shared" si="4"/>
        <v>51847.48</v>
      </c>
    </row>
    <row r="58" spans="1:15" ht="11.25" customHeight="1">
      <c r="A58" s="38"/>
      <c r="B58" s="37" t="s">
        <v>122</v>
      </c>
      <c r="C58" s="139">
        <f>ROUNDUP('採算表(VND)'!C58/$N$1,2)</f>
        <v>563.37</v>
      </c>
      <c r="D58" s="139">
        <f>ROUNDUP('採算表(VND)'!D58/$N$1,2)</f>
        <v>530.97</v>
      </c>
      <c r="E58" s="139">
        <f>ROUNDUP('採算表(VND)'!E58/$N$1,2)</f>
        <v>564.14</v>
      </c>
      <c r="F58" s="139">
        <f>ROUNDUP('採算表(VND)'!F58/$N$1,2)</f>
        <v>713.67</v>
      </c>
      <c r="G58" s="139">
        <f>ROUNDUP('採算表(VND)'!G58/$N$1,2)</f>
        <v>652.23</v>
      </c>
      <c r="H58" s="139">
        <f>ROUNDUP('採算表(VND)'!H58/$N$1,2)</f>
        <v>611.15</v>
      </c>
      <c r="I58" s="139">
        <f>ROUNDUP('採算表(VND)'!I58/$N$1,2)</f>
        <v>740.5</v>
      </c>
      <c r="J58" s="139">
        <f>ROUNDUP('採算表(VND)'!J58/$N$1,2)</f>
        <v>689.67</v>
      </c>
      <c r="K58" s="139">
        <f>ROUNDUP('採算表(VND)'!K58/$N$1,2)</f>
        <v>745.36</v>
      </c>
      <c r="L58" s="139">
        <f>ROUNDUP('採算表(VND)'!L58/$N$1,2)</f>
        <v>731.29</v>
      </c>
      <c r="M58" s="139">
        <f>ROUNDUP('採算表(VND)'!M58/$N$1,2)</f>
        <v>604.20000000000005</v>
      </c>
      <c r="N58" s="139">
        <f>ROUNDUP('採算表(VND)'!N58/$N$1,2)</f>
        <v>696.64</v>
      </c>
      <c r="O58" s="139">
        <f t="shared" si="4"/>
        <v>7843.1900000000005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2429.3200000000002</v>
      </c>
      <c r="D61" s="139">
        <f>ROUNDUP('採算表(VND)'!D61/$N$1,2)</f>
        <v>2223.9300000000003</v>
      </c>
      <c r="E61" s="139">
        <f>ROUNDUP('採算表(VND)'!E61/$N$1,2)</f>
        <v>2011.02</v>
      </c>
      <c r="F61" s="139">
        <f>ROUNDUP('採算表(VND)'!F61/$N$1,2)</f>
        <v>2030.79</v>
      </c>
      <c r="G61" s="139">
        <f>ROUNDUP('採算表(VND)'!G61/$N$1,2)</f>
        <v>2046.5</v>
      </c>
      <c r="H61" s="139">
        <f>ROUNDUP('採算表(VND)'!H61/$N$1,2)</f>
        <v>2014.05</v>
      </c>
      <c r="I61" s="139">
        <f>ROUNDUP('採算表(VND)'!I61/$N$1,2)</f>
        <v>2603.3300000000004</v>
      </c>
      <c r="J61" s="139">
        <f>ROUNDUP('採算表(VND)'!J61/$N$1,2)</f>
        <v>2439.15</v>
      </c>
      <c r="K61" s="139">
        <f>ROUNDUP('採算表(VND)'!K61/$N$1,2)</f>
        <v>2495.19</v>
      </c>
      <c r="L61" s="139">
        <f>ROUNDUP('採算表(VND)'!L61/$N$1,2)</f>
        <v>2419.88</v>
      </c>
      <c r="M61" s="139">
        <f>ROUNDUP('採算表(VND)'!M61/$N$1,2)</f>
        <v>2548.21</v>
      </c>
      <c r="N61" s="139">
        <f>ROUNDUP('採算表(VND)'!N61/$N$1,2)</f>
        <v>2457.71</v>
      </c>
      <c r="O61" s="139">
        <f t="shared" si="4"/>
        <v>27719.079999999998</v>
      </c>
    </row>
    <row r="62" spans="1:15" ht="11.25" customHeight="1">
      <c r="A62" s="38"/>
      <c r="B62" s="37" t="s">
        <v>418</v>
      </c>
      <c r="C62" s="139">
        <f>ROUNDUP('採算表(VND)'!C62/$N$1,2)</f>
        <v>241.45999999999998</v>
      </c>
      <c r="D62" s="139">
        <f>ROUNDUP('採算表(VND)'!D62/$N$1,2)</f>
        <v>229.73999999999998</v>
      </c>
      <c r="E62" s="139">
        <f>ROUNDUP('採算表(VND)'!E62/$N$1,2)</f>
        <v>209.69</v>
      </c>
      <c r="F62" s="139">
        <f>ROUNDUP('採算表(VND)'!F62/$N$1,2)</f>
        <v>291.52999999999997</v>
      </c>
      <c r="G62" s="139">
        <f>ROUNDUP('採算表(VND)'!G62/$N$1,2)</f>
        <v>258.82</v>
      </c>
      <c r="H62" s="139">
        <f>ROUNDUP('採算表(VND)'!H62/$N$1,2)</f>
        <v>186.70999999999998</v>
      </c>
      <c r="I62" s="139">
        <f>ROUNDUP('採算表(VND)'!I62/$N$1,2)</f>
        <v>247.60999999999999</v>
      </c>
      <c r="J62" s="139">
        <f>ROUNDUP('採算表(VND)'!J62/$N$1,2)</f>
        <v>235.39</v>
      </c>
      <c r="K62" s="139">
        <f>ROUNDUP('採算表(VND)'!K62/$N$1,2)</f>
        <v>212.64999999999998</v>
      </c>
      <c r="L62" s="139">
        <f>ROUNDUP('採算表(VND)'!L62/$N$1,2)</f>
        <v>225.42</v>
      </c>
      <c r="M62" s="139">
        <f>ROUNDUP('採算表(VND)'!M62/$N$1,2)</f>
        <v>256.52999999999997</v>
      </c>
      <c r="N62" s="139">
        <f>ROUNDUP('採算表(VND)'!N62/$N$1,2)</f>
        <v>243.29999999999998</v>
      </c>
      <c r="O62" s="139">
        <f t="shared" si="4"/>
        <v>2838.8500000000004</v>
      </c>
    </row>
    <row r="63" spans="1:15" ht="11.25" customHeight="1">
      <c r="A63" s="38"/>
      <c r="B63" s="37" t="s">
        <v>419</v>
      </c>
      <c r="C63" s="139">
        <f>ROUNDUP('採算表(VND)'!C63/$N$1,2)</f>
        <v>429.59</v>
      </c>
      <c r="D63" s="139">
        <f>ROUNDUP('採算表(VND)'!D63/$N$1,2)</f>
        <v>251.82999999999998</v>
      </c>
      <c r="E63" s="139">
        <f>ROUNDUP('採算表(VND)'!E63/$N$1,2)</f>
        <v>220.06</v>
      </c>
      <c r="F63" s="139">
        <f>ROUNDUP('採算表(VND)'!F63/$N$1,2)</f>
        <v>216.95</v>
      </c>
      <c r="G63" s="139">
        <f>ROUNDUP('採算表(VND)'!G63/$N$1,2)</f>
        <v>217.14</v>
      </c>
      <c r="H63" s="139">
        <f>ROUNDUP('採算表(VND)'!H63/$N$1,2)</f>
        <v>173.29</v>
      </c>
      <c r="I63" s="139">
        <f>ROUNDUP('採算表(VND)'!I63/$N$1,2)</f>
        <v>597.66999999999996</v>
      </c>
      <c r="J63" s="139">
        <f>ROUNDUP('採算表(VND)'!J63/$N$1,2)</f>
        <v>270.77</v>
      </c>
      <c r="K63" s="139">
        <f>ROUNDUP('採算表(VND)'!K63/$N$1,2)</f>
        <v>290.68</v>
      </c>
      <c r="L63" s="139">
        <f>ROUNDUP('採算表(VND)'!L63/$N$1,2)</f>
        <v>191.19</v>
      </c>
      <c r="M63" s="139">
        <f>ROUNDUP('採算表(VND)'!M63/$N$1,2)</f>
        <v>228.48</v>
      </c>
      <c r="N63" s="139">
        <f>ROUNDUP('採算表(VND)'!N63/$N$1,2)</f>
        <v>182.26999999999998</v>
      </c>
      <c r="O63" s="139">
        <f t="shared" si="4"/>
        <v>3269.92</v>
      </c>
    </row>
    <row r="64" spans="1:15" ht="11.25" customHeight="1">
      <c r="A64" s="38"/>
      <c r="B64" s="37" t="s">
        <v>143</v>
      </c>
      <c r="C64" s="139">
        <f>ROUNDUP('採算表(VND)'!C64/$N$1,2)</f>
        <v>2842.59</v>
      </c>
      <c r="D64" s="139">
        <f>ROUNDUP('採算表(VND)'!D64/$N$1,2)</f>
        <v>3631.69</v>
      </c>
      <c r="E64" s="139">
        <f>ROUNDUP('採算表(VND)'!E64/$N$1,2)</f>
        <v>2688.73</v>
      </c>
      <c r="F64" s="139">
        <f>ROUNDUP('採算表(VND)'!F64/$N$1,2)</f>
        <v>5422.43</v>
      </c>
      <c r="G64" s="139">
        <f>ROUNDUP('採算表(VND)'!G64/$N$1,2)</f>
        <v>3021.23</v>
      </c>
      <c r="H64" s="139">
        <f>ROUNDUP('採算表(VND)'!H64/$N$1,2)</f>
        <v>2953.0600000000004</v>
      </c>
      <c r="I64" s="139">
        <f>ROUNDUP('採算表(VND)'!I64/$N$1,2)</f>
        <v>4822.25</v>
      </c>
      <c r="J64" s="139">
        <f>ROUNDUP('採算表(VND)'!J64/$N$1,2)</f>
        <v>4062.6200000000003</v>
      </c>
      <c r="K64" s="139">
        <f>ROUNDUP('採算表(VND)'!K64/$N$1,2)</f>
        <v>4018</v>
      </c>
      <c r="L64" s="139">
        <f>ROUNDUP('採算表(VND)'!L64/$N$1,2)</f>
        <v>4472.8900000000003</v>
      </c>
      <c r="M64" s="139">
        <f>ROUNDUP('採算表(VND)'!M64/$N$1,2)</f>
        <v>3088.7700000000004</v>
      </c>
      <c r="N64" s="139">
        <f>ROUNDUP('採算表(VND)'!N64/$N$1,2)</f>
        <v>3187.59</v>
      </c>
      <c r="O64" s="139">
        <f t="shared" si="4"/>
        <v>44211.850000000006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142643.28000000003</v>
      </c>
      <c r="D66" s="134">
        <f t="shared" ref="D66:O66" si="5">IF(ISBLANK(D4),"",D12-D13)</f>
        <v>20470.860000000044</v>
      </c>
      <c r="E66" s="134">
        <f t="shared" si="5"/>
        <v>17649.129999999946</v>
      </c>
      <c r="F66" s="134">
        <f t="shared" si="5"/>
        <v>41974.579999999958</v>
      </c>
      <c r="G66" s="134">
        <f t="shared" si="5"/>
        <v>45658.439999999915</v>
      </c>
      <c r="H66" s="134">
        <f t="shared" si="5"/>
        <v>82548.910000000033</v>
      </c>
      <c r="I66" s="134">
        <f t="shared" si="5"/>
        <v>69121.400000000023</v>
      </c>
      <c r="J66" s="134">
        <f t="shared" si="5"/>
        <v>63133.090000000084</v>
      </c>
      <c r="K66" s="134">
        <f t="shared" si="5"/>
        <v>77509.640000000014</v>
      </c>
      <c r="L66" s="134">
        <f t="shared" si="5"/>
        <v>65477.679999999877</v>
      </c>
      <c r="M66" s="134">
        <f t="shared" si="5"/>
        <v>63733.219999999972</v>
      </c>
      <c r="N66" s="134">
        <f t="shared" si="5"/>
        <v>86090.309999999881</v>
      </c>
      <c r="O66" s="134">
        <f t="shared" si="5"/>
        <v>776010.53999999957</v>
      </c>
    </row>
    <row r="67" spans="1:15" ht="11.25" customHeight="1">
      <c r="A67" s="26"/>
      <c r="B67" s="28" t="s">
        <v>78</v>
      </c>
      <c r="C67" s="133">
        <f>C73+C79</f>
        <v>6439.75</v>
      </c>
      <c r="D67" s="133">
        <f t="shared" ref="D67:O67" si="6">IF(ISBLANK(D4),"",D73+D79)</f>
        <v>6378.25</v>
      </c>
      <c r="E67" s="133">
        <f t="shared" si="6"/>
        <v>6968.5</v>
      </c>
      <c r="F67" s="133">
        <f t="shared" si="6"/>
        <v>10953</v>
      </c>
      <c r="G67" s="133">
        <f t="shared" si="6"/>
        <v>9394.25</v>
      </c>
      <c r="H67" s="133">
        <f t="shared" si="6"/>
        <v>8390</v>
      </c>
      <c r="I67" s="133">
        <f t="shared" si="6"/>
        <v>10593</v>
      </c>
      <c r="J67" s="133">
        <f t="shared" si="6"/>
        <v>9266.75</v>
      </c>
      <c r="K67" s="133">
        <f t="shared" si="6"/>
        <v>10176</v>
      </c>
      <c r="L67" s="133">
        <f t="shared" si="6"/>
        <v>11415.5</v>
      </c>
      <c r="M67" s="133">
        <f t="shared" si="6"/>
        <v>9377.25</v>
      </c>
      <c r="N67" s="133">
        <f t="shared" si="6"/>
        <v>11521</v>
      </c>
      <c r="O67" s="133">
        <f t="shared" si="6"/>
        <v>110873.25</v>
      </c>
    </row>
    <row r="68" spans="1:15" ht="11.25" customHeight="1">
      <c r="A68" s="38"/>
      <c r="B68" s="46" t="s">
        <v>144</v>
      </c>
      <c r="C68" s="135">
        <f>'採算表(VND)'!C68</f>
        <v>5137</v>
      </c>
      <c r="D68" s="135">
        <f>'採算表(VND)'!D68</f>
        <v>4913</v>
      </c>
      <c r="E68" s="135">
        <f>'採算表(VND)'!E68</f>
        <v>5430</v>
      </c>
      <c r="F68" s="135">
        <f>'採算表(VND)'!F68</f>
        <v>8821</v>
      </c>
      <c r="G68" s="135">
        <f>'採算表(VND)'!G68</f>
        <v>7636</v>
      </c>
      <c r="H68" s="135">
        <f>'採算表(VND)'!H68</f>
        <v>7287</v>
      </c>
      <c r="I68" s="135">
        <f>'採算表(VND)'!I68</f>
        <v>8970.5</v>
      </c>
      <c r="J68" s="135">
        <f>'採算表(VND)'!J68</f>
        <v>7837</v>
      </c>
      <c r="K68" s="135">
        <f>'採算表(VND)'!K68</f>
        <v>8612.5</v>
      </c>
      <c r="L68" s="135">
        <f>'採算表(VND)'!L68</f>
        <v>9952</v>
      </c>
      <c r="M68" s="135">
        <f>'採算表(VND)'!M68</f>
        <v>7442.5</v>
      </c>
      <c r="N68" s="135">
        <f>'採算表(VND)'!N68</f>
        <v>10003</v>
      </c>
      <c r="O68" s="135">
        <f>SUM(C68:N68)</f>
        <v>92041.5</v>
      </c>
    </row>
    <row r="69" spans="1:15" ht="11.25" customHeight="1">
      <c r="A69" s="38"/>
      <c r="B69" s="46" t="s">
        <v>88</v>
      </c>
      <c r="C69" s="136">
        <f>'採算表(VND)'!C69</f>
        <v>44.5</v>
      </c>
      <c r="D69" s="136">
        <f>'採算表(VND)'!D69</f>
        <v>44.5</v>
      </c>
      <c r="E69" s="136">
        <f>'採算表(VND)'!E69</f>
        <v>45.25</v>
      </c>
      <c r="F69" s="136">
        <f>'採算表(VND)'!F69</f>
        <v>41</v>
      </c>
      <c r="G69" s="136">
        <f>'採算表(VND)'!G69</f>
        <v>49.75</v>
      </c>
      <c r="H69" s="136">
        <f>'採算表(VND)'!H69</f>
        <v>51.25</v>
      </c>
      <c r="I69" s="136">
        <f>'採算表(VND)'!I69</f>
        <v>66</v>
      </c>
      <c r="J69" s="136">
        <f>'採算表(VND)'!J69</f>
        <v>58.75</v>
      </c>
      <c r="K69" s="136">
        <f>'採算表(VND)'!K69</f>
        <v>68.25</v>
      </c>
      <c r="L69" s="136">
        <f>'採算表(VND)'!L69</f>
        <v>73.25</v>
      </c>
      <c r="M69" s="136">
        <f>'採算表(VND)'!M69</f>
        <v>75.5</v>
      </c>
      <c r="N69" s="136">
        <f>'採算表(VND)'!N69</f>
        <v>77.25</v>
      </c>
      <c r="O69" s="136">
        <f>SUM(C69:N69)</f>
        <v>695.25</v>
      </c>
    </row>
    <row r="70" spans="1:15" ht="11.25" customHeight="1">
      <c r="A70" s="38"/>
      <c r="B70" s="47" t="s">
        <v>126</v>
      </c>
      <c r="C70" s="140">
        <f>'採算表(VND)'!C70</f>
        <v>6.5</v>
      </c>
      <c r="D70" s="140">
        <f>'採算表(VND)'!D70</f>
        <v>6.25</v>
      </c>
      <c r="E70" s="140">
        <f>'採算表(VND)'!E70</f>
        <v>7.25</v>
      </c>
      <c r="F70" s="140">
        <f>'採算表(VND)'!F70</f>
        <v>8.5</v>
      </c>
      <c r="G70" s="140">
        <f>'採算表(VND)'!G70</f>
        <v>7.25</v>
      </c>
      <c r="H70" s="140">
        <f>'採算表(VND)'!H70</f>
        <v>7.25</v>
      </c>
      <c r="I70" s="140">
        <f>'採算表(VND)'!I70</f>
        <v>10.5</v>
      </c>
      <c r="J70" s="140">
        <f>'採算表(VND)'!J70</f>
        <v>9.75</v>
      </c>
      <c r="K70" s="140">
        <f>'採算表(VND)'!K70</f>
        <v>9.75</v>
      </c>
      <c r="L70" s="140">
        <f>'採算表(VND)'!L70</f>
        <v>10</v>
      </c>
      <c r="M70" s="140">
        <f>'採算表(VND)'!M70</f>
        <v>8.25</v>
      </c>
      <c r="N70" s="140">
        <f>'採算表(VND)'!N70</f>
        <v>11.5</v>
      </c>
      <c r="O70" s="140">
        <f>SUM(C70:N70)</f>
        <v>102.75</v>
      </c>
    </row>
    <row r="71" spans="1:15" ht="11.25" customHeight="1">
      <c r="A71" s="38"/>
      <c r="B71" s="47" t="s">
        <v>127</v>
      </c>
      <c r="C71" s="140">
        <f>'採算表(VND)'!C71</f>
        <v>6.5</v>
      </c>
      <c r="D71" s="140">
        <f>'採算表(VND)'!D71</f>
        <v>6</v>
      </c>
      <c r="E71" s="140">
        <f>'採算表(VND)'!E71</f>
        <v>6.75</v>
      </c>
      <c r="F71" s="140">
        <f>'採算表(VND)'!F71</f>
        <v>7</v>
      </c>
      <c r="G71" s="140">
        <f>'採算表(VND)'!G71</f>
        <v>6.5</v>
      </c>
      <c r="H71" s="140">
        <f>'採算表(VND)'!H71</f>
        <v>5.75</v>
      </c>
      <c r="I71" s="140">
        <f>'採算表(VND)'!I71</f>
        <v>9</v>
      </c>
      <c r="J71" s="140">
        <f>'採算表(VND)'!J71</f>
        <v>8</v>
      </c>
      <c r="K71" s="140">
        <f>'採算表(VND)'!K71</f>
        <v>9</v>
      </c>
      <c r="L71" s="140">
        <f>'採算表(VND)'!L71</f>
        <v>8</v>
      </c>
      <c r="M71" s="140">
        <f>'採算表(VND)'!M71</f>
        <v>6.5</v>
      </c>
      <c r="N71" s="140">
        <f>'採算表(VND)'!N71</f>
        <v>8.25</v>
      </c>
      <c r="O71" s="140">
        <f>SUM(C71:N71)</f>
        <v>87.25</v>
      </c>
    </row>
    <row r="72" spans="1:15" ht="11.25" customHeight="1">
      <c r="A72" s="38"/>
      <c r="B72" s="40" t="s">
        <v>89</v>
      </c>
      <c r="C72" s="141">
        <f>'採算表(VND)'!C72</f>
        <v>8</v>
      </c>
      <c r="D72" s="141">
        <f>'採算表(VND)'!D72</f>
        <v>6.75</v>
      </c>
      <c r="E72" s="141">
        <f>'採算表(VND)'!E72</f>
        <v>6.75</v>
      </c>
      <c r="F72" s="141">
        <f>'採算表(VND)'!F72</f>
        <v>9.75</v>
      </c>
      <c r="G72" s="141">
        <f>'採算表(VND)'!G72</f>
        <v>8.75</v>
      </c>
      <c r="H72" s="141">
        <f>'採算表(VND)'!H72</f>
        <v>12</v>
      </c>
      <c r="I72" s="141">
        <f>'採算表(VND)'!I72</f>
        <v>12.25</v>
      </c>
      <c r="J72" s="141">
        <f>'採算表(VND)'!J72</f>
        <v>11.75</v>
      </c>
      <c r="K72" s="141">
        <f>'採算表(VND)'!K72</f>
        <v>12</v>
      </c>
      <c r="L72" s="141">
        <f>'採算表(VND)'!L72</f>
        <v>11</v>
      </c>
      <c r="M72" s="141">
        <f>'採算表(VND)'!M72</f>
        <v>17.75</v>
      </c>
      <c r="N72" s="141">
        <f>'採算表(VND)'!N72</f>
        <v>11.75</v>
      </c>
      <c r="O72" s="141">
        <f>SUM(C72:N72)</f>
        <v>128.5</v>
      </c>
    </row>
    <row r="73" spans="1:15" ht="11.25" customHeight="1">
      <c r="A73" s="38"/>
      <c r="B73" s="41" t="s">
        <v>145</v>
      </c>
      <c r="C73" s="142">
        <f>SUM(C68:C72)</f>
        <v>5202.5</v>
      </c>
      <c r="D73" s="142">
        <f t="shared" ref="D73:O73" si="7">IF(ISBLANK(D4),"",SUM(D68:D72))</f>
        <v>4976.5</v>
      </c>
      <c r="E73" s="142">
        <f t="shared" si="7"/>
        <v>5496</v>
      </c>
      <c r="F73" s="142">
        <f t="shared" si="7"/>
        <v>8887.25</v>
      </c>
      <c r="G73" s="142">
        <f t="shared" si="7"/>
        <v>7708.25</v>
      </c>
      <c r="H73" s="142">
        <f t="shared" si="7"/>
        <v>7363.25</v>
      </c>
      <c r="I73" s="142">
        <f t="shared" si="7"/>
        <v>9068.25</v>
      </c>
      <c r="J73" s="142">
        <f t="shared" si="7"/>
        <v>7925.25</v>
      </c>
      <c r="K73" s="142">
        <f t="shared" si="7"/>
        <v>8711.5</v>
      </c>
      <c r="L73" s="142">
        <f t="shared" si="7"/>
        <v>10054.25</v>
      </c>
      <c r="M73" s="142">
        <f t="shared" si="7"/>
        <v>7550.5</v>
      </c>
      <c r="N73" s="142">
        <f t="shared" si="7"/>
        <v>10111.75</v>
      </c>
      <c r="O73" s="142">
        <f t="shared" si="7"/>
        <v>93055.25</v>
      </c>
    </row>
    <row r="74" spans="1:15" ht="11.25" customHeight="1">
      <c r="A74" s="38"/>
      <c r="B74" s="39" t="s">
        <v>86</v>
      </c>
      <c r="C74" s="135">
        <f>'採算表(VND)'!C74</f>
        <v>326</v>
      </c>
      <c r="D74" s="135">
        <f>'採算表(VND)'!D74</f>
        <v>528</v>
      </c>
      <c r="E74" s="135">
        <f>'採算表(VND)'!E74</f>
        <v>510</v>
      </c>
      <c r="F74" s="135">
        <f>'採算表(VND)'!F74</f>
        <v>980</v>
      </c>
      <c r="G74" s="135">
        <f>'採算表(VND)'!G74</f>
        <v>736</v>
      </c>
      <c r="H74" s="135">
        <f>'採算表(VND)'!H74</f>
        <v>114</v>
      </c>
      <c r="I74" s="135">
        <f>'採算表(VND)'!I74</f>
        <v>128</v>
      </c>
      <c r="J74" s="135">
        <f>'採算表(VND)'!J74</f>
        <v>120</v>
      </c>
      <c r="K74" s="135">
        <f>'採算表(VND)'!K74</f>
        <v>128</v>
      </c>
      <c r="L74" s="135">
        <f>'採算表(VND)'!L74</f>
        <v>108</v>
      </c>
      <c r="M74" s="135">
        <f>'採算表(VND)'!M74</f>
        <v>854</v>
      </c>
      <c r="N74" s="135">
        <f>'採算表(VND)'!N74</f>
        <v>120</v>
      </c>
      <c r="O74" s="135">
        <f>SUM(C74:N74)</f>
        <v>4652</v>
      </c>
    </row>
    <row r="75" spans="1:15">
      <c r="A75" s="38"/>
      <c r="B75" s="37" t="s">
        <v>88</v>
      </c>
      <c r="C75" s="136">
        <f>'採算表(VND)'!C75</f>
        <v>574</v>
      </c>
      <c r="D75" s="136">
        <f>'採算表(VND)'!D75</f>
        <v>544.75</v>
      </c>
      <c r="E75" s="136">
        <f>'採算表(VND)'!E75</f>
        <v>604.5</v>
      </c>
      <c r="F75" s="136">
        <f>'採算表(VND)'!F75</f>
        <v>618.5</v>
      </c>
      <c r="G75" s="136">
        <f>'採算表(VND)'!G75</f>
        <v>532</v>
      </c>
      <c r="H75" s="136">
        <f>'採算表(VND)'!H75</f>
        <v>516.25</v>
      </c>
      <c r="I75" s="136">
        <f>'採算表(VND)'!I75</f>
        <v>790.5</v>
      </c>
      <c r="J75" s="136">
        <f>'採算表(VND)'!J75</f>
        <v>680.25</v>
      </c>
      <c r="K75" s="136">
        <f>'採算表(VND)'!K75</f>
        <v>745.75</v>
      </c>
      <c r="L75" s="136">
        <f>'採算表(VND)'!L75</f>
        <v>688.75</v>
      </c>
      <c r="M75" s="136">
        <f>'採算表(VND)'!M75</f>
        <v>551.5</v>
      </c>
      <c r="N75" s="136">
        <f>'採算表(VND)'!N75</f>
        <v>723.5</v>
      </c>
      <c r="O75" s="136">
        <f>SUM(C75:N75)</f>
        <v>7570.25</v>
      </c>
    </row>
    <row r="76" spans="1:15">
      <c r="A76" s="38"/>
      <c r="B76" s="37" t="s">
        <v>126</v>
      </c>
      <c r="C76" s="140">
        <f>'採算表(VND)'!C76</f>
        <v>115.5</v>
      </c>
      <c r="D76" s="140">
        <f>'採算表(VND)'!D76</f>
        <v>112.75</v>
      </c>
      <c r="E76" s="140">
        <f>'採算表(VND)'!E76</f>
        <v>124.5</v>
      </c>
      <c r="F76" s="140">
        <f>'採算表(VND)'!F76</f>
        <v>144.75</v>
      </c>
      <c r="G76" s="140">
        <f>'採算表(VND)'!G76</f>
        <v>127.25</v>
      </c>
      <c r="H76" s="140">
        <f>'採算表(VND)'!H76</f>
        <v>121.25</v>
      </c>
      <c r="I76" s="140">
        <f>'採算表(VND)'!I76</f>
        <v>184.75</v>
      </c>
      <c r="J76" s="140">
        <f>'採算表(VND)'!J76</f>
        <v>161</v>
      </c>
      <c r="K76" s="140">
        <f>'採算表(VND)'!K76</f>
        <v>178.5</v>
      </c>
      <c r="L76" s="140">
        <f>'採算表(VND)'!L76</f>
        <v>189.25</v>
      </c>
      <c r="M76" s="140">
        <f>'採算表(VND)'!M76</f>
        <v>141.5</v>
      </c>
      <c r="N76" s="140">
        <f>'採算表(VND)'!N76</f>
        <v>189.5</v>
      </c>
      <c r="O76" s="140">
        <f>SUM(C76:N76)</f>
        <v>1790.5</v>
      </c>
    </row>
    <row r="77" spans="1:15">
      <c r="A77" s="38"/>
      <c r="B77" s="37" t="s">
        <v>127</v>
      </c>
      <c r="C77" s="140">
        <f>'採算表(VND)'!C77</f>
        <v>79</v>
      </c>
      <c r="D77" s="140">
        <f>'採算表(VND)'!D77</f>
        <v>74.5</v>
      </c>
      <c r="E77" s="140">
        <f>'採算表(VND)'!E77</f>
        <v>83.75</v>
      </c>
      <c r="F77" s="140">
        <f>'採算表(VND)'!F77</f>
        <v>98</v>
      </c>
      <c r="G77" s="140">
        <f>'採算表(VND)'!G77</f>
        <v>85.5</v>
      </c>
      <c r="H77" s="140">
        <f>'採算表(VND)'!H77</f>
        <v>82.75</v>
      </c>
      <c r="I77" s="140">
        <f>'採算表(VND)'!I77</f>
        <v>129</v>
      </c>
      <c r="J77" s="140">
        <f>'採算表(VND)'!J77</f>
        <v>112.75</v>
      </c>
      <c r="K77" s="140">
        <f>'採算表(VND)'!K77</f>
        <v>124.5</v>
      </c>
      <c r="L77" s="140">
        <f>'採算表(VND)'!L77</f>
        <v>103.5</v>
      </c>
      <c r="M77" s="140">
        <f>'採算表(VND)'!M77</f>
        <v>76</v>
      </c>
      <c r="N77" s="140">
        <f>'採算表(VND)'!N77</f>
        <v>103.25</v>
      </c>
      <c r="O77" s="140">
        <f>SUM(C77:N77)</f>
        <v>1152.5</v>
      </c>
    </row>
    <row r="78" spans="1:15">
      <c r="A78" s="38"/>
      <c r="B78" s="40" t="s">
        <v>89</v>
      </c>
      <c r="C78" s="141">
        <f>'採算表(VND)'!C78</f>
        <v>142.75</v>
      </c>
      <c r="D78" s="141">
        <f>'採算表(VND)'!D78</f>
        <v>141.75</v>
      </c>
      <c r="E78" s="141">
        <f>'採算表(VND)'!E78</f>
        <v>149.75</v>
      </c>
      <c r="F78" s="141">
        <f>'採算表(VND)'!F78</f>
        <v>224.5</v>
      </c>
      <c r="G78" s="141">
        <f>'採算表(VND)'!G78</f>
        <v>205.25</v>
      </c>
      <c r="H78" s="141">
        <f>'採算表(VND)'!H78</f>
        <v>192.5</v>
      </c>
      <c r="I78" s="141">
        <f>'採算表(VND)'!I78</f>
        <v>292.5</v>
      </c>
      <c r="J78" s="141">
        <f>'採算表(VND)'!J78</f>
        <v>267.5</v>
      </c>
      <c r="K78" s="141">
        <f>'採算表(VND)'!K78</f>
        <v>287.75</v>
      </c>
      <c r="L78" s="141">
        <f>'採算表(VND)'!L78</f>
        <v>271.75</v>
      </c>
      <c r="M78" s="141">
        <f>'採算表(VND)'!M78</f>
        <v>203.75</v>
      </c>
      <c r="N78" s="141">
        <f>'採算表(VND)'!N78</f>
        <v>273</v>
      </c>
      <c r="O78" s="141">
        <f>SUM(C78:N78)</f>
        <v>2652.75</v>
      </c>
    </row>
    <row r="79" spans="1:15" ht="14.25" customHeight="1">
      <c r="A79" s="38"/>
      <c r="B79" s="41" t="s">
        <v>156</v>
      </c>
      <c r="C79" s="142">
        <f>SUM(C74:C78)</f>
        <v>1237.25</v>
      </c>
      <c r="D79" s="142">
        <f t="shared" ref="D79:O79" si="8">IF(ISBLANK(D4),"",SUM(D74:D78))</f>
        <v>1401.75</v>
      </c>
      <c r="E79" s="142">
        <f t="shared" si="8"/>
        <v>1472.5</v>
      </c>
      <c r="F79" s="142">
        <f t="shared" si="8"/>
        <v>2065.75</v>
      </c>
      <c r="G79" s="142">
        <f t="shared" si="8"/>
        <v>1686</v>
      </c>
      <c r="H79" s="142">
        <f t="shared" si="8"/>
        <v>1026.75</v>
      </c>
      <c r="I79" s="142">
        <f t="shared" si="8"/>
        <v>1524.75</v>
      </c>
      <c r="J79" s="142">
        <f t="shared" si="8"/>
        <v>1341.5</v>
      </c>
      <c r="K79" s="142">
        <f t="shared" si="8"/>
        <v>1464.5</v>
      </c>
      <c r="L79" s="142">
        <f t="shared" si="8"/>
        <v>1361.25</v>
      </c>
      <c r="M79" s="142">
        <f t="shared" si="8"/>
        <v>1826.75</v>
      </c>
      <c r="N79" s="142">
        <f t="shared" si="8"/>
        <v>1409.25</v>
      </c>
      <c r="O79" s="142">
        <f t="shared" si="8"/>
        <v>17818</v>
      </c>
    </row>
    <row r="80" spans="1:15" ht="14.25" customHeight="1">
      <c r="A80" s="26"/>
      <c r="B80" s="32" t="s">
        <v>79</v>
      </c>
      <c r="C80" s="143">
        <f>IFERROR(ROUNDDOWN(C66/C67,0),0)</f>
        <v>22</v>
      </c>
      <c r="D80" s="144">
        <f t="shared" ref="D80:O80" si="9">IFERROR(ROUNDDOWN(D66/D67,0),0)</f>
        <v>3</v>
      </c>
      <c r="E80" s="144">
        <f t="shared" si="9"/>
        <v>2</v>
      </c>
      <c r="F80" s="144">
        <f t="shared" si="9"/>
        <v>3</v>
      </c>
      <c r="G80" s="144">
        <f t="shared" si="9"/>
        <v>4</v>
      </c>
      <c r="H80" s="144">
        <f t="shared" si="9"/>
        <v>9</v>
      </c>
      <c r="I80" s="144">
        <f t="shared" si="9"/>
        <v>6</v>
      </c>
      <c r="J80" s="144">
        <f t="shared" si="9"/>
        <v>6</v>
      </c>
      <c r="K80" s="144">
        <f t="shared" si="9"/>
        <v>7</v>
      </c>
      <c r="L80" s="144">
        <f t="shared" si="9"/>
        <v>5</v>
      </c>
      <c r="M80" s="144">
        <f t="shared" si="9"/>
        <v>6</v>
      </c>
      <c r="N80" s="144">
        <f t="shared" si="9"/>
        <v>7</v>
      </c>
      <c r="O80" s="144">
        <f t="shared" si="9"/>
        <v>6</v>
      </c>
    </row>
    <row r="81" spans="1:15" ht="14.25" customHeight="1">
      <c r="A81" s="26"/>
      <c r="B81" s="42" t="s">
        <v>80</v>
      </c>
      <c r="C81" s="145">
        <f>IFERROR(ROUNDDOWN(C12/C67,0),0)</f>
        <v>48</v>
      </c>
      <c r="D81" s="146">
        <f t="shared" ref="D81:O81" si="10">IFERROR(ROUNDDOWN(D12/D67,0),0)</f>
        <v>32</v>
      </c>
      <c r="E81" s="146">
        <f t="shared" si="10"/>
        <v>29</v>
      </c>
      <c r="F81" s="146">
        <f t="shared" si="10"/>
        <v>22</v>
      </c>
      <c r="G81" s="146">
        <f t="shared" si="10"/>
        <v>28</v>
      </c>
      <c r="H81" s="146">
        <f t="shared" si="10"/>
        <v>44</v>
      </c>
      <c r="I81" s="146">
        <f t="shared" si="10"/>
        <v>32</v>
      </c>
      <c r="J81" s="146">
        <f t="shared" si="10"/>
        <v>37</v>
      </c>
      <c r="K81" s="146">
        <f t="shared" si="10"/>
        <v>35</v>
      </c>
      <c r="L81" s="146">
        <f t="shared" si="10"/>
        <v>28</v>
      </c>
      <c r="M81" s="146">
        <f t="shared" si="10"/>
        <v>36</v>
      </c>
      <c r="N81" s="146">
        <f t="shared" si="10"/>
        <v>35</v>
      </c>
      <c r="O81" s="146">
        <f t="shared" si="10"/>
        <v>33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29</v>
      </c>
      <c r="D88" s="150">
        <f>'採算表(VND)'!D88</f>
        <v>29</v>
      </c>
      <c r="E88" s="150">
        <f>'採算表(VND)'!E88</f>
        <v>29</v>
      </c>
      <c r="F88" s="150">
        <f>'採算表(VND)'!F88</f>
        <v>44</v>
      </c>
      <c r="G88" s="150">
        <f>'採算表(VND)'!G88</f>
        <v>44</v>
      </c>
      <c r="H88" s="150">
        <f>'採算表(VND)'!H88</f>
        <v>44</v>
      </c>
      <c r="I88" s="150">
        <f>'採算表(VND)'!I88</f>
        <v>45</v>
      </c>
      <c r="J88" s="150">
        <f>'採算表(VND)'!J88</f>
        <v>45</v>
      </c>
      <c r="K88" s="150">
        <f>'採算表(VND)'!K88</f>
        <v>45</v>
      </c>
      <c r="L88" s="150">
        <f>'採算表(VND)'!L88</f>
        <v>58</v>
      </c>
      <c r="M88" s="150">
        <f>'採算表(VND)'!M88</f>
        <v>58</v>
      </c>
      <c r="N88" s="150">
        <f>'採算表(VND)'!N88</f>
        <v>58</v>
      </c>
      <c r="O88" s="150">
        <f>SUM(C88:N88)</f>
        <v>528</v>
      </c>
    </row>
    <row r="89" spans="1:15">
      <c r="A89" s="44"/>
      <c r="B89" s="60" t="s">
        <v>18</v>
      </c>
      <c r="C89" s="151">
        <f t="shared" ref="C89:O89" si="11">C87+C88</f>
        <v>31</v>
      </c>
      <c r="D89" s="151">
        <f t="shared" si="11"/>
        <v>31</v>
      </c>
      <c r="E89" s="151">
        <f t="shared" si="11"/>
        <v>31</v>
      </c>
      <c r="F89" s="151">
        <f t="shared" si="11"/>
        <v>46</v>
      </c>
      <c r="G89" s="151">
        <f t="shared" si="11"/>
        <v>46</v>
      </c>
      <c r="H89" s="151">
        <f t="shared" si="11"/>
        <v>46</v>
      </c>
      <c r="I89" s="151">
        <f t="shared" si="11"/>
        <v>47</v>
      </c>
      <c r="J89" s="151">
        <f t="shared" si="11"/>
        <v>47</v>
      </c>
      <c r="K89" s="151">
        <f t="shared" si="11"/>
        <v>47</v>
      </c>
      <c r="L89" s="151">
        <f t="shared" si="11"/>
        <v>60</v>
      </c>
      <c r="M89" s="151">
        <f t="shared" si="11"/>
        <v>60</v>
      </c>
      <c r="N89" s="151">
        <f t="shared" si="11"/>
        <v>60</v>
      </c>
      <c r="O89" s="151">
        <f t="shared" si="11"/>
        <v>552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306</v>
      </c>
      <c r="D92" s="133">
        <f>'採算表(VND)'!D92</f>
        <v>323</v>
      </c>
      <c r="E92" s="133">
        <f>'採算表(VND)'!E92</f>
        <v>357</v>
      </c>
      <c r="F92" s="133">
        <f>'採算表(VND)'!F92</f>
        <v>391</v>
      </c>
      <c r="G92" s="133">
        <f>'採算表(VND)'!G92</f>
        <v>306</v>
      </c>
      <c r="H92" s="133">
        <f>'採算表(VND)'!H92</f>
        <v>323</v>
      </c>
      <c r="I92" s="133">
        <f>'採算表(VND)'!I92</f>
        <v>348.5</v>
      </c>
      <c r="J92" s="133">
        <f>'採算表(VND)'!J92</f>
        <v>340</v>
      </c>
      <c r="K92" s="133">
        <f>'採算表(VND)'!K92</f>
        <v>365.5</v>
      </c>
      <c r="L92" s="133">
        <f>'採算表(VND)'!L92</f>
        <v>289</v>
      </c>
      <c r="M92" s="133">
        <f>'採算表(VND)'!M92</f>
        <v>195.5</v>
      </c>
      <c r="N92" s="133">
        <f>'採算表(VND)'!N92</f>
        <v>340</v>
      </c>
      <c r="O92" s="133">
        <f>SUM(C92:N92)</f>
        <v>3884.5</v>
      </c>
    </row>
    <row r="93" spans="1:15">
      <c r="B93" s="59" t="s">
        <v>325</v>
      </c>
      <c r="C93" s="133">
        <f>'採算表(VND)'!C93</f>
        <v>4831</v>
      </c>
      <c r="D93" s="133">
        <f>'採算表(VND)'!D93</f>
        <v>4590</v>
      </c>
      <c r="E93" s="133">
        <f>'採算表(VND)'!E93</f>
        <v>5073</v>
      </c>
      <c r="F93" s="133">
        <f>'採算表(VND)'!F93</f>
        <v>8430</v>
      </c>
      <c r="G93" s="133">
        <f>'採算表(VND)'!G93</f>
        <v>7330</v>
      </c>
      <c r="H93" s="133">
        <f>'採算表(VND)'!H93</f>
        <v>6964</v>
      </c>
      <c r="I93" s="133">
        <f>'採算表(VND)'!I93</f>
        <v>8622</v>
      </c>
      <c r="J93" s="133">
        <f>'採算表(VND)'!J93</f>
        <v>7497</v>
      </c>
      <c r="K93" s="133">
        <f>'採算表(VND)'!K93</f>
        <v>8247</v>
      </c>
      <c r="L93" s="133">
        <f>'採算表(VND)'!L93</f>
        <v>9663</v>
      </c>
      <c r="M93" s="133">
        <f>'採算表(VND)'!M93</f>
        <v>7247</v>
      </c>
      <c r="N93" s="133">
        <f>'採算表(VND)'!N93</f>
        <v>9663</v>
      </c>
      <c r="O93" s="133">
        <f>SUM(C93:N93)</f>
        <v>88157</v>
      </c>
    </row>
    <row r="94" spans="1:15">
      <c r="B94" s="61" t="s">
        <v>18</v>
      </c>
      <c r="C94" s="147">
        <f t="shared" ref="C94:O94" si="12">C92+C93</f>
        <v>5137</v>
      </c>
      <c r="D94" s="147">
        <f t="shared" si="12"/>
        <v>4913</v>
      </c>
      <c r="E94" s="147">
        <f t="shared" si="12"/>
        <v>5430</v>
      </c>
      <c r="F94" s="147">
        <f t="shared" si="12"/>
        <v>8821</v>
      </c>
      <c r="G94" s="147">
        <f t="shared" si="12"/>
        <v>7636</v>
      </c>
      <c r="H94" s="147">
        <f t="shared" si="12"/>
        <v>7287</v>
      </c>
      <c r="I94" s="147">
        <f t="shared" si="12"/>
        <v>8970.5</v>
      </c>
      <c r="J94" s="147">
        <f t="shared" si="12"/>
        <v>7837</v>
      </c>
      <c r="K94" s="147">
        <f t="shared" si="12"/>
        <v>8612.5</v>
      </c>
      <c r="L94" s="147">
        <f t="shared" si="12"/>
        <v>9952</v>
      </c>
      <c r="M94" s="147">
        <f t="shared" si="12"/>
        <v>7442.5</v>
      </c>
      <c r="N94" s="147">
        <f t="shared" si="12"/>
        <v>10003</v>
      </c>
      <c r="O94" s="147">
        <f t="shared" si="12"/>
        <v>92041.5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72</v>
      </c>
      <c r="D97" s="133">
        <f>'採算表(VND)'!D97</f>
        <v>76</v>
      </c>
      <c r="E97" s="133">
        <f>'採算表(VND)'!E97</f>
        <v>84</v>
      </c>
      <c r="F97" s="133">
        <f>'採算表(VND)'!F97</f>
        <v>92</v>
      </c>
      <c r="G97" s="133">
        <f>'採算表(VND)'!G97</f>
        <v>72</v>
      </c>
      <c r="H97" s="133">
        <f>'採算表(VND)'!H97</f>
        <v>76</v>
      </c>
      <c r="I97" s="133">
        <f>'採算表(VND)'!I97</f>
        <v>82</v>
      </c>
      <c r="J97" s="133">
        <f>'採算表(VND)'!J97</f>
        <v>80</v>
      </c>
      <c r="K97" s="133">
        <f>'採算表(VND)'!K97</f>
        <v>86</v>
      </c>
      <c r="L97" s="133">
        <f>'採算表(VND)'!L97</f>
        <v>68</v>
      </c>
      <c r="M97" s="133">
        <f>'採算表(VND)'!M97</f>
        <v>46</v>
      </c>
      <c r="N97" s="133">
        <f>'採算表(VND)'!N97</f>
        <v>80</v>
      </c>
      <c r="O97" s="133">
        <f>SUM(C97:N97)</f>
        <v>914</v>
      </c>
    </row>
    <row r="98" spans="2:15">
      <c r="B98" s="59" t="s">
        <v>327</v>
      </c>
      <c r="C98" s="133">
        <f>'採算表(VND)'!C98</f>
        <v>254</v>
      </c>
      <c r="D98" s="133">
        <f>'採算表(VND)'!D98</f>
        <v>452</v>
      </c>
      <c r="E98" s="133">
        <f>'採算表(VND)'!E98</f>
        <v>426</v>
      </c>
      <c r="F98" s="133">
        <f>'採算表(VND)'!F98</f>
        <v>888</v>
      </c>
      <c r="G98" s="133">
        <f>'採算表(VND)'!G98</f>
        <v>664</v>
      </c>
      <c r="H98" s="133">
        <f>'採算表(VND)'!H98</f>
        <v>38</v>
      </c>
      <c r="I98" s="133">
        <f>'採算表(VND)'!I98</f>
        <v>46</v>
      </c>
      <c r="J98" s="133">
        <f>'採算表(VND)'!J98</f>
        <v>40</v>
      </c>
      <c r="K98" s="133">
        <f>'採算表(VND)'!K98</f>
        <v>42</v>
      </c>
      <c r="L98" s="133">
        <f>'採算表(VND)'!L98</f>
        <v>40</v>
      </c>
      <c r="M98" s="133">
        <f>'採算表(VND)'!M98</f>
        <v>808</v>
      </c>
      <c r="N98" s="133">
        <f>'採算表(VND)'!N98</f>
        <v>40</v>
      </c>
      <c r="O98" s="133">
        <f>SUM(C98:N98)</f>
        <v>3738</v>
      </c>
    </row>
    <row r="99" spans="2:15">
      <c r="B99" s="61" t="s">
        <v>18</v>
      </c>
      <c r="C99" s="147">
        <f t="shared" ref="C99:O99" si="13">C97+C98</f>
        <v>326</v>
      </c>
      <c r="D99" s="147">
        <f t="shared" si="13"/>
        <v>528</v>
      </c>
      <c r="E99" s="147">
        <f t="shared" si="13"/>
        <v>510</v>
      </c>
      <c r="F99" s="147">
        <f t="shared" si="13"/>
        <v>980</v>
      </c>
      <c r="G99" s="147">
        <f t="shared" si="13"/>
        <v>736</v>
      </c>
      <c r="H99" s="147">
        <f t="shared" si="13"/>
        <v>114</v>
      </c>
      <c r="I99" s="147">
        <f t="shared" si="13"/>
        <v>128</v>
      </c>
      <c r="J99" s="147">
        <f t="shared" si="13"/>
        <v>120</v>
      </c>
      <c r="K99" s="147">
        <f t="shared" si="13"/>
        <v>128</v>
      </c>
      <c r="L99" s="147">
        <f t="shared" si="13"/>
        <v>108</v>
      </c>
      <c r="M99" s="147">
        <f t="shared" si="13"/>
        <v>854</v>
      </c>
      <c r="N99" s="147">
        <f t="shared" si="13"/>
        <v>120</v>
      </c>
      <c r="O99" s="147">
        <f t="shared" si="13"/>
        <v>4652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電工製造課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7854175100</v>
      </c>
      <c r="D5" s="152">
        <f t="shared" ref="D5:N5" si="0">D8+D9</f>
        <v>5281673249</v>
      </c>
      <c r="E5" s="152">
        <f t="shared" si="0"/>
        <v>5242787448</v>
      </c>
      <c r="F5" s="152">
        <f t="shared" si="0"/>
        <v>6327840016</v>
      </c>
      <c r="G5" s="152">
        <f t="shared" si="0"/>
        <v>6778039754</v>
      </c>
      <c r="H5" s="152">
        <f t="shared" si="0"/>
        <v>9405971783</v>
      </c>
      <c r="I5" s="152">
        <f t="shared" si="0"/>
        <v>8635576724</v>
      </c>
      <c r="J5" s="152">
        <f t="shared" si="0"/>
        <v>8742820276</v>
      </c>
      <c r="K5" s="152">
        <f t="shared" si="0"/>
        <v>9137526614</v>
      </c>
      <c r="L5" s="152">
        <f t="shared" si="0"/>
        <v>8381363919</v>
      </c>
      <c r="M5" s="152">
        <f t="shared" si="0"/>
        <v>8674295458</v>
      </c>
      <c r="N5" s="152">
        <f t="shared" si="0"/>
        <v>10239086998</v>
      </c>
      <c r="O5" s="152">
        <f>O8+O9</f>
        <v>94701157339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SUMIF('内訳ﾘｽﾄ(4～3月)'!$D$26:$D$982,'採算表(VND)'!$B6,'内訳ﾘｽﾄ(4～3月)'!F$26:F$982)</f>
        <v>7854175100</v>
      </c>
      <c r="D6" s="153">
        <f>SUMIF('内訳ﾘｽﾄ(4～3月)'!$D$26:$D$982,'採算表(VND)'!$B6,'内訳ﾘｽﾄ(4～3月)'!G$26:G$982)</f>
        <v>5281673249</v>
      </c>
      <c r="E6" s="153">
        <f>SUMIF('内訳ﾘｽﾄ(4～3月)'!$D$26:$D$982,'採算表(VND)'!$B6,'内訳ﾘｽﾄ(4～3月)'!H$26:H$982)</f>
        <v>5242787448</v>
      </c>
      <c r="F6" s="153">
        <f>SUMIF('内訳ﾘｽﾄ(4～3月)'!$D$26:$D$982,'採算表(VND)'!$B6,'内訳ﾘｽﾄ(4～3月)'!I$26:I$982)</f>
        <v>6327840016</v>
      </c>
      <c r="G6" s="153">
        <f>SUMIF('内訳ﾘｽﾄ(4～3月)'!$D$26:$D$982,'採算表(VND)'!$B6,'内訳ﾘｽﾄ(4～3月)'!J$26:J$982)</f>
        <v>6778039754</v>
      </c>
      <c r="H6" s="153">
        <f>SUMIF('内訳ﾘｽﾄ(4～3月)'!$D$26:$D$982,'採算表(VND)'!$B6,'内訳ﾘｽﾄ(4～3月)'!K$26:K$982)</f>
        <v>9405971783</v>
      </c>
      <c r="I6" s="153">
        <f>SUMIF('内訳ﾘｽﾄ(4～3月)'!$D$26:$D$982,'採算表(VND)'!$B6,'内訳ﾘｽﾄ(4～3月)'!L$26:L$982)</f>
        <v>8635576724</v>
      </c>
      <c r="J6" s="153">
        <f>SUMIF('内訳ﾘｽﾄ(4～3月)'!$D$26:$D$982,'採算表(VND)'!$B6,'内訳ﾘｽﾄ(4～3月)'!M$26:M$982)</f>
        <v>8742820276</v>
      </c>
      <c r="K6" s="153">
        <f>SUMIF('内訳ﾘｽﾄ(4～3月)'!$D$26:$D$982,'採算表(VND)'!$B6,'内訳ﾘｽﾄ(4～3月)'!N$26:N$982)</f>
        <v>9137526614</v>
      </c>
      <c r="L6" s="153">
        <f>SUMIF('内訳ﾘｽﾄ(4～3月)'!$D$26:$D$982,'採算表(VND)'!$B6,'内訳ﾘｽﾄ(4～3月)'!O$26:O$982)</f>
        <v>8381363919</v>
      </c>
      <c r="M6" s="153">
        <f>SUMIF('内訳ﾘｽﾄ(4～3月)'!$D$26:$D$982,'採算表(VND)'!$B6,'内訳ﾘｽﾄ(4～3月)'!P$26:P$982)</f>
        <v>8674295458</v>
      </c>
      <c r="N6" s="153">
        <f>SUMIF('内訳ﾘｽﾄ(4～3月)'!$D$26:$D$982,'採算表(VND)'!$B6,'内訳ﾘｽﾄ(4～3月)'!Q$26:Q$982)</f>
        <v>10239086998</v>
      </c>
      <c r="O6" s="153">
        <f>SUMIF('内訳ﾘｽﾄ(4～3月)'!$D$26:$D$781,'採算表(VND)'!$B6,'内訳ﾘｽﾄ(4～3月)'!R$26:R$781)</f>
        <v>94701157339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SUMIF('内訳ﾘｽﾄ(4～3月)'!$D$26:$D$982,'採算表(VND)'!$B7,'内訳ﾘｽﾄ(4～3月)'!F$26:F$982)</f>
        <v>0</v>
      </c>
      <c r="D7" s="154">
        <f>SUMIF('内訳ﾘｽﾄ(4～3月)'!$D$26:$D$982,'採算表(VND)'!$B7,'内訳ﾘｽﾄ(4～3月)'!G$26:G$982)</f>
        <v>0</v>
      </c>
      <c r="E7" s="154">
        <f>SUMIF('内訳ﾘｽﾄ(4～3月)'!$D$26:$D$982,'採算表(VND)'!$B7,'内訳ﾘｽﾄ(4～3月)'!H$26:H$982)</f>
        <v>0</v>
      </c>
      <c r="F7" s="154">
        <f>SUMIF('内訳ﾘｽﾄ(4～3月)'!$D$26:$D$982,'採算表(VND)'!$B7,'内訳ﾘｽﾄ(4～3月)'!I$26:I$982)</f>
        <v>0</v>
      </c>
      <c r="G7" s="154">
        <f>SUMIF('内訳ﾘｽﾄ(4～3月)'!$D$26:$D$982,'採算表(VND)'!$B7,'内訳ﾘｽﾄ(4～3月)'!J$26:J$982)</f>
        <v>0</v>
      </c>
      <c r="H7" s="154">
        <f>SUMIF('内訳ﾘｽﾄ(4～3月)'!$D$26:$D$982,'採算表(VND)'!$B7,'内訳ﾘｽﾄ(4～3月)'!K$26:K$982)</f>
        <v>0</v>
      </c>
      <c r="I7" s="154">
        <f>SUMIF('内訳ﾘｽﾄ(4～3月)'!$D$26:$D$982,'採算表(VND)'!$B7,'内訳ﾘｽﾄ(4～3月)'!L$26:L$982)</f>
        <v>0</v>
      </c>
      <c r="J7" s="154">
        <f>SUMIF('内訳ﾘｽﾄ(4～3月)'!$D$26:$D$982,'採算表(VND)'!$B7,'内訳ﾘｽﾄ(4～3月)'!M$26:M$982)</f>
        <v>0</v>
      </c>
      <c r="K7" s="154">
        <f>SUMIF('内訳ﾘｽﾄ(4～3月)'!$D$26:$D$982,'採算表(VND)'!$B7,'内訳ﾘｽﾄ(4～3月)'!N$26:N$982)</f>
        <v>0</v>
      </c>
      <c r="L7" s="154">
        <f>SUMIF('内訳ﾘｽﾄ(4～3月)'!$D$26:$D$982,'採算表(VND)'!$B7,'内訳ﾘｽﾄ(4～3月)'!O$26:O$982)</f>
        <v>0</v>
      </c>
      <c r="M7" s="154">
        <f>SUMIF('内訳ﾘｽﾄ(4～3月)'!$D$26:$D$982,'採算表(VND)'!$B7,'内訳ﾘｽﾄ(4～3月)'!P$26:P$982)</f>
        <v>0</v>
      </c>
      <c r="N7" s="154">
        <f>SUMIF('内訳ﾘｽﾄ(4～3月)'!$D$26:$D$982,'採算表(VND)'!$B7,'内訳ﾘｽﾄ(4～3月)'!Q$26:Q$982)</f>
        <v>0</v>
      </c>
      <c r="O7" s="154">
        <f>SUMIF('内訳ﾘｽﾄ(4～3月)'!$D$26:$D$781,'採算表(VND)'!$B7,'内訳ﾘｽﾄ(4～3月)'!R$26:R$781)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7854175100</v>
      </c>
      <c r="D8" s="155">
        <f t="shared" si="1"/>
        <v>5281673249</v>
      </c>
      <c r="E8" s="155">
        <f t="shared" si="1"/>
        <v>5242787448</v>
      </c>
      <c r="F8" s="155">
        <f t="shared" si="1"/>
        <v>6327840016</v>
      </c>
      <c r="G8" s="155">
        <f t="shared" si="1"/>
        <v>6778039754</v>
      </c>
      <c r="H8" s="155">
        <f t="shared" si="1"/>
        <v>9405971783</v>
      </c>
      <c r="I8" s="155">
        <f t="shared" si="1"/>
        <v>8635576724</v>
      </c>
      <c r="J8" s="155">
        <f t="shared" si="1"/>
        <v>8742820276</v>
      </c>
      <c r="K8" s="155">
        <f t="shared" si="1"/>
        <v>9137526614</v>
      </c>
      <c r="L8" s="155">
        <f t="shared" si="1"/>
        <v>8381363919</v>
      </c>
      <c r="M8" s="155">
        <f t="shared" si="1"/>
        <v>8674295458</v>
      </c>
      <c r="N8" s="155">
        <f t="shared" si="1"/>
        <v>10239086998</v>
      </c>
      <c r="O8" s="155">
        <f>O6+O7</f>
        <v>94701157339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SUMIF('内訳ﾘｽﾄ(4～3月)'!$D$26:$D$982,'採算表(VND)'!$B9,'内訳ﾘｽﾄ(4～3月)'!F$26:F$982)</f>
        <v>0</v>
      </c>
      <c r="D9" s="150">
        <f>SUMIF('内訳ﾘｽﾄ(4～3月)'!$D$26:$D$982,'採算表(VND)'!$B9,'内訳ﾘｽﾄ(4～3月)'!G$26:G$982)</f>
        <v>0</v>
      </c>
      <c r="E9" s="150">
        <f>SUMIF('内訳ﾘｽﾄ(4～3月)'!$D$26:$D$982,'採算表(VND)'!$B9,'内訳ﾘｽﾄ(4～3月)'!H$26:H$982)</f>
        <v>0</v>
      </c>
      <c r="F9" s="150">
        <f>SUMIF('内訳ﾘｽﾄ(4～3月)'!$D$26:$D$982,'採算表(VND)'!$B9,'内訳ﾘｽﾄ(4～3月)'!I$26:I$982)</f>
        <v>0</v>
      </c>
      <c r="G9" s="150">
        <f>SUMIF('内訳ﾘｽﾄ(4～3月)'!$D$26:$D$982,'採算表(VND)'!$B9,'内訳ﾘｽﾄ(4～3月)'!J$26:J$982)</f>
        <v>0</v>
      </c>
      <c r="H9" s="150">
        <f>SUMIF('内訳ﾘｽﾄ(4～3月)'!$D$26:$D$982,'採算表(VND)'!$B9,'内訳ﾘｽﾄ(4～3月)'!K$26:K$982)</f>
        <v>0</v>
      </c>
      <c r="I9" s="150">
        <f>SUMIF('内訳ﾘｽﾄ(4～3月)'!$D$26:$D$982,'採算表(VND)'!$B9,'内訳ﾘｽﾄ(4～3月)'!L$26:L$982)</f>
        <v>0</v>
      </c>
      <c r="J9" s="150">
        <f>SUMIF('内訳ﾘｽﾄ(4～3月)'!$D$26:$D$982,'採算表(VND)'!$B9,'内訳ﾘｽﾄ(4～3月)'!M$26:M$982)</f>
        <v>0</v>
      </c>
      <c r="K9" s="150">
        <f>SUMIF('内訳ﾘｽﾄ(4～3月)'!$D$26:$D$982,'採算表(VND)'!$B9,'内訳ﾘｽﾄ(4～3月)'!N$26:N$982)</f>
        <v>0</v>
      </c>
      <c r="L9" s="150">
        <f>SUMIF('内訳ﾘｽﾄ(4～3月)'!$D$26:$D$982,'採算表(VND)'!$B9,'内訳ﾘｽﾄ(4～3月)'!O$26:O$982)</f>
        <v>0</v>
      </c>
      <c r="M9" s="150">
        <f>SUMIF('内訳ﾘｽﾄ(4～3月)'!$D$26:$D$982,'採算表(VND)'!$B9,'内訳ﾘｽﾄ(4～3月)'!P$26:P$982)</f>
        <v>0</v>
      </c>
      <c r="N9" s="150">
        <f>SUMIF('内訳ﾘｽﾄ(4～3月)'!$D$26:$D$982,'採算表(VND)'!$B9,'内訳ﾘｽﾄ(4～3月)'!Q$26:Q$982)</f>
        <v>0</v>
      </c>
      <c r="O9" s="150">
        <f>SUMIF('内訳ﾘｽﾄ(4～3月)'!$D$26:$D$781,'採算表(VND)'!$B9,'内訳ﾘｽﾄ(4～3月)'!R$26:R$781)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SUMIF('内訳ﾘｽﾄ(4～3月)'!$D$26:$D$982,'採算表(VND)'!$B10,'内訳ﾘｽﾄ(4～3月)'!F$26:F$982)</f>
        <v>0</v>
      </c>
      <c r="D10" s="150">
        <f>SUMIF('内訳ﾘｽﾄ(4～3月)'!$D$26:$D$982,'採算表(VND)'!$B10,'内訳ﾘｽﾄ(4～3月)'!G$26:G$982)</f>
        <v>0</v>
      </c>
      <c r="E10" s="150">
        <f>SUMIF('内訳ﾘｽﾄ(4～3月)'!$D$26:$D$982,'採算表(VND)'!$B10,'内訳ﾘｽﾄ(4～3月)'!H$26:H$982)</f>
        <v>0</v>
      </c>
      <c r="F10" s="150">
        <f>SUMIF('内訳ﾘｽﾄ(4～3月)'!$D$26:$D$982,'採算表(VND)'!$B10,'内訳ﾘｽﾄ(4～3月)'!I$26:I$982)</f>
        <v>0</v>
      </c>
      <c r="G10" s="150">
        <f>SUMIF('内訳ﾘｽﾄ(4～3月)'!$D$26:$D$982,'採算表(VND)'!$B10,'内訳ﾘｽﾄ(4～3月)'!J$26:J$982)</f>
        <v>0</v>
      </c>
      <c r="H10" s="150">
        <f>SUMIF('内訳ﾘｽﾄ(4～3月)'!$D$26:$D$982,'採算表(VND)'!$B10,'内訳ﾘｽﾄ(4～3月)'!K$26:K$982)</f>
        <v>0</v>
      </c>
      <c r="I10" s="150">
        <f>SUMIF('内訳ﾘｽﾄ(4～3月)'!$D$26:$D$982,'採算表(VND)'!$B10,'内訳ﾘｽﾄ(4～3月)'!L$26:L$982)</f>
        <v>0</v>
      </c>
      <c r="J10" s="150">
        <f>SUMIF('内訳ﾘｽﾄ(4～3月)'!$D$26:$D$982,'採算表(VND)'!$B10,'内訳ﾘｽﾄ(4～3月)'!M$26:M$982)</f>
        <v>0</v>
      </c>
      <c r="K10" s="150">
        <f>SUMIF('内訳ﾘｽﾄ(4～3月)'!$D$26:$D$982,'採算表(VND)'!$B10,'内訳ﾘｽﾄ(4～3月)'!N$26:N$982)</f>
        <v>0</v>
      </c>
      <c r="L10" s="150">
        <f>SUMIF('内訳ﾘｽﾄ(4～3月)'!$D$26:$D$982,'採算表(VND)'!$B10,'内訳ﾘｽﾄ(4～3月)'!O$26:O$982)</f>
        <v>0</v>
      </c>
      <c r="M10" s="150">
        <f>SUMIF('内訳ﾘｽﾄ(4～3月)'!$D$26:$D$982,'採算表(VND)'!$B10,'内訳ﾘｽﾄ(4～3月)'!P$26:P$982)</f>
        <v>0</v>
      </c>
      <c r="N10" s="150">
        <f>SUMIF('内訳ﾘｽﾄ(4～3月)'!$D$26:$D$982,'採算表(VND)'!$B10,'内訳ﾘｽﾄ(4～3月)'!Q$26:Q$982)</f>
        <v>0</v>
      </c>
      <c r="O10" s="150">
        <f>SUMIF('内訳ﾘｽﾄ(4～3月)'!$D$26:$D$781,'採算表(VND)'!$B10,'内訳ﾘｽﾄ(4～3月)'!R$26:R$781)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7854175100</v>
      </c>
      <c r="D12" s="156">
        <f t="shared" ref="D12:N12" si="2">D5-D10</f>
        <v>5281673249</v>
      </c>
      <c r="E12" s="156">
        <f t="shared" si="2"/>
        <v>5242787448</v>
      </c>
      <c r="F12" s="156">
        <f t="shared" si="2"/>
        <v>6327840016</v>
      </c>
      <c r="G12" s="156">
        <f t="shared" si="2"/>
        <v>6778039754</v>
      </c>
      <c r="H12" s="156">
        <f t="shared" si="2"/>
        <v>9405971783</v>
      </c>
      <c r="I12" s="156">
        <f t="shared" si="2"/>
        <v>8635576724</v>
      </c>
      <c r="J12" s="156">
        <f t="shared" si="2"/>
        <v>8742820276</v>
      </c>
      <c r="K12" s="156">
        <f t="shared" si="2"/>
        <v>9137526614</v>
      </c>
      <c r="L12" s="156">
        <f t="shared" si="2"/>
        <v>8381363919</v>
      </c>
      <c r="M12" s="156">
        <f t="shared" si="2"/>
        <v>8674295458</v>
      </c>
      <c r="N12" s="156">
        <f t="shared" si="2"/>
        <v>10239086998</v>
      </c>
      <c r="O12" s="156">
        <f>O5-O10</f>
        <v>94701157339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4232459502</v>
      </c>
      <c r="D13" s="150">
        <f t="shared" ref="D13:N13" si="3">SUM(D14:D65)</f>
        <v>4761915923</v>
      </c>
      <c r="E13" s="150">
        <f t="shared" si="3"/>
        <v>4794673979</v>
      </c>
      <c r="F13" s="150">
        <f t="shared" si="3"/>
        <v>5262103065</v>
      </c>
      <c r="G13" s="150">
        <f t="shared" si="3"/>
        <v>5618769699</v>
      </c>
      <c r="H13" s="150">
        <f t="shared" si="3"/>
        <v>7310052682</v>
      </c>
      <c r="I13" s="150">
        <f t="shared" si="3"/>
        <v>6880582420</v>
      </c>
      <c r="J13" s="150">
        <f t="shared" si="3"/>
        <v>7139868314</v>
      </c>
      <c r="K13" s="150">
        <f t="shared" si="3"/>
        <v>7169554647</v>
      </c>
      <c r="L13" s="150">
        <f t="shared" si="3"/>
        <v>6718882593</v>
      </c>
      <c r="M13" s="150">
        <f t="shared" si="3"/>
        <v>7056107061</v>
      </c>
      <c r="N13" s="150">
        <f t="shared" si="3"/>
        <v>8053251790</v>
      </c>
      <c r="O13" s="150">
        <f>SUM(O14:O65)</f>
        <v>74998221675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SUMIF('内訳ﾘｽﾄ(4～3月)'!$D$26:$D$982,$B14,'内訳ﾘｽﾄ(4～3月)'!F$26:F$982)</f>
        <v>3286177936</v>
      </c>
      <c r="D14" s="157">
        <f>SUMIF('内訳ﾘｽﾄ(4～3月)'!$D$26:$D$982,$B14,'内訳ﾘｽﾄ(4～3月)'!G$26:G$982)</f>
        <v>3722289102</v>
      </c>
      <c r="E14" s="157">
        <f>SUMIF('内訳ﾘｽﾄ(4～3月)'!$D$26:$D$982,$B14,'内訳ﾘｽﾄ(4～3月)'!H$26:H$982)</f>
        <v>3541313205</v>
      </c>
      <c r="F14" s="157">
        <f>SUMIF('内訳ﾘｽﾄ(4～3月)'!$D$26:$D$982,$B14,'内訳ﾘｽﾄ(4～3月)'!I$26:I$982)</f>
        <v>4318671121</v>
      </c>
      <c r="G14" s="157">
        <f>SUMIF('内訳ﾘｽﾄ(4～3月)'!$D$26:$D$982,$B14,'内訳ﾘｽﾄ(4～3月)'!J$26:J$982)</f>
        <v>4742419302</v>
      </c>
      <c r="H14" s="157">
        <f>SUMIF('内訳ﾘｽﾄ(4～3月)'!$D$26:$D$982,$B14,'内訳ﾘｽﾄ(4～3月)'!K$26:K$982)</f>
        <v>6442943489</v>
      </c>
      <c r="I14" s="157">
        <f>SUMIF('内訳ﾘｽﾄ(4～3月)'!$D$26:$D$982,$B14,'内訳ﾘｽﾄ(4～3月)'!L$26:L$982)</f>
        <v>5957802269</v>
      </c>
      <c r="J14" s="157">
        <f>SUMIF('内訳ﾘｽﾄ(4～3月)'!$D$26:$D$982,$B14,'内訳ﾘｽﾄ(4～3月)'!M$26:M$982)</f>
        <v>6293593792</v>
      </c>
      <c r="K14" s="157">
        <f>SUMIF('内訳ﾘｽﾄ(4～3月)'!$D$26:$D$982,$B14,'内訳ﾘｽﾄ(4～3月)'!N$26:N$982)</f>
        <v>6271271155</v>
      </c>
      <c r="L14" s="157">
        <f>SUMIF('内訳ﾘｽﾄ(4～3月)'!$D$26:$D$982,$B14,'内訳ﾘｽﾄ(4～3月)'!O$26:O$982)</f>
        <v>5850907256</v>
      </c>
      <c r="M14" s="157">
        <f>SUMIF('内訳ﾘｽﾄ(4～3月)'!$D$26:$D$982,$B14,'内訳ﾘｽﾄ(4～3月)'!P$26:P$982)</f>
        <v>6205469873</v>
      </c>
      <c r="N14" s="157">
        <f>SUMIF('内訳ﾘｽﾄ(4～3月)'!$D$26:$D$982,$B14,'内訳ﾘｽﾄ(4～3月)'!Q$26:Q$982)</f>
        <v>7243777113</v>
      </c>
      <c r="O14" s="157">
        <f>SUMIF('内訳ﾘｽﾄ(4～3月)'!$D$26:$D$781,'採算表(VND)'!$B14,'内訳ﾘｽﾄ(4～3月)'!R$26:R$781)</f>
        <v>63876635613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SUMIF('内訳ﾘｽﾄ(4～3月)'!$D$26:$D$982,$B15,'内訳ﾘｽﾄ(4～3月)'!F$26:F$982)</f>
        <v>0</v>
      </c>
      <c r="D15" s="157">
        <f>SUMIF('内訳ﾘｽﾄ(4～3月)'!$D$26:$D$982,$B15,'内訳ﾘｽﾄ(4～3月)'!G$26:G$982)</f>
        <v>0</v>
      </c>
      <c r="E15" s="157">
        <f>SUMIF('内訳ﾘｽﾄ(4～3月)'!$D$26:$D$982,$B15,'内訳ﾘｽﾄ(4～3月)'!H$26:H$982)</f>
        <v>0</v>
      </c>
      <c r="F15" s="157">
        <f>SUMIF('内訳ﾘｽﾄ(4～3月)'!$D$26:$D$982,$B15,'内訳ﾘｽﾄ(4～3月)'!I$26:I$982)</f>
        <v>0</v>
      </c>
      <c r="G15" s="157">
        <f>SUMIF('内訳ﾘｽﾄ(4～3月)'!$D$26:$D$982,$B15,'内訳ﾘｽﾄ(4～3月)'!J$26:J$982)</f>
        <v>0</v>
      </c>
      <c r="H15" s="157">
        <f>SUMIF('内訳ﾘｽﾄ(4～3月)'!$D$26:$D$982,$B15,'内訳ﾘｽﾄ(4～3月)'!K$26:K$982)</f>
        <v>0</v>
      </c>
      <c r="I15" s="157">
        <f>SUMIF('内訳ﾘｽﾄ(4～3月)'!$D$26:$D$982,$B15,'内訳ﾘｽﾄ(4～3月)'!L$26:L$982)</f>
        <v>0</v>
      </c>
      <c r="J15" s="157">
        <f>SUMIF('内訳ﾘｽﾄ(4～3月)'!$D$26:$D$982,$B15,'内訳ﾘｽﾄ(4～3月)'!M$26:M$982)</f>
        <v>0</v>
      </c>
      <c r="K15" s="157">
        <f>SUMIF('内訳ﾘｽﾄ(4～3月)'!$D$26:$D$982,$B15,'内訳ﾘｽﾄ(4～3月)'!N$26:N$982)</f>
        <v>0</v>
      </c>
      <c r="L15" s="157">
        <f>SUMIF('内訳ﾘｽﾄ(4～3月)'!$D$26:$D$982,$B15,'内訳ﾘｽﾄ(4～3月)'!O$26:O$982)</f>
        <v>0</v>
      </c>
      <c r="M15" s="157">
        <f>SUMIF('内訳ﾘｽﾄ(4～3月)'!$D$26:$D$982,$B15,'内訳ﾘｽﾄ(4～3月)'!P$26:P$982)</f>
        <v>0</v>
      </c>
      <c r="N15" s="157">
        <f>SUMIF('内訳ﾘｽﾄ(4～3月)'!$D$26:$D$982,$B15,'内訳ﾘｽﾄ(4～3月)'!Q$26:Q$982)</f>
        <v>0</v>
      </c>
      <c r="O15" s="157">
        <f>SUMIF('内訳ﾘｽﾄ(4～3月)'!$D$26:$D$781,'採算表(VND)'!$B15,'内訳ﾘｽﾄ(4～3月)'!R$26:R$781)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SUMIF('内訳ﾘｽﾄ(4～3月)'!$D$26:$D$982,$B16,'内訳ﾘｽﾄ(4～3月)'!F$26:F$982)</f>
        <v>0</v>
      </c>
      <c r="D16" s="157">
        <f>SUMIF('内訳ﾘｽﾄ(4～3月)'!$D$26:$D$982,$B16,'内訳ﾘｽﾄ(4～3月)'!G$26:G$982)</f>
        <v>0</v>
      </c>
      <c r="E16" s="157">
        <f>SUMIF('内訳ﾘｽﾄ(4～3月)'!$D$26:$D$982,$B16,'内訳ﾘｽﾄ(4～3月)'!H$26:H$982)</f>
        <v>0</v>
      </c>
      <c r="F16" s="157">
        <f>SUMIF('内訳ﾘｽﾄ(4～3月)'!$D$26:$D$982,$B16,'内訳ﾘｽﾄ(4～3月)'!I$26:I$982)</f>
        <v>0</v>
      </c>
      <c r="G16" s="157">
        <f>SUMIF('内訳ﾘｽﾄ(4～3月)'!$D$26:$D$982,$B16,'内訳ﾘｽﾄ(4～3月)'!J$26:J$982)</f>
        <v>0</v>
      </c>
      <c r="H16" s="157">
        <f>SUMIF('内訳ﾘｽﾄ(4～3月)'!$D$26:$D$982,$B16,'内訳ﾘｽﾄ(4～3月)'!K$26:K$982)</f>
        <v>0</v>
      </c>
      <c r="I16" s="157">
        <f>SUMIF('内訳ﾘｽﾄ(4～3月)'!$D$26:$D$982,$B16,'内訳ﾘｽﾄ(4～3月)'!L$26:L$982)</f>
        <v>0</v>
      </c>
      <c r="J16" s="157">
        <f>SUMIF('内訳ﾘｽﾄ(4～3月)'!$D$26:$D$982,$B16,'内訳ﾘｽﾄ(4～3月)'!M$26:M$982)</f>
        <v>0</v>
      </c>
      <c r="K16" s="157">
        <f>SUMIF('内訳ﾘｽﾄ(4～3月)'!$D$26:$D$982,$B16,'内訳ﾘｽﾄ(4～3月)'!N$26:N$982)</f>
        <v>0</v>
      </c>
      <c r="L16" s="157">
        <f>SUMIF('内訳ﾘｽﾄ(4～3月)'!$D$26:$D$982,$B16,'内訳ﾘｽﾄ(4～3月)'!O$26:O$982)</f>
        <v>0</v>
      </c>
      <c r="M16" s="157">
        <f>SUMIF('内訳ﾘｽﾄ(4～3月)'!$D$26:$D$982,$B16,'内訳ﾘｽﾄ(4～3月)'!P$26:P$982)</f>
        <v>0</v>
      </c>
      <c r="N16" s="157">
        <f>SUMIF('内訳ﾘｽﾄ(4～3月)'!$D$26:$D$982,$B16,'内訳ﾘｽﾄ(4～3月)'!Q$26:Q$982)</f>
        <v>0</v>
      </c>
      <c r="O16" s="157">
        <f>SUMIF('内訳ﾘｽﾄ(4～3月)'!$D$26:$D$781,'採算表(VND)'!$B16,'内訳ﾘｽﾄ(4～3月)'!R$26:R$781)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SUMIF('内訳ﾘｽﾄ(4～3月)'!$D$26:$D$982,$B17,'内訳ﾘｽﾄ(4～3月)'!F$26:F$982)</f>
        <v>0</v>
      </c>
      <c r="D17" s="158">
        <f>SUMIF('内訳ﾘｽﾄ(4～3月)'!$D$26:$D$982,$B17,'内訳ﾘｽﾄ(4～3月)'!G$26:G$982)</f>
        <v>0</v>
      </c>
      <c r="E17" s="158">
        <f>SUMIF('内訳ﾘｽﾄ(4～3月)'!$D$26:$D$982,$B17,'内訳ﾘｽﾄ(4～3月)'!H$26:H$982)</f>
        <v>0</v>
      </c>
      <c r="F17" s="158">
        <f>SUMIF('内訳ﾘｽﾄ(4～3月)'!$D$26:$D$982,$B17,'内訳ﾘｽﾄ(4～3月)'!I$26:I$982)</f>
        <v>0</v>
      </c>
      <c r="G17" s="158">
        <f>SUMIF('内訳ﾘｽﾄ(4～3月)'!$D$26:$D$982,$B17,'内訳ﾘｽﾄ(4～3月)'!J$26:J$982)</f>
        <v>0</v>
      </c>
      <c r="H17" s="158">
        <f>SUMIF('内訳ﾘｽﾄ(4～3月)'!$D$26:$D$982,$B17,'内訳ﾘｽﾄ(4～3月)'!K$26:K$982)</f>
        <v>0</v>
      </c>
      <c r="I17" s="158">
        <f>SUMIF('内訳ﾘｽﾄ(4～3月)'!$D$26:$D$982,$B17,'内訳ﾘｽﾄ(4～3月)'!L$26:L$982)</f>
        <v>0</v>
      </c>
      <c r="J17" s="158">
        <f>SUMIF('内訳ﾘｽﾄ(4～3月)'!$D$26:$D$982,$B17,'内訳ﾘｽﾄ(4～3月)'!M$26:M$982)</f>
        <v>0</v>
      </c>
      <c r="K17" s="158">
        <f>SUMIF('内訳ﾘｽﾄ(4～3月)'!$D$26:$D$982,$B17,'内訳ﾘｽﾄ(4～3月)'!N$26:N$982)</f>
        <v>0</v>
      </c>
      <c r="L17" s="158">
        <f>SUMIF('内訳ﾘｽﾄ(4～3月)'!$D$26:$D$982,$B17,'内訳ﾘｽﾄ(4～3月)'!O$26:O$982)</f>
        <v>0</v>
      </c>
      <c r="M17" s="158">
        <f>SUMIF('内訳ﾘｽﾄ(4～3月)'!$D$26:$D$982,$B17,'内訳ﾘｽﾄ(4～3月)'!P$26:P$982)</f>
        <v>0</v>
      </c>
      <c r="N17" s="158">
        <f>SUMIF('内訳ﾘｽﾄ(4～3月)'!$D$26:$D$982,$B17,'内訳ﾘｽﾄ(4～3月)'!Q$26:Q$982)</f>
        <v>0</v>
      </c>
      <c r="O17" s="158">
        <f>SUMIF('内訳ﾘｽﾄ(4～3月)'!$D$26:$D$781,'採算表(VND)'!$B17,'内訳ﾘｽﾄ(4～3月)'!R$26:R$781)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SUMIF('内訳ﾘｽﾄ(4～3月)'!$D$26:$D$982,$B18,'内訳ﾘｽﾄ(4～3月)'!F$26:F$982)</f>
        <v>0</v>
      </c>
      <c r="D18" s="158">
        <f>SUMIF('内訳ﾘｽﾄ(4～3月)'!$D$26:$D$982,$B18,'内訳ﾘｽﾄ(4～3月)'!G$26:G$982)</f>
        <v>0</v>
      </c>
      <c r="E18" s="158">
        <f>SUMIF('内訳ﾘｽﾄ(4～3月)'!$D$26:$D$982,$B18,'内訳ﾘｽﾄ(4～3月)'!H$26:H$982)</f>
        <v>0</v>
      </c>
      <c r="F18" s="158">
        <f>SUMIF('内訳ﾘｽﾄ(4～3月)'!$D$26:$D$982,$B18,'内訳ﾘｽﾄ(4～3月)'!I$26:I$982)</f>
        <v>0</v>
      </c>
      <c r="G18" s="158">
        <f>SUMIF('内訳ﾘｽﾄ(4～3月)'!$D$26:$D$982,$B18,'内訳ﾘｽﾄ(4～3月)'!J$26:J$982)</f>
        <v>0</v>
      </c>
      <c r="H18" s="158">
        <f>SUMIF('内訳ﾘｽﾄ(4～3月)'!$D$26:$D$982,$B18,'内訳ﾘｽﾄ(4～3月)'!K$26:K$982)</f>
        <v>0</v>
      </c>
      <c r="I18" s="158">
        <f>SUMIF('内訳ﾘｽﾄ(4～3月)'!$D$26:$D$982,$B18,'内訳ﾘｽﾄ(4～3月)'!L$26:L$982)</f>
        <v>0</v>
      </c>
      <c r="J18" s="158">
        <f>SUMIF('内訳ﾘｽﾄ(4～3月)'!$D$26:$D$982,$B18,'内訳ﾘｽﾄ(4～3月)'!M$26:M$982)</f>
        <v>0</v>
      </c>
      <c r="K18" s="158">
        <f>SUMIF('内訳ﾘｽﾄ(4～3月)'!$D$26:$D$982,$B18,'内訳ﾘｽﾄ(4～3月)'!N$26:N$982)</f>
        <v>0</v>
      </c>
      <c r="L18" s="158">
        <f>SUMIF('内訳ﾘｽﾄ(4～3月)'!$D$26:$D$982,$B18,'内訳ﾘｽﾄ(4～3月)'!O$26:O$982)</f>
        <v>0</v>
      </c>
      <c r="M18" s="158">
        <f>SUMIF('内訳ﾘｽﾄ(4～3月)'!$D$26:$D$982,$B18,'内訳ﾘｽﾄ(4～3月)'!P$26:P$982)</f>
        <v>0</v>
      </c>
      <c r="N18" s="158">
        <f>SUMIF('内訳ﾘｽﾄ(4～3月)'!$D$26:$D$982,$B18,'内訳ﾘｽﾄ(4～3月)'!Q$26:Q$982)</f>
        <v>0</v>
      </c>
      <c r="O18" s="158">
        <f>SUMIF('内訳ﾘｽﾄ(4～3月)'!$D$26:$D$781,'採算表(VND)'!$B18,'内訳ﾘｽﾄ(4～3月)'!R$26:R$781)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SUMIF('内訳ﾘｽﾄ(4～3月)'!$D$26:$D$982,$B19,'内訳ﾘｽﾄ(4～3月)'!F$26:F$982)</f>
        <v>0</v>
      </c>
      <c r="D19" s="158">
        <f>SUMIF('内訳ﾘｽﾄ(4～3月)'!$D$26:$D$982,$B19,'内訳ﾘｽﾄ(4～3月)'!G$26:G$982)</f>
        <v>0</v>
      </c>
      <c r="E19" s="158">
        <f>SUMIF('内訳ﾘｽﾄ(4～3月)'!$D$26:$D$982,$B19,'内訳ﾘｽﾄ(4～3月)'!H$26:H$982)</f>
        <v>0</v>
      </c>
      <c r="F19" s="158">
        <f>SUMIF('内訳ﾘｽﾄ(4～3月)'!$D$26:$D$982,$B19,'内訳ﾘｽﾄ(4～3月)'!I$26:I$982)</f>
        <v>0</v>
      </c>
      <c r="G19" s="158">
        <f>SUMIF('内訳ﾘｽﾄ(4～3月)'!$D$26:$D$982,$B19,'内訳ﾘｽﾄ(4～3月)'!J$26:J$982)</f>
        <v>0</v>
      </c>
      <c r="H19" s="158">
        <f>SUMIF('内訳ﾘｽﾄ(4～3月)'!$D$26:$D$982,$B19,'内訳ﾘｽﾄ(4～3月)'!K$26:K$982)</f>
        <v>0</v>
      </c>
      <c r="I19" s="158">
        <f>SUMIF('内訳ﾘｽﾄ(4～3月)'!$D$26:$D$982,$B19,'内訳ﾘｽﾄ(4～3月)'!L$26:L$982)</f>
        <v>0</v>
      </c>
      <c r="J19" s="158">
        <f>SUMIF('内訳ﾘｽﾄ(4～3月)'!$D$26:$D$982,$B19,'内訳ﾘｽﾄ(4～3月)'!M$26:M$982)</f>
        <v>0</v>
      </c>
      <c r="K19" s="158">
        <f>SUMIF('内訳ﾘｽﾄ(4～3月)'!$D$26:$D$982,$B19,'内訳ﾘｽﾄ(4～3月)'!N$26:N$982)</f>
        <v>0</v>
      </c>
      <c r="L19" s="158">
        <f>SUMIF('内訳ﾘｽﾄ(4～3月)'!$D$26:$D$982,$B19,'内訳ﾘｽﾄ(4～3月)'!O$26:O$982)</f>
        <v>0</v>
      </c>
      <c r="M19" s="158">
        <f>SUMIF('内訳ﾘｽﾄ(4～3月)'!$D$26:$D$982,$B19,'内訳ﾘｽﾄ(4～3月)'!P$26:P$982)</f>
        <v>0</v>
      </c>
      <c r="N19" s="158">
        <f>SUMIF('内訳ﾘｽﾄ(4～3月)'!$D$26:$D$982,$B19,'内訳ﾘｽﾄ(4～3月)'!Q$26:Q$982)</f>
        <v>0</v>
      </c>
      <c r="O19" s="158">
        <f>SUMIF('内訳ﾘｽﾄ(4～3月)'!$D$26:$D$781,'採算表(VND)'!$B19,'内訳ﾘｽﾄ(4～3月)'!R$26:R$781)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SUMIF('内訳ﾘｽﾄ(4～3月)'!$D$26:$D$982,$B20,'内訳ﾘｽﾄ(4～3月)'!F$26:F$982)</f>
        <v>205821496</v>
      </c>
      <c r="D20" s="158">
        <f>SUMIF('内訳ﾘｽﾄ(4～3月)'!$D$26:$D$982,$B20,'内訳ﾘｽﾄ(4～3月)'!G$26:G$982)</f>
        <v>205772239</v>
      </c>
      <c r="E20" s="158">
        <f>SUMIF('内訳ﾘｽﾄ(4～3月)'!$D$26:$D$982,$B20,'内訳ﾘｽﾄ(4～3月)'!H$26:H$982)</f>
        <v>205784427</v>
      </c>
      <c r="F20" s="158">
        <f>SUMIF('内訳ﾘｽﾄ(4～3月)'!$D$26:$D$982,$B20,'内訳ﾘｽﾄ(4～3月)'!I$26:I$982)</f>
        <v>207058496</v>
      </c>
      <c r="G20" s="158">
        <f>SUMIF('内訳ﾘｽﾄ(4～3月)'!$D$26:$D$982,$B20,'内訳ﾘｽﾄ(4～3月)'!J$26:J$982)</f>
        <v>206899301</v>
      </c>
      <c r="H20" s="158">
        <f>SUMIF('内訳ﾘｽﾄ(4～3月)'!$D$26:$D$982,$B20,'内訳ﾘｽﾄ(4～3月)'!K$26:K$982)</f>
        <v>206462847</v>
      </c>
      <c r="I20" s="158">
        <f>SUMIF('内訳ﾘｽﾄ(4～3月)'!$D$26:$D$982,$B20,'内訳ﾘｽﾄ(4～3月)'!L$26:L$982)</f>
        <v>206131761</v>
      </c>
      <c r="J20" s="158">
        <f>SUMIF('内訳ﾘｽﾄ(4～3月)'!$D$26:$D$982,$B20,'内訳ﾘｽﾄ(4～3月)'!M$26:M$982)</f>
        <v>206122875</v>
      </c>
      <c r="K20" s="158">
        <f>SUMIF('内訳ﾘｽﾄ(4～3月)'!$D$26:$D$982,$B20,'内訳ﾘｽﾄ(4～3月)'!N$26:N$982)</f>
        <v>206134808</v>
      </c>
      <c r="L20" s="158">
        <f>SUMIF('内訳ﾘｽﾄ(4～3月)'!$D$26:$D$982,$B20,'内訳ﾘｽﾄ(4～3月)'!O$26:O$982)</f>
        <v>207071192</v>
      </c>
      <c r="M20" s="158">
        <f>SUMIF('内訳ﾘｽﾄ(4～3月)'!$D$26:$D$982,$B20,'内訳ﾘｽﾄ(4～3月)'!P$26:P$982)</f>
        <v>206747723</v>
      </c>
      <c r="N20" s="158">
        <f>SUMIF('内訳ﾘｽﾄ(4～3月)'!$D$26:$D$982,$B20,'内訳ﾘｽﾄ(4～3月)'!Q$26:Q$982)</f>
        <v>207003654</v>
      </c>
      <c r="O20" s="158">
        <f>SUMIF('内訳ﾘｽﾄ(4～3月)'!$D$26:$D$781,'採算表(VND)'!$B20,'内訳ﾘｽﾄ(4～3月)'!R$26:R$781)</f>
        <v>2477010819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SUMIF('内訳ﾘｽﾄ(4～3月)'!$D$26:$D$982,$B21,'内訳ﾘｽﾄ(4～3月)'!F$26:F$982)</f>
        <v>0</v>
      </c>
      <c r="D21" s="158">
        <f>SUMIF('内訳ﾘｽﾄ(4～3月)'!$D$26:$D$982,$B21,'内訳ﾘｽﾄ(4～3月)'!G$26:G$982)</f>
        <v>0</v>
      </c>
      <c r="E21" s="158">
        <f>SUMIF('内訳ﾘｽﾄ(4～3月)'!$D$26:$D$982,$B21,'内訳ﾘｽﾄ(4～3月)'!H$26:H$982)</f>
        <v>0</v>
      </c>
      <c r="F21" s="158">
        <f>SUMIF('内訳ﾘｽﾄ(4～3月)'!$D$26:$D$982,$B21,'内訳ﾘｽﾄ(4～3月)'!I$26:I$982)</f>
        <v>0</v>
      </c>
      <c r="G21" s="158">
        <f>SUMIF('内訳ﾘｽﾄ(4～3月)'!$D$26:$D$982,$B21,'内訳ﾘｽﾄ(4～3月)'!J$26:J$982)</f>
        <v>0</v>
      </c>
      <c r="H21" s="158">
        <f>SUMIF('内訳ﾘｽﾄ(4～3月)'!$D$26:$D$982,$B21,'内訳ﾘｽﾄ(4～3月)'!K$26:K$982)</f>
        <v>0</v>
      </c>
      <c r="I21" s="158">
        <f>SUMIF('内訳ﾘｽﾄ(4～3月)'!$D$26:$D$982,$B21,'内訳ﾘｽﾄ(4～3月)'!L$26:L$982)</f>
        <v>0</v>
      </c>
      <c r="J21" s="158">
        <f>SUMIF('内訳ﾘｽﾄ(4～3月)'!$D$26:$D$982,$B21,'内訳ﾘｽﾄ(4～3月)'!M$26:M$982)</f>
        <v>0</v>
      </c>
      <c r="K21" s="158">
        <f>SUMIF('内訳ﾘｽﾄ(4～3月)'!$D$26:$D$982,$B21,'内訳ﾘｽﾄ(4～3月)'!N$26:N$982)</f>
        <v>0</v>
      </c>
      <c r="L21" s="158">
        <f>SUMIF('内訳ﾘｽﾄ(4～3月)'!$D$26:$D$982,$B21,'内訳ﾘｽﾄ(4～3月)'!O$26:O$982)</f>
        <v>0</v>
      </c>
      <c r="M21" s="158">
        <f>SUMIF('内訳ﾘｽﾄ(4～3月)'!$D$26:$D$982,$B21,'内訳ﾘｽﾄ(4～3月)'!P$26:P$982)</f>
        <v>0</v>
      </c>
      <c r="N21" s="158">
        <f>SUMIF('内訳ﾘｽﾄ(4～3月)'!$D$26:$D$982,$B21,'内訳ﾘｽﾄ(4～3月)'!Q$26:Q$982)</f>
        <v>0</v>
      </c>
      <c r="O21" s="158">
        <f>SUMIF('内訳ﾘｽﾄ(4～3月)'!$D$26:$D$781,'採算表(VND)'!$B21,'内訳ﾘｽﾄ(4～3月)'!R$26:R$781)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SUMIF('内訳ﾘｽﾄ(4～3月)'!$D$26:$D$982,$B22,'内訳ﾘｽﾄ(4～3月)'!F$26:F$982)</f>
        <v>0</v>
      </c>
      <c r="D22" s="158">
        <f>SUMIF('内訳ﾘｽﾄ(4～3月)'!$D$26:$D$982,$B22,'内訳ﾘｽﾄ(4～3月)'!G$26:G$982)</f>
        <v>0</v>
      </c>
      <c r="E22" s="158">
        <f>SUMIF('内訳ﾘｽﾄ(4～3月)'!$D$26:$D$982,$B22,'内訳ﾘｽﾄ(4～3月)'!H$26:H$982)</f>
        <v>0</v>
      </c>
      <c r="F22" s="158">
        <f>SUMIF('内訳ﾘｽﾄ(4～3月)'!$D$26:$D$982,$B22,'内訳ﾘｽﾄ(4～3月)'!I$26:I$982)</f>
        <v>0</v>
      </c>
      <c r="G22" s="158">
        <f>SUMIF('内訳ﾘｽﾄ(4～3月)'!$D$26:$D$982,$B22,'内訳ﾘｽﾄ(4～3月)'!J$26:J$982)</f>
        <v>0</v>
      </c>
      <c r="H22" s="158">
        <f>SUMIF('内訳ﾘｽﾄ(4～3月)'!$D$26:$D$982,$B22,'内訳ﾘｽﾄ(4～3月)'!K$26:K$982)</f>
        <v>0</v>
      </c>
      <c r="I22" s="158">
        <f>SUMIF('内訳ﾘｽﾄ(4～3月)'!$D$26:$D$982,$B22,'内訳ﾘｽﾄ(4～3月)'!L$26:L$982)</f>
        <v>0</v>
      </c>
      <c r="J22" s="158">
        <f>SUMIF('内訳ﾘｽﾄ(4～3月)'!$D$26:$D$982,$B22,'内訳ﾘｽﾄ(4～3月)'!M$26:M$982)</f>
        <v>0</v>
      </c>
      <c r="K22" s="158">
        <f>SUMIF('内訳ﾘｽﾄ(4～3月)'!$D$26:$D$982,$B22,'内訳ﾘｽﾄ(4～3月)'!N$26:N$982)</f>
        <v>0</v>
      </c>
      <c r="L22" s="158">
        <f>SUMIF('内訳ﾘｽﾄ(4～3月)'!$D$26:$D$982,$B22,'内訳ﾘｽﾄ(4～3月)'!O$26:O$982)</f>
        <v>0</v>
      </c>
      <c r="M22" s="158">
        <f>SUMIF('内訳ﾘｽﾄ(4～3月)'!$D$26:$D$982,$B22,'内訳ﾘｽﾄ(4～3月)'!P$26:P$982)</f>
        <v>0</v>
      </c>
      <c r="N22" s="158">
        <f>SUMIF('内訳ﾘｽﾄ(4～3月)'!$D$26:$D$982,$B22,'内訳ﾘｽﾄ(4～3月)'!Q$26:Q$982)</f>
        <v>0</v>
      </c>
      <c r="O22" s="158">
        <f>SUMIF('内訳ﾘｽﾄ(4～3月)'!$D$26:$D$781,'採算表(VND)'!$B22,'内訳ﾘｽﾄ(4～3月)'!R$26:R$781)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SUMIF('内訳ﾘｽﾄ(4～3月)'!$D$26:$D$982,$B23,'内訳ﾘｽﾄ(4～3月)'!F$26:F$982)</f>
        <v>0</v>
      </c>
      <c r="D23" s="158">
        <f>SUMIF('内訳ﾘｽﾄ(4～3月)'!$D$26:$D$982,$B23,'内訳ﾘｽﾄ(4～3月)'!G$26:G$982)</f>
        <v>0</v>
      </c>
      <c r="E23" s="158">
        <f>SUMIF('内訳ﾘｽﾄ(4～3月)'!$D$26:$D$982,$B23,'内訳ﾘｽﾄ(4～3月)'!H$26:H$982)</f>
        <v>0</v>
      </c>
      <c r="F23" s="158">
        <f>SUMIF('内訳ﾘｽﾄ(4～3月)'!$D$26:$D$982,$B23,'内訳ﾘｽﾄ(4～3月)'!I$26:I$982)</f>
        <v>0</v>
      </c>
      <c r="G23" s="158">
        <f>SUMIF('内訳ﾘｽﾄ(4～3月)'!$D$26:$D$982,$B23,'内訳ﾘｽﾄ(4～3月)'!J$26:J$982)</f>
        <v>0</v>
      </c>
      <c r="H23" s="158">
        <f>SUMIF('内訳ﾘｽﾄ(4～3月)'!$D$26:$D$982,$B23,'内訳ﾘｽﾄ(4～3月)'!K$26:K$982)</f>
        <v>0</v>
      </c>
      <c r="I23" s="158">
        <f>SUMIF('内訳ﾘｽﾄ(4～3月)'!$D$26:$D$982,$B23,'内訳ﾘｽﾄ(4～3月)'!L$26:L$982)</f>
        <v>0</v>
      </c>
      <c r="J23" s="158">
        <f>SUMIF('内訳ﾘｽﾄ(4～3月)'!$D$26:$D$982,$B23,'内訳ﾘｽﾄ(4～3月)'!M$26:M$982)</f>
        <v>0</v>
      </c>
      <c r="K23" s="158">
        <f>SUMIF('内訳ﾘｽﾄ(4～3月)'!$D$26:$D$982,$B23,'内訳ﾘｽﾄ(4～3月)'!N$26:N$982)</f>
        <v>0</v>
      </c>
      <c r="L23" s="158">
        <f>SUMIF('内訳ﾘｽﾄ(4～3月)'!$D$26:$D$982,$B23,'内訳ﾘｽﾄ(4～3月)'!O$26:O$982)</f>
        <v>0</v>
      </c>
      <c r="M23" s="158">
        <f>SUMIF('内訳ﾘｽﾄ(4～3月)'!$D$26:$D$982,$B23,'内訳ﾘｽﾄ(4～3月)'!P$26:P$982)</f>
        <v>0</v>
      </c>
      <c r="N23" s="158">
        <f>SUMIF('内訳ﾘｽﾄ(4～3月)'!$D$26:$D$982,$B23,'内訳ﾘｽﾄ(4～3月)'!Q$26:Q$982)</f>
        <v>0</v>
      </c>
      <c r="O23" s="158">
        <f>SUMIF('内訳ﾘｽﾄ(4～3月)'!$D$26:$D$781,'採算表(VND)'!$B23,'内訳ﾘｽﾄ(4～3月)'!R$26:R$781)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SUMIF('内訳ﾘｽﾄ(4～3月)'!$D$26:$D$982,$B24,'内訳ﾘｽﾄ(4～3月)'!F$26:F$982)</f>
        <v>0</v>
      </c>
      <c r="D24" s="158">
        <f>SUMIF('内訳ﾘｽﾄ(4～3月)'!$D$26:$D$982,$B24,'内訳ﾘｽﾄ(4～3月)'!G$26:G$982)</f>
        <v>0</v>
      </c>
      <c r="E24" s="158">
        <f>SUMIF('内訳ﾘｽﾄ(4～3月)'!$D$26:$D$982,$B24,'内訳ﾘｽﾄ(4～3月)'!H$26:H$982)</f>
        <v>0</v>
      </c>
      <c r="F24" s="158">
        <f>SUMIF('内訳ﾘｽﾄ(4～3月)'!$D$26:$D$982,$B24,'内訳ﾘｽﾄ(4～3月)'!I$26:I$982)</f>
        <v>0</v>
      </c>
      <c r="G24" s="158">
        <f>SUMIF('内訳ﾘｽﾄ(4～3月)'!$D$26:$D$982,$B24,'内訳ﾘｽﾄ(4～3月)'!J$26:J$982)</f>
        <v>0</v>
      </c>
      <c r="H24" s="158">
        <f>SUMIF('内訳ﾘｽﾄ(4～3月)'!$D$26:$D$982,$B24,'内訳ﾘｽﾄ(4～3月)'!K$26:K$982)</f>
        <v>0</v>
      </c>
      <c r="I24" s="158">
        <f>SUMIF('内訳ﾘｽﾄ(4～3月)'!$D$26:$D$982,$B24,'内訳ﾘｽﾄ(4～3月)'!L$26:L$982)</f>
        <v>0</v>
      </c>
      <c r="J24" s="158">
        <f>SUMIF('内訳ﾘｽﾄ(4～3月)'!$D$26:$D$982,$B24,'内訳ﾘｽﾄ(4～3月)'!M$26:M$982)</f>
        <v>0</v>
      </c>
      <c r="K24" s="158">
        <f>SUMIF('内訳ﾘｽﾄ(4～3月)'!$D$26:$D$982,$B24,'内訳ﾘｽﾄ(4～3月)'!N$26:N$982)</f>
        <v>0</v>
      </c>
      <c r="L24" s="158">
        <f>SUMIF('内訳ﾘｽﾄ(4～3月)'!$D$26:$D$982,$B24,'内訳ﾘｽﾄ(4～3月)'!O$26:O$982)</f>
        <v>0</v>
      </c>
      <c r="M24" s="158">
        <f>SUMIF('内訳ﾘｽﾄ(4～3月)'!$D$26:$D$982,$B24,'内訳ﾘｽﾄ(4～3月)'!P$26:P$982)</f>
        <v>0</v>
      </c>
      <c r="N24" s="158">
        <f>SUMIF('内訳ﾘｽﾄ(4～3月)'!$D$26:$D$982,$B24,'内訳ﾘｽﾄ(4～3月)'!Q$26:Q$982)</f>
        <v>0</v>
      </c>
      <c r="O24" s="158">
        <f>SUMIF('内訳ﾘｽﾄ(4～3月)'!$D$26:$D$781,'採算表(VND)'!$B24,'内訳ﾘｽﾄ(4～3月)'!R$26:R$781)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SUMIF('内訳ﾘｽﾄ(4～3月)'!$D$26:$D$982,$B25,'内訳ﾘｽﾄ(4～3月)'!F$26:F$982)</f>
        <v>85087256</v>
      </c>
      <c r="D25" s="158">
        <f>SUMIF('内訳ﾘｽﾄ(4～3月)'!$D$26:$D$982,$B25,'内訳ﾘｽﾄ(4～3月)'!G$26:G$982)</f>
        <v>56079760</v>
      </c>
      <c r="E25" s="158">
        <f>SUMIF('内訳ﾘｽﾄ(4～3月)'!$D$26:$D$982,$B25,'内訳ﾘｽﾄ(4～3月)'!H$26:H$982)</f>
        <v>56132212</v>
      </c>
      <c r="F25" s="158">
        <f>SUMIF('内訳ﾘｽﾄ(4～3月)'!$D$26:$D$982,$B25,'内訳ﾘｽﾄ(4～3月)'!I$26:I$982)</f>
        <v>27120095</v>
      </c>
      <c r="G25" s="158">
        <f>SUMIF('内訳ﾘｽﾄ(4～3月)'!$D$26:$D$982,$B25,'内訳ﾘｽﾄ(4～3月)'!J$26:J$982)</f>
        <v>85455778</v>
      </c>
      <c r="H25" s="158">
        <f>SUMIF('内訳ﾘｽﾄ(4～3月)'!$D$26:$D$982,$B25,'内訳ﾘｽﾄ(4～3月)'!K$26:K$982)</f>
        <v>75726592</v>
      </c>
      <c r="I25" s="158">
        <f>SUMIF('内訳ﾘｽﾄ(4～3月)'!$D$26:$D$982,$B25,'内訳ﾘｽﾄ(4～3月)'!L$26:L$982)</f>
        <v>27453400</v>
      </c>
      <c r="J25" s="158">
        <f>SUMIF('内訳ﾘｽﾄ(4～3月)'!$D$26:$D$982,$B25,'内訳ﾘｽﾄ(4～3月)'!M$26:M$982)</f>
        <v>27348459</v>
      </c>
      <c r="K25" s="158">
        <f>SUMIF('内訳ﾘｽﾄ(4～3月)'!$D$26:$D$982,$B25,'内訳ﾘｽﾄ(4～3月)'!N$26:N$982)</f>
        <v>27435080</v>
      </c>
      <c r="L25" s="158">
        <f>SUMIF('内訳ﾘｽﾄ(4～3月)'!$D$26:$D$982,$B25,'内訳ﾘｽﾄ(4～3月)'!O$26:O$982)</f>
        <v>27348083</v>
      </c>
      <c r="M25" s="158">
        <f>SUMIF('内訳ﾘｽﾄ(4～3月)'!$D$26:$D$982,$B25,'内訳ﾘｽﾄ(4～3月)'!P$26:P$982)</f>
        <v>27330854</v>
      </c>
      <c r="N25" s="158">
        <f>SUMIF('内訳ﾘｽﾄ(4～3月)'!$D$26:$D$982,$B25,'内訳ﾘｽﾄ(4～3月)'!Q$26:Q$982)</f>
        <v>27601514</v>
      </c>
      <c r="O25" s="158">
        <f>SUMIF('内訳ﾘｽﾄ(4～3月)'!$D$26:$D$781,'採算表(VND)'!$B25,'内訳ﾘｽﾄ(4～3月)'!R$26:R$781)</f>
        <v>550119083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SUMIF('内訳ﾘｽﾄ(4～3月)'!$D$26:$D$982,$B26,'内訳ﾘｽﾄ(4～3月)'!F$26:F$982)</f>
        <v>141144100</v>
      </c>
      <c r="D26" s="158">
        <f>SUMIF('内訳ﾘｽﾄ(4～3月)'!$D$26:$D$982,$B26,'内訳ﾘｽﾄ(4～3月)'!G$26:G$982)</f>
        <v>211319100</v>
      </c>
      <c r="E26" s="158">
        <f>SUMIF('内訳ﾘｽﾄ(4～3月)'!$D$26:$D$982,$B26,'内訳ﾘｽﾄ(4～3月)'!H$26:H$982)</f>
        <v>148581500</v>
      </c>
      <c r="F26" s="158">
        <f>SUMIF('内訳ﾘｽﾄ(4～3月)'!$D$26:$D$982,$B26,'内訳ﾘｽﾄ(4～3月)'!I$26:I$982)</f>
        <v>135684100</v>
      </c>
      <c r="G26" s="158">
        <f>SUMIF('内訳ﾘｽﾄ(4～3月)'!$D$26:$D$982,$B26,'内訳ﾘｽﾄ(4～3月)'!J$26:J$982)</f>
        <v>84094100</v>
      </c>
      <c r="H26" s="158">
        <f>SUMIF('内訳ﾘｽﾄ(4～3月)'!$D$26:$D$982,$B26,'内訳ﾘｽﾄ(4～3月)'!K$26:K$982)</f>
        <v>93581500</v>
      </c>
      <c r="I26" s="158">
        <f>SUMIF('内訳ﾘｽﾄ(4～3月)'!$D$26:$D$982,$B26,'内訳ﾘｽﾄ(4～3月)'!L$26:L$982)</f>
        <v>93906500</v>
      </c>
      <c r="J26" s="158">
        <f>SUMIF('内訳ﾘｽﾄ(4～3月)'!$D$26:$D$982,$B26,'内訳ﾘｽﾄ(4～3月)'!M$26:M$982)</f>
        <v>84684100</v>
      </c>
      <c r="K26" s="158">
        <f>SUMIF('内訳ﾘｽﾄ(4～3月)'!$D$26:$D$982,$B26,'内訳ﾘｽﾄ(4～3月)'!N$26:N$982)</f>
        <v>127968900</v>
      </c>
      <c r="L26" s="158">
        <f>SUMIF('内訳ﾘｽﾄ(4～3月)'!$D$26:$D$982,$B26,'内訳ﾘｽﾄ(4～3月)'!O$26:O$982)</f>
        <v>89684100</v>
      </c>
      <c r="M26" s="158">
        <f>SUMIF('内訳ﾘｽﾄ(4～3月)'!$D$26:$D$982,$B26,'内訳ﾘｽﾄ(4～3月)'!P$26:P$982)</f>
        <v>91906500</v>
      </c>
      <c r="N26" s="158">
        <f>SUMIF('内訳ﾘｽﾄ(4～3月)'!$D$26:$D$982,$B26,'内訳ﾘｽﾄ(4～3月)'!Q$26:Q$982)</f>
        <v>80824100</v>
      </c>
      <c r="O26" s="158">
        <f>SUMIF('内訳ﾘｽﾄ(4～3月)'!$D$26:$D$781,'採算表(VND)'!$B26,'内訳ﾘｽﾄ(4～3月)'!R$26:R$781)</f>
        <v>1383378600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SUMIF('内訳ﾘｽﾄ(4～3月)'!$D$26:$D$982,$B27,'内訳ﾘｽﾄ(4～3月)'!F$26:F$982)</f>
        <v>0</v>
      </c>
      <c r="D27" s="158">
        <f>SUMIF('内訳ﾘｽﾄ(4～3月)'!$D$26:$D$982,$B27,'内訳ﾘｽﾄ(4～3月)'!G$26:G$982)</f>
        <v>0</v>
      </c>
      <c r="E27" s="158">
        <f>SUMIF('内訳ﾘｽﾄ(4～3月)'!$D$26:$D$982,$B27,'内訳ﾘｽﾄ(4～3月)'!H$26:H$982)</f>
        <v>0</v>
      </c>
      <c r="F27" s="158">
        <f>SUMIF('内訳ﾘｽﾄ(4～3月)'!$D$26:$D$982,$B27,'内訳ﾘｽﾄ(4～3月)'!I$26:I$982)</f>
        <v>0</v>
      </c>
      <c r="G27" s="158">
        <f>SUMIF('内訳ﾘｽﾄ(4～3月)'!$D$26:$D$982,$B27,'内訳ﾘｽﾄ(4～3月)'!J$26:J$982)</f>
        <v>0</v>
      </c>
      <c r="H27" s="158">
        <f>SUMIF('内訳ﾘｽﾄ(4～3月)'!$D$26:$D$982,$B27,'内訳ﾘｽﾄ(4～3月)'!K$26:K$982)</f>
        <v>0</v>
      </c>
      <c r="I27" s="158">
        <f>SUMIF('内訳ﾘｽﾄ(4～3月)'!$D$26:$D$982,$B27,'内訳ﾘｽﾄ(4～3月)'!L$26:L$982)</f>
        <v>0</v>
      </c>
      <c r="J27" s="158">
        <f>SUMIF('内訳ﾘｽﾄ(4～3月)'!$D$26:$D$982,$B27,'内訳ﾘｽﾄ(4～3月)'!M$26:M$982)</f>
        <v>0</v>
      </c>
      <c r="K27" s="158">
        <f>SUMIF('内訳ﾘｽﾄ(4～3月)'!$D$26:$D$982,$B27,'内訳ﾘｽﾄ(4～3月)'!N$26:N$982)</f>
        <v>0</v>
      </c>
      <c r="L27" s="158">
        <f>SUMIF('内訳ﾘｽﾄ(4～3月)'!$D$26:$D$982,$B27,'内訳ﾘｽﾄ(4～3月)'!O$26:O$982)</f>
        <v>0</v>
      </c>
      <c r="M27" s="158">
        <f>SUMIF('内訳ﾘｽﾄ(4～3月)'!$D$26:$D$982,$B27,'内訳ﾘｽﾄ(4～3月)'!P$26:P$982)</f>
        <v>0</v>
      </c>
      <c r="N27" s="158">
        <f>SUMIF('内訳ﾘｽﾄ(4～3月)'!$D$26:$D$982,$B27,'内訳ﾘｽﾄ(4～3月)'!Q$26:Q$982)</f>
        <v>0</v>
      </c>
      <c r="O27" s="158">
        <f>SUMIF('内訳ﾘｽﾄ(4～3月)'!$D$26:$D$781,'採算表(VND)'!$B27,'内訳ﾘｽﾄ(4～3月)'!R$26:R$781)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SUMIF('内訳ﾘｽﾄ(4～3月)'!$D$26:$D$982,$B28,'内訳ﾘｽﾄ(4～3月)'!F$26:F$982)</f>
        <v>800000</v>
      </c>
      <c r="D28" s="158">
        <f>SUMIF('内訳ﾘｽﾄ(4～3月)'!$D$26:$D$982,$B28,'内訳ﾘｽﾄ(4～3月)'!G$26:G$982)</f>
        <v>800000</v>
      </c>
      <c r="E28" s="158">
        <f>SUMIF('内訳ﾘｽﾄ(4～3月)'!$D$26:$D$982,$B28,'内訳ﾘｽﾄ(4～3月)'!H$26:H$982)</f>
        <v>800000</v>
      </c>
      <c r="F28" s="158">
        <f>SUMIF('内訳ﾘｽﾄ(4～3月)'!$D$26:$D$982,$B28,'内訳ﾘｽﾄ(4～3月)'!I$26:I$982)</f>
        <v>800000</v>
      </c>
      <c r="G28" s="158">
        <f>SUMIF('内訳ﾘｽﾄ(4～3月)'!$D$26:$D$982,$B28,'内訳ﾘｽﾄ(4～3月)'!J$26:J$982)</f>
        <v>800000</v>
      </c>
      <c r="H28" s="158">
        <f>SUMIF('内訳ﾘｽﾄ(4～3月)'!$D$26:$D$982,$B28,'内訳ﾘｽﾄ(4～3月)'!K$26:K$982)</f>
        <v>800000</v>
      </c>
      <c r="I28" s="158">
        <f>SUMIF('内訳ﾘｽﾄ(4～3月)'!$D$26:$D$982,$B28,'内訳ﾘｽﾄ(4～3月)'!L$26:L$982)</f>
        <v>800000</v>
      </c>
      <c r="J28" s="158">
        <f>SUMIF('内訳ﾘｽﾄ(4～3月)'!$D$26:$D$982,$B28,'内訳ﾘｽﾄ(4～3月)'!M$26:M$982)</f>
        <v>800000</v>
      </c>
      <c r="K28" s="158">
        <f>SUMIF('内訳ﾘｽﾄ(4～3月)'!$D$26:$D$982,$B28,'内訳ﾘｽﾄ(4～3月)'!N$26:N$982)</f>
        <v>800000</v>
      </c>
      <c r="L28" s="158">
        <f>SUMIF('内訳ﾘｽﾄ(4～3月)'!$D$26:$D$982,$B28,'内訳ﾘｽﾄ(4～3月)'!O$26:O$982)</f>
        <v>800000</v>
      </c>
      <c r="M28" s="158">
        <f>SUMIF('内訳ﾘｽﾄ(4～3月)'!$D$26:$D$982,$B28,'内訳ﾘｽﾄ(4～3月)'!P$26:P$982)</f>
        <v>800000</v>
      </c>
      <c r="N28" s="158">
        <f>SUMIF('内訳ﾘｽﾄ(4～3月)'!$D$26:$D$982,$B28,'内訳ﾘｽﾄ(4～3月)'!Q$26:Q$982)</f>
        <v>800000</v>
      </c>
      <c r="O28" s="158">
        <f>SUMIF('内訳ﾘｽﾄ(4～3月)'!$D$26:$D$781,'採算表(VND)'!$B28,'内訳ﾘｽﾄ(4～3月)'!R$26:R$781)</f>
        <v>9600000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SUMIF('内訳ﾘｽﾄ(4～3月)'!$D$26:$D$982,$B29,'内訳ﾘｽﾄ(4～3月)'!F$26:F$982)</f>
        <v>0</v>
      </c>
      <c r="D29" s="158">
        <f>SUMIF('内訳ﾘｽﾄ(4～3月)'!$D$26:$D$982,$B29,'内訳ﾘｽﾄ(4～3月)'!G$26:G$982)</f>
        <v>10500000</v>
      </c>
      <c r="E29" s="158">
        <f>SUMIF('内訳ﾘｽﾄ(4～3月)'!$D$26:$D$982,$B29,'内訳ﾘｽﾄ(4～3月)'!H$26:H$982)</f>
        <v>0</v>
      </c>
      <c r="F29" s="158">
        <f>SUMIF('内訳ﾘｽﾄ(4～3月)'!$D$26:$D$982,$B29,'内訳ﾘｽﾄ(4～3月)'!I$26:I$982)</f>
        <v>0</v>
      </c>
      <c r="G29" s="158">
        <f>SUMIF('内訳ﾘｽﾄ(4～3月)'!$D$26:$D$982,$B29,'内訳ﾘｽﾄ(4～3月)'!J$26:J$982)</f>
        <v>10500000</v>
      </c>
      <c r="H29" s="158">
        <f>SUMIF('内訳ﾘｽﾄ(4～3月)'!$D$26:$D$982,$B29,'内訳ﾘｽﾄ(4～3月)'!K$26:K$982)</f>
        <v>0</v>
      </c>
      <c r="I29" s="158">
        <f>SUMIF('内訳ﾘｽﾄ(4～3月)'!$D$26:$D$982,$B29,'内訳ﾘｽﾄ(4～3月)'!L$26:L$982)</f>
        <v>0</v>
      </c>
      <c r="J29" s="158">
        <f>SUMIF('内訳ﾘｽﾄ(4～3月)'!$D$26:$D$982,$B29,'内訳ﾘｽﾄ(4～3月)'!M$26:M$982)</f>
        <v>0</v>
      </c>
      <c r="K29" s="158">
        <f>SUMIF('内訳ﾘｽﾄ(4～3月)'!$D$26:$D$982,$B29,'内訳ﾘｽﾄ(4～3月)'!N$26:N$982)</f>
        <v>10500000</v>
      </c>
      <c r="L29" s="158">
        <f>SUMIF('内訳ﾘｽﾄ(4～3月)'!$D$26:$D$982,$B29,'内訳ﾘｽﾄ(4～3月)'!O$26:O$982)</f>
        <v>0</v>
      </c>
      <c r="M29" s="158">
        <f>SUMIF('内訳ﾘｽﾄ(4～3月)'!$D$26:$D$982,$B29,'内訳ﾘｽﾄ(4～3月)'!P$26:P$982)</f>
        <v>0</v>
      </c>
      <c r="N29" s="158">
        <f>SUMIF('内訳ﾘｽﾄ(4～3月)'!$D$26:$D$982,$B29,'内訳ﾘｽﾄ(4～3月)'!Q$26:Q$982)</f>
        <v>0</v>
      </c>
      <c r="O29" s="158">
        <f>SUMIF('内訳ﾘｽﾄ(4～3月)'!$D$26:$D$781,'採算表(VND)'!$B29,'内訳ﾘｽﾄ(4～3月)'!R$26:R$781)</f>
        <v>31500000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SUMIF('内訳ﾘｽﾄ(4～3月)'!$D$26:$D$982,$B30,'内訳ﾘｽﾄ(4～3月)'!F$26:F$982)</f>
        <v>13925490</v>
      </c>
      <c r="D30" s="158">
        <f>SUMIF('内訳ﾘｽﾄ(4～3月)'!$D$26:$D$982,$B30,'内訳ﾘｽﾄ(4～3月)'!G$26:G$982)</f>
        <v>14558105</v>
      </c>
      <c r="E30" s="158">
        <f>SUMIF('内訳ﾘｽﾄ(4～3月)'!$D$26:$D$982,$B30,'内訳ﾘｽﾄ(4～3月)'!H$26:H$982)</f>
        <v>18030175</v>
      </c>
      <c r="F30" s="158">
        <f>SUMIF('内訳ﾘｽﾄ(4～3月)'!$D$26:$D$982,$B30,'内訳ﾘｽﾄ(4～3月)'!I$26:I$982)</f>
        <v>20546406</v>
      </c>
      <c r="G30" s="158">
        <f>SUMIF('内訳ﾘｽﾄ(4～3月)'!$D$26:$D$982,$B30,'内訳ﾘｽﾄ(4～3月)'!J$26:J$982)</f>
        <v>21403287</v>
      </c>
      <c r="H30" s="158">
        <f>SUMIF('内訳ﾘｽﾄ(4～3月)'!$D$26:$D$982,$B30,'内訳ﾘｽﾄ(4～3月)'!K$26:K$982)</f>
        <v>19495672</v>
      </c>
      <c r="I30" s="158">
        <f>SUMIF('内訳ﾘｽﾄ(4～3月)'!$D$26:$D$982,$B30,'内訳ﾘｽﾄ(4～3月)'!L$26:L$982)</f>
        <v>18972241</v>
      </c>
      <c r="J30" s="158">
        <f>SUMIF('内訳ﾘｽﾄ(4～3月)'!$D$26:$D$982,$B30,'内訳ﾘｽﾄ(4～3月)'!M$26:M$982)</f>
        <v>18060025</v>
      </c>
      <c r="K30" s="158">
        <f>SUMIF('内訳ﾘｽﾄ(4～3月)'!$D$26:$D$982,$B30,'内訳ﾘｽﾄ(4～3月)'!N$26:N$982)</f>
        <v>17600140</v>
      </c>
      <c r="L30" s="158">
        <f>SUMIF('内訳ﾘｽﾄ(4～3月)'!$D$26:$D$982,$B30,'内訳ﾘｽﾄ(4～3月)'!O$26:O$982)</f>
        <v>16087945</v>
      </c>
      <c r="M30" s="158">
        <f>SUMIF('内訳ﾘｽﾄ(4～3月)'!$D$26:$D$982,$B30,'内訳ﾘｽﾄ(4～3月)'!P$26:P$982)</f>
        <v>15603452</v>
      </c>
      <c r="N30" s="158">
        <f>SUMIF('内訳ﾘｽﾄ(4～3月)'!$D$26:$D$982,$B30,'内訳ﾘｽﾄ(4～3月)'!Q$26:Q$982)</f>
        <v>13460264</v>
      </c>
      <c r="O30" s="158">
        <f>SUMIF('内訳ﾘｽﾄ(4～3月)'!$D$26:$D$781,'採算表(VND)'!$B30,'内訳ﾘｽﾄ(4～3月)'!R$26:R$781)</f>
        <v>207743202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SUMIF('内訳ﾘｽﾄ(4～3月)'!$D$26:$D$982,$B31,'内訳ﾘｽﾄ(4～3月)'!F$26:F$982)</f>
        <v>0</v>
      </c>
      <c r="D31" s="158">
        <f>SUMIF('内訳ﾘｽﾄ(4～3月)'!$D$26:$D$982,$B31,'内訳ﾘｽﾄ(4～3月)'!G$26:G$982)</f>
        <v>2000000</v>
      </c>
      <c r="E31" s="158">
        <f>SUMIF('内訳ﾘｽﾄ(4～3月)'!$D$26:$D$982,$B31,'内訳ﾘｽﾄ(4～3月)'!H$26:H$982)</f>
        <v>23000000</v>
      </c>
      <c r="F31" s="158">
        <f>SUMIF('内訳ﾘｽﾄ(4～3月)'!$D$26:$D$982,$B31,'内訳ﾘｽﾄ(4～3月)'!I$26:I$982)</f>
        <v>2000000</v>
      </c>
      <c r="G31" s="158">
        <f>SUMIF('内訳ﾘｽﾄ(4～3月)'!$D$26:$D$982,$B31,'内訳ﾘｽﾄ(4～3月)'!J$26:J$982)</f>
        <v>2150000</v>
      </c>
      <c r="H31" s="158">
        <f>SUMIF('内訳ﾘｽﾄ(4～3月)'!$D$26:$D$982,$B31,'内訳ﾘｽﾄ(4～3月)'!K$26:K$982)</f>
        <v>7430000</v>
      </c>
      <c r="I31" s="158">
        <f>SUMIF('内訳ﾘｽﾄ(4～3月)'!$D$26:$D$982,$B31,'内訳ﾘｽﾄ(4～3月)'!L$26:L$982)</f>
        <v>29250000</v>
      </c>
      <c r="J31" s="158">
        <f>SUMIF('内訳ﾘｽﾄ(4～3月)'!$D$26:$D$982,$B31,'内訳ﾘｽﾄ(4～3月)'!M$26:M$982)</f>
        <v>2000000</v>
      </c>
      <c r="K31" s="158">
        <f>SUMIF('内訳ﾘｽﾄ(4～3月)'!$D$26:$D$982,$B31,'内訳ﾘｽﾄ(4～3月)'!N$26:N$982)</f>
        <v>2000000</v>
      </c>
      <c r="L31" s="158">
        <f>SUMIF('内訳ﾘｽﾄ(4～3月)'!$D$26:$D$982,$B31,'内訳ﾘｽﾄ(4～3月)'!O$26:O$982)</f>
        <v>600000</v>
      </c>
      <c r="M31" s="158">
        <f>SUMIF('内訳ﾘｽﾄ(4～3月)'!$D$26:$D$982,$B31,'内訳ﾘｽﾄ(4～3月)'!P$26:P$982)</f>
        <v>0</v>
      </c>
      <c r="N31" s="158">
        <f>SUMIF('内訳ﾘｽﾄ(4～3月)'!$D$26:$D$982,$B31,'内訳ﾘｽﾄ(4～3月)'!Q$26:Q$982)</f>
        <v>0</v>
      </c>
      <c r="O31" s="158">
        <f>SUMIF('内訳ﾘｽﾄ(4～3月)'!$D$26:$D$781,'採算表(VND)'!$B31,'内訳ﾘｽﾄ(4～3月)'!R$26:R$781)</f>
        <v>70430000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SUMIF('内訳ﾘｽﾄ(4～3月)'!$D$26:$D$982,$B32,'内訳ﾘｽﾄ(4～3月)'!F$26:F$982)</f>
        <v>186054748</v>
      </c>
      <c r="D32" s="158">
        <f>SUMIF('内訳ﾘｽﾄ(4～3月)'!$D$26:$D$982,$B32,'内訳ﾘｽﾄ(4～3月)'!G$26:G$982)</f>
        <v>185104045</v>
      </c>
      <c r="E32" s="158">
        <f>SUMIF('内訳ﾘｽﾄ(4～3月)'!$D$26:$D$982,$B32,'内訳ﾘｽﾄ(4～3月)'!H$26:H$982)</f>
        <v>187005451</v>
      </c>
      <c r="F32" s="158">
        <f>SUMIF('内訳ﾘｽﾄ(4～3月)'!$D$26:$D$982,$B32,'内訳ﾘｽﾄ(4～3月)'!I$26:I$982)</f>
        <v>188906858</v>
      </c>
      <c r="G32" s="158">
        <f>SUMIF('内訳ﾘｽﾄ(4～3月)'!$D$26:$D$982,$B32,'内訳ﾘｽﾄ(4～3月)'!J$26:J$982)</f>
        <v>186054748</v>
      </c>
      <c r="H32" s="158">
        <f>SUMIF('内訳ﾘｽﾄ(4～3月)'!$D$26:$D$982,$B32,'内訳ﾘｽﾄ(4～3月)'!K$26:K$982)</f>
        <v>185104045</v>
      </c>
      <c r="I32" s="158">
        <f>SUMIF('内訳ﾘｽﾄ(4～3月)'!$D$26:$D$982,$B32,'内訳ﾘｽﾄ(4～3月)'!L$26:L$982)</f>
        <v>188906858</v>
      </c>
      <c r="J32" s="158">
        <f>SUMIF('内訳ﾘｽﾄ(4～3月)'!$D$26:$D$982,$B32,'内訳ﾘｽﾄ(4～3月)'!M$26:M$982)</f>
        <v>186054748</v>
      </c>
      <c r="K32" s="158">
        <f>SUMIF('内訳ﾘｽﾄ(4～3月)'!$D$26:$D$982,$B32,'内訳ﾘｽﾄ(4～3月)'!N$26:N$982)</f>
        <v>187956155</v>
      </c>
      <c r="L32" s="158">
        <f>SUMIF('内訳ﾘｽﾄ(4～3月)'!$D$26:$D$982,$B32,'内訳ﾘｽﾄ(4～3月)'!O$26:O$982)</f>
        <v>186054748</v>
      </c>
      <c r="M32" s="158">
        <f>SUMIF('内訳ﾘｽﾄ(4～3月)'!$D$26:$D$982,$B32,'内訳ﾘｽﾄ(4～3月)'!P$26:P$982)</f>
        <v>181301232</v>
      </c>
      <c r="N32" s="158">
        <f>SUMIF('内訳ﾘｽﾄ(4～3月)'!$D$26:$D$982,$B32,'内訳ﾘｽﾄ(4～3月)'!Q$26:Q$982)</f>
        <v>187005451</v>
      </c>
      <c r="O32" s="158">
        <f>SUMIF('内訳ﾘｽﾄ(4～3月)'!$D$26:$D$781,'採算表(VND)'!$B32,'内訳ﾘｽﾄ(4～3月)'!R$26:R$781)</f>
        <v>2235509087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SUMIF('内訳ﾘｽﾄ(4～3月)'!$D$26:$D$982,$B33,'内訳ﾘｽﾄ(4～3月)'!F$26:F$982)</f>
        <v>0</v>
      </c>
      <c r="D33" s="158">
        <f>SUMIF('内訳ﾘｽﾄ(4～3月)'!$D$26:$D$982,$B33,'内訳ﾘｽﾄ(4～3月)'!G$26:G$982)</f>
        <v>0</v>
      </c>
      <c r="E33" s="158">
        <f>SUMIF('内訳ﾘｽﾄ(4～3月)'!$D$26:$D$982,$B33,'内訳ﾘｽﾄ(4～3月)'!H$26:H$982)</f>
        <v>0</v>
      </c>
      <c r="F33" s="158">
        <f>SUMIF('内訳ﾘｽﾄ(4～3月)'!$D$26:$D$982,$B33,'内訳ﾘｽﾄ(4～3月)'!I$26:I$982)</f>
        <v>0</v>
      </c>
      <c r="G33" s="158">
        <f>SUMIF('内訳ﾘｽﾄ(4～3月)'!$D$26:$D$982,$B33,'内訳ﾘｽﾄ(4～3月)'!J$26:J$982)</f>
        <v>0</v>
      </c>
      <c r="H33" s="158">
        <f>SUMIF('内訳ﾘｽﾄ(4～3月)'!$D$26:$D$982,$B33,'内訳ﾘｽﾄ(4～3月)'!K$26:K$982)</f>
        <v>0</v>
      </c>
      <c r="I33" s="158">
        <f>SUMIF('内訳ﾘｽﾄ(4～3月)'!$D$26:$D$982,$B33,'内訳ﾘｽﾄ(4～3月)'!L$26:L$982)</f>
        <v>0</v>
      </c>
      <c r="J33" s="158">
        <f>SUMIF('内訳ﾘｽﾄ(4～3月)'!$D$26:$D$982,$B33,'内訳ﾘｽﾄ(4～3月)'!M$26:M$982)</f>
        <v>0</v>
      </c>
      <c r="K33" s="158">
        <f>SUMIF('内訳ﾘｽﾄ(4～3月)'!$D$26:$D$982,$B33,'内訳ﾘｽﾄ(4～3月)'!N$26:N$982)</f>
        <v>0</v>
      </c>
      <c r="L33" s="158">
        <f>SUMIF('内訳ﾘｽﾄ(4～3月)'!$D$26:$D$982,$B33,'内訳ﾘｽﾄ(4～3月)'!O$26:O$982)</f>
        <v>0</v>
      </c>
      <c r="M33" s="158">
        <f>SUMIF('内訳ﾘｽﾄ(4～3月)'!$D$26:$D$982,$B33,'内訳ﾘｽﾄ(4～3月)'!P$26:P$982)</f>
        <v>0</v>
      </c>
      <c r="N33" s="158">
        <f>SUMIF('内訳ﾘｽﾄ(4～3月)'!$D$26:$D$982,$B33,'内訳ﾘｽﾄ(4～3月)'!Q$26:Q$982)</f>
        <v>0</v>
      </c>
      <c r="O33" s="158">
        <f>SUMIF('内訳ﾘｽﾄ(4～3月)'!$D$26:$D$781,'採算表(VND)'!$B33,'内訳ﾘｽﾄ(4～3月)'!R$26:R$781)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SUMIF('内訳ﾘｽﾄ(4～3月)'!$D$26:$D$982,$B34,'内訳ﾘｽﾄ(4～3月)'!F$26:F$982)</f>
        <v>0</v>
      </c>
      <c r="D34" s="158">
        <f>SUMIF('内訳ﾘｽﾄ(4～3月)'!$D$26:$D$982,$B34,'内訳ﾘｽﾄ(4～3月)'!G$26:G$982)</f>
        <v>0</v>
      </c>
      <c r="E34" s="158">
        <f>SUMIF('内訳ﾘｽﾄ(4～3月)'!$D$26:$D$982,$B34,'内訳ﾘｽﾄ(4～3月)'!H$26:H$982)</f>
        <v>0</v>
      </c>
      <c r="F34" s="158">
        <f>SUMIF('内訳ﾘｽﾄ(4～3月)'!$D$26:$D$982,$B34,'内訳ﾘｽﾄ(4～3月)'!I$26:I$982)</f>
        <v>0</v>
      </c>
      <c r="G34" s="158">
        <f>SUMIF('内訳ﾘｽﾄ(4～3月)'!$D$26:$D$982,$B34,'内訳ﾘｽﾄ(4～3月)'!J$26:J$982)</f>
        <v>0</v>
      </c>
      <c r="H34" s="158">
        <f>SUMIF('内訳ﾘｽﾄ(4～3月)'!$D$26:$D$982,$B34,'内訳ﾘｽﾄ(4～3月)'!K$26:K$982)</f>
        <v>0</v>
      </c>
      <c r="I34" s="158">
        <f>SUMIF('内訳ﾘｽﾄ(4～3月)'!$D$26:$D$982,$B34,'内訳ﾘｽﾄ(4～3月)'!L$26:L$982)</f>
        <v>0</v>
      </c>
      <c r="J34" s="158">
        <f>SUMIF('内訳ﾘｽﾄ(4～3月)'!$D$26:$D$982,$B34,'内訳ﾘｽﾄ(4～3月)'!M$26:M$982)</f>
        <v>0</v>
      </c>
      <c r="K34" s="158">
        <f>SUMIF('内訳ﾘｽﾄ(4～3月)'!$D$26:$D$982,$B34,'内訳ﾘｽﾄ(4～3月)'!N$26:N$982)</f>
        <v>0</v>
      </c>
      <c r="L34" s="158">
        <f>SUMIF('内訳ﾘｽﾄ(4～3月)'!$D$26:$D$982,$B34,'内訳ﾘｽﾄ(4～3月)'!O$26:O$982)</f>
        <v>0</v>
      </c>
      <c r="M34" s="158">
        <f>SUMIF('内訳ﾘｽﾄ(4～3月)'!$D$26:$D$982,$B34,'内訳ﾘｽﾄ(4～3月)'!P$26:P$982)</f>
        <v>0</v>
      </c>
      <c r="N34" s="158">
        <f>SUMIF('内訳ﾘｽﾄ(4～3月)'!$D$26:$D$982,$B34,'内訳ﾘｽﾄ(4～3月)'!Q$26:Q$982)</f>
        <v>0</v>
      </c>
      <c r="O34" s="158">
        <f>SUMIF('内訳ﾘｽﾄ(4～3月)'!$D$26:$D$781,'採算表(VND)'!$B34,'内訳ﾘｽﾄ(4～3月)'!R$26:R$781)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SUMIF('内訳ﾘｽﾄ(4～3月)'!$D$26:$D$982,$B35,'内訳ﾘｽﾄ(4～3月)'!F$26:F$982)</f>
        <v>0</v>
      </c>
      <c r="D35" s="158">
        <f>SUMIF('内訳ﾘｽﾄ(4～3月)'!$D$26:$D$982,$B35,'内訳ﾘｽﾄ(4～3月)'!G$26:G$982)</f>
        <v>0</v>
      </c>
      <c r="E35" s="158">
        <f>SUMIF('内訳ﾘｽﾄ(4～3月)'!$D$26:$D$982,$B35,'内訳ﾘｽﾄ(4～3月)'!H$26:H$982)</f>
        <v>0</v>
      </c>
      <c r="F35" s="158">
        <f>SUMIF('内訳ﾘｽﾄ(4～3月)'!$D$26:$D$982,$B35,'内訳ﾘｽﾄ(4～3月)'!I$26:I$982)</f>
        <v>0</v>
      </c>
      <c r="G35" s="158">
        <f>SUMIF('内訳ﾘｽﾄ(4～3月)'!$D$26:$D$982,$B35,'内訳ﾘｽﾄ(4～3月)'!J$26:J$982)</f>
        <v>0</v>
      </c>
      <c r="H35" s="158">
        <f>SUMIF('内訳ﾘｽﾄ(4～3月)'!$D$26:$D$982,$B35,'内訳ﾘｽﾄ(4～3月)'!K$26:K$982)</f>
        <v>0</v>
      </c>
      <c r="I35" s="158">
        <f>SUMIF('内訳ﾘｽﾄ(4～3月)'!$D$26:$D$982,$B35,'内訳ﾘｽﾄ(4～3月)'!L$26:L$982)</f>
        <v>0</v>
      </c>
      <c r="J35" s="158">
        <f>SUMIF('内訳ﾘｽﾄ(4～3月)'!$D$26:$D$982,$B35,'内訳ﾘｽﾄ(4～3月)'!M$26:M$982)</f>
        <v>0</v>
      </c>
      <c r="K35" s="158">
        <f>SUMIF('内訳ﾘｽﾄ(4～3月)'!$D$26:$D$982,$B35,'内訳ﾘｽﾄ(4～3月)'!N$26:N$982)</f>
        <v>0</v>
      </c>
      <c r="L35" s="158">
        <f>SUMIF('内訳ﾘｽﾄ(4～3月)'!$D$26:$D$982,$B35,'内訳ﾘｽﾄ(4～3月)'!O$26:O$982)</f>
        <v>0</v>
      </c>
      <c r="M35" s="158">
        <f>SUMIF('内訳ﾘｽﾄ(4～3月)'!$D$26:$D$982,$B35,'内訳ﾘｽﾄ(4～3月)'!P$26:P$982)</f>
        <v>0</v>
      </c>
      <c r="N35" s="158">
        <f>SUMIF('内訳ﾘｽﾄ(4～3月)'!$D$26:$D$982,$B35,'内訳ﾘｽﾄ(4～3月)'!Q$26:Q$982)</f>
        <v>0</v>
      </c>
      <c r="O35" s="158">
        <f>SUMIF('内訳ﾘｽﾄ(4～3月)'!$D$26:$D$781,'採算表(VND)'!$B35,'内訳ﾘｽﾄ(4～3月)'!R$26:R$781)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SUMIF('内訳ﾘｽﾄ(4～3月)'!$D$26:$D$982,$B36,'内訳ﾘｽﾄ(4～3月)'!F$26:F$982)</f>
        <v>0</v>
      </c>
      <c r="D36" s="158">
        <f>SUMIF('内訳ﾘｽﾄ(4～3月)'!$D$26:$D$982,$B36,'内訳ﾘｽﾄ(4～3月)'!G$26:G$982)</f>
        <v>0</v>
      </c>
      <c r="E36" s="158">
        <f>SUMIF('内訳ﾘｽﾄ(4～3月)'!$D$26:$D$982,$B36,'内訳ﾘｽﾄ(4～3月)'!H$26:H$982)</f>
        <v>0</v>
      </c>
      <c r="F36" s="158">
        <f>SUMIF('内訳ﾘｽﾄ(4～3月)'!$D$26:$D$982,$B36,'内訳ﾘｽﾄ(4～3月)'!I$26:I$982)</f>
        <v>0</v>
      </c>
      <c r="G36" s="158">
        <f>SUMIF('内訳ﾘｽﾄ(4～3月)'!$D$26:$D$982,$B36,'内訳ﾘｽﾄ(4～3月)'!J$26:J$982)</f>
        <v>0</v>
      </c>
      <c r="H36" s="158">
        <f>SUMIF('内訳ﾘｽﾄ(4～3月)'!$D$26:$D$982,$B36,'内訳ﾘｽﾄ(4～3月)'!K$26:K$982)</f>
        <v>0</v>
      </c>
      <c r="I36" s="158">
        <f>SUMIF('内訳ﾘｽﾄ(4～3月)'!$D$26:$D$982,$B36,'内訳ﾘｽﾄ(4～3月)'!L$26:L$982)</f>
        <v>0</v>
      </c>
      <c r="J36" s="158">
        <f>SUMIF('内訳ﾘｽﾄ(4～3月)'!$D$26:$D$982,$B36,'内訳ﾘｽﾄ(4～3月)'!M$26:M$982)</f>
        <v>0</v>
      </c>
      <c r="K36" s="158">
        <f>SUMIF('内訳ﾘｽﾄ(4～3月)'!$D$26:$D$982,$B36,'内訳ﾘｽﾄ(4～3月)'!N$26:N$982)</f>
        <v>0</v>
      </c>
      <c r="L36" s="158">
        <f>SUMIF('内訳ﾘｽﾄ(4～3月)'!$D$26:$D$982,$B36,'内訳ﾘｽﾄ(4～3月)'!O$26:O$982)</f>
        <v>0</v>
      </c>
      <c r="M36" s="158">
        <f>SUMIF('内訳ﾘｽﾄ(4～3月)'!$D$26:$D$982,$B36,'内訳ﾘｽﾄ(4～3月)'!P$26:P$982)</f>
        <v>0</v>
      </c>
      <c r="N36" s="158">
        <f>SUMIF('内訳ﾘｽﾄ(4～3月)'!$D$26:$D$982,$B36,'内訳ﾘｽﾄ(4～3月)'!Q$26:Q$982)</f>
        <v>0</v>
      </c>
      <c r="O36" s="158">
        <f>SUMIF('内訳ﾘｽﾄ(4～3月)'!$D$26:$D$781,'採算表(VND)'!$B36,'内訳ﾘｽﾄ(4～3月)'!R$26:R$781)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SUMIF('内訳ﾘｽﾄ(4～3月)'!$D$26:$D$982,$B37,'内訳ﾘｽﾄ(4～3月)'!F$26:F$982)</f>
        <v>0</v>
      </c>
      <c r="D37" s="158">
        <f>SUMIF('内訳ﾘｽﾄ(4～3月)'!$D$26:$D$982,$B37,'内訳ﾘｽﾄ(4～3月)'!G$26:G$982)</f>
        <v>0</v>
      </c>
      <c r="E37" s="158">
        <f>SUMIF('内訳ﾘｽﾄ(4～3月)'!$D$26:$D$982,$B37,'内訳ﾘｽﾄ(4～3月)'!H$26:H$982)</f>
        <v>0</v>
      </c>
      <c r="F37" s="158">
        <f>SUMIF('内訳ﾘｽﾄ(4～3月)'!$D$26:$D$982,$B37,'内訳ﾘｽﾄ(4～3月)'!I$26:I$982)</f>
        <v>0</v>
      </c>
      <c r="G37" s="158">
        <f>SUMIF('内訳ﾘｽﾄ(4～3月)'!$D$26:$D$982,$B37,'内訳ﾘｽﾄ(4～3月)'!J$26:J$982)</f>
        <v>0</v>
      </c>
      <c r="H37" s="158">
        <f>SUMIF('内訳ﾘｽﾄ(4～3月)'!$D$26:$D$982,$B37,'内訳ﾘｽﾄ(4～3月)'!K$26:K$982)</f>
        <v>0</v>
      </c>
      <c r="I37" s="158">
        <f>SUMIF('内訳ﾘｽﾄ(4～3月)'!$D$26:$D$982,$B37,'内訳ﾘｽﾄ(4～3月)'!L$26:L$982)</f>
        <v>0</v>
      </c>
      <c r="J37" s="158">
        <f>SUMIF('内訳ﾘｽﾄ(4～3月)'!$D$26:$D$982,$B37,'内訳ﾘｽﾄ(4～3月)'!M$26:M$982)</f>
        <v>0</v>
      </c>
      <c r="K37" s="158">
        <f>SUMIF('内訳ﾘｽﾄ(4～3月)'!$D$26:$D$982,$B37,'内訳ﾘｽﾄ(4～3月)'!N$26:N$982)</f>
        <v>0</v>
      </c>
      <c r="L37" s="158">
        <f>SUMIF('内訳ﾘｽﾄ(4～3月)'!$D$26:$D$982,$B37,'内訳ﾘｽﾄ(4～3月)'!O$26:O$982)</f>
        <v>0</v>
      </c>
      <c r="M37" s="158">
        <f>SUMIF('内訳ﾘｽﾄ(4～3月)'!$D$26:$D$982,$B37,'内訳ﾘｽﾄ(4～3月)'!P$26:P$982)</f>
        <v>0</v>
      </c>
      <c r="N37" s="158">
        <f>SUMIF('内訳ﾘｽﾄ(4～3月)'!$D$26:$D$982,$B37,'内訳ﾘｽﾄ(4～3月)'!Q$26:Q$982)</f>
        <v>0</v>
      </c>
      <c r="O37" s="158">
        <f>SUMIF('内訳ﾘｽﾄ(4～3月)'!$D$26:$D$781,'採算表(VND)'!$B37,'内訳ﾘｽﾄ(4～3月)'!R$26:R$781)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SUMIF('内訳ﾘｽﾄ(4～3月)'!$D$26:$D$982,$B38,'内訳ﾘｽﾄ(4～3月)'!F$26:F$982)</f>
        <v>0</v>
      </c>
      <c r="D38" s="158">
        <f>SUMIF('内訳ﾘｽﾄ(4～3月)'!$D$26:$D$982,$B38,'内訳ﾘｽﾄ(4～3月)'!G$26:G$982)</f>
        <v>0</v>
      </c>
      <c r="E38" s="158">
        <f>SUMIF('内訳ﾘｽﾄ(4～3月)'!$D$26:$D$982,$B38,'内訳ﾘｽﾄ(4～3月)'!H$26:H$982)</f>
        <v>0</v>
      </c>
      <c r="F38" s="158">
        <f>SUMIF('内訳ﾘｽﾄ(4～3月)'!$D$26:$D$982,$B38,'内訳ﾘｽﾄ(4～3月)'!I$26:I$982)</f>
        <v>0</v>
      </c>
      <c r="G38" s="158">
        <f>SUMIF('内訳ﾘｽﾄ(4～3月)'!$D$26:$D$982,$B38,'内訳ﾘｽﾄ(4～3月)'!J$26:J$982)</f>
        <v>0</v>
      </c>
      <c r="H38" s="158">
        <f>SUMIF('内訳ﾘｽﾄ(4～3月)'!$D$26:$D$982,$B38,'内訳ﾘｽﾄ(4～3月)'!K$26:K$982)</f>
        <v>0</v>
      </c>
      <c r="I38" s="158">
        <f>SUMIF('内訳ﾘｽﾄ(4～3月)'!$D$26:$D$982,$B38,'内訳ﾘｽﾄ(4～3月)'!L$26:L$982)</f>
        <v>0</v>
      </c>
      <c r="J38" s="158">
        <f>SUMIF('内訳ﾘｽﾄ(4～3月)'!$D$26:$D$982,$B38,'内訳ﾘｽﾄ(4～3月)'!M$26:M$982)</f>
        <v>0</v>
      </c>
      <c r="K38" s="158">
        <f>SUMIF('内訳ﾘｽﾄ(4～3月)'!$D$26:$D$982,$B38,'内訳ﾘｽﾄ(4～3月)'!N$26:N$982)</f>
        <v>0</v>
      </c>
      <c r="L38" s="158">
        <f>SUMIF('内訳ﾘｽﾄ(4～3月)'!$D$26:$D$982,$B38,'内訳ﾘｽﾄ(4～3月)'!O$26:O$982)</f>
        <v>0</v>
      </c>
      <c r="M38" s="158">
        <f>SUMIF('内訳ﾘｽﾄ(4～3月)'!$D$26:$D$982,$B38,'内訳ﾘｽﾄ(4～3月)'!P$26:P$982)</f>
        <v>0</v>
      </c>
      <c r="N38" s="158">
        <f>SUMIF('内訳ﾘｽﾄ(4～3月)'!$D$26:$D$982,$B38,'内訳ﾘｽﾄ(4～3月)'!Q$26:Q$982)</f>
        <v>0</v>
      </c>
      <c r="O38" s="158">
        <f>SUMIF('内訳ﾘｽﾄ(4～3月)'!$D$26:$D$781,'採算表(VND)'!$B38,'内訳ﾘｽﾄ(4～3月)'!R$26:R$781)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SUMIF('内訳ﾘｽﾄ(4～3月)'!$D$26:$D$982,$B39,'内訳ﾘｽﾄ(4～3月)'!F$26:F$982)</f>
        <v>1518669</v>
      </c>
      <c r="D39" s="158">
        <f>SUMIF('内訳ﾘｽﾄ(4～3月)'!$D$26:$D$982,$B39,'内訳ﾘｽﾄ(4～3月)'!G$26:G$982)</f>
        <v>1750322</v>
      </c>
      <c r="E39" s="158">
        <f>SUMIF('内訳ﾘｽﾄ(4～3月)'!$D$26:$D$982,$B39,'内訳ﾘｽﾄ(4～3月)'!H$26:H$982)</f>
        <v>351404231</v>
      </c>
      <c r="F39" s="158">
        <f>SUMIF('内訳ﾘｽﾄ(4～3月)'!$D$26:$D$982,$B39,'内訳ﾘｽﾄ(4～3月)'!I$26:I$982)</f>
        <v>1652486</v>
      </c>
      <c r="G39" s="158">
        <f>SUMIF('内訳ﾘｽﾄ(4～3月)'!$D$26:$D$982,$B39,'内訳ﾘｽﾄ(4～3月)'!J$26:J$982)</f>
        <v>2386986</v>
      </c>
      <c r="H39" s="158">
        <f>SUMIF('内訳ﾘｽﾄ(4～3月)'!$D$26:$D$982,$B39,'内訳ﾘｽﾄ(4～3月)'!K$26:K$982)</f>
        <v>2408640</v>
      </c>
      <c r="I39" s="158">
        <f>SUMIF('内訳ﾘｽﾄ(4～3月)'!$D$26:$D$982,$B39,'内訳ﾘｽﾄ(4～3月)'!L$26:L$982)</f>
        <v>2181872</v>
      </c>
      <c r="J39" s="158">
        <f>SUMIF('内訳ﾘｽﾄ(4～3月)'!$D$26:$D$982,$B39,'内訳ﾘｽﾄ(4～3月)'!M$26:M$982)</f>
        <v>2201668</v>
      </c>
      <c r="K39" s="158">
        <f>SUMIF('内訳ﾘｽﾄ(4～3月)'!$D$26:$D$982,$B39,'内訳ﾘｽﾄ(4～3月)'!N$26:N$982)</f>
        <v>2207919</v>
      </c>
      <c r="L39" s="158">
        <f>SUMIF('内訳ﾘｽﾄ(4～3月)'!$D$26:$D$982,$B39,'内訳ﾘｽﾄ(4～3月)'!O$26:O$982)</f>
        <v>2113496</v>
      </c>
      <c r="M39" s="158">
        <f>SUMIF('内訳ﾘｽﾄ(4～3月)'!$D$26:$D$982,$B39,'内訳ﾘｽﾄ(4～3月)'!P$26:P$982)</f>
        <v>2553720</v>
      </c>
      <c r="N39" s="158">
        <f>SUMIF('内訳ﾘｽﾄ(4～3月)'!$D$26:$D$982,$B39,'内訳ﾘｽﾄ(4～3月)'!Q$26:Q$982)</f>
        <v>2672400</v>
      </c>
      <c r="O39" s="158">
        <f>SUMIF('内訳ﾘｽﾄ(4～3月)'!$D$26:$D$781,'採算表(VND)'!$B39,'内訳ﾘｽﾄ(4～3月)'!R$26:R$781)</f>
        <v>375052409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SUMIF('内訳ﾘｽﾄ(4～3月)'!$D$26:$D$982,$B40,'内訳ﾘｽﾄ(4～3月)'!F$26:F$982)</f>
        <v>0</v>
      </c>
      <c r="D40" s="158">
        <f>SUMIF('内訳ﾘｽﾄ(4～3月)'!$D$26:$D$982,$B40,'内訳ﾘｽﾄ(4～3月)'!G$26:G$982)</f>
        <v>0</v>
      </c>
      <c r="E40" s="158">
        <f>SUMIF('内訳ﾘｽﾄ(4～3月)'!$D$26:$D$982,$B40,'内訳ﾘｽﾄ(4～3月)'!H$26:H$982)</f>
        <v>0</v>
      </c>
      <c r="F40" s="158">
        <f>SUMIF('内訳ﾘｽﾄ(4～3月)'!$D$26:$D$982,$B40,'内訳ﾘｽﾄ(4～3月)'!I$26:I$982)</f>
        <v>0</v>
      </c>
      <c r="G40" s="158">
        <f>SUMIF('内訳ﾘｽﾄ(4～3月)'!$D$26:$D$982,$B40,'内訳ﾘｽﾄ(4～3月)'!J$26:J$982)</f>
        <v>0</v>
      </c>
      <c r="H40" s="158">
        <f>SUMIF('内訳ﾘｽﾄ(4～3月)'!$D$26:$D$982,$B40,'内訳ﾘｽﾄ(4～3月)'!K$26:K$982)</f>
        <v>0</v>
      </c>
      <c r="I40" s="158">
        <f>SUMIF('内訳ﾘｽﾄ(4～3月)'!$D$26:$D$982,$B40,'内訳ﾘｽﾄ(4～3月)'!L$26:L$982)</f>
        <v>0</v>
      </c>
      <c r="J40" s="158">
        <f>SUMIF('内訳ﾘｽﾄ(4～3月)'!$D$26:$D$982,$B40,'内訳ﾘｽﾄ(4～3月)'!M$26:M$982)</f>
        <v>0</v>
      </c>
      <c r="K40" s="158">
        <f>SUMIF('内訳ﾘｽﾄ(4～3月)'!$D$26:$D$982,$B40,'内訳ﾘｽﾄ(4～3月)'!N$26:N$982)</f>
        <v>0</v>
      </c>
      <c r="L40" s="158">
        <f>SUMIF('内訳ﾘｽﾄ(4～3月)'!$D$26:$D$982,$B40,'内訳ﾘｽﾄ(4～3月)'!O$26:O$982)</f>
        <v>0</v>
      </c>
      <c r="M40" s="158">
        <f>SUMIF('内訳ﾘｽﾄ(4～3月)'!$D$26:$D$982,$B40,'内訳ﾘｽﾄ(4～3月)'!P$26:P$982)</f>
        <v>0</v>
      </c>
      <c r="N40" s="158">
        <f>SUMIF('内訳ﾘｽﾄ(4～3月)'!$D$26:$D$982,$B40,'内訳ﾘｽﾄ(4～3月)'!Q$26:Q$982)</f>
        <v>0</v>
      </c>
      <c r="O40" s="158">
        <f>SUMIF('内訳ﾘｽﾄ(4～3月)'!$D$26:$D$781,'採算表(VND)'!$B40,'内訳ﾘｽﾄ(4～3月)'!R$26:R$781)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SUMIF('内訳ﾘｽﾄ(4～3月)'!$D$26:$D$982,$B41,'内訳ﾘｽﾄ(4～3月)'!F$26:F$982)</f>
        <v>845000</v>
      </c>
      <c r="D41" s="158">
        <f>SUMIF('内訳ﾘｽﾄ(4～3月)'!$D$26:$D$982,$B41,'内訳ﾘｽﾄ(4～3月)'!G$26:G$982)</f>
        <v>845000</v>
      </c>
      <c r="E41" s="158">
        <f>SUMIF('内訳ﾘｽﾄ(4～3月)'!$D$26:$D$982,$B41,'内訳ﾘｽﾄ(4～3月)'!H$26:H$982)</f>
        <v>845000</v>
      </c>
      <c r="F41" s="158">
        <f>SUMIF('内訳ﾘｽﾄ(4～3月)'!$D$26:$D$982,$B41,'内訳ﾘｽﾄ(4～3月)'!I$26:I$982)</f>
        <v>845000</v>
      </c>
      <c r="G41" s="158">
        <f>SUMIF('内訳ﾘｽﾄ(4～3月)'!$D$26:$D$982,$B41,'内訳ﾘｽﾄ(4～3月)'!J$26:J$982)</f>
        <v>845000</v>
      </c>
      <c r="H41" s="158">
        <f>SUMIF('内訳ﾘｽﾄ(4～3月)'!$D$26:$D$982,$B41,'内訳ﾘｽﾄ(4～3月)'!K$26:K$982)</f>
        <v>845000</v>
      </c>
      <c r="I41" s="158">
        <f>SUMIF('内訳ﾘｽﾄ(4～3月)'!$D$26:$D$982,$B41,'内訳ﾘｽﾄ(4～3月)'!L$26:L$982)</f>
        <v>845000</v>
      </c>
      <c r="J41" s="158">
        <f>SUMIF('内訳ﾘｽﾄ(4～3月)'!$D$26:$D$982,$B41,'内訳ﾘｽﾄ(4～3月)'!M$26:M$982)</f>
        <v>845000</v>
      </c>
      <c r="K41" s="158">
        <f>SUMIF('内訳ﾘｽﾄ(4～3月)'!$D$26:$D$982,$B41,'内訳ﾘｽﾄ(4～3月)'!N$26:N$982)</f>
        <v>845000</v>
      </c>
      <c r="L41" s="158">
        <f>SUMIF('内訳ﾘｽﾄ(4～3月)'!$D$26:$D$982,$B41,'内訳ﾘｽﾄ(4～3月)'!O$26:O$982)</f>
        <v>845000</v>
      </c>
      <c r="M41" s="158">
        <f>SUMIF('内訳ﾘｽﾄ(4～3月)'!$D$26:$D$982,$B41,'内訳ﾘｽﾄ(4～3月)'!P$26:P$982)</f>
        <v>845000</v>
      </c>
      <c r="N41" s="158">
        <f>SUMIF('内訳ﾘｽﾄ(4～3月)'!$D$26:$D$982,$B41,'内訳ﾘｽﾄ(4～3月)'!Q$26:Q$982)</f>
        <v>845000</v>
      </c>
      <c r="O41" s="158">
        <f>SUMIF('内訳ﾘｽﾄ(4～3月)'!$D$26:$D$781,'採算表(VND)'!$B41,'内訳ﾘｽﾄ(4～3月)'!R$26:R$781)</f>
        <v>10140000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SUMIF('内訳ﾘｽﾄ(4～3月)'!$D$26:$D$982,$B42,'内訳ﾘｽﾄ(4～3月)'!F$26:F$982)</f>
        <v>2423185</v>
      </c>
      <c r="D42" s="158">
        <f>SUMIF('内訳ﾘｽﾄ(4～3月)'!$D$26:$D$982,$B42,'内訳ﾘｽﾄ(4～3月)'!G$26:G$982)</f>
        <v>2036785</v>
      </c>
      <c r="E42" s="158">
        <f>SUMIF('内訳ﾘｽﾄ(4～3月)'!$D$26:$D$982,$B42,'内訳ﾘｽﾄ(4～3月)'!H$26:H$982)</f>
        <v>2036785</v>
      </c>
      <c r="F42" s="158">
        <f>SUMIF('内訳ﾘｽﾄ(4～3月)'!$D$26:$D$982,$B42,'内訳ﾘｽﾄ(4～3月)'!I$26:I$982)</f>
        <v>3485785</v>
      </c>
      <c r="G42" s="158">
        <f>SUMIF('内訳ﾘｽﾄ(4～3月)'!$D$26:$D$982,$B42,'内訳ﾘｽﾄ(4～3月)'!J$26:J$982)</f>
        <v>2036785</v>
      </c>
      <c r="H42" s="158">
        <f>SUMIF('内訳ﾘｽﾄ(4～3月)'!$D$26:$D$982,$B42,'内訳ﾘｽﾄ(4～3月)'!K$26:K$982)</f>
        <v>2036785</v>
      </c>
      <c r="I42" s="158">
        <f>SUMIF('内訳ﾘｽﾄ(4～3月)'!$D$26:$D$982,$B42,'内訳ﾘｽﾄ(4～3月)'!L$26:L$982)</f>
        <v>2133385</v>
      </c>
      <c r="J42" s="158">
        <f>SUMIF('内訳ﾘｽﾄ(4～3月)'!$D$26:$D$982,$B42,'内訳ﾘｽﾄ(4～3月)'!M$26:M$982)</f>
        <v>2074385</v>
      </c>
      <c r="K42" s="158">
        <f>SUMIF('内訳ﾘｽﾄ(4～3月)'!$D$26:$D$982,$B42,'内訳ﾘｽﾄ(4～3月)'!N$26:N$982)</f>
        <v>2036785</v>
      </c>
      <c r="L42" s="158">
        <f>SUMIF('内訳ﾘｽﾄ(4～3月)'!$D$26:$D$982,$B42,'内訳ﾘｽﾄ(4～3月)'!O$26:O$982)</f>
        <v>3292585</v>
      </c>
      <c r="M42" s="158">
        <f>SUMIF('内訳ﾘｽﾄ(4～3月)'!$D$26:$D$982,$B42,'内訳ﾘｽﾄ(4～3月)'!P$26:P$982)</f>
        <v>2036785</v>
      </c>
      <c r="N42" s="158">
        <f>SUMIF('内訳ﾘｽﾄ(4～3月)'!$D$26:$D$982,$B42,'内訳ﾘｽﾄ(4～3月)'!Q$26:Q$982)</f>
        <v>2036785</v>
      </c>
      <c r="O42" s="158">
        <f>SUMIF('内訳ﾘｽﾄ(4～3月)'!$D$26:$D$781,'採算表(VND)'!$B42,'内訳ﾘｽﾄ(4～3月)'!R$26:R$781)</f>
        <v>27666820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SUMIF('内訳ﾘｽﾄ(4～3月)'!$D$26:$D$982,$B43,'内訳ﾘｽﾄ(4～3月)'!F$26:F$982)</f>
        <v>0</v>
      </c>
      <c r="D43" s="158">
        <f>SUMIF('内訳ﾘｽﾄ(4～3月)'!$D$26:$D$982,$B43,'内訳ﾘｽﾄ(4～3月)'!G$26:G$982)</f>
        <v>0</v>
      </c>
      <c r="E43" s="158">
        <f>SUMIF('内訳ﾘｽﾄ(4～3月)'!$D$26:$D$982,$B43,'内訳ﾘｽﾄ(4～3月)'!H$26:H$982)</f>
        <v>0</v>
      </c>
      <c r="F43" s="158">
        <f>SUMIF('内訳ﾘｽﾄ(4～3月)'!$D$26:$D$982,$B43,'内訳ﾘｽﾄ(4～3月)'!I$26:I$982)</f>
        <v>0</v>
      </c>
      <c r="G43" s="158">
        <f>SUMIF('内訳ﾘｽﾄ(4～3月)'!$D$26:$D$982,$B43,'内訳ﾘｽﾄ(4～3月)'!J$26:J$982)</f>
        <v>0</v>
      </c>
      <c r="H43" s="158">
        <f>SUMIF('内訳ﾘｽﾄ(4～3月)'!$D$26:$D$982,$B43,'内訳ﾘｽﾄ(4～3月)'!K$26:K$982)</f>
        <v>0</v>
      </c>
      <c r="I43" s="158">
        <f>SUMIF('内訳ﾘｽﾄ(4～3月)'!$D$26:$D$982,$B43,'内訳ﾘｽﾄ(4～3月)'!L$26:L$982)</f>
        <v>0</v>
      </c>
      <c r="J43" s="158">
        <f>SUMIF('内訳ﾘｽﾄ(4～3月)'!$D$26:$D$982,$B43,'内訳ﾘｽﾄ(4～3月)'!M$26:M$982)</f>
        <v>0</v>
      </c>
      <c r="K43" s="158">
        <f>SUMIF('内訳ﾘｽﾄ(4～3月)'!$D$26:$D$982,$B43,'内訳ﾘｽﾄ(4～3月)'!N$26:N$982)</f>
        <v>0</v>
      </c>
      <c r="L43" s="158">
        <f>SUMIF('内訳ﾘｽﾄ(4～3月)'!$D$26:$D$982,$B43,'内訳ﾘｽﾄ(4～3月)'!O$26:O$982)</f>
        <v>0</v>
      </c>
      <c r="M43" s="158">
        <f>SUMIF('内訳ﾘｽﾄ(4～3月)'!$D$26:$D$982,$B43,'内訳ﾘｽﾄ(4～3月)'!P$26:P$982)</f>
        <v>0</v>
      </c>
      <c r="N43" s="158">
        <f>SUMIF('内訳ﾘｽﾄ(4～3月)'!$D$26:$D$982,$B43,'内訳ﾘｽﾄ(4～3月)'!Q$26:Q$982)</f>
        <v>0</v>
      </c>
      <c r="O43" s="158">
        <f>SUMIF('内訳ﾘｽﾄ(4～3月)'!$D$26:$D$781,'採算表(VND)'!$B43,'内訳ﾘｽﾄ(4～3月)'!R$26:R$781)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SUMIF('内訳ﾘｽﾄ(4～3月)'!$D$26:$D$982,$B44,'内訳ﾘｽﾄ(4～3月)'!F$26:F$982)</f>
        <v>27888556</v>
      </c>
      <c r="D44" s="158">
        <f>SUMIF('内訳ﾘｽﾄ(4～3月)'!$D$26:$D$982,$B44,'内訳ﾘｽﾄ(4～3月)'!G$26:G$982)</f>
        <v>64126026</v>
      </c>
      <c r="E44" s="158">
        <f>SUMIF('内訳ﾘｽﾄ(4～3月)'!$D$26:$D$982,$B44,'内訳ﾘｽﾄ(4～3月)'!H$26:H$982)</f>
        <v>4818588</v>
      </c>
      <c r="F44" s="158">
        <f>SUMIF('内訳ﾘｽﾄ(4～3月)'!$D$26:$D$982,$B44,'内訳ﾘｽﾄ(4～3月)'!I$26:I$982)</f>
        <v>23839560</v>
      </c>
      <c r="G44" s="158">
        <f>SUMIF('内訳ﾘｽﾄ(4～3月)'!$D$26:$D$982,$B44,'内訳ﾘｽﾄ(4～3月)'!J$26:J$982)</f>
        <v>5292996</v>
      </c>
      <c r="H44" s="158">
        <f>SUMIF('内訳ﾘｽﾄ(4～3月)'!$D$26:$D$982,$B44,'内訳ﾘｽﾄ(4～3月)'!K$26:K$982)</f>
        <v>11624358</v>
      </c>
      <c r="I44" s="158">
        <f>SUMIF('内訳ﾘｽﾄ(4～3月)'!$D$26:$D$982,$B44,'内訳ﾘｽﾄ(4～3月)'!L$26:L$982)</f>
        <v>12803802</v>
      </c>
      <c r="J44" s="158">
        <f>SUMIF('内訳ﾘｽﾄ(4～3月)'!$D$26:$D$982,$B44,'内訳ﾘｽﾄ(4～3月)'!M$26:M$982)</f>
        <v>10050562</v>
      </c>
      <c r="K44" s="158">
        <f>SUMIF('内訳ﾘｽﾄ(4～3月)'!$D$26:$D$982,$B44,'内訳ﾘｽﾄ(4～3月)'!N$26:N$982)</f>
        <v>5125716</v>
      </c>
      <c r="L44" s="158">
        <f>SUMIF('内訳ﾘｽﾄ(4～3月)'!$D$26:$D$982,$B44,'内訳ﾘｽﾄ(4～3月)'!O$26:O$982)</f>
        <v>18691782</v>
      </c>
      <c r="M44" s="158">
        <f>SUMIF('内訳ﾘｽﾄ(4～3月)'!$D$26:$D$982,$B44,'内訳ﾘｽﾄ(4～3月)'!P$26:P$982)</f>
        <v>39719250</v>
      </c>
      <c r="N44" s="158">
        <f>SUMIF('内訳ﾘｽﾄ(4～3月)'!$D$26:$D$982,$B44,'内訳ﾘｽﾄ(4～3月)'!Q$26:Q$982)</f>
        <v>4210560</v>
      </c>
      <c r="O44" s="158">
        <f>SUMIF('内訳ﾘｽﾄ(4～3月)'!$D$26:$D$781,'採算表(VND)'!$B44,'内訳ﾘｽﾄ(4～3月)'!R$26:R$781)</f>
        <v>228191756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SUMIF('内訳ﾘｽﾄ(4～3月)'!$D$26:$D$982,$B45,'内訳ﾘｽﾄ(4～3月)'!F$26:F$982)</f>
        <v>0</v>
      </c>
      <c r="D45" s="158">
        <f>SUMIF('内訳ﾘｽﾄ(4～3月)'!$D$26:$D$982,$B45,'内訳ﾘｽﾄ(4～3月)'!G$26:G$982)</f>
        <v>0</v>
      </c>
      <c r="E45" s="158">
        <f>SUMIF('内訳ﾘｽﾄ(4～3月)'!$D$26:$D$982,$B45,'内訳ﾘｽﾄ(4～3月)'!H$26:H$982)</f>
        <v>0</v>
      </c>
      <c r="F45" s="158">
        <f>SUMIF('内訳ﾘｽﾄ(4～3月)'!$D$26:$D$982,$B45,'内訳ﾘｽﾄ(4～3月)'!I$26:I$982)</f>
        <v>0</v>
      </c>
      <c r="G45" s="158">
        <f>SUMIF('内訳ﾘｽﾄ(4～3月)'!$D$26:$D$982,$B45,'内訳ﾘｽﾄ(4～3月)'!J$26:J$982)</f>
        <v>0</v>
      </c>
      <c r="H45" s="158">
        <f>SUMIF('内訳ﾘｽﾄ(4～3月)'!$D$26:$D$982,$B45,'内訳ﾘｽﾄ(4～3月)'!K$26:K$982)</f>
        <v>0</v>
      </c>
      <c r="I45" s="158">
        <f>SUMIF('内訳ﾘｽﾄ(4～3月)'!$D$26:$D$982,$B45,'内訳ﾘｽﾄ(4～3月)'!L$26:L$982)</f>
        <v>0</v>
      </c>
      <c r="J45" s="158">
        <f>SUMIF('内訳ﾘｽﾄ(4～3月)'!$D$26:$D$982,$B45,'内訳ﾘｽﾄ(4～3月)'!M$26:M$982)</f>
        <v>0</v>
      </c>
      <c r="K45" s="158">
        <f>SUMIF('内訳ﾘｽﾄ(4～3月)'!$D$26:$D$982,$B45,'内訳ﾘｽﾄ(4～3月)'!N$26:N$982)</f>
        <v>0</v>
      </c>
      <c r="L45" s="158">
        <f>SUMIF('内訳ﾘｽﾄ(4～3月)'!$D$26:$D$982,$B45,'内訳ﾘｽﾄ(4～3月)'!O$26:O$982)</f>
        <v>0</v>
      </c>
      <c r="M45" s="158">
        <f>SUMIF('内訳ﾘｽﾄ(4～3月)'!$D$26:$D$982,$B45,'内訳ﾘｽﾄ(4～3月)'!P$26:P$982)</f>
        <v>0</v>
      </c>
      <c r="N45" s="158">
        <f>SUMIF('内訳ﾘｽﾄ(4～3月)'!$D$26:$D$982,$B45,'内訳ﾘｽﾄ(4～3月)'!Q$26:Q$982)</f>
        <v>0</v>
      </c>
      <c r="O45" s="158">
        <f>SUMIF('内訳ﾘｽﾄ(4～3月)'!$D$26:$D$781,'採算表(VND)'!$B45,'内訳ﾘｽﾄ(4～3月)'!R$26:R$781)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SUMIF('内訳ﾘｽﾄ(4～3月)'!$D$26:$D$982,$B46,'内訳ﾘｽﾄ(4～3月)'!F$26:F$982)</f>
        <v>0</v>
      </c>
      <c r="D46" s="158">
        <f>SUMIF('内訳ﾘｽﾄ(4～3月)'!$D$26:$D$982,$B46,'内訳ﾘｽﾄ(4～3月)'!G$26:G$982)</f>
        <v>0</v>
      </c>
      <c r="E46" s="158">
        <f>SUMIF('内訳ﾘｽﾄ(4～3月)'!$D$26:$D$982,$B46,'内訳ﾘｽﾄ(4～3月)'!H$26:H$982)</f>
        <v>0</v>
      </c>
      <c r="F46" s="158">
        <f>SUMIF('内訳ﾘｽﾄ(4～3月)'!$D$26:$D$982,$B46,'内訳ﾘｽﾄ(4～3月)'!I$26:I$982)</f>
        <v>0</v>
      </c>
      <c r="G46" s="158">
        <f>SUMIF('内訳ﾘｽﾄ(4～3月)'!$D$26:$D$982,$B46,'内訳ﾘｽﾄ(4～3月)'!J$26:J$982)</f>
        <v>0</v>
      </c>
      <c r="H46" s="158">
        <f>SUMIF('内訳ﾘｽﾄ(4～3月)'!$D$26:$D$982,$B46,'内訳ﾘｽﾄ(4～3月)'!K$26:K$982)</f>
        <v>0</v>
      </c>
      <c r="I46" s="158">
        <f>SUMIF('内訳ﾘｽﾄ(4～3月)'!$D$26:$D$982,$B46,'内訳ﾘｽﾄ(4～3月)'!L$26:L$982)</f>
        <v>0</v>
      </c>
      <c r="J46" s="158">
        <f>SUMIF('内訳ﾘｽﾄ(4～3月)'!$D$26:$D$982,$B46,'内訳ﾘｽﾄ(4～3月)'!M$26:M$982)</f>
        <v>0</v>
      </c>
      <c r="K46" s="158">
        <f>SUMIF('内訳ﾘｽﾄ(4～3月)'!$D$26:$D$982,$B46,'内訳ﾘｽﾄ(4～3月)'!N$26:N$982)</f>
        <v>0</v>
      </c>
      <c r="L46" s="158">
        <f>SUMIF('内訳ﾘｽﾄ(4～3月)'!$D$26:$D$982,$B46,'内訳ﾘｽﾄ(4～3月)'!O$26:O$982)</f>
        <v>0</v>
      </c>
      <c r="M46" s="158">
        <f>SUMIF('内訳ﾘｽﾄ(4～3月)'!$D$26:$D$982,$B46,'内訳ﾘｽﾄ(4～3月)'!P$26:P$982)</f>
        <v>0</v>
      </c>
      <c r="N46" s="158">
        <f>SUMIF('内訳ﾘｽﾄ(4～3月)'!$D$26:$D$982,$B46,'内訳ﾘｽﾄ(4～3月)'!Q$26:Q$982)</f>
        <v>0</v>
      </c>
      <c r="O46" s="158">
        <f>SUMIF('内訳ﾘｽﾄ(4～3月)'!$D$26:$D$781,'採算表(VND)'!$B46,'内訳ﾘｽﾄ(4～3月)'!R$26:R$781)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SUMIF('内訳ﾘｽﾄ(4～3月)'!$D$26:$D$982,$B47,'内訳ﾘｽﾄ(4～3月)'!F$26:F$982)</f>
        <v>0</v>
      </c>
      <c r="D47" s="158">
        <f>SUMIF('内訳ﾘｽﾄ(4～3月)'!$D$26:$D$982,$B47,'内訳ﾘｽﾄ(4～3月)'!G$26:G$982)</f>
        <v>0</v>
      </c>
      <c r="E47" s="158">
        <f>SUMIF('内訳ﾘｽﾄ(4～3月)'!$D$26:$D$982,$B47,'内訳ﾘｽﾄ(4～3月)'!H$26:H$982)</f>
        <v>0</v>
      </c>
      <c r="F47" s="158">
        <f>SUMIF('内訳ﾘｽﾄ(4～3月)'!$D$26:$D$982,$B47,'内訳ﾘｽﾄ(4～3月)'!I$26:I$982)</f>
        <v>0</v>
      </c>
      <c r="G47" s="158">
        <f>SUMIF('内訳ﾘｽﾄ(4～3月)'!$D$26:$D$982,$B47,'内訳ﾘｽﾄ(4～3月)'!J$26:J$982)</f>
        <v>0</v>
      </c>
      <c r="H47" s="158">
        <f>SUMIF('内訳ﾘｽﾄ(4～3月)'!$D$26:$D$982,$B47,'内訳ﾘｽﾄ(4～3月)'!K$26:K$982)</f>
        <v>0</v>
      </c>
      <c r="I47" s="158">
        <f>SUMIF('内訳ﾘｽﾄ(4～3月)'!$D$26:$D$982,$B47,'内訳ﾘｽﾄ(4～3月)'!L$26:L$982)</f>
        <v>0</v>
      </c>
      <c r="J47" s="158">
        <f>SUMIF('内訳ﾘｽﾄ(4～3月)'!$D$26:$D$982,$B47,'内訳ﾘｽﾄ(4～3月)'!M$26:M$982)</f>
        <v>0</v>
      </c>
      <c r="K47" s="158">
        <f>SUMIF('内訳ﾘｽﾄ(4～3月)'!$D$26:$D$982,$B47,'内訳ﾘｽﾄ(4～3月)'!N$26:N$982)</f>
        <v>0</v>
      </c>
      <c r="L47" s="158">
        <f>SUMIF('内訳ﾘｽﾄ(4～3月)'!$D$26:$D$982,$B47,'内訳ﾘｽﾄ(4～3月)'!O$26:O$982)</f>
        <v>0</v>
      </c>
      <c r="M47" s="158">
        <f>SUMIF('内訳ﾘｽﾄ(4～3月)'!$D$26:$D$982,$B47,'内訳ﾘｽﾄ(4～3月)'!P$26:P$982)</f>
        <v>0</v>
      </c>
      <c r="N47" s="158">
        <f>SUMIF('内訳ﾘｽﾄ(4～3月)'!$D$26:$D$982,$B47,'内訳ﾘｽﾄ(4～3月)'!Q$26:Q$982)</f>
        <v>0</v>
      </c>
      <c r="O47" s="158">
        <f>SUMIF('内訳ﾘｽﾄ(4～3月)'!$D$26:$D$781,'採算表(VND)'!$B47,'内訳ﾘｽﾄ(4～3月)'!R$26:R$781)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SUMIF('内訳ﾘｽﾄ(4～3月)'!$D$26:$D$982,$B48,'内訳ﾘｽﾄ(4～3月)'!F$26:F$982)</f>
        <v>0</v>
      </c>
      <c r="D48" s="158">
        <f>SUMIF('内訳ﾘｽﾄ(4～3月)'!$D$26:$D$982,$B48,'内訳ﾘｽﾄ(4～3月)'!G$26:G$982)</f>
        <v>0</v>
      </c>
      <c r="E48" s="158">
        <f>SUMIF('内訳ﾘｽﾄ(4～3月)'!$D$26:$D$982,$B48,'内訳ﾘｽﾄ(4～3月)'!H$26:H$982)</f>
        <v>0</v>
      </c>
      <c r="F48" s="158">
        <f>SUMIF('内訳ﾘｽﾄ(4～3月)'!$D$26:$D$982,$B48,'内訳ﾘｽﾄ(4～3月)'!I$26:I$982)</f>
        <v>0</v>
      </c>
      <c r="G48" s="158">
        <f>SUMIF('内訳ﾘｽﾄ(4～3月)'!$D$26:$D$982,$B48,'内訳ﾘｽﾄ(4～3月)'!J$26:J$982)</f>
        <v>0</v>
      </c>
      <c r="H48" s="158">
        <f>SUMIF('内訳ﾘｽﾄ(4～3月)'!$D$26:$D$982,$B48,'内訳ﾘｽﾄ(4～3月)'!K$26:K$982)</f>
        <v>0</v>
      </c>
      <c r="I48" s="158">
        <f>SUMIF('内訳ﾘｽﾄ(4～3月)'!$D$26:$D$982,$B48,'内訳ﾘｽﾄ(4～3月)'!L$26:L$982)</f>
        <v>0</v>
      </c>
      <c r="J48" s="158">
        <f>SUMIF('内訳ﾘｽﾄ(4～3月)'!$D$26:$D$982,$B48,'内訳ﾘｽﾄ(4～3月)'!M$26:M$982)</f>
        <v>0</v>
      </c>
      <c r="K48" s="158">
        <f>SUMIF('内訳ﾘｽﾄ(4～3月)'!$D$26:$D$982,$B48,'内訳ﾘｽﾄ(4～3月)'!N$26:N$982)</f>
        <v>0</v>
      </c>
      <c r="L48" s="158">
        <f>SUMIF('内訳ﾘｽﾄ(4～3月)'!$D$26:$D$982,$B48,'内訳ﾘｽﾄ(4～3月)'!O$26:O$982)</f>
        <v>0</v>
      </c>
      <c r="M48" s="158">
        <f>SUMIF('内訳ﾘｽﾄ(4～3月)'!$D$26:$D$982,$B48,'内訳ﾘｽﾄ(4～3月)'!P$26:P$982)</f>
        <v>0</v>
      </c>
      <c r="N48" s="158">
        <f>SUMIF('内訳ﾘｽﾄ(4～3月)'!$D$26:$D$982,$B48,'内訳ﾘｽﾄ(4～3月)'!Q$26:Q$982)</f>
        <v>0</v>
      </c>
      <c r="O48" s="158">
        <f>SUMIF('内訳ﾘｽﾄ(4～3月)'!$D$26:$D$781,'採算表(VND)'!$B48,'内訳ﾘｽﾄ(4～3月)'!R$26:R$781)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SUMIF('内訳ﾘｽﾄ(4～3月)'!$D$26:$D$982,$B49,'内訳ﾘｽﾄ(4～3月)'!F$26:F$982)</f>
        <v>0</v>
      </c>
      <c r="D49" s="158">
        <f>SUMIF('内訳ﾘｽﾄ(4～3月)'!$D$26:$D$982,$B49,'内訳ﾘｽﾄ(4～3月)'!G$26:G$982)</f>
        <v>0</v>
      </c>
      <c r="E49" s="158">
        <f>SUMIF('内訳ﾘｽﾄ(4～3月)'!$D$26:$D$982,$B49,'内訳ﾘｽﾄ(4～3月)'!H$26:H$982)</f>
        <v>0</v>
      </c>
      <c r="F49" s="158">
        <f>SUMIF('内訳ﾘｽﾄ(4～3月)'!$D$26:$D$982,$B49,'内訳ﾘｽﾄ(4～3月)'!I$26:I$982)</f>
        <v>0</v>
      </c>
      <c r="G49" s="158">
        <f>SUMIF('内訳ﾘｽﾄ(4～3月)'!$D$26:$D$982,$B49,'内訳ﾘｽﾄ(4～3月)'!J$26:J$982)</f>
        <v>0</v>
      </c>
      <c r="H49" s="158">
        <f>SUMIF('内訳ﾘｽﾄ(4～3月)'!$D$26:$D$982,$B49,'内訳ﾘｽﾄ(4～3月)'!K$26:K$982)</f>
        <v>0</v>
      </c>
      <c r="I49" s="158">
        <f>SUMIF('内訳ﾘｽﾄ(4～3月)'!$D$26:$D$982,$B49,'内訳ﾘｽﾄ(4～3月)'!L$26:L$982)</f>
        <v>0</v>
      </c>
      <c r="J49" s="158">
        <f>SUMIF('内訳ﾘｽﾄ(4～3月)'!$D$26:$D$982,$B49,'内訳ﾘｽﾄ(4～3月)'!M$26:M$982)</f>
        <v>0</v>
      </c>
      <c r="K49" s="158">
        <f>SUMIF('内訳ﾘｽﾄ(4～3月)'!$D$26:$D$982,$B49,'内訳ﾘｽﾄ(4～3月)'!N$26:N$982)</f>
        <v>0</v>
      </c>
      <c r="L49" s="158">
        <f>SUMIF('内訳ﾘｽﾄ(4～3月)'!$D$26:$D$982,$B49,'内訳ﾘｽﾄ(4～3月)'!O$26:O$982)</f>
        <v>0</v>
      </c>
      <c r="M49" s="158">
        <f>SUMIF('内訳ﾘｽﾄ(4～3月)'!$D$26:$D$982,$B49,'内訳ﾘｽﾄ(4～3月)'!P$26:P$982)</f>
        <v>0</v>
      </c>
      <c r="N49" s="158">
        <f>SUMIF('内訳ﾘｽﾄ(4～3月)'!$D$26:$D$982,$B49,'内訳ﾘｽﾄ(4～3月)'!Q$26:Q$982)</f>
        <v>0</v>
      </c>
      <c r="O49" s="158">
        <f>SUMIF('内訳ﾘｽﾄ(4～3月)'!$D$26:$D$781,'採算表(VND)'!$B49,'内訳ﾘｽﾄ(4～3月)'!R$26:R$781)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SUMIF('内訳ﾘｽﾄ(4～3月)'!$D$26:$D$982,$B50,'内訳ﾘｽﾄ(4～3月)'!F$26:F$982)</f>
        <v>0</v>
      </c>
      <c r="D50" s="158">
        <f>SUMIF('内訳ﾘｽﾄ(4～3月)'!$D$26:$D$982,$B50,'内訳ﾘｽﾄ(4～3月)'!G$26:G$982)</f>
        <v>0</v>
      </c>
      <c r="E50" s="158">
        <f>SUMIF('内訳ﾘｽﾄ(4～3月)'!$D$26:$D$982,$B50,'内訳ﾘｽﾄ(4～3月)'!H$26:H$982)</f>
        <v>0</v>
      </c>
      <c r="F50" s="158">
        <f>SUMIF('内訳ﾘｽﾄ(4～3月)'!$D$26:$D$982,$B50,'内訳ﾘｽﾄ(4～3月)'!I$26:I$982)</f>
        <v>0</v>
      </c>
      <c r="G50" s="158">
        <f>SUMIF('内訳ﾘｽﾄ(4～3月)'!$D$26:$D$982,$B50,'内訳ﾘｽﾄ(4～3月)'!J$26:J$982)</f>
        <v>0</v>
      </c>
      <c r="H50" s="158">
        <f>SUMIF('内訳ﾘｽﾄ(4～3月)'!$D$26:$D$982,$B50,'内訳ﾘｽﾄ(4～3月)'!K$26:K$982)</f>
        <v>0</v>
      </c>
      <c r="I50" s="158">
        <f>SUMIF('内訳ﾘｽﾄ(4～3月)'!$D$26:$D$982,$B50,'内訳ﾘｽﾄ(4～3月)'!L$26:L$982)</f>
        <v>0</v>
      </c>
      <c r="J50" s="158">
        <f>SUMIF('内訳ﾘｽﾄ(4～3月)'!$D$26:$D$982,$B50,'内訳ﾘｽﾄ(4～3月)'!M$26:M$982)</f>
        <v>0</v>
      </c>
      <c r="K50" s="158">
        <f>SUMIF('内訳ﾘｽﾄ(4～3月)'!$D$26:$D$982,$B50,'内訳ﾘｽﾄ(4～3月)'!N$26:N$982)</f>
        <v>0</v>
      </c>
      <c r="L50" s="158">
        <f>SUMIF('内訳ﾘｽﾄ(4～3月)'!$D$26:$D$982,$B50,'内訳ﾘｽﾄ(4～3月)'!O$26:O$982)</f>
        <v>0</v>
      </c>
      <c r="M50" s="158">
        <f>SUMIF('内訳ﾘｽﾄ(4～3月)'!$D$26:$D$982,$B50,'内訳ﾘｽﾄ(4～3月)'!P$26:P$982)</f>
        <v>0</v>
      </c>
      <c r="N50" s="158">
        <f>SUMIF('内訳ﾘｽﾄ(4～3月)'!$D$26:$D$982,$B50,'内訳ﾘｽﾄ(4～3月)'!Q$26:Q$982)</f>
        <v>0</v>
      </c>
      <c r="O50" s="158">
        <f>SUMIF('内訳ﾘｽﾄ(4～3月)'!$D$26:$D$781,'採算表(VND)'!$B50,'内訳ﾘｽﾄ(4～3月)'!R$26:R$781)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SUMIF('内訳ﾘｽﾄ(4～3月)'!$D$26:$D$982,$B51,'内訳ﾘｽﾄ(4～3月)'!F$26:F$982)</f>
        <v>1523400</v>
      </c>
      <c r="D51" s="159">
        <f>SUMIF('内訳ﾘｽﾄ(4～3月)'!$D$26:$D$982,$B51,'内訳ﾘｽﾄ(4～3月)'!G$26:G$982)</f>
        <v>1523400</v>
      </c>
      <c r="E51" s="159">
        <f>SUMIF('内訳ﾘｽﾄ(4～3月)'!$D$26:$D$982,$B51,'内訳ﾘｽﾄ(4～3月)'!H$26:H$982)</f>
        <v>1523400</v>
      </c>
      <c r="F51" s="159">
        <f>SUMIF('内訳ﾘｽﾄ(4～3月)'!$D$26:$D$982,$B51,'内訳ﾘｽﾄ(4～3月)'!I$26:I$982)</f>
        <v>1523400</v>
      </c>
      <c r="G51" s="159">
        <f>SUMIF('内訳ﾘｽﾄ(4～3月)'!$D$26:$D$982,$B51,'内訳ﾘｽﾄ(4～3月)'!J$26:J$982)</f>
        <v>1523400</v>
      </c>
      <c r="H51" s="159">
        <f>SUMIF('内訳ﾘｽﾄ(4～3月)'!$D$26:$D$982,$B51,'内訳ﾘｽﾄ(4～3月)'!K$26:K$982)</f>
        <v>1523400</v>
      </c>
      <c r="I51" s="159">
        <f>SUMIF('内訳ﾘｽﾄ(4～3月)'!$D$26:$D$982,$B51,'内訳ﾘｽﾄ(4～3月)'!L$26:L$982)</f>
        <v>1523400</v>
      </c>
      <c r="J51" s="159">
        <f>SUMIF('内訳ﾘｽﾄ(4～3月)'!$D$26:$D$982,$B51,'内訳ﾘｽﾄ(4～3月)'!M$26:M$982)</f>
        <v>1523400</v>
      </c>
      <c r="K51" s="159">
        <f>SUMIF('内訳ﾘｽﾄ(4～3月)'!$D$26:$D$982,$B51,'内訳ﾘｽﾄ(4～3月)'!N$26:N$982)</f>
        <v>1523400</v>
      </c>
      <c r="L51" s="159">
        <f>SUMIF('内訳ﾘｽﾄ(4～3月)'!$D$26:$D$982,$B51,'内訳ﾘｽﾄ(4～3月)'!O$26:O$982)</f>
        <v>1523400</v>
      </c>
      <c r="M51" s="159">
        <f>SUMIF('内訳ﾘｽﾄ(4～3月)'!$D$26:$D$982,$B51,'内訳ﾘｽﾄ(4～3月)'!P$26:P$982)</f>
        <v>1523400</v>
      </c>
      <c r="N51" s="159">
        <f>SUMIF('内訳ﾘｽﾄ(4～3月)'!$D$26:$D$982,$B51,'内訳ﾘｽﾄ(4～3月)'!Q$26:Q$982)</f>
        <v>1523400</v>
      </c>
      <c r="O51" s="159">
        <f>SUMIF('内訳ﾘｽﾄ(4～3月)'!$D$26:$D$781,'採算表(VND)'!$B51,'内訳ﾘｽﾄ(4～3月)'!R$26:R$781)</f>
        <v>18280800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SUMIF('内訳ﾘｽﾄ(4～3月)'!$D$26:$D$982,$B52,'内訳ﾘｽﾄ(4～3月)'!F$26:F$982)</f>
        <v>0</v>
      </c>
      <c r="D52" s="160">
        <f>SUMIF('内訳ﾘｽﾄ(4～3月)'!$D$26:$D$982,$B52,'内訳ﾘｽﾄ(4～3月)'!G$26:G$982)</f>
        <v>0</v>
      </c>
      <c r="E52" s="160">
        <f>SUMIF('内訳ﾘｽﾄ(4～3月)'!$D$26:$D$982,$B52,'内訳ﾘｽﾄ(4～3月)'!H$26:H$982)</f>
        <v>0</v>
      </c>
      <c r="F52" s="160">
        <f>SUMIF('内訳ﾘｽﾄ(4～3月)'!$D$26:$D$982,$B52,'内訳ﾘｽﾄ(4～3月)'!I$26:I$982)</f>
        <v>0</v>
      </c>
      <c r="G52" s="160">
        <f>SUMIF('内訳ﾘｽﾄ(4～3月)'!$D$26:$D$982,$B52,'内訳ﾘｽﾄ(4～3月)'!J$26:J$982)</f>
        <v>0</v>
      </c>
      <c r="H52" s="160">
        <f>SUMIF('内訳ﾘｽﾄ(4～3月)'!$D$26:$D$982,$B52,'内訳ﾘｽﾄ(4～3月)'!K$26:K$982)</f>
        <v>0</v>
      </c>
      <c r="I52" s="160">
        <f>SUMIF('内訳ﾘｽﾄ(4～3月)'!$D$26:$D$982,$B52,'内訳ﾘｽﾄ(4～3月)'!L$26:L$982)</f>
        <v>0</v>
      </c>
      <c r="J52" s="160">
        <f>SUMIF('内訳ﾘｽﾄ(4～3月)'!$D$26:$D$982,$B52,'内訳ﾘｽﾄ(4～3月)'!M$26:M$982)</f>
        <v>0</v>
      </c>
      <c r="K52" s="160">
        <f>SUMIF('内訳ﾘｽﾄ(4～3月)'!$D$26:$D$982,$B52,'内訳ﾘｽﾄ(4～3月)'!N$26:N$982)</f>
        <v>0</v>
      </c>
      <c r="L52" s="160">
        <f>SUMIF('内訳ﾘｽﾄ(4～3月)'!$D$26:$D$982,$B52,'内訳ﾘｽﾄ(4～3月)'!O$26:O$982)</f>
        <v>0</v>
      </c>
      <c r="M52" s="160">
        <f>SUMIF('内訳ﾘｽﾄ(4～3月)'!$D$26:$D$982,$B52,'内訳ﾘｽﾄ(4～3月)'!P$26:P$982)</f>
        <v>0</v>
      </c>
      <c r="N52" s="160">
        <f>SUMIF('内訳ﾘｽﾄ(4～3月)'!$D$26:$D$982,$B52,'内訳ﾘｽﾄ(4～3月)'!Q$26:Q$982)</f>
        <v>0</v>
      </c>
      <c r="O52" s="160">
        <f>SUMIF('内訳ﾘｽﾄ(4～3月)'!$D$26:$D$781,'採算表(VND)'!$B52,'内訳ﾘｽﾄ(4～3月)'!R$26:R$781)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SUMIF('内訳ﾘｽﾄ(4～3月)'!$D$26:$D$982,$B53,'内訳ﾘｽﾄ(4～3月)'!F$26:F$982)</f>
        <v>0</v>
      </c>
      <c r="D53" s="160">
        <f>SUMIF('内訳ﾘｽﾄ(4～3月)'!$D$26:$D$982,$B53,'内訳ﾘｽﾄ(4～3月)'!G$26:G$982)</f>
        <v>0</v>
      </c>
      <c r="E53" s="160">
        <f>SUMIF('内訳ﾘｽﾄ(4～3月)'!$D$26:$D$982,$B53,'内訳ﾘｽﾄ(4～3月)'!H$26:H$982)</f>
        <v>0</v>
      </c>
      <c r="F53" s="160">
        <f>SUMIF('内訳ﾘｽﾄ(4～3月)'!$D$26:$D$982,$B53,'内訳ﾘｽﾄ(4～3月)'!I$26:I$982)</f>
        <v>0</v>
      </c>
      <c r="G53" s="160">
        <f>SUMIF('内訳ﾘｽﾄ(4～3月)'!$D$26:$D$982,$B53,'内訳ﾘｽﾄ(4～3月)'!J$26:J$982)</f>
        <v>0</v>
      </c>
      <c r="H53" s="160">
        <f>SUMIF('内訳ﾘｽﾄ(4～3月)'!$D$26:$D$982,$B53,'内訳ﾘｽﾄ(4～3月)'!K$26:K$982)</f>
        <v>0</v>
      </c>
      <c r="I53" s="160">
        <f>SUMIF('内訳ﾘｽﾄ(4～3月)'!$D$26:$D$982,$B53,'内訳ﾘｽﾄ(4～3月)'!L$26:L$982)</f>
        <v>0</v>
      </c>
      <c r="J53" s="160">
        <f>SUMIF('内訳ﾘｽﾄ(4～3月)'!$D$26:$D$982,$B53,'内訳ﾘｽﾄ(4～3月)'!M$26:M$982)</f>
        <v>0</v>
      </c>
      <c r="K53" s="160">
        <f>SUMIF('内訳ﾘｽﾄ(4～3月)'!$D$26:$D$982,$B53,'内訳ﾘｽﾄ(4～3月)'!N$26:N$982)</f>
        <v>0</v>
      </c>
      <c r="L53" s="160">
        <f>SUMIF('内訳ﾘｽﾄ(4～3月)'!$D$26:$D$982,$B53,'内訳ﾘｽﾄ(4～3月)'!O$26:O$982)</f>
        <v>0</v>
      </c>
      <c r="M53" s="160">
        <f>SUMIF('内訳ﾘｽﾄ(4～3月)'!$D$26:$D$982,$B53,'内訳ﾘｽﾄ(4～3月)'!P$26:P$982)</f>
        <v>0</v>
      </c>
      <c r="N53" s="160">
        <f>SUMIF('内訳ﾘｽﾄ(4～3月)'!$D$26:$D$982,$B53,'内訳ﾘｽﾄ(4～3月)'!Q$26:Q$982)</f>
        <v>0</v>
      </c>
      <c r="O53" s="160">
        <f>SUMIF('内訳ﾘｽﾄ(4～3月)'!$D$26:$D$781,'採算表(VND)'!$B53,'内訳ﾘｽﾄ(4～3月)'!R$26:R$781)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SUMIF('内訳ﾘｽﾄ(4～3月)'!$D$26:$D$982,$B54,'内訳ﾘｽﾄ(4～3月)'!F$26:F$982)</f>
        <v>0</v>
      </c>
      <c r="D54" s="160">
        <f>SUMIF('内訳ﾘｽﾄ(4～3月)'!$D$26:$D$982,$B54,'内訳ﾘｽﾄ(4～3月)'!G$26:G$982)</f>
        <v>0</v>
      </c>
      <c r="E54" s="160">
        <f>SUMIF('内訳ﾘｽﾄ(4～3月)'!$D$26:$D$982,$B54,'内訳ﾘｽﾄ(4～3月)'!H$26:H$982)</f>
        <v>0</v>
      </c>
      <c r="F54" s="160">
        <f>SUMIF('内訳ﾘｽﾄ(4～3月)'!$D$26:$D$982,$B54,'内訳ﾘｽﾄ(4～3月)'!I$26:I$982)</f>
        <v>0</v>
      </c>
      <c r="G54" s="160">
        <f>SUMIF('内訳ﾘｽﾄ(4～3月)'!$D$26:$D$982,$B54,'内訳ﾘｽﾄ(4～3月)'!J$26:J$982)</f>
        <v>0</v>
      </c>
      <c r="H54" s="160">
        <f>SUMIF('内訳ﾘｽﾄ(4～3月)'!$D$26:$D$982,$B54,'内訳ﾘｽﾄ(4～3月)'!K$26:K$982)</f>
        <v>0</v>
      </c>
      <c r="I54" s="160">
        <f>SUMIF('内訳ﾘｽﾄ(4～3月)'!$D$26:$D$982,$B54,'内訳ﾘｽﾄ(4～3月)'!L$26:L$982)</f>
        <v>0</v>
      </c>
      <c r="J54" s="160">
        <f>SUMIF('内訳ﾘｽﾄ(4～3月)'!$D$26:$D$982,$B54,'内訳ﾘｽﾄ(4～3月)'!M$26:M$982)</f>
        <v>0</v>
      </c>
      <c r="K54" s="160">
        <f>SUMIF('内訳ﾘｽﾄ(4～3月)'!$D$26:$D$982,$B54,'内訳ﾘｽﾄ(4～3月)'!N$26:N$982)</f>
        <v>0</v>
      </c>
      <c r="L54" s="160">
        <f>SUMIF('内訳ﾘｽﾄ(4～3月)'!$D$26:$D$982,$B54,'内訳ﾘｽﾄ(4～3月)'!O$26:O$982)</f>
        <v>0</v>
      </c>
      <c r="M54" s="160">
        <f>SUMIF('内訳ﾘｽﾄ(4～3月)'!$D$26:$D$982,$B54,'内訳ﾘｽﾄ(4～3月)'!P$26:P$982)</f>
        <v>0</v>
      </c>
      <c r="N54" s="160">
        <f>SUMIF('内訳ﾘｽﾄ(4～3月)'!$D$26:$D$982,$B54,'内訳ﾘｽﾄ(4～3月)'!Q$26:Q$982)</f>
        <v>0</v>
      </c>
      <c r="O54" s="160">
        <f>SUMIF('内訳ﾘｽﾄ(4～3月)'!$D$26:$D$781,'採算表(VND)'!$B54,'内訳ﾘｽﾄ(4～3月)'!R$26:R$781)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SUMIF('内訳ﾘｽﾄ(4～3月)'!$D$26:$D$982,$B55,'内訳ﾘｽﾄ(4～3月)'!F$26:F$982)</f>
        <v>0</v>
      </c>
      <c r="D55" s="160">
        <f>SUMIF('内訳ﾘｽﾄ(4～3月)'!$D$26:$D$982,$B55,'内訳ﾘｽﾄ(4～3月)'!G$26:G$982)</f>
        <v>0</v>
      </c>
      <c r="E55" s="160">
        <f>SUMIF('内訳ﾘｽﾄ(4～3月)'!$D$26:$D$982,$B55,'内訳ﾘｽﾄ(4～3月)'!H$26:H$982)</f>
        <v>0</v>
      </c>
      <c r="F55" s="160">
        <f>SUMIF('内訳ﾘｽﾄ(4～3月)'!$D$26:$D$982,$B55,'内訳ﾘｽﾄ(4～3月)'!I$26:I$982)</f>
        <v>0</v>
      </c>
      <c r="G55" s="160">
        <f>SUMIF('内訳ﾘｽﾄ(4～3月)'!$D$26:$D$982,$B55,'内訳ﾘｽﾄ(4～3月)'!J$26:J$982)</f>
        <v>0</v>
      </c>
      <c r="H55" s="160">
        <f>SUMIF('内訳ﾘｽﾄ(4～3月)'!$D$26:$D$982,$B55,'内訳ﾘｽﾄ(4～3月)'!K$26:K$982)</f>
        <v>0</v>
      </c>
      <c r="I55" s="160">
        <f>SUMIF('内訳ﾘｽﾄ(4～3月)'!$D$26:$D$982,$B55,'内訳ﾘｽﾄ(4～3月)'!L$26:L$982)</f>
        <v>0</v>
      </c>
      <c r="J55" s="160">
        <f>SUMIF('内訳ﾘｽﾄ(4～3月)'!$D$26:$D$982,$B55,'内訳ﾘｽﾄ(4～3月)'!M$26:M$982)</f>
        <v>0</v>
      </c>
      <c r="K55" s="160">
        <f>SUMIF('内訳ﾘｽﾄ(4～3月)'!$D$26:$D$982,$B55,'内訳ﾘｽﾄ(4～3月)'!N$26:N$982)</f>
        <v>0</v>
      </c>
      <c r="L55" s="160">
        <f>SUMIF('内訳ﾘｽﾄ(4～3月)'!$D$26:$D$982,$B55,'内訳ﾘｽﾄ(4～3月)'!O$26:O$982)</f>
        <v>0</v>
      </c>
      <c r="M55" s="160">
        <f>SUMIF('内訳ﾘｽﾄ(4～3月)'!$D$26:$D$982,$B55,'内訳ﾘｽﾄ(4～3月)'!P$26:P$982)</f>
        <v>0</v>
      </c>
      <c r="N55" s="160">
        <f>SUMIF('内訳ﾘｽﾄ(4～3月)'!$D$26:$D$982,$B55,'内訳ﾘｽﾄ(4～3月)'!Q$26:Q$982)</f>
        <v>0</v>
      </c>
      <c r="O55" s="160">
        <f>SUMIF('内訳ﾘｽﾄ(4～3月)'!$D$26:$D$781,'採算表(VND)'!$B55,'内訳ﾘｽﾄ(4～3月)'!R$26:R$781)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SUMIF('内訳ﾘｽﾄ(4～3月)'!$D$26:$D$982,$B56,'内訳ﾘｽﾄ(4～3月)'!F$26:F$982)</f>
        <v>0</v>
      </c>
      <c r="D56" s="160">
        <f>SUMIF('内訳ﾘｽﾄ(4～3月)'!$D$26:$D$982,$B56,'内訳ﾘｽﾄ(4～3月)'!G$26:G$982)</f>
        <v>0</v>
      </c>
      <c r="E56" s="160">
        <f>SUMIF('内訳ﾘｽﾄ(4～3月)'!$D$26:$D$982,$B56,'内訳ﾘｽﾄ(4～3月)'!H$26:H$982)</f>
        <v>0</v>
      </c>
      <c r="F56" s="160">
        <f>SUMIF('内訳ﾘｽﾄ(4～3月)'!$D$26:$D$982,$B56,'内訳ﾘｽﾄ(4～3月)'!I$26:I$982)</f>
        <v>0</v>
      </c>
      <c r="G56" s="160">
        <f>SUMIF('内訳ﾘｽﾄ(4～3月)'!$D$26:$D$982,$B56,'内訳ﾘｽﾄ(4～3月)'!J$26:J$982)</f>
        <v>0</v>
      </c>
      <c r="H56" s="160">
        <f>SUMIF('内訳ﾘｽﾄ(4～3月)'!$D$26:$D$982,$B56,'内訳ﾘｽﾄ(4～3月)'!K$26:K$982)</f>
        <v>0</v>
      </c>
      <c r="I56" s="160">
        <f>SUMIF('内訳ﾘｽﾄ(4～3月)'!$D$26:$D$982,$B56,'内訳ﾘｽﾄ(4～3月)'!L$26:L$982)</f>
        <v>0</v>
      </c>
      <c r="J56" s="160">
        <f>SUMIF('内訳ﾘｽﾄ(4～3月)'!$D$26:$D$982,$B56,'内訳ﾘｽﾄ(4～3月)'!M$26:M$982)</f>
        <v>0</v>
      </c>
      <c r="K56" s="160">
        <f>SUMIF('内訳ﾘｽﾄ(4～3月)'!$D$26:$D$982,$B56,'内訳ﾘｽﾄ(4～3月)'!N$26:N$982)</f>
        <v>0</v>
      </c>
      <c r="L56" s="160">
        <f>SUMIF('内訳ﾘｽﾄ(4～3月)'!$D$26:$D$982,$B56,'内訳ﾘｽﾄ(4～3月)'!O$26:O$982)</f>
        <v>0</v>
      </c>
      <c r="M56" s="160">
        <f>SUMIF('内訳ﾘｽﾄ(4～3月)'!$D$26:$D$982,$B56,'内訳ﾘｽﾄ(4～3月)'!P$26:P$982)</f>
        <v>0</v>
      </c>
      <c r="N56" s="160">
        <f>SUMIF('内訳ﾘｽﾄ(4～3月)'!$D$26:$D$982,$B56,'内訳ﾘｽﾄ(4～3月)'!Q$26:Q$982)</f>
        <v>0</v>
      </c>
      <c r="O56" s="160">
        <f>SUMIF('内訳ﾘｽﾄ(4～3月)'!$D$26:$D$781,'採算表(VND)'!$B56,'内訳ﾘｽﾄ(4～3月)'!R$26:R$781)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SUMIF('内訳ﾘｽﾄ(4～3月)'!$D$26:$D$982,$B57,'内訳ﾘｽﾄ(4～3月)'!F$26:F$982)</f>
        <v>114054927</v>
      </c>
      <c r="D57" s="160">
        <f>SUMIF('内訳ﾘｽﾄ(4～3月)'!$D$26:$D$982,$B57,'内訳ﾘｽﾄ(4～3月)'!G$26:G$982)</f>
        <v>108830172</v>
      </c>
      <c r="E57" s="160">
        <f>SUMIF('内訳ﾘｽﾄ(4～3月)'!$D$26:$D$982,$B57,'内訳ﾘｽﾄ(4～3月)'!H$26:H$982)</f>
        <v>108838297</v>
      </c>
      <c r="F57" s="160">
        <f>SUMIF('内訳ﾘｽﾄ(4～3月)'!$D$26:$D$982,$B57,'内訳ﾘｽﾄ(4～3月)'!I$26:I$982)</f>
        <v>109702827</v>
      </c>
      <c r="G57" s="160">
        <f>SUMIF('内訳ﾘｽﾄ(4～3月)'!$D$26:$D$982,$B57,'内訳ﾘｽﾄ(4～3月)'!J$26:J$982)</f>
        <v>109594412</v>
      </c>
      <c r="H57" s="160">
        <f>SUMIF('内訳ﾘｽﾄ(4～3月)'!$D$26:$D$982,$B57,'内訳ﾘｽﾄ(4～3月)'!K$26:K$982)</f>
        <v>109298619</v>
      </c>
      <c r="I57" s="160">
        <f>SUMIF('内訳ﾘｽﾄ(4～3月)'!$D$26:$D$982,$B57,'内訳ﾘｽﾄ(4～3月)'!L$26:L$982)</f>
        <v>109073917</v>
      </c>
      <c r="J57" s="160">
        <f>SUMIF('内訳ﾘｽﾄ(4～3月)'!$D$26:$D$982,$B57,'内訳ﾘｽﾄ(4～3月)'!M$26:M$982)</f>
        <v>109068077</v>
      </c>
      <c r="K57" s="160">
        <f>SUMIF('内訳ﾘｽﾄ(4～3月)'!$D$26:$D$982,$B57,'内訳ﾘｽﾄ(4～3月)'!N$26:N$982)</f>
        <v>109076201</v>
      </c>
      <c r="L57" s="160">
        <f>SUMIF('内訳ﾘｽﾄ(4～3月)'!$D$26:$D$982,$B57,'内訳ﾘｽﾄ(4～3月)'!O$26:O$982)</f>
        <v>109711205</v>
      </c>
      <c r="M57" s="160">
        <f>SUMIF('内訳ﾘｽﾄ(4～3月)'!$D$26:$D$982,$B57,'内訳ﾘｽﾄ(4～3月)'!P$26:P$982)</f>
        <v>109491836</v>
      </c>
      <c r="N57" s="160">
        <f>SUMIF('内訳ﾘｽﾄ(4～3月)'!$D$26:$D$982,$B57,'内訳ﾘｽﾄ(4～3月)'!Q$26:Q$982)</f>
        <v>109665503</v>
      </c>
      <c r="O57" s="160">
        <f>SUMIF('内訳ﾘｽﾄ(4～3月)'!$D$26:$D$781,'採算表(VND)'!$B57,'内訳ﾘｽﾄ(4～3月)'!R$26:R$781)</f>
        <v>1316405993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SUMIF('内訳ﾘｽﾄ(4～3月)'!$D$26:$D$982,$B58,'内訳ﾘｽﾄ(4～3月)'!F$26:F$982)</f>
        <v>14303711</v>
      </c>
      <c r="D58" s="160">
        <f>SUMIF('内訳ﾘｽﾄ(4～3月)'!$D$26:$D$982,$B58,'内訳ﾘｽﾄ(4～3月)'!G$26:G$982)</f>
        <v>13481075</v>
      </c>
      <c r="E58" s="160">
        <f>SUMIF('内訳ﾘｽﾄ(4～3月)'!$D$26:$D$982,$B58,'内訳ﾘｽﾄ(4～3月)'!H$26:H$982)</f>
        <v>14323261</v>
      </c>
      <c r="F58" s="160">
        <f>SUMIF('内訳ﾘｽﾄ(4～3月)'!$D$26:$D$982,$B58,'内訳ﾘｽﾄ(4～3月)'!I$26:I$982)</f>
        <v>18119828</v>
      </c>
      <c r="G58" s="160">
        <f>SUMIF('内訳ﾘｽﾄ(4～3月)'!$D$26:$D$982,$B58,'内訳ﾘｽﾄ(4～3月)'!J$26:J$982)</f>
        <v>16559866</v>
      </c>
      <c r="H58" s="160">
        <f>SUMIF('内訳ﾘｽﾄ(4～3月)'!$D$26:$D$982,$B58,'内訳ﾘｽﾄ(4～3月)'!K$26:K$982)</f>
        <v>15516845</v>
      </c>
      <c r="I58" s="160">
        <f>SUMIF('内訳ﾘｽﾄ(4～3月)'!$D$26:$D$982,$B58,'内訳ﾘｽﾄ(4～3月)'!L$26:L$982)</f>
        <v>18801295</v>
      </c>
      <c r="J58" s="160">
        <f>SUMIF('内訳ﾘｽﾄ(4～3月)'!$D$26:$D$982,$B58,'内訳ﾘｽﾄ(4～3月)'!M$26:M$982)</f>
        <v>17510468</v>
      </c>
      <c r="K58" s="160">
        <f>SUMIF('内訳ﾘｽﾄ(4～3月)'!$D$26:$D$982,$B58,'内訳ﾘｽﾄ(4～3月)'!N$26:N$982)</f>
        <v>18924437</v>
      </c>
      <c r="L58" s="160">
        <f>SUMIF('内訳ﾘｽﾄ(4～3月)'!$D$26:$D$982,$B58,'内訳ﾘｽﾄ(4～3月)'!O$26:O$982)</f>
        <v>18567200</v>
      </c>
      <c r="M58" s="160">
        <f>SUMIF('内訳ﾘｽﾄ(4～3月)'!$D$26:$D$982,$B58,'内訳ﾘｽﾄ(4～3月)'!P$26:P$982)</f>
        <v>15340385</v>
      </c>
      <c r="N58" s="160">
        <f>SUMIF('内訳ﾘｽﾄ(4～3月)'!$D$26:$D$982,$B58,'内訳ﾘｽﾄ(4～3月)'!Q$26:Q$982)</f>
        <v>17687436</v>
      </c>
      <c r="O58" s="160">
        <f>SUMIF('内訳ﾘｽﾄ(4～3月)'!$D$26:$D$781,'採算表(VND)'!$B58,'内訳ﾘｽﾄ(4～3月)'!R$26:R$781)</f>
        <v>199135807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SUMIF('内訳ﾘｽﾄ(4～3月)'!$D$26:$D$982,$B59,'内訳ﾘｽﾄ(4～3月)'!F$26:F$982)</f>
        <v>0</v>
      </c>
      <c r="D59" s="160">
        <f>SUMIF('内訳ﾘｽﾄ(4～3月)'!$D$26:$D$982,$B59,'内訳ﾘｽﾄ(4～3月)'!G$26:G$982)</f>
        <v>0</v>
      </c>
      <c r="E59" s="160">
        <f>SUMIF('内訳ﾘｽﾄ(4～3月)'!$D$26:$D$982,$B59,'内訳ﾘｽﾄ(4～3月)'!H$26:H$982)</f>
        <v>0</v>
      </c>
      <c r="F59" s="160">
        <f>SUMIF('内訳ﾘｽﾄ(4～3月)'!$D$26:$D$982,$B59,'内訳ﾘｽﾄ(4～3月)'!I$26:I$982)</f>
        <v>0</v>
      </c>
      <c r="G59" s="160">
        <f>SUMIF('内訳ﾘｽﾄ(4～3月)'!$D$26:$D$982,$B59,'内訳ﾘｽﾄ(4～3月)'!J$26:J$982)</f>
        <v>0</v>
      </c>
      <c r="H59" s="160">
        <f>SUMIF('内訳ﾘｽﾄ(4～3月)'!$D$26:$D$982,$B59,'内訳ﾘｽﾄ(4～3月)'!K$26:K$982)</f>
        <v>0</v>
      </c>
      <c r="I59" s="160">
        <f>SUMIF('内訳ﾘｽﾄ(4～3月)'!$D$26:$D$982,$B59,'内訳ﾘｽﾄ(4～3月)'!L$26:L$982)</f>
        <v>0</v>
      </c>
      <c r="J59" s="160">
        <f>SUMIF('内訳ﾘｽﾄ(4～3月)'!$D$26:$D$982,$B59,'内訳ﾘｽﾄ(4～3月)'!M$26:M$982)</f>
        <v>0</v>
      </c>
      <c r="K59" s="160">
        <f>SUMIF('内訳ﾘｽﾄ(4～3月)'!$D$26:$D$982,$B59,'内訳ﾘｽﾄ(4～3月)'!N$26:N$982)</f>
        <v>0</v>
      </c>
      <c r="L59" s="160">
        <f>SUMIF('内訳ﾘｽﾄ(4～3月)'!$D$26:$D$982,$B59,'内訳ﾘｽﾄ(4～3月)'!O$26:O$982)</f>
        <v>0</v>
      </c>
      <c r="M59" s="160">
        <f>SUMIF('内訳ﾘｽﾄ(4～3月)'!$D$26:$D$982,$B59,'内訳ﾘｽﾄ(4～3月)'!P$26:P$982)</f>
        <v>0</v>
      </c>
      <c r="N59" s="160">
        <f>SUMIF('内訳ﾘｽﾄ(4～3月)'!$D$26:$D$982,$B59,'内訳ﾘｽﾄ(4～3月)'!Q$26:Q$982)</f>
        <v>0</v>
      </c>
      <c r="O59" s="160">
        <f>SUMIF('内訳ﾘｽﾄ(4～3月)'!$D$26:$D$781,'採算表(VND)'!$B59,'内訳ﾘｽﾄ(4～3月)'!R$26:R$781)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SUMIF('内訳ﾘｽﾄ(4～3月)'!$D$26:$D$982,$B60,'内訳ﾘｽﾄ(4～3月)'!F$26:F$982)</f>
        <v>0</v>
      </c>
      <c r="D60" s="160">
        <f>SUMIF('内訳ﾘｽﾄ(4～3月)'!$D$26:$D$982,$B60,'内訳ﾘｽﾄ(4～3月)'!G$26:G$982)</f>
        <v>0</v>
      </c>
      <c r="E60" s="160">
        <f>SUMIF('内訳ﾘｽﾄ(4～3月)'!$D$26:$D$982,$B60,'内訳ﾘｽﾄ(4～3月)'!H$26:H$982)</f>
        <v>0</v>
      </c>
      <c r="F60" s="160">
        <f>SUMIF('内訳ﾘｽﾄ(4～3月)'!$D$26:$D$982,$B60,'内訳ﾘｽﾄ(4～3月)'!I$26:I$982)</f>
        <v>0</v>
      </c>
      <c r="G60" s="160">
        <f>SUMIF('内訳ﾘｽﾄ(4～3月)'!$D$26:$D$982,$B60,'内訳ﾘｽﾄ(4～3月)'!J$26:J$982)</f>
        <v>0</v>
      </c>
      <c r="H60" s="160">
        <f>SUMIF('内訳ﾘｽﾄ(4～3月)'!$D$26:$D$982,$B60,'内訳ﾘｽﾄ(4～3月)'!K$26:K$982)</f>
        <v>0</v>
      </c>
      <c r="I60" s="160">
        <f>SUMIF('内訳ﾘｽﾄ(4～3月)'!$D$26:$D$982,$B60,'内訳ﾘｽﾄ(4～3月)'!L$26:L$982)</f>
        <v>0</v>
      </c>
      <c r="J60" s="160">
        <f>SUMIF('内訳ﾘｽﾄ(4～3月)'!$D$26:$D$982,$B60,'内訳ﾘｽﾄ(4～3月)'!M$26:M$982)</f>
        <v>0</v>
      </c>
      <c r="K60" s="160">
        <f>SUMIF('内訳ﾘｽﾄ(4～3月)'!$D$26:$D$982,$B60,'内訳ﾘｽﾄ(4～3月)'!N$26:N$982)</f>
        <v>0</v>
      </c>
      <c r="L60" s="160">
        <f>SUMIF('内訳ﾘｽﾄ(4～3月)'!$D$26:$D$982,$B60,'内訳ﾘｽﾄ(4～3月)'!O$26:O$982)</f>
        <v>0</v>
      </c>
      <c r="M60" s="160">
        <f>SUMIF('内訳ﾘｽﾄ(4～3月)'!$D$26:$D$982,$B60,'内訳ﾘｽﾄ(4～3月)'!P$26:P$982)</f>
        <v>0</v>
      </c>
      <c r="N60" s="160">
        <f>SUMIF('内訳ﾘｽﾄ(4～3月)'!$D$26:$D$982,$B60,'内訳ﾘｽﾄ(4～3月)'!Q$26:Q$982)</f>
        <v>0</v>
      </c>
      <c r="O60" s="160">
        <f>SUMIF('内訳ﾘｽﾄ(4～3月)'!$D$26:$D$781,'採算表(VND)'!$B60,'内訳ﾘｽﾄ(4～3月)'!R$26:R$781)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IF('内訳ﾘｽﾄ(4～3月)'!$D$5="製造",SUMIF('内訳ﾘｽﾄ(4～3月)'!$D$26:$D$982,$B61,'内訳ﾘｽﾄ(4～3月)'!F$26:F$982),IF('内訳ﾘｽﾄ(4～3月)'!$D$5="部内間接",-SUM(C$14:C$60,C$65),0))</f>
        <v>61680277</v>
      </c>
      <c r="D61" s="160">
        <f>IF('内訳ﾘｽﾄ(4～3月)'!$D$5="製造",SUMIF('内訳ﾘｽﾄ(4～3月)'!$D$26:$D$982,$B61,'内訳ﾘｽﾄ(4～3月)'!G$26:G$982),IF('内訳ﾘｽﾄ(4～3月)'!$D$5="部内間接",-SUM(D$14:D$60,D$65),0))</f>
        <v>56465553</v>
      </c>
      <c r="E61" s="160">
        <f>IF('内訳ﾘｽﾄ(4～3月)'!$D$5="製造",SUMIF('内訳ﾘｽﾄ(4～3月)'!$D$26:$D$982,$B61,'内訳ﾘｽﾄ(4～3月)'!H$26:H$982),IF('内訳ﾘｽﾄ(4～3月)'!$D$5="部内間接",-SUM(E$14:E$60,E$65),0))</f>
        <v>51059548</v>
      </c>
      <c r="F61" s="160">
        <f>IF('内訳ﾘｽﾄ(4～3月)'!$D$5="製造",SUMIF('内訳ﾘｽﾄ(4～3月)'!$D$26:$D$982,$B61,'内訳ﾘｽﾄ(4～3月)'!I$26:I$982),IF('内訳ﾘｽﾄ(4～3月)'!$D$5="部内間接",-SUM(F$14:F$60,F$65),0))</f>
        <v>51561727</v>
      </c>
      <c r="G61" s="160">
        <f>IF('内訳ﾘｽﾄ(4～3月)'!$D$5="製造",SUMIF('内訳ﾘｽﾄ(4～3月)'!$D$26:$D$982,$B61,'内訳ﾘｽﾄ(4～3月)'!J$26:J$982),IF('内訳ﾘｽﾄ(4～3月)'!$D$5="部内間接",-SUM(G$14:G$60,G$65),0))</f>
        <v>51960466</v>
      </c>
      <c r="H61" s="160">
        <f>IF('内訳ﾘｽﾄ(4～3月)'!$D$5="製造",SUMIF('内訳ﾘｽﾄ(4～3月)'!$D$26:$D$982,$B61,'内訳ﾘｽﾄ(4～3月)'!K$26:K$982),IF('内訳ﾘｽﾄ(4～3月)'!$D$5="部内間接",-SUM(H$14:H$60,H$65),0))</f>
        <v>51136654</v>
      </c>
      <c r="I61" s="160">
        <f>IF('内訳ﾘｽﾄ(4～3月)'!$D$5="製造",SUMIF('内訳ﾘｽﾄ(4～3月)'!$D$26:$D$982,$B61,'内訳ﾘｽﾄ(4～3月)'!L$26:L$982),IF('内訳ﾘｽﾄ(4～3月)'!$D$5="部内間接",-SUM(I$14:I$60,I$65),0))</f>
        <v>66098481</v>
      </c>
      <c r="J61" s="160">
        <f>IF('内訳ﾘｽﾄ(4～3月)'!$D$5="製造",SUMIF('内訳ﾘｽﾄ(4～3月)'!$D$26:$D$982,$B61,'内訳ﾘｽﾄ(4～3月)'!M$26:M$982),IF('内訳ﾘｽﾄ(4～3月)'!$D$5="部内間接",-SUM(J$14:J$60,J$65),0))</f>
        <v>61929779</v>
      </c>
      <c r="K61" s="160">
        <f>IF('内訳ﾘｽﾄ(4～3月)'!$D$5="製造",SUMIF('内訳ﾘｽﾄ(4～3月)'!$D$26:$D$982,$B61,'内訳ﾘｽﾄ(4～3月)'!N$26:N$982),IF('内訳ﾘｽﾄ(4～3月)'!$D$5="部内間接",-SUM(K$14:K$60,K$65),0))</f>
        <v>63352665</v>
      </c>
      <c r="L61" s="160">
        <f>IF('内訳ﾘｽﾄ(4～3月)'!$D$5="製造",SUMIF('内訳ﾘｽﾄ(4～3月)'!$D$26:$D$982,$B61,'内訳ﾘｽﾄ(4～3月)'!O$26:O$982),IF('内訳ﾘｽﾄ(4～3月)'!$D$5="部内間接",-SUM(L$14:L$60,L$65),0))</f>
        <v>61440610</v>
      </c>
      <c r="M61" s="160">
        <f>IF('内訳ﾘｽﾄ(4～3月)'!$D$5="製造",SUMIF('内訳ﾘｽﾄ(4～3月)'!$D$26:$D$982,$B61,'内訳ﾘｽﾄ(4～3月)'!P$26:P$982),IF('内訳ﾘｽﾄ(4～3月)'!$D$5="部内間接",-SUM(M$14:M$60,M$65),0))</f>
        <v>64699014</v>
      </c>
      <c r="N61" s="160">
        <f>IF('内訳ﾘｽﾄ(4～3月)'!$D$5="製造",SUMIF('内訳ﾘｽﾄ(4～3月)'!$D$26:$D$982,$B61,'内訳ﾘｽﾄ(4～3月)'!Q$26:Q$982),IF('内訳ﾘｽﾄ(4～3月)'!$D$5="部内間接",-SUM(N$14:N$60,N$65),0))</f>
        <v>62401101</v>
      </c>
      <c r="O61" s="160">
        <f>IF('内訳ﾘｽﾄ(4～3月)'!$D$5="部内間接",-SUM(O$65,O$14:O$60),IF('内訳ﾘｽﾄ(4～3月)'!$D$5="製造",SUMIF('内訳ﾘｽﾄ(4～3月)'!$D$26:$D$781,'採算表(VND)'!$B61,'内訳ﾘｽﾄ(4～3月)'!R$26:R$781),0))</f>
        <v>703785875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678</v>
      </c>
      <c r="C62" s="160">
        <f>IF('内訳ﾘｽﾄ(4～3月)'!$D$5="製造",SUMIF('内訳ﾘｽﾄ(4～3月)'!$D$26:$D$982,$B62,'内訳ﾘｽﾄ(4～3月)'!F$26:F$982),IF('内訳ﾘｽﾄ(4～3月)'!$D$5="部外間接1",-SUM(C$14:C$60,C$65),0))</f>
        <v>6130424</v>
      </c>
      <c r="D62" s="160">
        <f>IF('内訳ﾘｽﾄ(4～3月)'!$D$5="製造",SUMIF('内訳ﾘｽﾄ(4～3月)'!$D$26:$D$982,$B62,'内訳ﾘｽﾄ(4～3月)'!G$26:G$982),IF('内訳ﾘｽﾄ(4～3月)'!$D$5="部外間接1",-SUM(D$14:D$60,D$65),0))</f>
        <v>5833078</v>
      </c>
      <c r="E62" s="160">
        <f>IF('内訳ﾘｽﾄ(4～3月)'!$D$5="製造",SUMIF('内訳ﾘｽﾄ(4～3月)'!$D$26:$D$982,$B62,'内訳ﾘｽﾄ(4～3月)'!H$26:H$982),IF('内訳ﾘｽﾄ(4～3月)'!$D$5="部外間接1",-SUM(E$14:E$60,E$65),0))</f>
        <v>5323786</v>
      </c>
      <c r="F62" s="160">
        <f>IF('内訳ﾘｽﾄ(4～3月)'!$D$5="製造",SUMIF('内訳ﾘｽﾄ(4～3月)'!$D$26:$D$982,$B62,'内訳ﾘｽﾄ(4～3月)'!I$26:I$982),IF('内訳ﾘｽﾄ(4～3月)'!$D$5="部外間接1",-SUM(F$14:F$60,F$65),0))</f>
        <v>7401828</v>
      </c>
      <c r="G62" s="160">
        <f>IF('内訳ﾘｽﾄ(4～3月)'!$D$5="製造",SUMIF('内訳ﾘｽﾄ(4～3月)'!$D$26:$D$982,$B62,'内訳ﾘｽﾄ(4～3月)'!J$26:J$982),IF('内訳ﾘｽﾄ(4～3月)'!$D$5="部外間接1",-SUM(G$14:G$60,G$65),0))</f>
        <v>6571405</v>
      </c>
      <c r="H62" s="160">
        <f>IF('内訳ﾘｽﾄ(4～3月)'!$D$5="製造",SUMIF('内訳ﾘｽﾄ(4～3月)'!$D$26:$D$982,$B62,'内訳ﾘｽﾄ(4～3月)'!K$26:K$982),IF('内訳ﾘｽﾄ(4～3月)'!$D$5="部外間接1",-SUM(H$14:H$60,H$65),0))</f>
        <v>4740399</v>
      </c>
      <c r="I62" s="160">
        <f>IF('内訳ﾘｽﾄ(4～3月)'!$D$5="製造",SUMIF('内訳ﾘｽﾄ(4～3月)'!$D$26:$D$982,$B62,'内訳ﾘｽﾄ(4～3月)'!L$26:L$982),IF('内訳ﾘｽﾄ(4～3月)'!$D$5="部外間接1",-SUM(I$14:I$60,I$65),0))</f>
        <v>6286676</v>
      </c>
      <c r="J62" s="160">
        <f>IF('内訳ﾘｽﾄ(4～3月)'!$D$5="製造",SUMIF('内訳ﾘｽﾄ(4～3月)'!$D$26:$D$982,$B62,'内訳ﾘｽﾄ(4～3月)'!M$26:M$982),IF('内訳ﾘｽﾄ(4～3月)'!$D$5="部外間接1",-SUM(J$14:J$60,J$65),0))</f>
        <v>5976493</v>
      </c>
      <c r="K62" s="160">
        <f>IF('内訳ﾘｽﾄ(4～3月)'!$D$5="製造",SUMIF('内訳ﾘｽﾄ(4～3月)'!$D$26:$D$982,$B62,'内訳ﾘｽﾄ(4～3月)'!N$26:N$982),IF('内訳ﾘｽﾄ(4～3月)'!$D$5="部外間接1",-SUM(K$14:K$60,K$65),0))</f>
        <v>5399112</v>
      </c>
      <c r="L62" s="160">
        <f>IF('内訳ﾘｽﾄ(4～3月)'!$D$5="製造",SUMIF('内訳ﾘｽﾄ(4～3月)'!$D$26:$D$982,$B62,'内訳ﾘｽﾄ(4～3月)'!O$26:O$982),IF('内訳ﾘｽﾄ(4～3月)'!$D$5="部外間接1",-SUM(L$14:L$60,L$65),0))</f>
        <v>5723217</v>
      </c>
      <c r="M62" s="160">
        <f>IF('内訳ﾘｽﾄ(4～3月)'!$D$5="製造",SUMIF('内訳ﾘｽﾄ(4～3月)'!$D$26:$D$982,$B62,'内訳ﾘｽﾄ(4～3月)'!P$26:P$982),IF('内訳ﾘｽﾄ(4～3月)'!$D$5="部外間接1",-SUM(M$14:M$60,M$65),0))</f>
        <v>6513204</v>
      </c>
      <c r="N62" s="160">
        <f>IF('内訳ﾘｽﾄ(4～3月)'!$D$5="製造",SUMIF('内訳ﾘｽﾄ(4～3月)'!$D$26:$D$982,$B62,'内訳ﾘｽﾄ(4～3月)'!Q$26:Q$982),IF('内訳ﾘｽﾄ(4～3月)'!$D$5="部外間接1",-SUM(N$14:N$60,N$65),0))</f>
        <v>6177136</v>
      </c>
      <c r="O62" s="160">
        <f>IF('内訳ﾘｽﾄ(4～3月)'!$D$5="部外間接1",-SUM(O$65,O$14:O$60),IF('内訳ﾘｽﾄ(4～3月)'!$D$5="製造",SUMIF('内訳ﾘｽﾄ(4～3月)'!$D$26:$D$781,'採算表(VND)'!$B62,'内訳ﾘｽﾄ(4～3月)'!R$26:R$781),0))</f>
        <v>72076758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679</v>
      </c>
      <c r="C63" s="160">
        <f>IF('内訳ﾘｽﾄ(4～3月)'!$D$5="製造",SUMIF('内訳ﾘｽﾄ(4～3月)'!$D$26:$D$982,$B63,'内訳ﾘｽﾄ(4～3月)'!F$26:F$982),IF('内訳ﾘｽﾄ(4～3月)'!$D$5="部外間接2",-SUM(C$14:C$60,C$65),0))</f>
        <v>10907071</v>
      </c>
      <c r="D63" s="160">
        <f>IF('内訳ﾘｽﾄ(4～3月)'!$D$5="製造",SUMIF('内訳ﾘｽﾄ(4～3月)'!$D$26:$D$982,$B63,'内訳ﾘｽﾄ(4～3月)'!G$26:G$982),IF('内訳ﾘｽﾄ(4～3月)'!$D$5="部外間接2",-SUM(D$14:D$60,D$65),0))</f>
        <v>6393763</v>
      </c>
      <c r="E63" s="160">
        <f>IF('内訳ﾘｽﾄ(4～3月)'!$D$5="製造",SUMIF('内訳ﾘｽﾄ(4～3月)'!$D$26:$D$982,$B63,'内訳ﾘｽﾄ(4～3月)'!H$26:H$982),IF('内訳ﾘｽﾄ(4～3月)'!$D$5="部外間接2",-SUM(E$14:E$60,E$65),0))</f>
        <v>5587309</v>
      </c>
      <c r="F63" s="160">
        <f>IF('内訳ﾘｽﾄ(4～3月)'!$D$5="製造",SUMIF('内訳ﾘｽﾄ(4～3月)'!$D$26:$D$982,$B63,'内訳ﾘｽﾄ(4～3月)'!I$26:I$982),IF('内訳ﾘｽﾄ(4～3月)'!$D$5="部外間接2",-SUM(F$14:F$60,F$65),0))</f>
        <v>5508173</v>
      </c>
      <c r="G63" s="160">
        <f>IF('内訳ﾘｽﾄ(4～3月)'!$D$5="製造",SUMIF('内訳ﾘｽﾄ(4～3月)'!$D$26:$D$982,$B63,'内訳ﾘｽﾄ(4～3月)'!J$26:J$982),IF('内訳ﾘｽﾄ(4～3月)'!$D$5="部外間接2",-SUM(G$14:G$60,G$65),0))</f>
        <v>5513019</v>
      </c>
      <c r="H63" s="160">
        <f>IF('内訳ﾘｽﾄ(4～3月)'!$D$5="製造",SUMIF('内訳ﾘｽﾄ(4～3月)'!$D$26:$D$982,$B63,'内訳ﾘｽﾄ(4～3月)'!K$26:K$982),IF('内訳ﾘｽﾄ(4～3月)'!$D$5="部外間接2",-SUM(H$14:H$60,H$65),0))</f>
        <v>4399660</v>
      </c>
      <c r="I63" s="160">
        <f>IF('内訳ﾘｽﾄ(4～3月)'!$D$5="製造",SUMIF('内訳ﾘｽﾄ(4～3月)'!$D$26:$D$982,$B63,'内訳ﾘｽﾄ(4～3月)'!L$26:L$982),IF('内訳ﾘｽﾄ(4～3月)'!$D$5="部外間接2",-SUM(I$14:I$60,I$65),0))</f>
        <v>15174648</v>
      </c>
      <c r="J63" s="160">
        <f>IF('内訳ﾘｽﾄ(4～3月)'!$D$5="製造",SUMIF('内訳ﾘｽﾄ(4～3月)'!$D$26:$D$982,$B63,'内訳ﾘｽﾄ(4～3月)'!M$26:M$982),IF('内訳ﾘｽﾄ(4～3月)'!$D$5="部外間接2",-SUM(J$14:J$60,J$65),0))</f>
        <v>6874688</v>
      </c>
      <c r="K63" s="160">
        <f>IF('内訳ﾘｽﾄ(4～3月)'!$D$5="製造",SUMIF('内訳ﾘｽﾄ(4～3月)'!$D$26:$D$982,$B63,'内訳ﾘｽﾄ(4～3月)'!N$26:N$982),IF('内訳ﾘｽﾄ(4～3月)'!$D$5="部外間接2",-SUM(K$14:K$60,K$65),0))</f>
        <v>7380232</v>
      </c>
      <c r="L63" s="160">
        <f>IF('内訳ﾘｽﾄ(4～3月)'!$D$5="製造",SUMIF('内訳ﾘｽﾄ(4～3月)'!$D$26:$D$982,$B63,'内訳ﾘｽﾄ(4～3月)'!O$26:O$982),IF('内訳ﾘｽﾄ(4～3月)'!$D$5="部外間接2",-SUM(L$14:L$60,L$65),0))</f>
        <v>4854231</v>
      </c>
      <c r="M63" s="160">
        <f>IF('内訳ﾘｽﾄ(4～3月)'!$D$5="製造",SUMIF('内訳ﾘｽﾄ(4～3月)'!$D$26:$D$982,$B63,'内訳ﾘｽﾄ(4～3月)'!P$26:P$982),IF('内訳ﾘｽﾄ(4～3月)'!$D$5="部外間接2",-SUM(M$14:M$60,M$65),0))</f>
        <v>5801103</v>
      </c>
      <c r="N63" s="160">
        <f>IF('内訳ﾘｽﾄ(4～3月)'!$D$5="製造",SUMIF('内訳ﾘｽﾄ(4～3月)'!$D$26:$D$982,$B63,'内訳ﾘｽﾄ(4～3月)'!Q$26:Q$982),IF('内訳ﾘｽﾄ(4～3月)'!$D$5="部外間接2",-SUM(N$14:N$60,N$65),0))</f>
        <v>4627694</v>
      </c>
      <c r="O63" s="160">
        <f>IF('内訳ﾘｽﾄ(4～3月)'!$D$5="部外間接2",-SUM(O$65,O$14:O$60),IF('内訳ﾘｽﾄ(4～3月)'!$D$5="製造",SUMIF('内訳ﾘｽﾄ(4～3月)'!$D$26:$D$781,'採算表(VND)'!$B63,'内訳ﾘｽﾄ(4～3月)'!R$26:R$781),0))</f>
        <v>83021591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IF('内訳ﾘｽﾄ(4～3月)'!$D$5="製造",SUMIF('内訳ﾘｽﾄ(4～3月)'!$D$26:$D$982,$B64,'内訳ﾘｽﾄ(4～3月)'!F$26:F$982),IF('内訳ﾘｽﾄ(4～3月)'!$D$5="工場間接",-SUM(C$14:C$60,C$65),0))</f>
        <v>72173256</v>
      </c>
      <c r="D64" s="160">
        <f>IF('内訳ﾘｽﾄ(4～3月)'!$D$5="製造",SUMIF('内訳ﾘｽﾄ(4～3月)'!$D$26:$D$982,$B64,'内訳ﾘｽﾄ(4～3月)'!G$26:G$982),IF('内訳ﾘｽﾄ(4～3月)'!$D$5="工場間接",-SUM(D$14:D$60,D$65),0))</f>
        <v>92208398</v>
      </c>
      <c r="E64" s="160">
        <f>IF('内訳ﾘｽﾄ(4～3月)'!$D$5="製造",SUMIF('内訳ﾘｽﾄ(4～3月)'!$D$26:$D$982,$B64,'内訳ﾘｽﾄ(4～3月)'!H$26:H$982),IF('内訳ﾘｽﾄ(4～3月)'!$D$5="工場間接",-SUM(E$14:E$60,E$65),0))</f>
        <v>68266804</v>
      </c>
      <c r="F64" s="160">
        <f>IF('内訳ﾘｽﾄ(4～3月)'!$D$5="製造",SUMIF('内訳ﾘｽﾄ(4～3月)'!$D$26:$D$982,$B64,'内訳ﾘｽﾄ(4～3月)'!I$26:I$982),IF('内訳ﾘｽﾄ(4～3月)'!$D$5="工場間接",-SUM(F$14:F$60,F$65),0))</f>
        <v>137675375</v>
      </c>
      <c r="G64" s="160">
        <f>IF('内訳ﾘｽﾄ(4～3月)'!$D$5="製造",SUMIF('内訳ﾘｽﾄ(4～3月)'!$D$26:$D$982,$B64,'内訳ﾘｽﾄ(4～3月)'!J$26:J$982),IF('内訳ﾘｽﾄ(4～3月)'!$D$5="工場間接",-SUM(G$14:G$60,G$65),0))</f>
        <v>76708848</v>
      </c>
      <c r="H64" s="160">
        <f>IF('内訳ﾘｽﾄ(4～3月)'!$D$5="製造",SUMIF('内訳ﾘｽﾄ(4～3月)'!$D$26:$D$982,$B64,'内訳ﾘｽﾄ(4～3月)'!K$26:K$982),IF('内訳ﾘｽﾄ(4～3月)'!$D$5="工場間接",-SUM(H$14:H$60,H$65),0))</f>
        <v>74978177</v>
      </c>
      <c r="I64" s="160">
        <f>IF('内訳ﾘｽﾄ(4～3月)'!$D$5="製造",SUMIF('内訳ﾘｽﾄ(4～3月)'!$D$26:$D$982,$B64,'内訳ﾘｽﾄ(4～3月)'!L$26:L$982),IF('内訳ﾘｽﾄ(4～3月)'!$D$5="工場間接",-SUM(I$14:I$60,I$65),0))</f>
        <v>122436915</v>
      </c>
      <c r="J64" s="160">
        <f>IF('内訳ﾘｽﾄ(4～3月)'!$D$5="製造",SUMIF('内訳ﾘｽﾄ(4～3月)'!$D$26:$D$982,$B64,'内訳ﾘｽﾄ(4～3月)'!M$26:M$982),IF('内訳ﾘｽﾄ(4～3月)'!$D$5="工場間接",-SUM(J$14:J$60,J$65),0))</f>
        <v>103149795</v>
      </c>
      <c r="K64" s="160">
        <f>IF('内訳ﾘｽﾄ(4～3月)'!$D$5="製造",SUMIF('内訳ﾘｽﾄ(4～3月)'!$D$26:$D$982,$B64,'内訳ﾘｽﾄ(4～3月)'!N$26:N$982),IF('内訳ﾘｽﾄ(4～3月)'!$D$5="工場間接",-SUM(K$14:K$60,K$65),0))</f>
        <v>102016942</v>
      </c>
      <c r="L64" s="160">
        <f>IF('内訳ﾘｽﾄ(4～3月)'!$D$5="製造",SUMIF('内訳ﾘｽﾄ(4～3月)'!$D$26:$D$982,$B64,'内訳ﾘｽﾄ(4～3月)'!O$26:O$982),IF('内訳ﾘｽﾄ(4～3月)'!$D$5="工場間接",-SUM(L$14:L$60,L$65),0))</f>
        <v>113566543</v>
      </c>
      <c r="M64" s="160">
        <f>IF('内訳ﾘｽﾄ(4～3月)'!$D$5="製造",SUMIF('内訳ﾘｽﾄ(4～3月)'!$D$26:$D$982,$B64,'内訳ﾘｽﾄ(4～3月)'!P$26:P$982),IF('内訳ﾘｽﾄ(4～3月)'!$D$5="工場間接",-SUM(M$14:M$60,M$65),0))</f>
        <v>78423730</v>
      </c>
      <c r="N64" s="160">
        <f>IF('内訳ﾘｽﾄ(4～3月)'!$D$5="製造",SUMIF('内訳ﾘｽﾄ(4～3月)'!$D$26:$D$982,$B64,'内訳ﾘｽﾄ(4～3月)'!Q$26:Q$982),IF('内訳ﾘｽﾄ(4～3月)'!$D$5="工場間接",-SUM(N$14:N$60,N$65),0))</f>
        <v>80932679</v>
      </c>
      <c r="O64" s="160">
        <f>IF('内訳ﾘｽﾄ(4～3月)'!$D$5="工場間接",-SUM(O$65,O$14:O$60),IF('内訳ﾘｽﾄ(4～3月)'!$D$5="製造",SUMIF('内訳ﾘｽﾄ(4～3月)'!$D$26:$D$781,'採算表(VND)'!$B64,'内訳ﾘｽﾄ(4～3月)'!R$26:R$781),0))</f>
        <v>1122537462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SUMIF('内訳ﾘｽﾄ(4～3月)'!$D$26:$D$982,$B65,'内訳ﾘｽﾄ(4～3月)'!F$26:F$982)</f>
        <v>0</v>
      </c>
      <c r="D65" s="158">
        <f>SUMIF('内訳ﾘｽﾄ(4～3月)'!$D$26:$D$982,$B65,'内訳ﾘｽﾄ(4～3月)'!G$26:G$982)</f>
        <v>0</v>
      </c>
      <c r="E65" s="158">
        <f>SUMIF('内訳ﾘｽﾄ(4～3月)'!$D$26:$D$982,$B65,'内訳ﾘｽﾄ(4～3月)'!H$26:H$982)</f>
        <v>0</v>
      </c>
      <c r="F65" s="158">
        <f>SUMIF('内訳ﾘｽﾄ(4～3月)'!$D$26:$D$982,$B65,'内訳ﾘｽﾄ(4～3月)'!I$26:I$982)</f>
        <v>0</v>
      </c>
      <c r="G65" s="158">
        <f>SUMIF('内訳ﾘｽﾄ(4～3月)'!$D$26:$D$982,$B65,'内訳ﾘｽﾄ(4～3月)'!J$26:J$982)</f>
        <v>0</v>
      </c>
      <c r="H65" s="158">
        <f>SUMIF('内訳ﾘｽﾄ(4～3月)'!$D$26:$D$982,$B65,'内訳ﾘｽﾄ(4～3月)'!K$26:K$982)</f>
        <v>0</v>
      </c>
      <c r="I65" s="158">
        <f>SUMIF('内訳ﾘｽﾄ(4～3月)'!$D$26:$D$982,$B65,'内訳ﾘｽﾄ(4～3月)'!L$26:L$982)</f>
        <v>0</v>
      </c>
      <c r="J65" s="158">
        <f>SUMIF('内訳ﾘｽﾄ(4～3月)'!$D$26:$D$982,$B65,'内訳ﾘｽﾄ(4～3月)'!M$26:M$982)</f>
        <v>0</v>
      </c>
      <c r="K65" s="158">
        <f>SUMIF('内訳ﾘｽﾄ(4～3月)'!$D$26:$D$982,$B65,'内訳ﾘｽﾄ(4～3月)'!N$26:N$982)</f>
        <v>0</v>
      </c>
      <c r="L65" s="158">
        <f>SUMIF('内訳ﾘｽﾄ(4～3月)'!$D$26:$D$982,$B65,'内訳ﾘｽﾄ(4～3月)'!O$26:O$982)</f>
        <v>0</v>
      </c>
      <c r="M65" s="158">
        <f>SUMIF('内訳ﾘｽﾄ(4～3月)'!$D$26:$D$982,$B65,'内訳ﾘｽﾄ(4～3月)'!P$26:P$982)</f>
        <v>0</v>
      </c>
      <c r="N65" s="158">
        <f>SUMIF('内訳ﾘｽﾄ(4～3月)'!$D$26:$D$982,$B65,'内訳ﾘｽﾄ(4～3月)'!Q$26:Q$982)</f>
        <v>0</v>
      </c>
      <c r="O65" s="158">
        <f>SUMIF('内訳ﾘｽﾄ(4～3月)'!$D$26:$D$781,'採算表(VND)'!$B65,'内訳ﾘｽﾄ(4～3月)'!R$26:R$781)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3621715598</v>
      </c>
      <c r="D66" s="156">
        <f t="shared" ref="D66:N66" si="4">D12-D13</f>
        <v>519757326</v>
      </c>
      <c r="E66" s="156">
        <f t="shared" si="4"/>
        <v>448113469</v>
      </c>
      <c r="F66" s="156">
        <f t="shared" si="4"/>
        <v>1065736951</v>
      </c>
      <c r="G66" s="156">
        <f t="shared" si="4"/>
        <v>1159270055</v>
      </c>
      <c r="H66" s="156">
        <f t="shared" si="4"/>
        <v>2095919101</v>
      </c>
      <c r="I66" s="156">
        <f t="shared" si="4"/>
        <v>1754994304</v>
      </c>
      <c r="J66" s="156">
        <f t="shared" si="4"/>
        <v>1602951962</v>
      </c>
      <c r="K66" s="156">
        <f t="shared" si="4"/>
        <v>1967971967</v>
      </c>
      <c r="L66" s="156">
        <f t="shared" si="4"/>
        <v>1662481326</v>
      </c>
      <c r="M66" s="156">
        <f t="shared" si="4"/>
        <v>1618188397</v>
      </c>
      <c r="N66" s="156">
        <f t="shared" si="4"/>
        <v>2185835208</v>
      </c>
      <c r="O66" s="156">
        <f>IF(ISBLANK(O4),"",O12-O13)</f>
        <v>19702935664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6439.75</v>
      </c>
      <c r="D67" s="161">
        <f t="shared" ref="D67:N67" si="5">D73+D79</f>
        <v>6378.25</v>
      </c>
      <c r="E67" s="161">
        <f t="shared" si="5"/>
        <v>6968.5</v>
      </c>
      <c r="F67" s="161">
        <f t="shared" si="5"/>
        <v>10953</v>
      </c>
      <c r="G67" s="161">
        <f t="shared" si="5"/>
        <v>9394.25</v>
      </c>
      <c r="H67" s="161">
        <f t="shared" si="5"/>
        <v>8390</v>
      </c>
      <c r="I67" s="161">
        <f t="shared" si="5"/>
        <v>10593</v>
      </c>
      <c r="J67" s="161">
        <f t="shared" si="5"/>
        <v>9266.75</v>
      </c>
      <c r="K67" s="161">
        <f t="shared" si="5"/>
        <v>10176</v>
      </c>
      <c r="L67" s="161">
        <f t="shared" si="5"/>
        <v>11415.5</v>
      </c>
      <c r="M67" s="161">
        <f t="shared" si="5"/>
        <v>9377.25</v>
      </c>
      <c r="N67" s="161">
        <f t="shared" si="5"/>
        <v>11521</v>
      </c>
      <c r="O67" s="161">
        <f>IF(ISBLANK(O4),"",O73+O79)</f>
        <v>110873.25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5137</v>
      </c>
      <c r="D68" s="162">
        <f>SUMIF('内訳ﾘｽﾄ(4～3月)'!$D$8:$D$15,'採算表(VND)'!$B68,'内訳ﾘｽﾄ(4～3月)'!G$8:G$15)</f>
        <v>4913</v>
      </c>
      <c r="E68" s="162">
        <f>SUMIF('内訳ﾘｽﾄ(4～3月)'!$D$8:$D$15,'採算表(VND)'!$B68,'内訳ﾘｽﾄ(4～3月)'!H$8:H$15)</f>
        <v>5430</v>
      </c>
      <c r="F68" s="162">
        <f>SUMIF('内訳ﾘｽﾄ(4～3月)'!$D$8:$D$15,'採算表(VND)'!$B68,'内訳ﾘｽﾄ(4～3月)'!I$8:I$15)</f>
        <v>8821</v>
      </c>
      <c r="G68" s="162">
        <f>SUMIF('内訳ﾘｽﾄ(4～3月)'!$D$8:$D$15,'採算表(VND)'!$B68,'内訳ﾘｽﾄ(4～3月)'!J$8:J$15)</f>
        <v>7636</v>
      </c>
      <c r="H68" s="162">
        <f>SUMIF('内訳ﾘｽﾄ(4～3月)'!$D$8:$D$15,'採算表(VND)'!$B68,'内訳ﾘｽﾄ(4～3月)'!K$8:K$15)</f>
        <v>7287</v>
      </c>
      <c r="I68" s="162">
        <f>SUMIF('内訳ﾘｽﾄ(4～3月)'!$D$8:$D$15,'採算表(VND)'!$B68,'内訳ﾘｽﾄ(4～3月)'!L$8:L$15)</f>
        <v>8970.5</v>
      </c>
      <c r="J68" s="162">
        <f>SUMIF('内訳ﾘｽﾄ(4～3月)'!$D$8:$D$15,'採算表(VND)'!$B68,'内訳ﾘｽﾄ(4～3月)'!M$8:M$15)</f>
        <v>7837</v>
      </c>
      <c r="K68" s="162">
        <f>SUMIF('内訳ﾘｽﾄ(4～3月)'!$D$8:$D$15,'採算表(VND)'!$B68,'内訳ﾘｽﾄ(4～3月)'!N$8:N$15)</f>
        <v>8612.5</v>
      </c>
      <c r="L68" s="162">
        <f>SUMIF('内訳ﾘｽﾄ(4～3月)'!$D$8:$D$15,'採算表(VND)'!$B68,'内訳ﾘｽﾄ(4～3月)'!O$8:O$15)</f>
        <v>9952</v>
      </c>
      <c r="M68" s="162">
        <f>SUMIF('内訳ﾘｽﾄ(4～3月)'!$D$8:$D$15,'採算表(VND)'!$B68,'内訳ﾘｽﾄ(4～3月)'!P$8:P$15)</f>
        <v>7442.5</v>
      </c>
      <c r="N68" s="162">
        <f>SUMIF('内訳ﾘｽﾄ(4～3月)'!$D$8:$D$15,'採算表(VND)'!$B68,'内訳ﾘｽﾄ(4～3月)'!Q$8:Q$15)</f>
        <v>10003</v>
      </c>
      <c r="O68" s="162">
        <f>SUMIF('内訳ﾘｽﾄ(4～3月)'!$D$8:$D$15,'採算表(VND)'!$B68,'内訳ﾘｽﾄ(4～3月)'!$R$8:$R$15)</f>
        <v>92041.5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44.5</v>
      </c>
      <c r="D69" s="163">
        <f>IF('内訳ﾘｽﾄ(4～3月)'!$D$5="製造",SUMIF('内訳ﾘｽﾄ(4～3月)'!$D$8:$D$15,$B69,'内訳ﾘｽﾄ(4～3月)'!G$8:G$15),IF('内訳ﾘｽﾄ(4～3月)'!$D$5="部内間接",-D$68,0))</f>
        <v>44.5</v>
      </c>
      <c r="E69" s="163">
        <f>IF('内訳ﾘｽﾄ(4～3月)'!$D$5="製造",SUMIF('内訳ﾘｽﾄ(4～3月)'!$D$8:$D$15,$B69,'内訳ﾘｽﾄ(4～3月)'!H$8:H$15),IF('内訳ﾘｽﾄ(4～3月)'!$D$5="部内間接",-E$68,0))</f>
        <v>45.25</v>
      </c>
      <c r="F69" s="163">
        <f>IF('内訳ﾘｽﾄ(4～3月)'!$D$5="製造",SUMIF('内訳ﾘｽﾄ(4～3月)'!$D$8:$D$15,$B69,'内訳ﾘｽﾄ(4～3月)'!I$8:I$15),IF('内訳ﾘｽﾄ(4～3月)'!$D$5="部内間接",-F$68,0))</f>
        <v>41</v>
      </c>
      <c r="G69" s="163">
        <f>IF('内訳ﾘｽﾄ(4～3月)'!$D$5="製造",SUMIF('内訳ﾘｽﾄ(4～3月)'!$D$8:$D$15,$B69,'内訳ﾘｽﾄ(4～3月)'!J$8:J$15),IF('内訳ﾘｽﾄ(4～3月)'!$D$5="部内間接",-G$68,0))</f>
        <v>49.75</v>
      </c>
      <c r="H69" s="163">
        <f>IF('内訳ﾘｽﾄ(4～3月)'!$D$5="製造",SUMIF('内訳ﾘｽﾄ(4～3月)'!$D$8:$D$15,$B69,'内訳ﾘｽﾄ(4～3月)'!K$8:K$15),IF('内訳ﾘｽﾄ(4～3月)'!$D$5="部内間接",-H$68,0))</f>
        <v>51.25</v>
      </c>
      <c r="I69" s="163">
        <f>IF('内訳ﾘｽﾄ(4～3月)'!$D$5="製造",SUMIF('内訳ﾘｽﾄ(4～3月)'!$D$8:$D$15,$B69,'内訳ﾘｽﾄ(4～3月)'!L$8:L$15),IF('内訳ﾘｽﾄ(4～3月)'!$D$5="部内間接",-I$68,0))</f>
        <v>66</v>
      </c>
      <c r="J69" s="163">
        <f>IF('内訳ﾘｽﾄ(4～3月)'!$D$5="製造",SUMIF('内訳ﾘｽﾄ(4～3月)'!$D$8:$D$15,$B69,'内訳ﾘｽﾄ(4～3月)'!M$8:M$15),IF('内訳ﾘｽﾄ(4～3月)'!$D$5="部内間接",-J$68,0))</f>
        <v>58.75</v>
      </c>
      <c r="K69" s="163">
        <f>IF('内訳ﾘｽﾄ(4～3月)'!$D$5="製造",SUMIF('内訳ﾘｽﾄ(4～3月)'!$D$8:$D$15,$B69,'内訳ﾘｽﾄ(4～3月)'!N$8:N$15),IF('内訳ﾘｽﾄ(4～3月)'!$D$5="部内間接",-K$68,0))</f>
        <v>68.25</v>
      </c>
      <c r="L69" s="163">
        <f>IF('内訳ﾘｽﾄ(4～3月)'!$D$5="製造",SUMIF('内訳ﾘｽﾄ(4～3月)'!$D$8:$D$15,$B69,'内訳ﾘｽﾄ(4～3月)'!O$8:O$15),IF('内訳ﾘｽﾄ(4～3月)'!$D$5="部内間接",-L$68,0))</f>
        <v>73.25</v>
      </c>
      <c r="M69" s="163">
        <f>IF('内訳ﾘｽﾄ(4～3月)'!$D$5="製造",SUMIF('内訳ﾘｽﾄ(4～3月)'!$D$8:$D$15,$B69,'内訳ﾘｽﾄ(4～3月)'!P$8:P$15),IF('内訳ﾘｽﾄ(4～3月)'!$D$5="部内間接",-M$68,0))</f>
        <v>75.5</v>
      </c>
      <c r="N69" s="163">
        <f>IF('内訳ﾘｽﾄ(4～3月)'!$D$5="製造",SUMIF('内訳ﾘｽﾄ(4～3月)'!$D$8:$D$15,$B69,'内訳ﾘｽﾄ(4～3月)'!Q$8:Q$15),IF('内訳ﾘｽﾄ(4～3月)'!$D$5="部内間接",-N$68,0))</f>
        <v>77.25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695.25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6.5</v>
      </c>
      <c r="D70" s="164">
        <f>IF('内訳ﾘｽﾄ(4～3月)'!$D$5="製造",SUMIF('内訳ﾘｽﾄ(4～3月)'!$D$8:$D$15,$B70,'内訳ﾘｽﾄ(4～3月)'!G$8:G$15),IF('内訳ﾘｽﾄ(4～3月)'!$D$5="部外間接1",-D$68,0))</f>
        <v>6.25</v>
      </c>
      <c r="E70" s="164">
        <f>IF('内訳ﾘｽﾄ(4～3月)'!$D$5="製造",SUMIF('内訳ﾘｽﾄ(4～3月)'!$D$8:$D$15,$B70,'内訳ﾘｽﾄ(4～3月)'!H$8:H$15),IF('内訳ﾘｽﾄ(4～3月)'!$D$5="部外間接1",-E$68,0))</f>
        <v>7.25</v>
      </c>
      <c r="F70" s="164">
        <f>IF('内訳ﾘｽﾄ(4～3月)'!$D$5="製造",SUMIF('内訳ﾘｽﾄ(4～3月)'!$D$8:$D$15,$B70,'内訳ﾘｽﾄ(4～3月)'!I$8:I$15),IF('内訳ﾘｽﾄ(4～3月)'!$D$5="部外間接1",-F$68,0))</f>
        <v>8.5</v>
      </c>
      <c r="G70" s="164">
        <f>IF('内訳ﾘｽﾄ(4～3月)'!$D$5="製造",SUMIF('内訳ﾘｽﾄ(4～3月)'!$D$8:$D$15,$B70,'内訳ﾘｽﾄ(4～3月)'!J$8:J$15),IF('内訳ﾘｽﾄ(4～3月)'!$D$5="部外間接1",-G$68,0))</f>
        <v>7.25</v>
      </c>
      <c r="H70" s="164">
        <f>IF('内訳ﾘｽﾄ(4～3月)'!$D$5="製造",SUMIF('内訳ﾘｽﾄ(4～3月)'!$D$8:$D$15,$B70,'内訳ﾘｽﾄ(4～3月)'!K$8:K$15),IF('内訳ﾘｽﾄ(4～3月)'!$D$5="部外間接1",-H$68,0))</f>
        <v>7.25</v>
      </c>
      <c r="I70" s="164">
        <f>IF('内訳ﾘｽﾄ(4～3月)'!$D$5="製造",SUMIF('内訳ﾘｽﾄ(4～3月)'!$D$8:$D$15,$B70,'内訳ﾘｽﾄ(4～3月)'!L$8:L$15),IF('内訳ﾘｽﾄ(4～3月)'!$D$5="部外間接1",-I$68,0))</f>
        <v>10.5</v>
      </c>
      <c r="J70" s="164">
        <f>IF('内訳ﾘｽﾄ(4～3月)'!$D$5="製造",SUMIF('内訳ﾘｽﾄ(4～3月)'!$D$8:$D$15,$B70,'内訳ﾘｽﾄ(4～3月)'!M$8:M$15),IF('内訳ﾘｽﾄ(4～3月)'!$D$5="部外間接1",-J$68,0))</f>
        <v>9.75</v>
      </c>
      <c r="K70" s="164">
        <f>IF('内訳ﾘｽﾄ(4～3月)'!$D$5="製造",SUMIF('内訳ﾘｽﾄ(4～3月)'!$D$8:$D$15,$B70,'内訳ﾘｽﾄ(4～3月)'!N$8:N$15),IF('内訳ﾘｽﾄ(4～3月)'!$D$5="部外間接1",-K$68,0))</f>
        <v>9.75</v>
      </c>
      <c r="L70" s="164">
        <f>IF('内訳ﾘｽﾄ(4～3月)'!$D$5="製造",SUMIF('内訳ﾘｽﾄ(4～3月)'!$D$8:$D$15,$B70,'内訳ﾘｽﾄ(4～3月)'!O$8:O$15),IF('内訳ﾘｽﾄ(4～3月)'!$D$5="部外間接1",-L$68,0))</f>
        <v>10</v>
      </c>
      <c r="M70" s="164">
        <f>IF('内訳ﾘｽﾄ(4～3月)'!$D$5="製造",SUMIF('内訳ﾘｽﾄ(4～3月)'!$D$8:$D$15,$B70,'内訳ﾘｽﾄ(4～3月)'!P$8:P$15),IF('内訳ﾘｽﾄ(4～3月)'!$D$5="部外間接1",-M$68,0))</f>
        <v>8.25</v>
      </c>
      <c r="N70" s="164">
        <f>IF('内訳ﾘｽﾄ(4～3月)'!$D$5="製造",SUMIF('内訳ﾘｽﾄ(4～3月)'!$D$8:$D$15,$B70,'内訳ﾘｽﾄ(4～3月)'!Q$8:Q$15),IF('内訳ﾘｽﾄ(4～3月)'!$D$5="部外間接1",-N$68,0))</f>
        <v>11.5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102.75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6.5</v>
      </c>
      <c r="D71" s="164">
        <f>IF('内訳ﾘｽﾄ(4～3月)'!$D$5="製造",SUMIF('内訳ﾘｽﾄ(4～3月)'!$D$8:$D$15,$B71,'内訳ﾘｽﾄ(4～3月)'!G$8:G$15),IF('内訳ﾘｽﾄ(4～3月)'!$D$5="部外間接2",-D$68,0))</f>
        <v>6</v>
      </c>
      <c r="E71" s="164">
        <f>IF('内訳ﾘｽﾄ(4～3月)'!$D$5="製造",SUMIF('内訳ﾘｽﾄ(4～3月)'!$D$8:$D$15,$B71,'内訳ﾘｽﾄ(4～3月)'!H$8:H$15),IF('内訳ﾘｽﾄ(4～3月)'!$D$5="部外間接2",-E$68,0))</f>
        <v>6.75</v>
      </c>
      <c r="F71" s="164">
        <f>IF('内訳ﾘｽﾄ(4～3月)'!$D$5="製造",SUMIF('内訳ﾘｽﾄ(4～3月)'!$D$8:$D$15,$B71,'内訳ﾘｽﾄ(4～3月)'!I$8:I$15),IF('内訳ﾘｽﾄ(4～3月)'!$D$5="部外間接2",-F$68,0))</f>
        <v>7</v>
      </c>
      <c r="G71" s="164">
        <f>IF('内訳ﾘｽﾄ(4～3月)'!$D$5="製造",SUMIF('内訳ﾘｽﾄ(4～3月)'!$D$8:$D$15,$B71,'内訳ﾘｽﾄ(4～3月)'!J$8:J$15),IF('内訳ﾘｽﾄ(4～3月)'!$D$5="部外間接2",-G$68,0))</f>
        <v>6.5</v>
      </c>
      <c r="H71" s="164">
        <f>IF('内訳ﾘｽﾄ(4～3月)'!$D$5="製造",SUMIF('内訳ﾘｽﾄ(4～3月)'!$D$8:$D$15,$B71,'内訳ﾘｽﾄ(4～3月)'!K$8:K$15),IF('内訳ﾘｽﾄ(4～3月)'!$D$5="部外間接2",-H$68,0))</f>
        <v>5.75</v>
      </c>
      <c r="I71" s="164">
        <f>IF('内訳ﾘｽﾄ(4～3月)'!$D$5="製造",SUMIF('内訳ﾘｽﾄ(4～3月)'!$D$8:$D$15,$B71,'内訳ﾘｽﾄ(4～3月)'!L$8:L$15),IF('内訳ﾘｽﾄ(4～3月)'!$D$5="部外間接2",-I$68,0))</f>
        <v>9</v>
      </c>
      <c r="J71" s="164">
        <f>IF('内訳ﾘｽﾄ(4～3月)'!$D$5="製造",SUMIF('内訳ﾘｽﾄ(4～3月)'!$D$8:$D$15,$B71,'内訳ﾘｽﾄ(4～3月)'!M$8:M$15),IF('内訳ﾘｽﾄ(4～3月)'!$D$5="部外間接2",-J$68,0))</f>
        <v>8</v>
      </c>
      <c r="K71" s="164">
        <f>IF('内訳ﾘｽﾄ(4～3月)'!$D$5="製造",SUMIF('内訳ﾘｽﾄ(4～3月)'!$D$8:$D$15,$B71,'内訳ﾘｽﾄ(4～3月)'!N$8:N$15),IF('内訳ﾘｽﾄ(4～3月)'!$D$5="部外間接2",-K$68,0))</f>
        <v>9</v>
      </c>
      <c r="L71" s="164">
        <f>IF('内訳ﾘｽﾄ(4～3月)'!$D$5="製造",SUMIF('内訳ﾘｽﾄ(4～3月)'!$D$8:$D$15,$B71,'内訳ﾘｽﾄ(4～3月)'!O$8:O$15),IF('内訳ﾘｽﾄ(4～3月)'!$D$5="部外間接2",-L$68,0))</f>
        <v>8</v>
      </c>
      <c r="M71" s="164">
        <f>IF('内訳ﾘｽﾄ(4～3月)'!$D$5="製造",SUMIF('内訳ﾘｽﾄ(4～3月)'!$D$8:$D$15,$B71,'内訳ﾘｽﾄ(4～3月)'!P$8:P$15),IF('内訳ﾘｽﾄ(4～3月)'!$D$5="部外間接2",-M$68,0))</f>
        <v>6.5</v>
      </c>
      <c r="N71" s="164">
        <f>IF('内訳ﾘｽﾄ(4～3月)'!$D$5="製造",SUMIF('内訳ﾘｽﾄ(4～3月)'!$D$8:$D$15,$B71,'内訳ﾘｽﾄ(4～3月)'!Q$8:Q$15),IF('内訳ﾘｽﾄ(4～3月)'!$D$5="部外間接2",-N$68,0))</f>
        <v>8.25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87.25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8</v>
      </c>
      <c r="D72" s="165">
        <f>IF('内訳ﾘｽﾄ(4～3月)'!$D$5="製造",SUMIF('内訳ﾘｽﾄ(4～3月)'!$D$8:$D$15,$B72,'内訳ﾘｽﾄ(4～3月)'!G$8:G$15),IF('内訳ﾘｽﾄ(4～3月)'!$D$5="工場間接",-D$68,0))</f>
        <v>6.75</v>
      </c>
      <c r="E72" s="165">
        <f>IF('内訳ﾘｽﾄ(4～3月)'!$D$5="製造",SUMIF('内訳ﾘｽﾄ(4～3月)'!$D$8:$D$15,$B72,'内訳ﾘｽﾄ(4～3月)'!H$8:H$15),IF('内訳ﾘｽﾄ(4～3月)'!$D$5="工場間接",-E$68,0))</f>
        <v>6.75</v>
      </c>
      <c r="F72" s="165">
        <f>IF('内訳ﾘｽﾄ(4～3月)'!$D$5="製造",SUMIF('内訳ﾘｽﾄ(4～3月)'!$D$8:$D$15,$B72,'内訳ﾘｽﾄ(4～3月)'!I$8:I$15),IF('内訳ﾘｽﾄ(4～3月)'!$D$5="工場間接",-F$68,0))</f>
        <v>9.75</v>
      </c>
      <c r="G72" s="165">
        <f>IF('内訳ﾘｽﾄ(4～3月)'!$D$5="製造",SUMIF('内訳ﾘｽﾄ(4～3月)'!$D$8:$D$15,$B72,'内訳ﾘｽﾄ(4～3月)'!J$8:J$15),IF('内訳ﾘｽﾄ(4～3月)'!$D$5="工場間接",-G$68,0))</f>
        <v>8.75</v>
      </c>
      <c r="H72" s="165">
        <f>IF('内訳ﾘｽﾄ(4～3月)'!$D$5="製造",SUMIF('内訳ﾘｽﾄ(4～3月)'!$D$8:$D$15,$B72,'内訳ﾘｽﾄ(4～3月)'!K$8:K$15),IF('内訳ﾘｽﾄ(4～3月)'!$D$5="工場間接",-H$68,0))</f>
        <v>12</v>
      </c>
      <c r="I72" s="165">
        <f>IF('内訳ﾘｽﾄ(4～3月)'!$D$5="製造",SUMIF('内訳ﾘｽﾄ(4～3月)'!$D$8:$D$15,$B72,'内訳ﾘｽﾄ(4～3月)'!L$8:L$15),IF('内訳ﾘｽﾄ(4～3月)'!$D$5="工場間接",-I$68,0))</f>
        <v>12.25</v>
      </c>
      <c r="J72" s="165">
        <f>IF('内訳ﾘｽﾄ(4～3月)'!$D$5="製造",SUMIF('内訳ﾘｽﾄ(4～3月)'!$D$8:$D$15,$B72,'内訳ﾘｽﾄ(4～3月)'!M$8:M$15),IF('内訳ﾘｽﾄ(4～3月)'!$D$5="工場間接",-J$68,0))</f>
        <v>11.75</v>
      </c>
      <c r="K72" s="165">
        <f>IF('内訳ﾘｽﾄ(4～3月)'!$D$5="製造",SUMIF('内訳ﾘｽﾄ(4～3月)'!$D$8:$D$15,$B72,'内訳ﾘｽﾄ(4～3月)'!N$8:N$15),IF('内訳ﾘｽﾄ(4～3月)'!$D$5="工場間接",-K$68,0))</f>
        <v>12</v>
      </c>
      <c r="L72" s="165">
        <f>IF('内訳ﾘｽﾄ(4～3月)'!$D$5="製造",SUMIF('内訳ﾘｽﾄ(4～3月)'!$D$8:$D$15,$B72,'内訳ﾘｽﾄ(4～3月)'!O$8:O$15),IF('内訳ﾘｽﾄ(4～3月)'!$D$5="工場間接",-L$68,0))</f>
        <v>11</v>
      </c>
      <c r="M72" s="165">
        <f>IF('内訳ﾘｽﾄ(4～3月)'!$D$5="製造",SUMIF('内訳ﾘｽﾄ(4～3月)'!$D$8:$D$15,$B72,'内訳ﾘｽﾄ(4～3月)'!P$8:P$15),IF('内訳ﾘｽﾄ(4～3月)'!$D$5="工場間接",-M$68,0))</f>
        <v>17.75</v>
      </c>
      <c r="N72" s="165">
        <f>IF('内訳ﾘｽﾄ(4～3月)'!$D$5="製造",SUMIF('内訳ﾘｽﾄ(4～3月)'!$D$8:$D$15,$B72,'内訳ﾘｽﾄ(4～3月)'!Q$8:Q$15),IF('内訳ﾘｽﾄ(4～3月)'!$D$5="工場間接",-N$68,0))</f>
        <v>11.75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128.5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5202.5</v>
      </c>
      <c r="D73" s="166">
        <f t="shared" ref="D73:N73" si="6">SUM(D68:D72)</f>
        <v>4976.5</v>
      </c>
      <c r="E73" s="166">
        <f t="shared" si="6"/>
        <v>5496</v>
      </c>
      <c r="F73" s="166">
        <f t="shared" si="6"/>
        <v>8887.25</v>
      </c>
      <c r="G73" s="166">
        <f t="shared" si="6"/>
        <v>7708.25</v>
      </c>
      <c r="H73" s="166">
        <f t="shared" si="6"/>
        <v>7363.25</v>
      </c>
      <c r="I73" s="166">
        <f t="shared" si="6"/>
        <v>9068.25</v>
      </c>
      <c r="J73" s="166">
        <f t="shared" si="6"/>
        <v>7925.25</v>
      </c>
      <c r="K73" s="166">
        <f t="shared" si="6"/>
        <v>8711.5</v>
      </c>
      <c r="L73" s="166">
        <f t="shared" si="6"/>
        <v>10054.25</v>
      </c>
      <c r="M73" s="166">
        <f t="shared" si="6"/>
        <v>7550.5</v>
      </c>
      <c r="N73" s="166">
        <f t="shared" si="6"/>
        <v>10111.75</v>
      </c>
      <c r="O73" s="166">
        <f>IF(ISBLANK(O4),"",SUM(O68:O72))</f>
        <v>93055.25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326</v>
      </c>
      <c r="D74" s="162">
        <f>SUMIF('内訳ﾘｽﾄ(4～3月)'!$D$16:$D$23,'採算表(VND)'!$B74,'内訳ﾘｽﾄ(4～3月)'!G$16:G$23)</f>
        <v>528</v>
      </c>
      <c r="E74" s="162">
        <f>SUMIF('内訳ﾘｽﾄ(4～3月)'!$D$16:$D$23,'採算表(VND)'!$B74,'内訳ﾘｽﾄ(4～3月)'!H$16:H$23)</f>
        <v>510</v>
      </c>
      <c r="F74" s="162">
        <f>SUMIF('内訳ﾘｽﾄ(4～3月)'!$D$16:$D$23,'採算表(VND)'!$B74,'内訳ﾘｽﾄ(4～3月)'!I$16:I$23)</f>
        <v>980</v>
      </c>
      <c r="G74" s="162">
        <f>SUMIF('内訳ﾘｽﾄ(4～3月)'!$D$16:$D$23,'採算表(VND)'!$B74,'内訳ﾘｽﾄ(4～3月)'!J$16:J$23)</f>
        <v>736</v>
      </c>
      <c r="H74" s="162">
        <f>SUMIF('内訳ﾘｽﾄ(4～3月)'!$D$16:$D$23,'採算表(VND)'!$B74,'内訳ﾘｽﾄ(4～3月)'!K$16:K$23)</f>
        <v>114</v>
      </c>
      <c r="I74" s="162">
        <f>SUMIF('内訳ﾘｽﾄ(4～3月)'!$D$16:$D$23,'採算表(VND)'!$B74,'内訳ﾘｽﾄ(4～3月)'!L$16:L$23)</f>
        <v>128</v>
      </c>
      <c r="J74" s="162">
        <f>SUMIF('内訳ﾘｽﾄ(4～3月)'!$D$16:$D$23,'採算表(VND)'!$B74,'内訳ﾘｽﾄ(4～3月)'!M$16:M$23)</f>
        <v>120</v>
      </c>
      <c r="K74" s="162">
        <f>SUMIF('内訳ﾘｽﾄ(4～3月)'!$D$16:$D$23,'採算表(VND)'!$B74,'内訳ﾘｽﾄ(4～3月)'!N$16:N$23)</f>
        <v>128</v>
      </c>
      <c r="L74" s="162">
        <f>SUMIF('内訳ﾘｽﾄ(4～3月)'!$D$16:$D$23,'採算表(VND)'!$B74,'内訳ﾘｽﾄ(4～3月)'!O$16:O$23)</f>
        <v>108</v>
      </c>
      <c r="M74" s="162">
        <f>SUMIF('内訳ﾘｽﾄ(4～3月)'!$D$16:$D$23,'採算表(VND)'!$B74,'内訳ﾘｽﾄ(4～3月)'!P$16:P$23)</f>
        <v>854</v>
      </c>
      <c r="N74" s="162">
        <f>SUMIF('内訳ﾘｽﾄ(4～3月)'!$D$16:$D$23,'採算表(VND)'!$B74,'内訳ﾘｽﾄ(4～3月)'!Q$16:Q$23)</f>
        <v>120</v>
      </c>
      <c r="O74" s="162">
        <f>SUMIF('内訳ﾘｽﾄ(4～3月)'!$D$16:$D$23,'採算表(VND)'!$B74,'内訳ﾘｽﾄ(4～3月)'!$R$16:$R$23)</f>
        <v>4652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574</v>
      </c>
      <c r="D75" s="163">
        <f>IF('内訳ﾘｽﾄ(4～3月)'!$D$5="製造",SUMIF('内訳ﾘｽﾄ(4～3月)'!$D$16:$D$23,$B75,'内訳ﾘｽﾄ(4～3月)'!G$16:G$23),IF('内訳ﾘｽﾄ(4～3月)'!$D$5="部内間接",-D$74,0))</f>
        <v>544.75</v>
      </c>
      <c r="E75" s="163">
        <f>IF('内訳ﾘｽﾄ(4～3月)'!$D$5="製造",SUMIF('内訳ﾘｽﾄ(4～3月)'!$D$16:$D$23,$B75,'内訳ﾘｽﾄ(4～3月)'!H$16:H$23),IF('内訳ﾘｽﾄ(4～3月)'!$D$5="部内間接",-E$74,0))</f>
        <v>604.5</v>
      </c>
      <c r="F75" s="163">
        <f>IF('内訳ﾘｽﾄ(4～3月)'!$D$5="製造",SUMIF('内訳ﾘｽﾄ(4～3月)'!$D$16:$D$23,$B75,'内訳ﾘｽﾄ(4～3月)'!I$16:I$23),IF('内訳ﾘｽﾄ(4～3月)'!$D$5="部内間接",-F$74,0))</f>
        <v>618.5</v>
      </c>
      <c r="G75" s="163">
        <f>IF('内訳ﾘｽﾄ(4～3月)'!$D$5="製造",SUMIF('内訳ﾘｽﾄ(4～3月)'!$D$16:$D$23,$B75,'内訳ﾘｽﾄ(4～3月)'!J$16:J$23),IF('内訳ﾘｽﾄ(4～3月)'!$D$5="部内間接",-G$74,0))</f>
        <v>532</v>
      </c>
      <c r="H75" s="163">
        <f>IF('内訳ﾘｽﾄ(4～3月)'!$D$5="製造",SUMIF('内訳ﾘｽﾄ(4～3月)'!$D$16:$D$23,$B75,'内訳ﾘｽﾄ(4～3月)'!K$16:K$23),IF('内訳ﾘｽﾄ(4～3月)'!$D$5="部内間接",-H$74,0))</f>
        <v>516.25</v>
      </c>
      <c r="I75" s="163">
        <f>IF('内訳ﾘｽﾄ(4～3月)'!$D$5="製造",SUMIF('内訳ﾘｽﾄ(4～3月)'!$D$16:$D$23,$B75,'内訳ﾘｽﾄ(4～3月)'!L$16:L$23),IF('内訳ﾘｽﾄ(4～3月)'!$D$5="部内間接",-I$74,0))</f>
        <v>790.5</v>
      </c>
      <c r="J75" s="163">
        <f>IF('内訳ﾘｽﾄ(4～3月)'!$D$5="製造",SUMIF('内訳ﾘｽﾄ(4～3月)'!$D$16:$D$23,$B75,'内訳ﾘｽﾄ(4～3月)'!M$16:M$23),IF('内訳ﾘｽﾄ(4～3月)'!$D$5="部内間接",-J$74,0))</f>
        <v>680.25</v>
      </c>
      <c r="K75" s="163">
        <f>IF('内訳ﾘｽﾄ(4～3月)'!$D$5="製造",SUMIF('内訳ﾘｽﾄ(4～3月)'!$D$16:$D$23,$B75,'内訳ﾘｽﾄ(4～3月)'!N$16:N$23),IF('内訳ﾘｽﾄ(4～3月)'!$D$5="部内間接",-K$74,0))</f>
        <v>745.75</v>
      </c>
      <c r="L75" s="163">
        <f>IF('内訳ﾘｽﾄ(4～3月)'!$D$5="製造",SUMIF('内訳ﾘｽﾄ(4～3月)'!$D$16:$D$23,$B75,'内訳ﾘｽﾄ(4～3月)'!O$16:O$23),IF('内訳ﾘｽﾄ(4～3月)'!$D$5="部内間接",-L$74,0))</f>
        <v>688.75</v>
      </c>
      <c r="M75" s="163">
        <f>IF('内訳ﾘｽﾄ(4～3月)'!$D$5="製造",SUMIF('内訳ﾘｽﾄ(4～3月)'!$D$16:$D$23,$B75,'内訳ﾘｽﾄ(4～3月)'!P$16:P$23),IF('内訳ﾘｽﾄ(4～3月)'!$D$5="部内間接",-M$74,0))</f>
        <v>551.5</v>
      </c>
      <c r="N75" s="163">
        <f>IF('内訳ﾘｽﾄ(4～3月)'!$D$5="製造",SUMIF('内訳ﾘｽﾄ(4～3月)'!$D$16:$D$23,$B75,'内訳ﾘｽﾄ(4～3月)'!Q$16:Q$23),IF('内訳ﾘｽﾄ(4～3月)'!$D$5="部内間接",-N$74,0))</f>
        <v>723.5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7570.25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115.5</v>
      </c>
      <c r="D76" s="164">
        <f>IF('内訳ﾘｽﾄ(4～3月)'!$D$5="製造",SUMIF('内訳ﾘｽﾄ(4～3月)'!$D$16:$D$23,$B76,'内訳ﾘｽﾄ(4～3月)'!G$16:G$23),IF('内訳ﾘｽﾄ(4～3月)'!$D$5="部外間接1",-D$74,0))</f>
        <v>112.75</v>
      </c>
      <c r="E76" s="164">
        <f>IF('内訳ﾘｽﾄ(4～3月)'!$D$5="製造",SUMIF('内訳ﾘｽﾄ(4～3月)'!$D$16:$D$23,$B76,'内訳ﾘｽﾄ(4～3月)'!H$16:H$23),IF('内訳ﾘｽﾄ(4～3月)'!$D$5="部外間接1",-E$74,0))</f>
        <v>124.5</v>
      </c>
      <c r="F76" s="164">
        <f>IF('内訳ﾘｽﾄ(4～3月)'!$D$5="製造",SUMIF('内訳ﾘｽﾄ(4～3月)'!$D$16:$D$23,$B76,'内訳ﾘｽﾄ(4～3月)'!I$16:I$23),IF('内訳ﾘｽﾄ(4～3月)'!$D$5="部外間接1",-F$74,0))</f>
        <v>144.75</v>
      </c>
      <c r="G76" s="164">
        <f>IF('内訳ﾘｽﾄ(4～3月)'!$D$5="製造",SUMIF('内訳ﾘｽﾄ(4～3月)'!$D$16:$D$23,$B76,'内訳ﾘｽﾄ(4～3月)'!J$16:J$23),IF('内訳ﾘｽﾄ(4～3月)'!$D$5="部外間接1",-G$74,0))</f>
        <v>127.25</v>
      </c>
      <c r="H76" s="164">
        <f>IF('内訳ﾘｽﾄ(4～3月)'!$D$5="製造",SUMIF('内訳ﾘｽﾄ(4～3月)'!$D$16:$D$23,$B76,'内訳ﾘｽﾄ(4～3月)'!K$16:K$23),IF('内訳ﾘｽﾄ(4～3月)'!$D$5="部外間接1",-H$74,0))</f>
        <v>121.25</v>
      </c>
      <c r="I76" s="164">
        <f>IF('内訳ﾘｽﾄ(4～3月)'!$D$5="製造",SUMIF('内訳ﾘｽﾄ(4～3月)'!$D$16:$D$23,$B76,'内訳ﾘｽﾄ(4～3月)'!L$16:L$23),IF('内訳ﾘｽﾄ(4～3月)'!$D$5="部外間接1",-I$74,0))</f>
        <v>184.75</v>
      </c>
      <c r="J76" s="164">
        <f>IF('内訳ﾘｽﾄ(4～3月)'!$D$5="製造",SUMIF('内訳ﾘｽﾄ(4～3月)'!$D$16:$D$23,$B76,'内訳ﾘｽﾄ(4～3月)'!M$16:M$23),IF('内訳ﾘｽﾄ(4～3月)'!$D$5="部外間接1",-J$74,0))</f>
        <v>161</v>
      </c>
      <c r="K76" s="164">
        <f>IF('内訳ﾘｽﾄ(4～3月)'!$D$5="製造",SUMIF('内訳ﾘｽﾄ(4～3月)'!$D$16:$D$23,$B76,'内訳ﾘｽﾄ(4～3月)'!N$16:N$23),IF('内訳ﾘｽﾄ(4～3月)'!$D$5="部外間接1",-K$74,0))</f>
        <v>178.5</v>
      </c>
      <c r="L76" s="164">
        <f>IF('内訳ﾘｽﾄ(4～3月)'!$D$5="製造",SUMIF('内訳ﾘｽﾄ(4～3月)'!$D$16:$D$23,$B76,'内訳ﾘｽﾄ(4～3月)'!O$16:O$23),IF('内訳ﾘｽﾄ(4～3月)'!$D$5="部外間接1",-L$74,0))</f>
        <v>189.25</v>
      </c>
      <c r="M76" s="164">
        <f>IF('内訳ﾘｽﾄ(4～3月)'!$D$5="製造",SUMIF('内訳ﾘｽﾄ(4～3月)'!$D$16:$D$23,$B76,'内訳ﾘｽﾄ(4～3月)'!P$16:P$23),IF('内訳ﾘｽﾄ(4～3月)'!$D$5="部外間接1",-M$74,0))</f>
        <v>141.5</v>
      </c>
      <c r="N76" s="164">
        <f>IF('内訳ﾘｽﾄ(4～3月)'!$D$5="製造",SUMIF('内訳ﾘｽﾄ(4～3月)'!$D$16:$D$23,$B76,'内訳ﾘｽﾄ(4～3月)'!Q$16:Q$23),IF('内訳ﾘｽﾄ(4～3月)'!$D$5="部外間接1",-N$74,0))</f>
        <v>189.5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1790.5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79</v>
      </c>
      <c r="D77" s="164">
        <f>IF('内訳ﾘｽﾄ(4～3月)'!$D$5="製造",SUMIF('内訳ﾘｽﾄ(4～3月)'!$D$16:$D$23,$B77,'内訳ﾘｽﾄ(4～3月)'!G$16:G$23),IF('内訳ﾘｽﾄ(4～3月)'!$D$5="部外間接2",-D$74,0))</f>
        <v>74.5</v>
      </c>
      <c r="E77" s="164">
        <f>IF('内訳ﾘｽﾄ(4～3月)'!$D$5="製造",SUMIF('内訳ﾘｽﾄ(4～3月)'!$D$16:$D$23,$B77,'内訳ﾘｽﾄ(4～3月)'!H$16:H$23),IF('内訳ﾘｽﾄ(4～3月)'!$D$5="部外間接2",-E$74,0))</f>
        <v>83.75</v>
      </c>
      <c r="F77" s="164">
        <f>IF('内訳ﾘｽﾄ(4～3月)'!$D$5="製造",SUMIF('内訳ﾘｽﾄ(4～3月)'!$D$16:$D$23,$B77,'内訳ﾘｽﾄ(4～3月)'!I$16:I$23),IF('内訳ﾘｽﾄ(4～3月)'!$D$5="部外間接2",-F$74,0))</f>
        <v>98</v>
      </c>
      <c r="G77" s="164">
        <f>IF('内訳ﾘｽﾄ(4～3月)'!$D$5="製造",SUMIF('内訳ﾘｽﾄ(4～3月)'!$D$16:$D$23,$B77,'内訳ﾘｽﾄ(4～3月)'!J$16:J$23),IF('内訳ﾘｽﾄ(4～3月)'!$D$5="部外間接2",-G$74,0))</f>
        <v>85.5</v>
      </c>
      <c r="H77" s="164">
        <f>IF('内訳ﾘｽﾄ(4～3月)'!$D$5="製造",SUMIF('内訳ﾘｽﾄ(4～3月)'!$D$16:$D$23,$B77,'内訳ﾘｽﾄ(4～3月)'!K$16:K$23),IF('内訳ﾘｽﾄ(4～3月)'!$D$5="部外間接2",-H$74,0))</f>
        <v>82.75</v>
      </c>
      <c r="I77" s="164">
        <f>IF('内訳ﾘｽﾄ(4～3月)'!$D$5="製造",SUMIF('内訳ﾘｽﾄ(4～3月)'!$D$16:$D$23,$B77,'内訳ﾘｽﾄ(4～3月)'!L$16:L$23),IF('内訳ﾘｽﾄ(4～3月)'!$D$5="部外間接2",-I$74,0))</f>
        <v>129</v>
      </c>
      <c r="J77" s="164">
        <f>IF('内訳ﾘｽﾄ(4～3月)'!$D$5="製造",SUMIF('内訳ﾘｽﾄ(4～3月)'!$D$16:$D$23,$B77,'内訳ﾘｽﾄ(4～3月)'!M$16:M$23),IF('内訳ﾘｽﾄ(4～3月)'!$D$5="部外間接2",-J$74,0))</f>
        <v>112.75</v>
      </c>
      <c r="K77" s="164">
        <f>IF('内訳ﾘｽﾄ(4～3月)'!$D$5="製造",SUMIF('内訳ﾘｽﾄ(4～3月)'!$D$16:$D$23,$B77,'内訳ﾘｽﾄ(4～3月)'!N$16:N$23),IF('内訳ﾘｽﾄ(4～3月)'!$D$5="部外間接2",-K$74,0))</f>
        <v>124.5</v>
      </c>
      <c r="L77" s="164">
        <f>IF('内訳ﾘｽﾄ(4～3月)'!$D$5="製造",SUMIF('内訳ﾘｽﾄ(4～3月)'!$D$16:$D$23,$B77,'内訳ﾘｽﾄ(4～3月)'!O$16:O$23),IF('内訳ﾘｽﾄ(4～3月)'!$D$5="部外間接2",-L$74,0))</f>
        <v>103.5</v>
      </c>
      <c r="M77" s="164">
        <f>IF('内訳ﾘｽﾄ(4～3月)'!$D$5="製造",SUMIF('内訳ﾘｽﾄ(4～3月)'!$D$16:$D$23,$B77,'内訳ﾘｽﾄ(4～3月)'!P$16:P$23),IF('内訳ﾘｽﾄ(4～3月)'!$D$5="部外間接2",-M$74,0))</f>
        <v>76</v>
      </c>
      <c r="N77" s="164">
        <f>IF('内訳ﾘｽﾄ(4～3月)'!$D$5="製造",SUMIF('内訳ﾘｽﾄ(4～3月)'!$D$16:$D$23,$B77,'内訳ﾘｽﾄ(4～3月)'!Q$16:Q$23),IF('内訳ﾘｽﾄ(4～3月)'!$D$5="部外間接2",-N$74,0))</f>
        <v>103.25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1152.5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142.75</v>
      </c>
      <c r="D78" s="165">
        <f>IF('内訳ﾘｽﾄ(4～3月)'!$D$5="製造",SUMIF('内訳ﾘｽﾄ(4～3月)'!$D$16:$D$23,$B78,'内訳ﾘｽﾄ(4～3月)'!G$16:G$23),IF('内訳ﾘｽﾄ(4～3月)'!$D$5="工場間接",-D$74,0))</f>
        <v>141.75</v>
      </c>
      <c r="E78" s="165">
        <f>IF('内訳ﾘｽﾄ(4～3月)'!$D$5="製造",SUMIF('内訳ﾘｽﾄ(4～3月)'!$D$16:$D$23,$B78,'内訳ﾘｽﾄ(4～3月)'!H$16:H$23),IF('内訳ﾘｽﾄ(4～3月)'!$D$5="工場間接",-E$74,0))</f>
        <v>149.75</v>
      </c>
      <c r="F78" s="165">
        <f>IF('内訳ﾘｽﾄ(4～3月)'!$D$5="製造",SUMIF('内訳ﾘｽﾄ(4～3月)'!$D$16:$D$23,$B78,'内訳ﾘｽﾄ(4～3月)'!I$16:I$23),IF('内訳ﾘｽﾄ(4～3月)'!$D$5="工場間接",-F$74,0))</f>
        <v>224.5</v>
      </c>
      <c r="G78" s="165">
        <f>IF('内訳ﾘｽﾄ(4～3月)'!$D$5="製造",SUMIF('内訳ﾘｽﾄ(4～3月)'!$D$16:$D$23,$B78,'内訳ﾘｽﾄ(4～3月)'!J$16:J$23),IF('内訳ﾘｽﾄ(4～3月)'!$D$5="工場間接",-G$74,0))</f>
        <v>205.25</v>
      </c>
      <c r="H78" s="165">
        <f>IF('内訳ﾘｽﾄ(4～3月)'!$D$5="製造",SUMIF('内訳ﾘｽﾄ(4～3月)'!$D$16:$D$23,$B78,'内訳ﾘｽﾄ(4～3月)'!K$16:K$23),IF('内訳ﾘｽﾄ(4～3月)'!$D$5="工場間接",-H$74,0))</f>
        <v>192.5</v>
      </c>
      <c r="I78" s="165">
        <f>IF('内訳ﾘｽﾄ(4～3月)'!$D$5="製造",SUMIF('内訳ﾘｽﾄ(4～3月)'!$D$16:$D$23,$B78,'内訳ﾘｽﾄ(4～3月)'!L$16:L$23),IF('内訳ﾘｽﾄ(4～3月)'!$D$5="工場間接",-I$74,0))</f>
        <v>292.5</v>
      </c>
      <c r="J78" s="165">
        <f>IF('内訳ﾘｽﾄ(4～3月)'!$D$5="製造",SUMIF('内訳ﾘｽﾄ(4～3月)'!$D$16:$D$23,$B78,'内訳ﾘｽﾄ(4～3月)'!M$16:M$23),IF('内訳ﾘｽﾄ(4～3月)'!$D$5="工場間接",-J$74,0))</f>
        <v>267.5</v>
      </c>
      <c r="K78" s="165">
        <f>IF('内訳ﾘｽﾄ(4～3月)'!$D$5="製造",SUMIF('内訳ﾘｽﾄ(4～3月)'!$D$16:$D$23,$B78,'内訳ﾘｽﾄ(4～3月)'!N$16:N$23),IF('内訳ﾘｽﾄ(4～3月)'!$D$5="工場間接",-K$74,0))</f>
        <v>287.75</v>
      </c>
      <c r="L78" s="165">
        <f>IF('内訳ﾘｽﾄ(4～3月)'!$D$5="製造",SUMIF('内訳ﾘｽﾄ(4～3月)'!$D$16:$D$23,$B78,'内訳ﾘｽﾄ(4～3月)'!O$16:O$23),IF('内訳ﾘｽﾄ(4～3月)'!$D$5="工場間接",-L$74,0))</f>
        <v>271.75</v>
      </c>
      <c r="M78" s="165">
        <f>IF('内訳ﾘｽﾄ(4～3月)'!$D$5="製造",SUMIF('内訳ﾘｽﾄ(4～3月)'!$D$16:$D$23,$B78,'内訳ﾘｽﾄ(4～3月)'!P$16:P$23),IF('内訳ﾘｽﾄ(4～3月)'!$D$5="工場間接",-M$74,0))</f>
        <v>203.75</v>
      </c>
      <c r="N78" s="165">
        <f>IF('内訳ﾘｽﾄ(4～3月)'!$D$5="製造",SUMIF('内訳ﾘｽﾄ(4～3月)'!$D$16:$D$23,$B78,'内訳ﾘｽﾄ(4～3月)'!Q$16:Q$23),IF('内訳ﾘｽﾄ(4～3月)'!$D$5="工場間接",-N$74,0))</f>
        <v>273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2652.75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1237.25</v>
      </c>
      <c r="D79" s="166">
        <f t="shared" ref="D79:N79" si="7">SUM(D74:D78)</f>
        <v>1401.75</v>
      </c>
      <c r="E79" s="166">
        <f t="shared" si="7"/>
        <v>1472.5</v>
      </c>
      <c r="F79" s="166">
        <f t="shared" si="7"/>
        <v>2065.75</v>
      </c>
      <c r="G79" s="166">
        <f t="shared" si="7"/>
        <v>1686</v>
      </c>
      <c r="H79" s="166">
        <f t="shared" si="7"/>
        <v>1026.75</v>
      </c>
      <c r="I79" s="166">
        <f t="shared" si="7"/>
        <v>1524.75</v>
      </c>
      <c r="J79" s="166">
        <f t="shared" si="7"/>
        <v>1341.5</v>
      </c>
      <c r="K79" s="166">
        <f t="shared" si="7"/>
        <v>1464.5</v>
      </c>
      <c r="L79" s="166">
        <f t="shared" si="7"/>
        <v>1361.25</v>
      </c>
      <c r="M79" s="166">
        <f t="shared" si="7"/>
        <v>1826.75</v>
      </c>
      <c r="N79" s="166">
        <f t="shared" si="7"/>
        <v>1409.25</v>
      </c>
      <c r="O79" s="166">
        <f>IF(ISBLANK(O10),"",SUM(O74:O78))</f>
        <v>17818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562400</v>
      </c>
      <c r="D80" s="167">
        <f t="shared" ref="D80:N80" si="8">IFERROR(ROUNDDOWN(D66/D67,0),0)</f>
        <v>81489</v>
      </c>
      <c r="E80" s="167">
        <f t="shared" si="8"/>
        <v>64305</v>
      </c>
      <c r="F80" s="167">
        <f t="shared" si="8"/>
        <v>97300</v>
      </c>
      <c r="G80" s="167">
        <f t="shared" si="8"/>
        <v>123402</v>
      </c>
      <c r="H80" s="167">
        <f t="shared" si="8"/>
        <v>249811</v>
      </c>
      <c r="I80" s="167">
        <f t="shared" si="8"/>
        <v>165674</v>
      </c>
      <c r="J80" s="167">
        <f t="shared" si="8"/>
        <v>172978</v>
      </c>
      <c r="K80" s="167">
        <f t="shared" si="8"/>
        <v>193393</v>
      </c>
      <c r="L80" s="167">
        <f t="shared" si="8"/>
        <v>145633</v>
      </c>
      <c r="M80" s="167">
        <f t="shared" si="8"/>
        <v>172565</v>
      </c>
      <c r="N80" s="167">
        <f t="shared" si="8"/>
        <v>189726</v>
      </c>
      <c r="O80" s="167">
        <f>IFERROR(ROUNDDOWN(O66/O67,0),0)</f>
        <v>177706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1219639</v>
      </c>
      <c r="D81" s="168">
        <f t="shared" ref="D81:N81" si="9">IFERROR(ROUNDDOWN(D12/D67,0),0)</f>
        <v>828075</v>
      </c>
      <c r="E81" s="168">
        <f t="shared" si="9"/>
        <v>752355</v>
      </c>
      <c r="F81" s="168">
        <f t="shared" si="9"/>
        <v>577726</v>
      </c>
      <c r="G81" s="168">
        <f t="shared" si="9"/>
        <v>721509</v>
      </c>
      <c r="H81" s="168">
        <f t="shared" si="9"/>
        <v>1121093</v>
      </c>
      <c r="I81" s="168">
        <f t="shared" si="9"/>
        <v>815215</v>
      </c>
      <c r="J81" s="168">
        <f t="shared" si="9"/>
        <v>943461</v>
      </c>
      <c r="K81" s="168">
        <f t="shared" si="9"/>
        <v>897948</v>
      </c>
      <c r="L81" s="168">
        <f t="shared" si="9"/>
        <v>734209</v>
      </c>
      <c r="M81" s="168">
        <f t="shared" si="9"/>
        <v>925036</v>
      </c>
      <c r="N81" s="168">
        <f t="shared" si="9"/>
        <v>888732</v>
      </c>
      <c r="O81" s="168">
        <f>IFERROR(ROUNDDOWN(O12/O67,0),0)</f>
        <v>854138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29</v>
      </c>
      <c r="D88" s="150">
        <f>SUMIF('内訳ﾘｽﾄ(4～3月)'!$D$24:$D$25,'採算表(VND)'!$B88,'内訳ﾘｽﾄ(4～3月)'!G$24:G$25)</f>
        <v>29</v>
      </c>
      <c r="E88" s="150">
        <f>SUMIF('内訳ﾘｽﾄ(4～3月)'!$D$24:$D$25,'採算表(VND)'!$B88,'内訳ﾘｽﾄ(4～3月)'!H$24:H$25)</f>
        <v>29</v>
      </c>
      <c r="F88" s="150">
        <f>SUMIF('内訳ﾘｽﾄ(4～3月)'!$D$24:$D$25,'採算表(VND)'!$B88,'内訳ﾘｽﾄ(4～3月)'!I$24:I$25)</f>
        <v>44</v>
      </c>
      <c r="G88" s="150">
        <f>SUMIF('内訳ﾘｽﾄ(4～3月)'!$D$24:$D$25,'採算表(VND)'!$B88,'内訳ﾘｽﾄ(4～3月)'!J$24:J$25)</f>
        <v>44</v>
      </c>
      <c r="H88" s="150">
        <f>SUMIF('内訳ﾘｽﾄ(4～3月)'!$D$24:$D$25,'採算表(VND)'!$B88,'内訳ﾘｽﾄ(4～3月)'!K$24:K$25)</f>
        <v>44</v>
      </c>
      <c r="I88" s="150">
        <f>SUMIF('内訳ﾘｽﾄ(4～3月)'!$D$24:$D$25,'採算表(VND)'!$B88,'内訳ﾘｽﾄ(4～3月)'!L$24:L$25)</f>
        <v>45</v>
      </c>
      <c r="J88" s="150">
        <f>SUMIF('内訳ﾘｽﾄ(4～3月)'!$D$24:$D$25,'採算表(VND)'!$B88,'内訳ﾘｽﾄ(4～3月)'!M$24:M$25)</f>
        <v>45</v>
      </c>
      <c r="K88" s="150">
        <f>SUMIF('内訳ﾘｽﾄ(4～3月)'!$D$24:$D$25,'採算表(VND)'!$B88,'内訳ﾘｽﾄ(4～3月)'!N$24:N$25)</f>
        <v>45</v>
      </c>
      <c r="L88" s="150">
        <f>SUMIF('内訳ﾘｽﾄ(4～3月)'!$D$24:$D$25,'採算表(VND)'!$B88,'内訳ﾘｽﾄ(4～3月)'!O$24:O$25)</f>
        <v>58</v>
      </c>
      <c r="M88" s="150">
        <f>SUMIF('内訳ﾘｽﾄ(4～3月)'!$D$24:$D$25,'採算表(VND)'!$B88,'内訳ﾘｽﾄ(4～3月)'!P$24:P$25)</f>
        <v>58</v>
      </c>
      <c r="N88" s="150">
        <f>SUMIF('内訳ﾘｽﾄ(4～3月)'!$D$24:$D$25,'採算表(VND)'!$B88,'内訳ﾘｽﾄ(4～3月)'!Q$24:Q$25)</f>
        <v>58</v>
      </c>
      <c r="O88" s="150">
        <f>SUMIF('内訳ﾘｽﾄ(4～3月)'!$D$24:$D$25,'採算表(VND)'!$B88,'内訳ﾘｽﾄ(4～3月)'!R$24:R$25)</f>
        <v>58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31</v>
      </c>
      <c r="D89" s="151">
        <f t="shared" si="10"/>
        <v>31</v>
      </c>
      <c r="E89" s="151">
        <f t="shared" si="10"/>
        <v>31</v>
      </c>
      <c r="F89" s="151">
        <f t="shared" si="10"/>
        <v>46</v>
      </c>
      <c r="G89" s="151">
        <f t="shared" si="10"/>
        <v>46</v>
      </c>
      <c r="H89" s="151">
        <f t="shared" si="10"/>
        <v>46</v>
      </c>
      <c r="I89" s="151">
        <f t="shared" si="10"/>
        <v>47</v>
      </c>
      <c r="J89" s="151">
        <f t="shared" si="10"/>
        <v>47</v>
      </c>
      <c r="K89" s="151">
        <f t="shared" si="10"/>
        <v>47</v>
      </c>
      <c r="L89" s="151">
        <f t="shared" si="10"/>
        <v>60</v>
      </c>
      <c r="M89" s="151">
        <f t="shared" si="10"/>
        <v>60</v>
      </c>
      <c r="N89" s="151">
        <f t="shared" si="10"/>
        <v>60</v>
      </c>
      <c r="O89" s="151">
        <f>O87+O88</f>
        <v>60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306</v>
      </c>
      <c r="D92" s="161">
        <f>SUMIF('内訳ﾘｽﾄ(4～3月)'!$B$8:$B$15,$B92,'内訳ﾘｽﾄ(4～3月)'!G$8:G$15)</f>
        <v>323</v>
      </c>
      <c r="E92" s="161">
        <f>SUMIF('内訳ﾘｽﾄ(4～3月)'!$B$8:$B$15,$B92,'内訳ﾘｽﾄ(4～3月)'!H$8:H$15)</f>
        <v>357</v>
      </c>
      <c r="F92" s="161">
        <f>SUMIF('内訳ﾘｽﾄ(4～3月)'!$B$8:$B$15,$B92,'内訳ﾘｽﾄ(4～3月)'!I$8:I$15)</f>
        <v>391</v>
      </c>
      <c r="G92" s="161">
        <f>SUMIF('内訳ﾘｽﾄ(4～3月)'!$B$8:$B$15,$B92,'内訳ﾘｽﾄ(4～3月)'!J$8:J$15)</f>
        <v>306</v>
      </c>
      <c r="H92" s="161">
        <f>SUMIF('内訳ﾘｽﾄ(4～3月)'!$B$8:$B$15,$B92,'内訳ﾘｽﾄ(4～3月)'!K$8:K$15)</f>
        <v>323</v>
      </c>
      <c r="I92" s="161">
        <f>SUMIF('内訳ﾘｽﾄ(4～3月)'!$B$8:$B$15,$B92,'内訳ﾘｽﾄ(4～3月)'!L$8:L$15)</f>
        <v>348.5</v>
      </c>
      <c r="J92" s="161">
        <f>SUMIF('内訳ﾘｽﾄ(4～3月)'!$B$8:$B$15,$B92,'内訳ﾘｽﾄ(4～3月)'!M$8:M$15)</f>
        <v>340</v>
      </c>
      <c r="K92" s="161">
        <f>SUMIF('内訳ﾘｽﾄ(4～3月)'!$B$8:$B$15,$B92,'内訳ﾘｽﾄ(4～3月)'!N$8:N$15)</f>
        <v>365.5</v>
      </c>
      <c r="L92" s="161">
        <f>SUMIF('内訳ﾘｽﾄ(4～3月)'!$B$8:$B$15,$B92,'内訳ﾘｽﾄ(4～3月)'!O$8:O$15)</f>
        <v>289</v>
      </c>
      <c r="M92" s="161">
        <f>SUMIF('内訳ﾘｽﾄ(4～3月)'!$B$8:$B$15,$B92,'内訳ﾘｽﾄ(4～3月)'!P$8:P$15)</f>
        <v>195.5</v>
      </c>
      <c r="N92" s="161">
        <f>SUMIF('内訳ﾘｽﾄ(4～3月)'!$B$8:$B$15,$B92,'内訳ﾘｽﾄ(4～3月)'!Q$8:Q$15)</f>
        <v>340</v>
      </c>
      <c r="O92" s="161">
        <f>SUMIF('内訳ﾘｽﾄ(4～3月)'!$B$8:$B$15,$B92,'内訳ﾘｽﾄ(4～3月)'!R$8:R$15)</f>
        <v>3884.5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4831</v>
      </c>
      <c r="D93" s="161">
        <f>SUMIF('内訳ﾘｽﾄ(4～3月)'!$B$8:$B$15,$B93,'内訳ﾘｽﾄ(4～3月)'!G$8:G$15)</f>
        <v>4590</v>
      </c>
      <c r="E93" s="161">
        <f>SUMIF('内訳ﾘｽﾄ(4～3月)'!$B$8:$B$15,$B93,'内訳ﾘｽﾄ(4～3月)'!H$8:H$15)</f>
        <v>5073</v>
      </c>
      <c r="F93" s="161">
        <f>SUMIF('内訳ﾘｽﾄ(4～3月)'!$B$8:$B$15,$B93,'内訳ﾘｽﾄ(4～3月)'!I$8:I$15)</f>
        <v>8430</v>
      </c>
      <c r="G93" s="161">
        <f>SUMIF('内訳ﾘｽﾄ(4～3月)'!$B$8:$B$15,$B93,'内訳ﾘｽﾄ(4～3月)'!J$8:J$15)</f>
        <v>7330</v>
      </c>
      <c r="H93" s="161">
        <f>SUMIF('内訳ﾘｽﾄ(4～3月)'!$B$8:$B$15,$B93,'内訳ﾘｽﾄ(4～3月)'!K$8:K$15)</f>
        <v>6964</v>
      </c>
      <c r="I93" s="161">
        <f>SUMIF('内訳ﾘｽﾄ(4～3月)'!$B$8:$B$15,$B93,'内訳ﾘｽﾄ(4～3月)'!L$8:L$15)</f>
        <v>8622</v>
      </c>
      <c r="J93" s="161">
        <f>SUMIF('内訳ﾘｽﾄ(4～3月)'!$B$8:$B$15,$B93,'内訳ﾘｽﾄ(4～3月)'!M$8:M$15)</f>
        <v>7497</v>
      </c>
      <c r="K93" s="161">
        <f>SUMIF('内訳ﾘｽﾄ(4～3月)'!$B$8:$B$15,$B93,'内訳ﾘｽﾄ(4～3月)'!N$8:N$15)</f>
        <v>8247</v>
      </c>
      <c r="L93" s="161">
        <f>SUMIF('内訳ﾘｽﾄ(4～3月)'!$B$8:$B$15,$B93,'内訳ﾘｽﾄ(4～3月)'!O$8:O$15)</f>
        <v>9663</v>
      </c>
      <c r="M93" s="161">
        <f>SUMIF('内訳ﾘｽﾄ(4～3月)'!$B$8:$B$15,$B93,'内訳ﾘｽﾄ(4～3月)'!P$8:P$15)</f>
        <v>7247</v>
      </c>
      <c r="N93" s="161">
        <f>SUMIF('内訳ﾘｽﾄ(4～3月)'!$B$8:$B$15,$B93,'内訳ﾘｽﾄ(4～3月)'!Q$8:Q$15)</f>
        <v>9663</v>
      </c>
      <c r="O93" s="161">
        <f>SUMIF('内訳ﾘｽﾄ(4～3月)'!$B$8:$B$15,$B93,'内訳ﾘｽﾄ(4～3月)'!R$8:R$15)</f>
        <v>88157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5137</v>
      </c>
      <c r="D94" s="169">
        <f t="shared" si="11"/>
        <v>4913</v>
      </c>
      <c r="E94" s="169">
        <f t="shared" si="11"/>
        <v>5430</v>
      </c>
      <c r="F94" s="169">
        <f t="shared" si="11"/>
        <v>8821</v>
      </c>
      <c r="G94" s="169">
        <f t="shared" si="11"/>
        <v>7636</v>
      </c>
      <c r="H94" s="169">
        <f t="shared" si="11"/>
        <v>7287</v>
      </c>
      <c r="I94" s="169">
        <f t="shared" si="11"/>
        <v>8970.5</v>
      </c>
      <c r="J94" s="169">
        <f t="shared" si="11"/>
        <v>7837</v>
      </c>
      <c r="K94" s="169">
        <f t="shared" si="11"/>
        <v>8612.5</v>
      </c>
      <c r="L94" s="169">
        <f t="shared" si="11"/>
        <v>9952</v>
      </c>
      <c r="M94" s="169">
        <f t="shared" si="11"/>
        <v>7442.5</v>
      </c>
      <c r="N94" s="169">
        <f t="shared" si="11"/>
        <v>10003</v>
      </c>
      <c r="O94" s="169">
        <f>O92+O93</f>
        <v>92041.5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72</v>
      </c>
      <c r="D97" s="161">
        <f>SUMIF('内訳ﾘｽﾄ(4～3月)'!$B$16:$B$23,$B97,'内訳ﾘｽﾄ(4～3月)'!G$16:G$23)</f>
        <v>76</v>
      </c>
      <c r="E97" s="161">
        <f>SUMIF('内訳ﾘｽﾄ(4～3月)'!$B$16:$B$23,$B97,'内訳ﾘｽﾄ(4～3月)'!H$16:H$23)</f>
        <v>84</v>
      </c>
      <c r="F97" s="161">
        <f>SUMIF('内訳ﾘｽﾄ(4～3月)'!$B$16:$B$23,$B97,'内訳ﾘｽﾄ(4～3月)'!I$16:I$23)</f>
        <v>92</v>
      </c>
      <c r="G97" s="161">
        <f>SUMIF('内訳ﾘｽﾄ(4～3月)'!$B$16:$B$23,$B97,'内訳ﾘｽﾄ(4～3月)'!J$16:J$23)</f>
        <v>72</v>
      </c>
      <c r="H97" s="161">
        <f>SUMIF('内訳ﾘｽﾄ(4～3月)'!$B$16:$B$23,$B97,'内訳ﾘｽﾄ(4～3月)'!K$16:K$23)</f>
        <v>76</v>
      </c>
      <c r="I97" s="161">
        <f>SUMIF('内訳ﾘｽﾄ(4～3月)'!$B$16:$B$23,$B97,'内訳ﾘｽﾄ(4～3月)'!L$16:L$23)</f>
        <v>82</v>
      </c>
      <c r="J97" s="161">
        <f>SUMIF('内訳ﾘｽﾄ(4～3月)'!$B$16:$B$23,$B97,'内訳ﾘｽﾄ(4～3月)'!M$16:M$23)</f>
        <v>80</v>
      </c>
      <c r="K97" s="161">
        <f>SUMIF('内訳ﾘｽﾄ(4～3月)'!$B$16:$B$23,$B97,'内訳ﾘｽﾄ(4～3月)'!N$16:N$23)</f>
        <v>86</v>
      </c>
      <c r="L97" s="161">
        <f>SUMIF('内訳ﾘｽﾄ(4～3月)'!$B$16:$B$23,$B97,'内訳ﾘｽﾄ(4～3月)'!O$16:O$23)</f>
        <v>68</v>
      </c>
      <c r="M97" s="161">
        <f>SUMIF('内訳ﾘｽﾄ(4～3月)'!$B$16:$B$23,$B97,'内訳ﾘｽﾄ(4～3月)'!P$16:P$23)</f>
        <v>46</v>
      </c>
      <c r="N97" s="161">
        <f>SUMIF('内訳ﾘｽﾄ(4～3月)'!$B$16:$B$23,$B97,'内訳ﾘｽﾄ(4～3月)'!Q$16:Q$23)</f>
        <v>80</v>
      </c>
      <c r="O97" s="161">
        <f>SUMIF('内訳ﾘｽﾄ(4～3月)'!$B$16:$B$23,$B97,'内訳ﾘｽﾄ(4～3月)'!R$16:R$23)</f>
        <v>914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254</v>
      </c>
      <c r="D98" s="161">
        <f>SUMIF('内訳ﾘｽﾄ(4～3月)'!$B$16:$B$23,$B98,'内訳ﾘｽﾄ(4～3月)'!G$16:G$23)</f>
        <v>452</v>
      </c>
      <c r="E98" s="161">
        <f>SUMIF('内訳ﾘｽﾄ(4～3月)'!$B$16:$B$23,$B98,'内訳ﾘｽﾄ(4～3月)'!H$16:H$23)</f>
        <v>426</v>
      </c>
      <c r="F98" s="161">
        <f>SUMIF('内訳ﾘｽﾄ(4～3月)'!$B$16:$B$23,$B98,'内訳ﾘｽﾄ(4～3月)'!I$16:I$23)</f>
        <v>888</v>
      </c>
      <c r="G98" s="161">
        <f>SUMIF('内訳ﾘｽﾄ(4～3月)'!$B$16:$B$23,$B98,'内訳ﾘｽﾄ(4～3月)'!J$16:J$23)</f>
        <v>664</v>
      </c>
      <c r="H98" s="161">
        <f>SUMIF('内訳ﾘｽﾄ(4～3月)'!$B$16:$B$23,$B98,'内訳ﾘｽﾄ(4～3月)'!K$16:K$23)</f>
        <v>38</v>
      </c>
      <c r="I98" s="161">
        <f>SUMIF('内訳ﾘｽﾄ(4～3月)'!$B$16:$B$23,$B98,'内訳ﾘｽﾄ(4～3月)'!L$16:L$23)</f>
        <v>46</v>
      </c>
      <c r="J98" s="161">
        <f>SUMIF('内訳ﾘｽﾄ(4～3月)'!$B$16:$B$23,$B98,'内訳ﾘｽﾄ(4～3月)'!M$16:M$23)</f>
        <v>40</v>
      </c>
      <c r="K98" s="161">
        <f>SUMIF('内訳ﾘｽﾄ(4～3月)'!$B$16:$B$23,$B98,'内訳ﾘｽﾄ(4～3月)'!N$16:N$23)</f>
        <v>42</v>
      </c>
      <c r="L98" s="161">
        <f>SUMIF('内訳ﾘｽﾄ(4～3月)'!$B$16:$B$23,$B98,'内訳ﾘｽﾄ(4～3月)'!O$16:O$23)</f>
        <v>40</v>
      </c>
      <c r="M98" s="161">
        <f>SUMIF('内訳ﾘｽﾄ(4～3月)'!$B$16:$B$23,$B98,'内訳ﾘｽﾄ(4～3月)'!P$16:P$23)</f>
        <v>808</v>
      </c>
      <c r="N98" s="161">
        <f>SUMIF('内訳ﾘｽﾄ(4～3月)'!$B$16:$B$23,$B98,'内訳ﾘｽﾄ(4～3月)'!Q$16:Q$23)</f>
        <v>40</v>
      </c>
      <c r="O98" s="161">
        <f>SUMIF('内訳ﾘｽﾄ(4～3月)'!$B$16:$B$23,$B98,'内訳ﾘｽﾄ(4～3月)'!R$16:R$23)</f>
        <v>3738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326</v>
      </c>
      <c r="D99" s="169">
        <f t="shared" si="12"/>
        <v>528</v>
      </c>
      <c r="E99" s="169">
        <f t="shared" si="12"/>
        <v>510</v>
      </c>
      <c r="F99" s="169">
        <f t="shared" si="12"/>
        <v>980</v>
      </c>
      <c r="G99" s="169">
        <f t="shared" si="12"/>
        <v>736</v>
      </c>
      <c r="H99" s="169">
        <f t="shared" si="12"/>
        <v>114</v>
      </c>
      <c r="I99" s="169">
        <f t="shared" si="12"/>
        <v>128</v>
      </c>
      <c r="J99" s="169">
        <f t="shared" si="12"/>
        <v>120</v>
      </c>
      <c r="K99" s="169">
        <f t="shared" si="12"/>
        <v>128</v>
      </c>
      <c r="L99" s="169">
        <f t="shared" si="12"/>
        <v>108</v>
      </c>
      <c r="M99" s="169">
        <f t="shared" si="12"/>
        <v>854</v>
      </c>
      <c r="N99" s="169">
        <f t="shared" si="12"/>
        <v>120</v>
      </c>
      <c r="O99" s="169">
        <f>O97+O98</f>
        <v>4652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982"/>
  <sheetViews>
    <sheetView tabSelected="1" zoomScale="85" zoomScaleNormal="85" workbookViewId="0">
      <pane xSplit="4" ySplit="7" topLeftCell="F27" activePane="bottomRight" state="frozen"/>
      <selection pane="topRight" activeCell="E1" sqref="E1"/>
      <selection pane="bottomLeft" activeCell="A8" sqref="A8"/>
      <selection pane="bottomRight" activeCell="D32" sqref="D32:D3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hidden="1" customWidth="1"/>
    <col min="6" max="6" width="13" style="124" bestFit="1" customWidth="1"/>
    <col min="7" max="17" width="11.6328125" style="125" customWidth="1"/>
    <col min="18" max="18" width="14.6328125" style="126" customWidth="1"/>
    <col min="19" max="19" width="68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982),0)-ROUND((F26:F982)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982),0)-ROUND((G26:G982)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982),0)-ROUND((H26:H982)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982),0)-ROUND((I26:I982)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982),0)-ROUND((J26:J982)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982),0)-ROUND((K26:K982)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982),0)-ROUND((L26:L982)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982),0)-ROUND((M26:M982)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982),0)-ROUND((N26:N982)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982),0)-ROUND((O26:O982)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982),0)-ROUND((P26:P982)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982),0)-ROUND((Q26:Q982)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1412000098</v>
      </c>
      <c r="C5" s="7" t="str">
        <f>VLOOKUP($B$5,原価センタ!$A:$E,2,0)</f>
        <v>電工製造課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2">
        <f t="shared" ref="F5:R5" si="0">SUM(F29:F982)</f>
        <v>4232459502</v>
      </c>
      <c r="G5" s="252">
        <f t="shared" si="0"/>
        <v>4761915923</v>
      </c>
      <c r="H5" s="252">
        <f t="shared" si="0"/>
        <v>4794673979</v>
      </c>
      <c r="I5" s="252">
        <f t="shared" si="0"/>
        <v>5262103065</v>
      </c>
      <c r="J5" s="252">
        <f t="shared" si="0"/>
        <v>5618769699</v>
      </c>
      <c r="K5" s="252">
        <f t="shared" si="0"/>
        <v>7310052682</v>
      </c>
      <c r="L5" s="252">
        <f t="shared" si="0"/>
        <v>6880582420</v>
      </c>
      <c r="M5" s="252">
        <f t="shared" si="0"/>
        <v>7139868314</v>
      </c>
      <c r="N5" s="252">
        <f t="shared" si="0"/>
        <v>7169554647</v>
      </c>
      <c r="O5" s="252">
        <f t="shared" si="0"/>
        <v>6718882593</v>
      </c>
      <c r="P5" s="252">
        <f t="shared" si="0"/>
        <v>7056107061</v>
      </c>
      <c r="Q5" s="252">
        <f t="shared" si="0"/>
        <v>8053251790</v>
      </c>
      <c r="R5" s="253">
        <f t="shared" si="0"/>
        <v>74998221675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306</v>
      </c>
      <c r="G8" s="186">
        <v>323</v>
      </c>
      <c r="H8" s="186">
        <v>357</v>
      </c>
      <c r="I8" s="186">
        <v>391</v>
      </c>
      <c r="J8" s="186">
        <v>306</v>
      </c>
      <c r="K8" s="186">
        <v>323</v>
      </c>
      <c r="L8" s="186">
        <v>348.5</v>
      </c>
      <c r="M8" s="186">
        <v>340</v>
      </c>
      <c r="N8" s="186">
        <v>365.5</v>
      </c>
      <c r="O8" s="186">
        <v>289</v>
      </c>
      <c r="P8" s="186">
        <v>195.5</v>
      </c>
      <c r="Q8" s="186">
        <v>340</v>
      </c>
      <c r="R8" s="187">
        <f>SUM(F8:Q8)</f>
        <v>3884.5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4831</v>
      </c>
      <c r="G9" s="194">
        <v>4590</v>
      </c>
      <c r="H9" s="194">
        <v>5073</v>
      </c>
      <c r="I9" s="194">
        <v>8430</v>
      </c>
      <c r="J9" s="194">
        <v>7330</v>
      </c>
      <c r="K9" s="194">
        <v>6964</v>
      </c>
      <c r="L9" s="194">
        <v>8622</v>
      </c>
      <c r="M9" s="194">
        <v>7497</v>
      </c>
      <c r="N9" s="194">
        <v>8247</v>
      </c>
      <c r="O9" s="194">
        <v>9663</v>
      </c>
      <c r="P9" s="194">
        <v>7247</v>
      </c>
      <c r="Q9" s="194">
        <v>9663</v>
      </c>
      <c r="R9" s="195">
        <f t="shared" ref="R9:R23" si="1">SUM(F9:Q9)</f>
        <v>88157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>
        <v>44.5</v>
      </c>
      <c r="G12" s="212">
        <v>44.5</v>
      </c>
      <c r="H12" s="212">
        <v>45.25</v>
      </c>
      <c r="I12" s="212">
        <v>41</v>
      </c>
      <c r="J12" s="212">
        <v>49.75</v>
      </c>
      <c r="K12" s="212">
        <v>51.25</v>
      </c>
      <c r="L12" s="212">
        <v>66</v>
      </c>
      <c r="M12" s="212">
        <v>58.75</v>
      </c>
      <c r="N12" s="212">
        <v>68.25</v>
      </c>
      <c r="O12" s="212">
        <v>73.25</v>
      </c>
      <c r="P12" s="212">
        <v>75.5</v>
      </c>
      <c r="Q12" s="212">
        <v>77.25</v>
      </c>
      <c r="R12" s="213">
        <f t="shared" si="1"/>
        <v>695.25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>
        <v>6.5</v>
      </c>
      <c r="G13" s="212">
        <v>6.25</v>
      </c>
      <c r="H13" s="212">
        <v>7.25</v>
      </c>
      <c r="I13" s="212">
        <v>8.5</v>
      </c>
      <c r="J13" s="212">
        <v>7.25</v>
      </c>
      <c r="K13" s="212">
        <v>7.25</v>
      </c>
      <c r="L13" s="212">
        <v>10.5</v>
      </c>
      <c r="M13" s="212">
        <v>9.75</v>
      </c>
      <c r="N13" s="212">
        <v>9.75</v>
      </c>
      <c r="O13" s="212">
        <v>10</v>
      </c>
      <c r="P13" s="212">
        <v>8.25</v>
      </c>
      <c r="Q13" s="212">
        <v>11.5</v>
      </c>
      <c r="R13" s="213">
        <f t="shared" si="1"/>
        <v>102.75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>
        <v>6.5</v>
      </c>
      <c r="G14" s="212">
        <v>6</v>
      </c>
      <c r="H14" s="212">
        <v>6.75</v>
      </c>
      <c r="I14" s="212">
        <v>7</v>
      </c>
      <c r="J14" s="212">
        <v>6.5</v>
      </c>
      <c r="K14" s="212">
        <v>5.75</v>
      </c>
      <c r="L14" s="212">
        <v>9</v>
      </c>
      <c r="M14" s="212">
        <v>8</v>
      </c>
      <c r="N14" s="212">
        <v>9</v>
      </c>
      <c r="O14" s="212">
        <v>8</v>
      </c>
      <c r="P14" s="212">
        <v>6.5</v>
      </c>
      <c r="Q14" s="212">
        <v>8.25</v>
      </c>
      <c r="R14" s="213">
        <f t="shared" si="1"/>
        <v>87.25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>
        <v>8</v>
      </c>
      <c r="G15" s="212">
        <v>6.75</v>
      </c>
      <c r="H15" s="212">
        <v>6.75</v>
      </c>
      <c r="I15" s="212">
        <v>9.75</v>
      </c>
      <c r="J15" s="212">
        <v>8.75</v>
      </c>
      <c r="K15" s="212">
        <v>12</v>
      </c>
      <c r="L15" s="212">
        <v>12.25</v>
      </c>
      <c r="M15" s="212">
        <v>11.75</v>
      </c>
      <c r="N15" s="212">
        <v>12</v>
      </c>
      <c r="O15" s="212">
        <v>11</v>
      </c>
      <c r="P15" s="212">
        <v>17.75</v>
      </c>
      <c r="Q15" s="212">
        <v>11.75</v>
      </c>
      <c r="R15" s="213">
        <f t="shared" si="1"/>
        <v>128.5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72</v>
      </c>
      <c r="G16" s="194">
        <v>76</v>
      </c>
      <c r="H16" s="194">
        <v>84</v>
      </c>
      <c r="I16" s="194">
        <v>92</v>
      </c>
      <c r="J16" s="194">
        <v>72</v>
      </c>
      <c r="K16" s="194">
        <v>76</v>
      </c>
      <c r="L16" s="194">
        <v>82</v>
      </c>
      <c r="M16" s="194">
        <v>80</v>
      </c>
      <c r="N16" s="194">
        <v>86</v>
      </c>
      <c r="O16" s="194">
        <v>68</v>
      </c>
      <c r="P16" s="194">
        <v>46</v>
      </c>
      <c r="Q16" s="194">
        <v>80</v>
      </c>
      <c r="R16" s="205">
        <f t="shared" si="1"/>
        <v>914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254</v>
      </c>
      <c r="G17" s="194">
        <v>452</v>
      </c>
      <c r="H17" s="194">
        <v>426</v>
      </c>
      <c r="I17" s="194">
        <v>888</v>
      </c>
      <c r="J17" s="194">
        <v>664</v>
      </c>
      <c r="K17" s="194">
        <v>38</v>
      </c>
      <c r="L17" s="194">
        <v>46</v>
      </c>
      <c r="M17" s="194">
        <v>40</v>
      </c>
      <c r="N17" s="194">
        <v>42</v>
      </c>
      <c r="O17" s="194">
        <v>40</v>
      </c>
      <c r="P17" s="194">
        <v>808</v>
      </c>
      <c r="Q17" s="194">
        <v>40</v>
      </c>
      <c r="R17" s="205">
        <f t="shared" si="1"/>
        <v>3738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>
        <v>574</v>
      </c>
      <c r="G20" s="212">
        <v>544.75</v>
      </c>
      <c r="H20" s="212">
        <v>604.5</v>
      </c>
      <c r="I20" s="212">
        <v>618.5</v>
      </c>
      <c r="J20" s="212">
        <v>532</v>
      </c>
      <c r="K20" s="212">
        <v>516.25</v>
      </c>
      <c r="L20" s="212">
        <v>790.5</v>
      </c>
      <c r="M20" s="212">
        <v>680.25</v>
      </c>
      <c r="N20" s="212">
        <v>745.75</v>
      </c>
      <c r="O20" s="212">
        <v>688.75</v>
      </c>
      <c r="P20" s="212">
        <v>551.5</v>
      </c>
      <c r="Q20" s="212">
        <v>723.5</v>
      </c>
      <c r="R20" s="213">
        <f t="shared" si="1"/>
        <v>7570.25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>
        <v>115.5</v>
      </c>
      <c r="G21" s="212">
        <v>112.75</v>
      </c>
      <c r="H21" s="212">
        <v>124.5</v>
      </c>
      <c r="I21" s="212">
        <v>144.75</v>
      </c>
      <c r="J21" s="212">
        <v>127.25</v>
      </c>
      <c r="K21" s="212">
        <v>121.25</v>
      </c>
      <c r="L21" s="212">
        <v>184.75</v>
      </c>
      <c r="M21" s="212">
        <v>161</v>
      </c>
      <c r="N21" s="212">
        <v>178.5</v>
      </c>
      <c r="O21" s="212">
        <v>189.25</v>
      </c>
      <c r="P21" s="212">
        <v>141.5</v>
      </c>
      <c r="Q21" s="212">
        <v>189.5</v>
      </c>
      <c r="R21" s="213">
        <f t="shared" si="1"/>
        <v>1790.5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>
        <v>79</v>
      </c>
      <c r="G22" s="212">
        <v>74.5</v>
      </c>
      <c r="H22" s="212">
        <v>83.75</v>
      </c>
      <c r="I22" s="212">
        <v>98</v>
      </c>
      <c r="J22" s="212">
        <v>85.5</v>
      </c>
      <c r="K22" s="212">
        <v>82.75</v>
      </c>
      <c r="L22" s="212">
        <v>129</v>
      </c>
      <c r="M22" s="212">
        <v>112.75</v>
      </c>
      <c r="N22" s="212">
        <v>124.5</v>
      </c>
      <c r="O22" s="212">
        <v>103.5</v>
      </c>
      <c r="P22" s="212">
        <v>76</v>
      </c>
      <c r="Q22" s="212">
        <v>103.25</v>
      </c>
      <c r="R22" s="213">
        <f t="shared" si="1"/>
        <v>1152.5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>
        <v>142.75</v>
      </c>
      <c r="G23" s="212">
        <v>141.75</v>
      </c>
      <c r="H23" s="212">
        <v>149.75</v>
      </c>
      <c r="I23" s="212">
        <v>224.5</v>
      </c>
      <c r="J23" s="212">
        <v>205.25</v>
      </c>
      <c r="K23" s="212">
        <v>192.5</v>
      </c>
      <c r="L23" s="212">
        <v>292.5</v>
      </c>
      <c r="M23" s="212">
        <v>267.5</v>
      </c>
      <c r="N23" s="212">
        <v>287.75</v>
      </c>
      <c r="O23" s="212">
        <v>271.75</v>
      </c>
      <c r="P23" s="212">
        <v>203.75</v>
      </c>
      <c r="Q23" s="212">
        <v>273</v>
      </c>
      <c r="R23" s="213">
        <f t="shared" si="1"/>
        <v>2652.75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2</v>
      </c>
      <c r="G24" s="267">
        <v>2</v>
      </c>
      <c r="H24" s="267">
        <v>2</v>
      </c>
      <c r="I24" s="267">
        <v>2</v>
      </c>
      <c r="J24" s="267">
        <v>2</v>
      </c>
      <c r="K24" s="267">
        <v>2</v>
      </c>
      <c r="L24" s="267">
        <v>2</v>
      </c>
      <c r="M24" s="267">
        <v>2</v>
      </c>
      <c r="N24" s="267">
        <v>2</v>
      </c>
      <c r="O24" s="267">
        <v>2</v>
      </c>
      <c r="P24" s="267">
        <v>2</v>
      </c>
      <c r="Q24" s="267">
        <v>2</v>
      </c>
      <c r="R24" s="200">
        <f>Q24</f>
        <v>2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29</v>
      </c>
      <c r="G25" s="271">
        <v>29</v>
      </c>
      <c r="H25" s="271">
        <v>29</v>
      </c>
      <c r="I25" s="271">
        <v>44</v>
      </c>
      <c r="J25" s="271">
        <v>44</v>
      </c>
      <c r="K25" s="271">
        <v>44</v>
      </c>
      <c r="L25" s="271">
        <v>45</v>
      </c>
      <c r="M25" s="271">
        <v>45</v>
      </c>
      <c r="N25" s="271">
        <v>45</v>
      </c>
      <c r="O25" s="271">
        <v>58</v>
      </c>
      <c r="P25" s="271">
        <v>58</v>
      </c>
      <c r="Q25" s="271">
        <v>58</v>
      </c>
      <c r="R25" s="272">
        <f>Q25</f>
        <v>58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>ROUNDDOWN(V26*$B$2,0)+1</f>
        <v>7854175100</v>
      </c>
      <c r="G26" s="220">
        <f t="shared" ref="G26:J26" si="2">ROUNDDOWN(W26*$B$2,0)+1</f>
        <v>5281673249</v>
      </c>
      <c r="H26" s="220">
        <f t="shared" si="2"/>
        <v>5242787448</v>
      </c>
      <c r="I26" s="220">
        <f t="shared" si="2"/>
        <v>6327840016</v>
      </c>
      <c r="J26" s="220">
        <f t="shared" si="2"/>
        <v>6778039754</v>
      </c>
      <c r="K26" s="220">
        <f t="shared" ref="K26:P26" si="3">ROUNDDOWN(AA26*$B$2,0)</f>
        <v>9405971783</v>
      </c>
      <c r="L26" s="220">
        <f t="shared" ref="L26:O26" si="4">ROUNDDOWN(AB26*$B$2,0)+1</f>
        <v>8635576724</v>
      </c>
      <c r="M26" s="220">
        <f t="shared" si="4"/>
        <v>8742820276</v>
      </c>
      <c r="N26" s="220">
        <f t="shared" si="4"/>
        <v>9137526614</v>
      </c>
      <c r="O26" s="220">
        <f t="shared" si="4"/>
        <v>8381363919</v>
      </c>
      <c r="P26" s="220">
        <f t="shared" si="3"/>
        <v>8674295458</v>
      </c>
      <c r="Q26" s="220">
        <f>ROUNDDOWN(AG26*$B$2,0)+1</f>
        <v>10239086998</v>
      </c>
      <c r="R26" s="221">
        <f t="shared" ref="R26:R100" si="5">SUM(F26:Q26)</f>
        <v>94701157339</v>
      </c>
      <c r="S26" s="222" t="s">
        <v>75</v>
      </c>
      <c r="T26" s="223"/>
      <c r="U26" s="190"/>
      <c r="V26" s="224">
        <v>309341.28000000003</v>
      </c>
      <c r="W26" s="224">
        <v>208021.79</v>
      </c>
      <c r="X26" s="225">
        <v>206490.25</v>
      </c>
      <c r="Y26" s="225">
        <v>249225.68</v>
      </c>
      <c r="Z26" s="225">
        <v>266957.06</v>
      </c>
      <c r="AA26" s="225">
        <v>370459.7</v>
      </c>
      <c r="AB26" s="225">
        <v>340117.24</v>
      </c>
      <c r="AC26" s="225">
        <v>344341.09</v>
      </c>
      <c r="AD26" s="225">
        <v>359886.83</v>
      </c>
      <c r="AE26" s="225">
        <v>330104.92</v>
      </c>
      <c r="AF26" s="225">
        <v>341642.2</v>
      </c>
      <c r="AG26" s="225">
        <v>403272.43</v>
      </c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ref="F27:Q28" si="6">ROUNDDOWN(V27*$B$2,0)</f>
        <v>0</v>
      </c>
      <c r="G27" s="230">
        <f t="shared" si="6"/>
        <v>0</v>
      </c>
      <c r="H27" s="230">
        <f t="shared" si="6"/>
        <v>0</v>
      </c>
      <c r="I27" s="230">
        <f t="shared" si="6"/>
        <v>0</v>
      </c>
      <c r="J27" s="230">
        <f t="shared" si="6"/>
        <v>0</v>
      </c>
      <c r="K27" s="230">
        <f t="shared" si="6"/>
        <v>0</v>
      </c>
      <c r="L27" s="230">
        <f t="shared" si="6"/>
        <v>0</v>
      </c>
      <c r="M27" s="230">
        <f t="shared" si="6"/>
        <v>0</v>
      </c>
      <c r="N27" s="230">
        <f t="shared" si="6"/>
        <v>0</v>
      </c>
      <c r="O27" s="230">
        <f t="shared" si="6"/>
        <v>0</v>
      </c>
      <c r="P27" s="230">
        <f t="shared" si="6"/>
        <v>0</v>
      </c>
      <c r="Q27" s="230">
        <f t="shared" si="6"/>
        <v>0</v>
      </c>
      <c r="R27" s="221">
        <f t="shared" si="5"/>
        <v>0</v>
      </c>
      <c r="S27" s="231" t="s">
        <v>75</v>
      </c>
      <c r="T27" s="202"/>
      <c r="U27" s="190"/>
      <c r="V27" s="224">
        <v>0</v>
      </c>
      <c r="W27" s="224">
        <v>0</v>
      </c>
      <c r="X27" s="224">
        <v>0</v>
      </c>
      <c r="Y27" s="224">
        <v>0</v>
      </c>
      <c r="Z27" s="224">
        <v>0</v>
      </c>
      <c r="AA27" s="224">
        <v>0</v>
      </c>
      <c r="AB27" s="224">
        <v>0</v>
      </c>
      <c r="AC27" s="224">
        <v>0</v>
      </c>
      <c r="AD27" s="224">
        <v>0</v>
      </c>
      <c r="AE27" s="224">
        <v>0</v>
      </c>
      <c r="AF27" s="224">
        <v>0</v>
      </c>
      <c r="AG27" s="224">
        <v>0</v>
      </c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6"/>
        <v>0</v>
      </c>
      <c r="G28" s="230">
        <f t="shared" si="6"/>
        <v>0</v>
      </c>
      <c r="H28" s="230">
        <f t="shared" si="6"/>
        <v>0</v>
      </c>
      <c r="I28" s="230">
        <f t="shared" si="6"/>
        <v>0</v>
      </c>
      <c r="J28" s="230">
        <f t="shared" si="6"/>
        <v>0</v>
      </c>
      <c r="K28" s="230">
        <f t="shared" si="6"/>
        <v>0</v>
      </c>
      <c r="L28" s="230">
        <f t="shared" si="6"/>
        <v>0</v>
      </c>
      <c r="M28" s="230">
        <f t="shared" si="6"/>
        <v>0</v>
      </c>
      <c r="N28" s="230">
        <f t="shared" si="6"/>
        <v>0</v>
      </c>
      <c r="O28" s="230">
        <f t="shared" si="6"/>
        <v>0</v>
      </c>
      <c r="P28" s="230">
        <f t="shared" si="6"/>
        <v>0</v>
      </c>
      <c r="Q28" s="230">
        <f t="shared" si="6"/>
        <v>0</v>
      </c>
      <c r="R28" s="221">
        <f t="shared" si="5"/>
        <v>0</v>
      </c>
      <c r="S28" s="231" t="s">
        <v>75</v>
      </c>
      <c r="T28" s="202"/>
      <c r="U28" s="190"/>
      <c r="V28" s="224">
        <v>0</v>
      </c>
      <c r="W28" s="224">
        <v>0</v>
      </c>
      <c r="X28" s="224">
        <v>0</v>
      </c>
      <c r="Y28" s="224">
        <v>0</v>
      </c>
      <c r="Z28" s="224">
        <v>0</v>
      </c>
      <c r="AA28" s="224">
        <v>0</v>
      </c>
      <c r="AB28" s="224">
        <v>0</v>
      </c>
      <c r="AC28" s="224">
        <v>0</v>
      </c>
      <c r="AD28" s="224">
        <v>0</v>
      </c>
      <c r="AE28" s="224">
        <v>0</v>
      </c>
      <c r="AF28" s="224">
        <v>0</v>
      </c>
      <c r="AG28" s="224">
        <v>0</v>
      </c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7">ROUNDUP(V29*$B$2,0)</f>
        <v>3250796971</v>
      </c>
      <c r="G29" s="235">
        <f t="shared" si="7"/>
        <v>3445104102</v>
      </c>
      <c r="H29" s="235">
        <f t="shared" si="7"/>
        <v>3385226357</v>
      </c>
      <c r="I29" s="235">
        <f t="shared" si="7"/>
        <v>4136125451</v>
      </c>
      <c r="J29" s="235">
        <f t="shared" si="7"/>
        <v>4514638556</v>
      </c>
      <c r="K29" s="235">
        <f t="shared" si="7"/>
        <v>6230402336</v>
      </c>
      <c r="L29" s="235">
        <f t="shared" si="7"/>
        <v>5754383507</v>
      </c>
      <c r="M29" s="235">
        <f t="shared" si="7"/>
        <v>6061773635</v>
      </c>
      <c r="N29" s="235">
        <f t="shared" si="7"/>
        <v>6064037662</v>
      </c>
      <c r="O29" s="235">
        <f t="shared" si="7"/>
        <v>5647299405</v>
      </c>
      <c r="P29" s="235">
        <f t="shared" si="7"/>
        <v>5952326232</v>
      </c>
      <c r="Q29" s="235">
        <f t="shared" si="7"/>
        <v>6948318551</v>
      </c>
      <c r="R29" s="236">
        <f t="shared" si="5"/>
        <v>61390432765</v>
      </c>
      <c r="S29" s="237" t="s">
        <v>75</v>
      </c>
      <c r="T29" s="238"/>
      <c r="U29" s="190"/>
      <c r="V29" s="224">
        <v>128034.54</v>
      </c>
      <c r="W29" s="224">
        <v>135687.44</v>
      </c>
      <c r="X29" s="225">
        <v>133329.12</v>
      </c>
      <c r="Y29" s="225">
        <v>162903.72</v>
      </c>
      <c r="Z29" s="225">
        <v>177811.68</v>
      </c>
      <c r="AA29" s="225">
        <v>245388.04</v>
      </c>
      <c r="AB29" s="225">
        <v>226639.76</v>
      </c>
      <c r="AC29" s="225">
        <v>238746.5</v>
      </c>
      <c r="AD29" s="225">
        <v>238835.67</v>
      </c>
      <c r="AE29" s="225">
        <v>222422.19</v>
      </c>
      <c r="AF29" s="225">
        <v>234435.85</v>
      </c>
      <c r="AG29" s="225">
        <v>273663.59000000003</v>
      </c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5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308" t="str">
        <f>IFERROR(IF(VLOOKUP($B31,勘定科目!$A:$H,HLOOKUP($E$5,勘定科目!$F$1:$H$2,2,0),0)="","",VLOOKUP($B31,勘定科目!$A:$E,2,0)),"")</f>
        <v>部内間接経費</v>
      </c>
      <c r="D31" s="309" t="str">
        <f>IF(C31="","",VLOOKUP($B31,勘定科目!$A:$E,4,0))</f>
        <v>部内間接経費</v>
      </c>
      <c r="E31" s="244"/>
      <c r="F31" s="230">
        <v>61680277</v>
      </c>
      <c r="G31" s="307">
        <v>56465553</v>
      </c>
      <c r="H31" s="307">
        <v>51059548</v>
      </c>
      <c r="I31" s="307">
        <v>51561727</v>
      </c>
      <c r="J31" s="307">
        <v>51960466</v>
      </c>
      <c r="K31" s="307">
        <v>51136654</v>
      </c>
      <c r="L31" s="307">
        <v>66098481</v>
      </c>
      <c r="M31" s="307">
        <v>61929779</v>
      </c>
      <c r="N31" s="307">
        <v>63352665</v>
      </c>
      <c r="O31" s="307">
        <v>61440610</v>
      </c>
      <c r="P31" s="307">
        <v>64699014</v>
      </c>
      <c r="Q31" s="307">
        <v>62401101</v>
      </c>
      <c r="R31" s="200">
        <f t="shared" si="5"/>
        <v>703785875</v>
      </c>
      <c r="S31" s="201" t="s">
        <v>692</v>
      </c>
      <c r="T31" s="202"/>
      <c r="U31" s="190"/>
      <c r="V31" s="190">
        <f>ROUNDDOWN(F26/$B$2,2)-V26</f>
        <v>0</v>
      </c>
      <c r="W31" s="190">
        <f t="shared" ref="W31:AG31" si="8">ROUNDDOWN(G26/$B$2,2)-W26</f>
        <v>0</v>
      </c>
      <c r="X31" s="190">
        <f t="shared" si="8"/>
        <v>0</v>
      </c>
      <c r="Y31" s="190">
        <f t="shared" si="8"/>
        <v>0</v>
      </c>
      <c r="Z31" s="190">
        <f t="shared" si="8"/>
        <v>0</v>
      </c>
      <c r="AA31" s="190">
        <f t="shared" si="8"/>
        <v>0</v>
      </c>
      <c r="AB31" s="190">
        <f t="shared" si="8"/>
        <v>0</v>
      </c>
      <c r="AC31" s="190">
        <f t="shared" si="8"/>
        <v>0</v>
      </c>
      <c r="AD31" s="190">
        <f t="shared" si="8"/>
        <v>0</v>
      </c>
      <c r="AE31" s="190">
        <f t="shared" si="8"/>
        <v>0</v>
      </c>
      <c r="AF31" s="190">
        <f t="shared" si="8"/>
        <v>0</v>
      </c>
      <c r="AG31" s="190">
        <f t="shared" si="8"/>
        <v>0</v>
      </c>
      <c r="BA31"/>
      <c r="BB31"/>
    </row>
    <row r="32" spans="1:54" s="208" customFormat="1" ht="13">
      <c r="B32" s="180">
        <v>9114120029</v>
      </c>
      <c r="C32" s="308" t="str">
        <f>IFERROR(IF(VLOOKUP($B32,勘定科目!$A:$H,HLOOKUP($E$5,勘定科目!$F$1:$H$2,2,0),0)="","",VLOOKUP($B32,勘定科目!$A:$E,2,0)),"")</f>
        <v>部外間接経費1</v>
      </c>
      <c r="D32" s="309" t="str">
        <f>IF(C32="","",VLOOKUP($B32,勘定科目!$A:$E,4,0))</f>
        <v>部外間接経費1</v>
      </c>
      <c r="E32" s="244"/>
      <c r="F32" s="230">
        <v>6130424</v>
      </c>
      <c r="G32" s="307">
        <v>5833078</v>
      </c>
      <c r="H32" s="307">
        <v>5323786</v>
      </c>
      <c r="I32" s="307">
        <v>7401828</v>
      </c>
      <c r="J32" s="307">
        <v>6571405</v>
      </c>
      <c r="K32" s="307">
        <v>4740399</v>
      </c>
      <c r="L32" s="307">
        <v>6286676</v>
      </c>
      <c r="M32" s="307">
        <v>5976493</v>
      </c>
      <c r="N32" s="307">
        <v>5399112</v>
      </c>
      <c r="O32" s="307">
        <v>5723217</v>
      </c>
      <c r="P32" s="307">
        <v>6513204</v>
      </c>
      <c r="Q32" s="307">
        <v>6177136</v>
      </c>
      <c r="R32" s="200">
        <f t="shared" si="5"/>
        <v>72076758</v>
      </c>
      <c r="S32" s="201" t="s">
        <v>692</v>
      </c>
      <c r="T32" s="202"/>
      <c r="U32" s="190"/>
      <c r="V32" s="190">
        <f t="shared" ref="V32:AG33" si="9">ROUNDDOWN(F27/$B$2,2)-V27</f>
        <v>0</v>
      </c>
      <c r="W32" s="190">
        <f t="shared" si="9"/>
        <v>0</v>
      </c>
      <c r="X32" s="190">
        <f t="shared" si="9"/>
        <v>0</v>
      </c>
      <c r="Y32" s="190">
        <f t="shared" si="9"/>
        <v>0</v>
      </c>
      <c r="Z32" s="190">
        <f t="shared" si="9"/>
        <v>0</v>
      </c>
      <c r="AA32" s="190">
        <f t="shared" si="9"/>
        <v>0</v>
      </c>
      <c r="AB32" s="190">
        <f t="shared" si="9"/>
        <v>0</v>
      </c>
      <c r="AC32" s="190">
        <f t="shared" si="9"/>
        <v>0</v>
      </c>
      <c r="AD32" s="190">
        <f t="shared" si="9"/>
        <v>0</v>
      </c>
      <c r="AE32" s="190">
        <f t="shared" si="9"/>
        <v>0</v>
      </c>
      <c r="AF32" s="190">
        <f t="shared" si="9"/>
        <v>0</v>
      </c>
      <c r="AG32" s="190">
        <f t="shared" si="9"/>
        <v>0</v>
      </c>
      <c r="BA32"/>
      <c r="BB32"/>
    </row>
    <row r="33" spans="1:54" s="208" customFormat="1" ht="13">
      <c r="B33" s="180">
        <v>9114120030</v>
      </c>
      <c r="C33" s="308" t="str">
        <f>IFERROR(IF(VLOOKUP($B33,勘定科目!$A:$H,HLOOKUP($E$5,勘定科目!$F$1:$H$2,2,0),0)="","",VLOOKUP($B33,勘定科目!$A:$E,2,0)),"")</f>
        <v>部外間接経費2</v>
      </c>
      <c r="D33" s="309" t="str">
        <f>IF(C33="","",VLOOKUP($B33,勘定科目!$A:$E,4,0))</f>
        <v>部外間接経費2</v>
      </c>
      <c r="E33" s="244"/>
      <c r="F33" s="230">
        <v>10907071</v>
      </c>
      <c r="G33" s="307">
        <v>6393763</v>
      </c>
      <c r="H33" s="307">
        <v>5587309</v>
      </c>
      <c r="I33" s="307">
        <v>5508173</v>
      </c>
      <c r="J33" s="307">
        <v>5513019</v>
      </c>
      <c r="K33" s="307">
        <v>4399660</v>
      </c>
      <c r="L33" s="307">
        <v>15174648</v>
      </c>
      <c r="M33" s="307">
        <v>6874688</v>
      </c>
      <c r="N33" s="307">
        <v>7380232</v>
      </c>
      <c r="O33" s="307">
        <v>4854231</v>
      </c>
      <c r="P33" s="307">
        <v>5801103</v>
      </c>
      <c r="Q33" s="307">
        <v>4627694</v>
      </c>
      <c r="R33" s="200">
        <f t="shared" si="5"/>
        <v>83021591</v>
      </c>
      <c r="S33" s="201" t="s">
        <v>692</v>
      </c>
      <c r="T33" s="202"/>
      <c r="U33" s="190"/>
      <c r="V33" s="190">
        <f t="shared" si="9"/>
        <v>0</v>
      </c>
      <c r="W33" s="190">
        <f t="shared" si="9"/>
        <v>0</v>
      </c>
      <c r="X33" s="190">
        <f t="shared" si="9"/>
        <v>0</v>
      </c>
      <c r="Y33" s="190">
        <f t="shared" si="9"/>
        <v>0</v>
      </c>
      <c r="Z33" s="190">
        <f t="shared" si="9"/>
        <v>0</v>
      </c>
      <c r="AA33" s="190">
        <f t="shared" si="9"/>
        <v>0</v>
      </c>
      <c r="AB33" s="190">
        <f t="shared" si="9"/>
        <v>0</v>
      </c>
      <c r="AC33" s="190">
        <f t="shared" si="9"/>
        <v>0</v>
      </c>
      <c r="AD33" s="190">
        <f t="shared" si="9"/>
        <v>0</v>
      </c>
      <c r="AE33" s="190">
        <f t="shared" si="9"/>
        <v>0</v>
      </c>
      <c r="AF33" s="190">
        <f t="shared" si="9"/>
        <v>0</v>
      </c>
      <c r="AG33" s="190">
        <f t="shared" si="9"/>
        <v>0</v>
      </c>
      <c r="BA33"/>
      <c r="BB33"/>
    </row>
    <row r="34" spans="1:54" s="208" customFormat="1" ht="13">
      <c r="B34" s="180">
        <v>9114120021</v>
      </c>
      <c r="C34" s="308" t="str">
        <f>IFERROR(IF(VLOOKUP($B34,勘定科目!$A:$H,HLOOKUP($E$5,勘定科目!$F$1:$H$2,2,0),0)="","",VLOOKUP($B34,勘定科目!$A:$E,2,0)),"")</f>
        <v>工場間接経費</v>
      </c>
      <c r="D34" s="309" t="str">
        <f>IF(C34="","",VLOOKUP($B34,勘定科目!$A:$E,4,0))</f>
        <v>工場間接経費</v>
      </c>
      <c r="E34" s="244"/>
      <c r="F34" s="230">
        <v>72173256</v>
      </c>
      <c r="G34" s="307">
        <v>92208398</v>
      </c>
      <c r="H34" s="307">
        <v>68266804</v>
      </c>
      <c r="I34" s="307">
        <v>137675375</v>
      </c>
      <c r="J34" s="307">
        <v>76708848</v>
      </c>
      <c r="K34" s="307">
        <v>74978177</v>
      </c>
      <c r="L34" s="307">
        <v>122436915</v>
      </c>
      <c r="M34" s="307">
        <v>103149795</v>
      </c>
      <c r="N34" s="307">
        <v>102016942</v>
      </c>
      <c r="O34" s="307">
        <v>113566543</v>
      </c>
      <c r="P34" s="307">
        <v>78423730</v>
      </c>
      <c r="Q34" s="307">
        <v>80932679</v>
      </c>
      <c r="R34" s="200">
        <f t="shared" si="5"/>
        <v>1122537462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5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>
        <f t="shared" ref="F36" si="10">ROUNDUP(V36*$B$2,0)</f>
        <v>14303711</v>
      </c>
      <c r="G36" s="241">
        <f t="shared" ref="G36" si="11">ROUNDUP(W36*$B$2,0)</f>
        <v>13481075</v>
      </c>
      <c r="H36" s="241">
        <f t="shared" ref="H36" si="12">ROUNDUP(X36*$B$2,0)</f>
        <v>14323261</v>
      </c>
      <c r="I36" s="241">
        <f t="shared" ref="I36" si="13">ROUNDUP(Y36*$B$2,0)</f>
        <v>18119828</v>
      </c>
      <c r="J36" s="241">
        <f t="shared" ref="J36" si="14">ROUNDUP(Z36*$B$2,0)</f>
        <v>16559866</v>
      </c>
      <c r="K36" s="241">
        <f t="shared" ref="K36" si="15">ROUNDUP(AA36*$B$2,0)</f>
        <v>15516845</v>
      </c>
      <c r="L36" s="241">
        <f t="shared" ref="L36" si="16">ROUNDUP(AB36*$B$2,0)</f>
        <v>18801295</v>
      </c>
      <c r="M36" s="241">
        <f t="shared" ref="M36" si="17">ROUNDUP(AC36*$B$2,0)</f>
        <v>17510468</v>
      </c>
      <c r="N36" s="241">
        <f t="shared" ref="N36" si="18">ROUNDUP(AD36*$B$2,0)</f>
        <v>18924437</v>
      </c>
      <c r="O36" s="241">
        <f t="shared" ref="O36" si="19">ROUNDUP(AE36*$B$2,0)</f>
        <v>18567200</v>
      </c>
      <c r="P36" s="241">
        <f t="shared" ref="P36" si="20">ROUNDUP(AF36*$B$2,0)</f>
        <v>15340385</v>
      </c>
      <c r="Q36" s="241">
        <f t="shared" ref="Q36" si="21">ROUNDUP(AG36*$B$2,0)</f>
        <v>17687436</v>
      </c>
      <c r="R36" s="200">
        <f t="shared" si="5"/>
        <v>199135807</v>
      </c>
      <c r="S36" s="201"/>
      <c r="T36" s="202"/>
      <c r="U36" s="246"/>
      <c r="V36" s="305">
        <v>563.36</v>
      </c>
      <c r="W36" s="305">
        <v>530.96</v>
      </c>
      <c r="X36" s="306">
        <v>564.13</v>
      </c>
      <c r="Y36" s="306">
        <v>713.66</v>
      </c>
      <c r="Z36" s="306">
        <v>652.22</v>
      </c>
      <c r="AA36" s="306">
        <v>611.14</v>
      </c>
      <c r="AB36" s="306">
        <v>740.5</v>
      </c>
      <c r="AC36" s="306">
        <v>689.66</v>
      </c>
      <c r="AD36" s="306">
        <v>745.35</v>
      </c>
      <c r="AE36" s="306">
        <v>731.28</v>
      </c>
      <c r="AF36" s="306">
        <v>604.19000000000005</v>
      </c>
      <c r="AG36" s="306">
        <v>696.63</v>
      </c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/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303">
        <v>5005076283</v>
      </c>
      <c r="C38" s="183" t="str">
        <f>IFERROR(IF(VLOOKUP($B38,勘定科目!$A:$H,HLOOKUP($E$5,勘定科目!$F$1:$H$2,2,0),0)="","",VLOOKUP($B38,勘定科目!$A:$E,2,0)),"")</f>
        <v>輸入航空運賃（製）</v>
      </c>
      <c r="D38" s="239" t="str">
        <f>IF(C38="","",VLOOKUP($B38,勘定科目!$A:$E,4,0))</f>
        <v>荷造運賃</v>
      </c>
      <c r="E38" s="245"/>
      <c r="F38" s="301">
        <v>130052435</v>
      </c>
      <c r="G38" s="300">
        <v>130052435</v>
      </c>
      <c r="H38" s="300">
        <v>130052435</v>
      </c>
      <c r="I38" s="300">
        <v>130052435</v>
      </c>
      <c r="J38" s="300">
        <v>130052435</v>
      </c>
      <c r="K38" s="300">
        <v>130052435</v>
      </c>
      <c r="L38" s="300">
        <v>130052435</v>
      </c>
      <c r="M38" s="300">
        <v>130052435</v>
      </c>
      <c r="N38" s="300">
        <v>130052435</v>
      </c>
      <c r="O38" s="300">
        <v>130052435</v>
      </c>
      <c r="P38" s="300">
        <v>130052435</v>
      </c>
      <c r="Q38" s="300">
        <v>130052435</v>
      </c>
      <c r="R38" s="302">
        <f t="shared" si="5"/>
        <v>1560629220</v>
      </c>
      <c r="S38" s="201" t="s">
        <v>711</v>
      </c>
      <c r="T38" s="202"/>
      <c r="U38" s="246"/>
      <c r="V38" s="246"/>
      <c r="W38" s="246"/>
      <c r="BA38"/>
      <c r="BB38"/>
    </row>
    <row r="39" spans="1:54" s="191" customFormat="1" ht="13">
      <c r="A39" s="226"/>
      <c r="B39" s="303">
        <v>5005076284</v>
      </c>
      <c r="C39" s="183" t="str">
        <f>IFERROR(IF(VLOOKUP($B39,勘定科目!$A:$H,HLOOKUP($E$5,勘定科目!$F$1:$H$2,2,0),0)="","",VLOOKUP($B39,勘定科目!$A:$E,2,0)),"")</f>
        <v>輸入海上運賃（製）</v>
      </c>
      <c r="D39" s="239" t="str">
        <f>IF(C39="","",VLOOKUP($B39,勘定科目!$A:$E,4,0))</f>
        <v>荷造運賃</v>
      </c>
      <c r="E39" s="245"/>
      <c r="F39" s="301">
        <v>14000000</v>
      </c>
      <c r="G39" s="300">
        <v>14000000</v>
      </c>
      <c r="H39" s="300">
        <v>14000000</v>
      </c>
      <c r="I39" s="300">
        <v>14000000</v>
      </c>
      <c r="J39" s="300">
        <v>14000000</v>
      </c>
      <c r="K39" s="300">
        <v>14000000</v>
      </c>
      <c r="L39" s="300">
        <v>14000000</v>
      </c>
      <c r="M39" s="300">
        <v>14000000</v>
      </c>
      <c r="N39" s="300">
        <v>14000000</v>
      </c>
      <c r="O39" s="300">
        <v>14000000</v>
      </c>
      <c r="P39" s="300">
        <v>14000000</v>
      </c>
      <c r="Q39" s="300">
        <v>14000000</v>
      </c>
      <c r="R39" s="302">
        <f t="shared" si="5"/>
        <v>168000000</v>
      </c>
      <c r="S39" s="201" t="s">
        <v>712</v>
      </c>
      <c r="T39" s="202"/>
      <c r="U39" s="246"/>
      <c r="V39" s="246"/>
      <c r="W39" s="246"/>
      <c r="BA39"/>
      <c r="BB39"/>
    </row>
    <row r="40" spans="1:54" s="191" customFormat="1" ht="13">
      <c r="A40" s="226"/>
      <c r="B40" s="303">
        <v>5005076289</v>
      </c>
      <c r="C40" s="183" t="str">
        <f>IFERROR(IF(VLOOKUP($B40,勘定科目!$A:$H,HLOOKUP($E$5,勘定科目!$F$1:$H$2,2,0),0)="","",VLOOKUP($B40,勘定科目!$A:$E,2,0)),"")</f>
        <v>クーリエ費用（製）</v>
      </c>
      <c r="D40" s="239" t="str">
        <f>IF(C40="","",VLOOKUP($B40,勘定科目!$A:$E,4,0))</f>
        <v>荷造運賃</v>
      </c>
      <c r="E40" s="245"/>
      <c r="F40" s="301">
        <f>1500000+2600000</f>
        <v>4100000</v>
      </c>
      <c r="G40" s="301">
        <f t="shared" ref="G40:Q40" si="22">1500000+2600000</f>
        <v>4100000</v>
      </c>
      <c r="H40" s="301">
        <f t="shared" si="22"/>
        <v>4100000</v>
      </c>
      <c r="I40" s="301">
        <f t="shared" si="22"/>
        <v>4100000</v>
      </c>
      <c r="J40" s="301">
        <f t="shared" si="22"/>
        <v>4100000</v>
      </c>
      <c r="K40" s="301">
        <f t="shared" si="22"/>
        <v>4100000</v>
      </c>
      <c r="L40" s="301">
        <f t="shared" si="22"/>
        <v>4100000</v>
      </c>
      <c r="M40" s="301">
        <f t="shared" si="22"/>
        <v>4100000</v>
      </c>
      <c r="N40" s="301">
        <f t="shared" si="22"/>
        <v>4100000</v>
      </c>
      <c r="O40" s="301">
        <f t="shared" si="22"/>
        <v>4100000</v>
      </c>
      <c r="P40" s="301">
        <f t="shared" si="22"/>
        <v>4100000</v>
      </c>
      <c r="Q40" s="301">
        <f t="shared" si="22"/>
        <v>4100000</v>
      </c>
      <c r="R40" s="302">
        <f>SUM(F40:Q40)</f>
        <v>49200000</v>
      </c>
      <c r="S40" s="201" t="s">
        <v>710</v>
      </c>
      <c r="T40" s="202"/>
      <c r="U40" s="246"/>
      <c r="V40" s="246"/>
      <c r="W40" s="246"/>
      <c r="BA40"/>
      <c r="BB40"/>
    </row>
    <row r="41" spans="1:54" s="191" customFormat="1" ht="13">
      <c r="A41" s="226"/>
      <c r="B41" s="303">
        <v>5005076281</v>
      </c>
      <c r="C41" s="183" t="str">
        <f>IFERROR(IF(VLOOKUP($B41,勘定科目!$A:$H,HLOOKUP($E$5,勘定科目!$F$1:$H$2,2,0),0)="","",VLOOKUP($B41,勘定科目!$A:$E,2,0)),"")</f>
        <v>通関申告費用（製）</v>
      </c>
      <c r="D41" s="239" t="str">
        <f>IF(C41="","",VLOOKUP($B41,勘定科目!$A:$E,4,0))</f>
        <v>荷造運賃</v>
      </c>
      <c r="E41" s="245"/>
      <c r="F41" s="301">
        <f>440000+434490+11760</f>
        <v>886250</v>
      </c>
      <c r="G41" s="301">
        <f t="shared" ref="G41:Q41" si="23">440000+434490+11760</f>
        <v>886250</v>
      </c>
      <c r="H41" s="301">
        <f t="shared" si="23"/>
        <v>886250</v>
      </c>
      <c r="I41" s="301">
        <f t="shared" si="23"/>
        <v>886250</v>
      </c>
      <c r="J41" s="301">
        <f t="shared" si="23"/>
        <v>886250</v>
      </c>
      <c r="K41" s="301">
        <f t="shared" si="23"/>
        <v>886250</v>
      </c>
      <c r="L41" s="301">
        <f t="shared" si="23"/>
        <v>886250</v>
      </c>
      <c r="M41" s="301">
        <f t="shared" si="23"/>
        <v>886250</v>
      </c>
      <c r="N41" s="301">
        <f t="shared" si="23"/>
        <v>886250</v>
      </c>
      <c r="O41" s="301">
        <f t="shared" si="23"/>
        <v>886250</v>
      </c>
      <c r="P41" s="301">
        <f t="shared" si="23"/>
        <v>886250</v>
      </c>
      <c r="Q41" s="301">
        <f t="shared" si="23"/>
        <v>886250</v>
      </c>
      <c r="R41" s="302">
        <f t="shared" si="5"/>
        <v>10635000</v>
      </c>
      <c r="S41" s="201" t="s">
        <v>707</v>
      </c>
      <c r="T41" s="202"/>
      <c r="U41" s="246"/>
      <c r="V41" s="246"/>
      <c r="W41" s="246"/>
      <c r="BA41"/>
      <c r="BB41"/>
    </row>
    <row r="42" spans="1:54" s="191" customFormat="1" ht="13">
      <c r="A42" s="226"/>
      <c r="B42" s="303">
        <v>6003036543</v>
      </c>
      <c r="C42" s="183" t="str">
        <f>IFERROR(IF(VLOOKUP($B42,勘定科目!$A:$H,HLOOKUP($E$5,勘定科目!$F$1:$H$2,2,0),0)="","",VLOOKUP($B42,勘定科目!$A:$E,2,0)),"")</f>
        <v>輸出航空運賃（販売）</v>
      </c>
      <c r="D42" s="239" t="str">
        <f>IF(C42="","",VLOOKUP($B42,勘定科目!$A:$E,4,0))</f>
        <v>荷造運賃</v>
      </c>
      <c r="E42" s="245"/>
      <c r="F42" s="301">
        <v>2000</v>
      </c>
      <c r="G42" s="300">
        <v>2000</v>
      </c>
      <c r="H42" s="300">
        <v>2000</v>
      </c>
      <c r="I42" s="300">
        <v>2000</v>
      </c>
      <c r="J42" s="300">
        <v>2000</v>
      </c>
      <c r="K42" s="300">
        <v>2000</v>
      </c>
      <c r="L42" s="300">
        <v>2000</v>
      </c>
      <c r="M42" s="300">
        <v>2000</v>
      </c>
      <c r="N42" s="300">
        <v>2000</v>
      </c>
      <c r="O42" s="300">
        <v>2000</v>
      </c>
      <c r="P42" s="300">
        <v>2000</v>
      </c>
      <c r="Q42" s="300">
        <v>2000</v>
      </c>
      <c r="R42" s="302">
        <f t="shared" si="5"/>
        <v>24000</v>
      </c>
      <c r="S42" s="201" t="s">
        <v>708</v>
      </c>
      <c r="T42" s="202"/>
      <c r="U42" s="246"/>
      <c r="V42" s="246"/>
      <c r="W42" s="246"/>
      <c r="BA42"/>
      <c r="BB42"/>
    </row>
    <row r="43" spans="1:54" s="191" customFormat="1" ht="13">
      <c r="A43" s="226"/>
      <c r="B43" s="303">
        <v>6003036544</v>
      </c>
      <c r="C43" s="183" t="str">
        <f>IFERROR(IF(VLOOKUP($B43,勘定科目!$A:$H,HLOOKUP($E$5,勘定科目!$F$1:$H$2,2,0),0)="","",VLOOKUP($B43,勘定科目!$A:$E,2,0)),"")</f>
        <v>輸出海上運賃（販売）</v>
      </c>
      <c r="D43" s="239" t="str">
        <f>IF(C43="","",VLOOKUP($B43,勘定科目!$A:$E,4,0))</f>
        <v>荷造運賃</v>
      </c>
      <c r="E43" s="245"/>
      <c r="F43" s="301">
        <v>18000000</v>
      </c>
      <c r="G43" s="300">
        <v>18000000</v>
      </c>
      <c r="H43" s="300">
        <v>18000000</v>
      </c>
      <c r="I43" s="300">
        <v>18000000</v>
      </c>
      <c r="J43" s="300">
        <v>18000000</v>
      </c>
      <c r="K43" s="300">
        <v>18000000</v>
      </c>
      <c r="L43" s="300">
        <v>18000000</v>
      </c>
      <c r="M43" s="300">
        <v>18000000</v>
      </c>
      <c r="N43" s="300">
        <v>18000000</v>
      </c>
      <c r="O43" s="300">
        <v>18000000</v>
      </c>
      <c r="P43" s="300">
        <v>18000000</v>
      </c>
      <c r="Q43" s="300">
        <v>18000000</v>
      </c>
      <c r="R43" s="302">
        <f t="shared" si="5"/>
        <v>216000000</v>
      </c>
      <c r="S43" s="201" t="s">
        <v>709</v>
      </c>
      <c r="T43" s="202"/>
      <c r="U43" s="246"/>
      <c r="V43" s="246"/>
      <c r="W43" s="246"/>
      <c r="BA43"/>
      <c r="BB43"/>
    </row>
    <row r="44" spans="1:54" s="191" customFormat="1" ht="13">
      <c r="A44" s="226"/>
      <c r="B44" s="303">
        <v>5005076286</v>
      </c>
      <c r="C44" s="183" t="str">
        <f>IFERROR(IF(VLOOKUP($B44,勘定科目!$A:$H,HLOOKUP($E$5,勘定科目!$F$1:$H$2,2,0),0)="","",VLOOKUP($B44,勘定科目!$A:$E,2,0)),"")</f>
        <v>部品集荷トラック代</v>
      </c>
      <c r="D44" s="239" t="str">
        <f>IF(C44="","",VLOOKUP($B44,勘定科目!$A:$E,4,0))</f>
        <v>荷造運賃</v>
      </c>
      <c r="E44" s="245"/>
      <c r="F44" s="301">
        <f>ROUND(748.88*B2,0)</f>
        <v>19014063</v>
      </c>
      <c r="G44" s="300">
        <f>ROUND(711.436*B2,0)</f>
        <v>18063360</v>
      </c>
      <c r="H44" s="300">
        <f>ROUND(786.324*B2,0)</f>
        <v>19964766</v>
      </c>
      <c r="I44" s="300">
        <f>ROUND(861.212*B2,0)</f>
        <v>21866173</v>
      </c>
      <c r="J44" s="300">
        <f>ROUND(748.88*B2,0)</f>
        <v>19014063</v>
      </c>
      <c r="K44" s="300">
        <f>ROUND(711.436*B2,0)</f>
        <v>18063360</v>
      </c>
      <c r="L44" s="300">
        <f>ROUND(861.212*B2,0)</f>
        <v>21866173</v>
      </c>
      <c r="M44" s="300">
        <f>ROUND(748.88*B2,0)</f>
        <v>19014063</v>
      </c>
      <c r="N44" s="300">
        <f>ROUND(823.768*B2,0)</f>
        <v>20915470</v>
      </c>
      <c r="O44" s="300">
        <f>ROUND(748.88*B2,0)</f>
        <v>19014063</v>
      </c>
      <c r="P44" s="300">
        <f>ROUND(561.66*B2,0)</f>
        <v>14260547</v>
      </c>
      <c r="Q44" s="300">
        <f>ROUND(786.324*B2,0)</f>
        <v>19964766</v>
      </c>
      <c r="R44" s="302">
        <f>SUM(F44:Q44)</f>
        <v>231020867</v>
      </c>
      <c r="S44" s="201" t="s">
        <v>713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303"/>
      <c r="C45" s="183"/>
      <c r="D45" s="239"/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/>
      <c r="S45" s="201"/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5005056281</v>
      </c>
      <c r="C46" s="183" t="str">
        <f>IFERROR(IF(VLOOKUP($B46,勘定科目!$A:$H,HLOOKUP($E$5,勘定科目!$F$1:$H$2,2,0),0)="","",VLOOKUP($B46,勘定科目!$A:$E,2,0)),"")</f>
        <v>ガス代（製）</v>
      </c>
      <c r="D46" s="239" t="str">
        <f>IF(C46="","",VLOOKUP($B46,勘定科目!$A:$E,4,0))</f>
        <v>水道光熱費</v>
      </c>
      <c r="E46" s="245"/>
      <c r="F46" s="301">
        <f>27*40366</f>
        <v>1089882</v>
      </c>
      <c r="G46" s="300">
        <f>31*39111</f>
        <v>1212441</v>
      </c>
      <c r="H46" s="300">
        <f>31*44856</f>
        <v>1390536</v>
      </c>
      <c r="I46" s="300">
        <f>31*46929</f>
        <v>1454799</v>
      </c>
      <c r="J46" s="300">
        <f>46*42688</f>
        <v>1963648</v>
      </c>
      <c r="K46" s="300">
        <f>46*38491</f>
        <v>1770586</v>
      </c>
      <c r="L46" s="300">
        <f>46*46977</f>
        <v>2160942</v>
      </c>
      <c r="M46" s="300">
        <f>47*41126</f>
        <v>1932922</v>
      </c>
      <c r="N46" s="300">
        <f>47*44086</f>
        <v>2072042</v>
      </c>
      <c r="O46" s="300">
        <f>47*42459</f>
        <v>1995573</v>
      </c>
      <c r="P46" s="300">
        <f>60*32894</f>
        <v>1973640</v>
      </c>
      <c r="Q46" s="300">
        <f>60*42542</f>
        <v>2552520</v>
      </c>
      <c r="R46" s="302">
        <f t="shared" si="5"/>
        <v>21569531</v>
      </c>
      <c r="S46" s="201" t="s">
        <v>739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301">
        <f>27*1122</f>
        <v>30294</v>
      </c>
      <c r="G47" s="300">
        <f>31*1130</f>
        <v>35030</v>
      </c>
      <c r="H47" s="300">
        <f>31*1157</f>
        <v>35867</v>
      </c>
      <c r="I47" s="300">
        <f>31*1113</f>
        <v>34503</v>
      </c>
      <c r="J47" s="300">
        <f>46*1080</f>
        <v>49680</v>
      </c>
      <c r="K47" s="300">
        <f>46*1093</f>
        <v>50278</v>
      </c>
      <c r="L47" s="300">
        <f>46*1131</f>
        <v>52026</v>
      </c>
      <c r="M47" s="300">
        <f>47*1114</f>
        <v>52358</v>
      </c>
      <c r="N47" s="300">
        <f>47*1124</f>
        <v>52828</v>
      </c>
      <c r="O47" s="300">
        <f>47*1128</f>
        <v>53016</v>
      </c>
      <c r="P47" s="300">
        <f>1146*60</f>
        <v>68760</v>
      </c>
      <c r="Q47" s="300">
        <f>1085*60</f>
        <v>65100</v>
      </c>
      <c r="R47" s="302">
        <f t="shared" si="5"/>
        <v>579740</v>
      </c>
      <c r="S47" s="201" t="s">
        <v>741</v>
      </c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5005016372</v>
      </c>
      <c r="C48" s="183" t="str">
        <f>IFERROR(IF(VLOOKUP($B48,勘定科目!$A:$H,HLOOKUP($E$5,勘定科目!$F$1:$H$2,2,0),0)="","",VLOOKUP($B48,勘定科目!$A:$E,2,0)),"")</f>
        <v>その他消耗品（製）</v>
      </c>
      <c r="D48" s="239" t="str">
        <f>IF(C48="","",VLOOKUP($B48,勘定科目!$A:$E,4,0))</f>
        <v>消耗品費</v>
      </c>
      <c r="E48" s="245"/>
      <c r="F48" s="301">
        <f>27*18424</f>
        <v>497448</v>
      </c>
      <c r="G48" s="300">
        <f>17736*31</f>
        <v>549816</v>
      </c>
      <c r="H48" s="300">
        <f>31*19401</f>
        <v>601431</v>
      </c>
      <c r="I48" s="300">
        <f>31*21138</f>
        <v>655278</v>
      </c>
      <c r="J48" s="300">
        <f>46*18404</f>
        <v>846584</v>
      </c>
      <c r="K48" s="300">
        <f>46*17500</f>
        <v>805000</v>
      </c>
      <c r="L48" s="300">
        <f>46*21110</f>
        <v>971060</v>
      </c>
      <c r="M48" s="300">
        <f>47*18421</f>
        <v>865787</v>
      </c>
      <c r="N48" s="300">
        <f>47*20254</f>
        <v>951938</v>
      </c>
      <c r="O48" s="300">
        <f>47*18399</f>
        <v>864753</v>
      </c>
      <c r="P48" s="300">
        <f>60*13863</f>
        <v>831780</v>
      </c>
      <c r="Q48" s="300">
        <f>60*18435</f>
        <v>1106100</v>
      </c>
      <c r="R48" s="302">
        <f t="shared" si="5"/>
        <v>9546975</v>
      </c>
      <c r="S48" s="201" t="s">
        <v>742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>
        <v>5005246286</v>
      </c>
      <c r="C49" s="183" t="str">
        <f>IFERROR(IF(VLOOKUP($B49,勘定科目!$A:$H,HLOOKUP($E$5,勘定科目!$F$1:$H$2,2,0),0)="","",VLOOKUP($B49,勘定科目!$A:$E,2,0)),"")</f>
        <v>その他手数料（製）</v>
      </c>
      <c r="D49" s="239" t="str">
        <f>IF(C49="","",VLOOKUP($B49,勘定科目!$A:$E,4,0))</f>
        <v>手数料</v>
      </c>
      <c r="E49" s="245"/>
      <c r="F49" s="301">
        <f>27*56247</f>
        <v>1518669</v>
      </c>
      <c r="G49" s="301">
        <f>56462*31</f>
        <v>1750322</v>
      </c>
      <c r="H49" s="301">
        <f>31*58201</f>
        <v>1804231</v>
      </c>
      <c r="I49" s="301">
        <f>31*53306</f>
        <v>1652486</v>
      </c>
      <c r="J49" s="301">
        <f>46*51891</f>
        <v>2386986</v>
      </c>
      <c r="K49" s="301">
        <f>46*49590</f>
        <v>2281140</v>
      </c>
      <c r="L49" s="301">
        <f>46*47432</f>
        <v>2181872</v>
      </c>
      <c r="M49" s="301">
        <f>47*46844</f>
        <v>2201668</v>
      </c>
      <c r="N49" s="301">
        <f>47*46977</f>
        <v>2207919</v>
      </c>
      <c r="O49" s="301">
        <f>47*44968</f>
        <v>2113496</v>
      </c>
      <c r="P49" s="301">
        <f>60*42562</f>
        <v>2553720</v>
      </c>
      <c r="Q49" s="300">
        <f>60*44540</f>
        <v>2672400</v>
      </c>
      <c r="R49" s="302">
        <f t="shared" si="5"/>
        <v>25324909</v>
      </c>
      <c r="S49" s="201" t="s">
        <v>740</v>
      </c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5004086291</v>
      </c>
      <c r="C50" s="183" t="str">
        <f>IFERROR(IF(VLOOKUP($B50,勘定科目!$A:$H,HLOOKUP($E$5,勘定科目!$F$1:$H$2,2,0),0)="","",VLOOKUP($B50,勘定科目!$A:$E,2,0)),"")</f>
        <v>福利厚生費（製）</v>
      </c>
      <c r="D50" s="239" t="str">
        <f>IF(C50="","",VLOOKUP($B50,勘定科目!$A:$E,4,0))</f>
        <v>福利厚生費</v>
      </c>
      <c r="E50" s="239"/>
      <c r="F50" s="301">
        <f>2*748000</f>
        <v>1496000</v>
      </c>
      <c r="G50" s="301">
        <f>2*763266</f>
        <v>1526532</v>
      </c>
      <c r="H50" s="301">
        <f>2*740817</f>
        <v>1481634</v>
      </c>
      <c r="I50" s="301">
        <f>2*740817</f>
        <v>1481634</v>
      </c>
      <c r="J50" s="301">
        <f>2*808164</f>
        <v>1616328</v>
      </c>
      <c r="K50" s="301">
        <f>2*763266</f>
        <v>1526532</v>
      </c>
      <c r="L50" s="301">
        <f>2*763266</f>
        <v>1526532</v>
      </c>
      <c r="M50" s="301">
        <f>2*808164</f>
        <v>1616328</v>
      </c>
      <c r="N50" s="301">
        <f>2*763266</f>
        <v>1526532</v>
      </c>
      <c r="O50" s="301">
        <f>2*763266</f>
        <v>1526532</v>
      </c>
      <c r="P50" s="301">
        <f>2*763266</f>
        <v>1526532</v>
      </c>
      <c r="Q50" s="300">
        <f>2*477552</f>
        <v>955104</v>
      </c>
      <c r="R50" s="302">
        <f>SUM(F50:Q50)</f>
        <v>17806220</v>
      </c>
      <c r="S50" s="201" t="s">
        <v>693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39"/>
      <c r="F51" s="301">
        <f>2*1374678</f>
        <v>2749356</v>
      </c>
      <c r="G51" s="301">
        <f>2*1586747</f>
        <v>3173494</v>
      </c>
      <c r="H51" s="301">
        <f>2*1418477</f>
        <v>2836954</v>
      </c>
      <c r="I51" s="301">
        <f>2*1487463</f>
        <v>2974926</v>
      </c>
      <c r="J51" s="301">
        <f>2*1588334</f>
        <v>3176668</v>
      </c>
      <c r="K51" s="301">
        <f>2*1593513</f>
        <v>3187026</v>
      </c>
      <c r="L51" s="301">
        <f>2*1194735</f>
        <v>2389470</v>
      </c>
      <c r="M51" s="301">
        <f>2*1452617</f>
        <v>2905234</v>
      </c>
      <c r="N51" s="301">
        <f>2*1465592</f>
        <v>2931184</v>
      </c>
      <c r="O51" s="301">
        <f>2*1378925</f>
        <v>2757850</v>
      </c>
      <c r="P51" s="301">
        <f>2*1253359</f>
        <v>2506718</v>
      </c>
      <c r="Q51" s="300">
        <f>2*1296228</f>
        <v>2592456</v>
      </c>
      <c r="R51" s="302">
        <f>SUM(F51:Q51)</f>
        <v>34181336</v>
      </c>
      <c r="S51" s="201" t="s">
        <v>715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245"/>
      <c r="F52" s="301">
        <v>250000</v>
      </c>
      <c r="G52" s="301">
        <v>250000</v>
      </c>
      <c r="H52" s="301">
        <v>250000</v>
      </c>
      <c r="I52" s="301">
        <v>250000</v>
      </c>
      <c r="J52" s="301">
        <v>250000</v>
      </c>
      <c r="K52" s="301">
        <v>250000</v>
      </c>
      <c r="L52" s="301">
        <v>250000</v>
      </c>
      <c r="M52" s="301">
        <v>250000</v>
      </c>
      <c r="N52" s="301">
        <v>250000</v>
      </c>
      <c r="O52" s="301">
        <v>250000</v>
      </c>
      <c r="P52" s="301">
        <v>250000</v>
      </c>
      <c r="Q52" s="301">
        <v>250000</v>
      </c>
      <c r="R52" s="302">
        <f>SUM(F52:Q52)</f>
        <v>3000000</v>
      </c>
      <c r="S52" s="201" t="s">
        <v>716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301">
        <v>250000</v>
      </c>
      <c r="G53" s="301">
        <v>250000</v>
      </c>
      <c r="H53" s="301">
        <v>250000</v>
      </c>
      <c r="I53" s="301">
        <v>250000</v>
      </c>
      <c r="J53" s="301">
        <v>250000</v>
      </c>
      <c r="K53" s="301">
        <v>250000</v>
      </c>
      <c r="L53" s="301">
        <v>250000</v>
      </c>
      <c r="M53" s="301">
        <v>250000</v>
      </c>
      <c r="N53" s="301">
        <v>250000</v>
      </c>
      <c r="O53" s="301">
        <v>250000</v>
      </c>
      <c r="P53" s="301">
        <v>250000</v>
      </c>
      <c r="Q53" s="301">
        <v>250000</v>
      </c>
      <c r="R53" s="302">
        <f>SUM(F53:Q53)</f>
        <v>3000000</v>
      </c>
      <c r="S53" s="201" t="s">
        <v>717</v>
      </c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245"/>
      <c r="F54" s="301">
        <f>168000*3</f>
        <v>504000</v>
      </c>
      <c r="G54" s="300">
        <f>168000*2</f>
        <v>336000</v>
      </c>
      <c r="H54" s="300"/>
      <c r="I54" s="300">
        <f>168000*2</f>
        <v>336000</v>
      </c>
      <c r="J54" s="300"/>
      <c r="K54" s="300">
        <f>168000*2</f>
        <v>336000</v>
      </c>
      <c r="L54" s="300">
        <f>168000*8</f>
        <v>1344000</v>
      </c>
      <c r="M54" s="300"/>
      <c r="N54" s="300">
        <f>168000</f>
        <v>168000</v>
      </c>
      <c r="O54" s="300"/>
      <c r="P54" s="300"/>
      <c r="Q54" s="300">
        <f>163000*1</f>
        <v>163000</v>
      </c>
      <c r="R54" s="302">
        <f t="shared" ref="R54:R55" si="24">SUM(F54:Q54)</f>
        <v>3187000</v>
      </c>
      <c r="S54" s="201" t="s">
        <v>735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245"/>
      <c r="F55" s="301">
        <f>31*680000</f>
        <v>21080000</v>
      </c>
      <c r="G55" s="300"/>
      <c r="H55" s="300"/>
      <c r="I55" s="300"/>
      <c r="J55" s="300"/>
      <c r="K55" s="300"/>
      <c r="L55" s="300">
        <f>(549000*4)+(3*382000)</f>
        <v>3342000</v>
      </c>
      <c r="M55" s="300"/>
      <c r="N55" s="300"/>
      <c r="O55" s="300"/>
      <c r="P55" s="300"/>
      <c r="Q55" s="300"/>
      <c r="R55" s="302">
        <f t="shared" si="24"/>
        <v>24422000</v>
      </c>
      <c r="S55" s="201" t="s">
        <v>734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301"/>
      <c r="G56" s="300">
        <f>1890000*31</f>
        <v>58590000</v>
      </c>
      <c r="H56" s="300"/>
      <c r="I56" s="300"/>
      <c r="J56" s="300"/>
      <c r="K56" s="300">
        <f>126000*46</f>
        <v>5796000</v>
      </c>
      <c r="L56" s="300"/>
      <c r="M56" s="300"/>
      <c r="N56" s="300"/>
      <c r="O56" s="300"/>
      <c r="P56" s="300">
        <f>(300000*60)+(100000*60)</f>
        <v>24000000</v>
      </c>
      <c r="Q56" s="300"/>
      <c r="R56" s="302">
        <f t="shared" si="5"/>
        <v>88386000</v>
      </c>
      <c r="S56" s="201" t="s">
        <v>699</v>
      </c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301"/>
      <c r="G57" s="300"/>
      <c r="H57" s="300"/>
      <c r="I57" s="300"/>
      <c r="J57" s="300"/>
      <c r="K57" s="300"/>
      <c r="L57" s="300">
        <f>56000*47</f>
        <v>2632000</v>
      </c>
      <c r="M57" s="300">
        <f>107000*47</f>
        <v>5029000</v>
      </c>
      <c r="N57" s="300"/>
      <c r="O57" s="300"/>
      <c r="P57" s="300">
        <f>(189000*48)+(10*174000)</f>
        <v>10812000</v>
      </c>
      <c r="Q57" s="300"/>
      <c r="R57" s="302">
        <f t="shared" si="5"/>
        <v>18473000</v>
      </c>
      <c r="S57" s="201" t="s">
        <v>698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301"/>
      <c r="G58" s="300"/>
      <c r="H58" s="300"/>
      <c r="I58" s="300">
        <f>25*100000</f>
        <v>2500000</v>
      </c>
      <c r="J58" s="300"/>
      <c r="K58" s="300">
        <f>41*6800</f>
        <v>278800</v>
      </c>
      <c r="L58" s="300"/>
      <c r="M58" s="300"/>
      <c r="N58" s="300"/>
      <c r="O58" s="300"/>
      <c r="P58" s="300">
        <f>55*6800</f>
        <v>374000</v>
      </c>
      <c r="Q58" s="300"/>
      <c r="R58" s="302">
        <f t="shared" si="5"/>
        <v>3152800</v>
      </c>
      <c r="S58" s="201" t="s">
        <v>697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7002048112</v>
      </c>
      <c r="C59" s="183" t="str">
        <f>IFERROR(IF(VLOOKUP($B59,勘定科目!$A:$H,HLOOKUP($E$5,勘定科目!$F$1:$H$2,2,0),0)="","",VLOOKUP($B59,勘定科目!$A:$E,2,0)),"")</f>
        <v>棚卸資産廃棄損</v>
      </c>
      <c r="D59" s="239" t="str">
        <f>IF(C59="","",VLOOKUP($B59,勘定科目!$A:$E,4,0))</f>
        <v>棚卸資産廃棄損</v>
      </c>
      <c r="E59" s="245"/>
      <c r="F59" s="301">
        <f>25390*300</f>
        <v>7617000</v>
      </c>
      <c r="G59" s="301">
        <f t="shared" ref="G59:Q59" si="25">25390*300</f>
        <v>7617000</v>
      </c>
      <c r="H59" s="301">
        <f t="shared" si="25"/>
        <v>7617000</v>
      </c>
      <c r="I59" s="301">
        <f t="shared" si="25"/>
        <v>7617000</v>
      </c>
      <c r="J59" s="301">
        <f t="shared" si="25"/>
        <v>7617000</v>
      </c>
      <c r="K59" s="301">
        <f t="shared" si="25"/>
        <v>7617000</v>
      </c>
      <c r="L59" s="301">
        <f t="shared" si="25"/>
        <v>7617000</v>
      </c>
      <c r="M59" s="301">
        <f t="shared" si="25"/>
        <v>7617000</v>
      </c>
      <c r="N59" s="301">
        <f t="shared" si="25"/>
        <v>7617000</v>
      </c>
      <c r="O59" s="301">
        <f t="shared" si="25"/>
        <v>7617000</v>
      </c>
      <c r="P59" s="301">
        <f t="shared" si="25"/>
        <v>7617000</v>
      </c>
      <c r="Q59" s="301">
        <f t="shared" si="25"/>
        <v>7617000</v>
      </c>
      <c r="R59" s="302">
        <f t="shared" si="5"/>
        <v>91404000</v>
      </c>
      <c r="S59" s="201" t="s">
        <v>694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7002048112</v>
      </c>
      <c r="C60" s="183" t="s">
        <v>105</v>
      </c>
      <c r="D60" s="239" t="str">
        <f>IF(C60="","",VLOOKUP($B60,勘定科目!$A:$E,4,0))</f>
        <v>棚卸資産廃棄損</v>
      </c>
      <c r="E60" s="245"/>
      <c r="F60" s="301">
        <f>-(300*80%*25390)</f>
        <v>-6093600</v>
      </c>
      <c r="G60" s="301">
        <f t="shared" ref="G60:Q60" si="26">-(300*80%*25390)</f>
        <v>-6093600</v>
      </c>
      <c r="H60" s="301">
        <f t="shared" si="26"/>
        <v>-6093600</v>
      </c>
      <c r="I60" s="301">
        <f t="shared" si="26"/>
        <v>-6093600</v>
      </c>
      <c r="J60" s="301">
        <f t="shared" si="26"/>
        <v>-6093600</v>
      </c>
      <c r="K60" s="301">
        <f t="shared" si="26"/>
        <v>-6093600</v>
      </c>
      <c r="L60" s="301">
        <f t="shared" si="26"/>
        <v>-6093600</v>
      </c>
      <c r="M60" s="301">
        <f t="shared" si="26"/>
        <v>-6093600</v>
      </c>
      <c r="N60" s="301">
        <f t="shared" si="26"/>
        <v>-6093600</v>
      </c>
      <c r="O60" s="301">
        <f t="shared" si="26"/>
        <v>-6093600</v>
      </c>
      <c r="P60" s="301">
        <f t="shared" si="26"/>
        <v>-6093600</v>
      </c>
      <c r="Q60" s="301">
        <f t="shared" si="26"/>
        <v>-6093600</v>
      </c>
      <c r="R60" s="302">
        <f t="shared" si="5"/>
        <v>-73123200</v>
      </c>
      <c r="S60" s="201" t="s">
        <v>695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5005246281</v>
      </c>
      <c r="C61" s="183" t="str">
        <f>IFERROR(IF(VLOOKUP($B61,勘定科目!$A:$H,HLOOKUP($E$5,勘定科目!$F$1:$H$2,2,0),0)="","",VLOOKUP($B61,勘定科目!$A:$E,2,0)),"")</f>
        <v>図書印刷費（製）</v>
      </c>
      <c r="D61" s="239" t="str">
        <f>IF(C61="","",VLOOKUP($B61,勘定科目!$A:$E,4,0))</f>
        <v>図書及び事務費</v>
      </c>
      <c r="E61" s="245"/>
      <c r="F61" s="301"/>
      <c r="G61" s="300"/>
      <c r="H61" s="300"/>
      <c r="I61" s="300"/>
      <c r="J61" s="300"/>
      <c r="K61" s="300"/>
      <c r="L61" s="300"/>
      <c r="M61" s="300">
        <f>47*800</f>
        <v>37600</v>
      </c>
      <c r="N61" s="300"/>
      <c r="O61" s="300"/>
      <c r="P61" s="300"/>
      <c r="Q61" s="300"/>
      <c r="R61" s="302">
        <f t="shared" si="5"/>
        <v>37600</v>
      </c>
      <c r="S61" s="201" t="s">
        <v>696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5005246282</v>
      </c>
      <c r="C62" s="183" t="s">
        <v>198</v>
      </c>
      <c r="D62" s="239" t="str">
        <f>IF(C62="","",VLOOKUP($B62,勘定科目!$A:$E,4,0))</f>
        <v>図書及び事務費</v>
      </c>
      <c r="E62" s="245"/>
      <c r="F62" s="301">
        <v>2036785</v>
      </c>
      <c r="G62" s="300">
        <v>2036785</v>
      </c>
      <c r="H62" s="300">
        <v>2036785</v>
      </c>
      <c r="I62" s="300">
        <v>2036785</v>
      </c>
      <c r="J62" s="300">
        <v>2036785</v>
      </c>
      <c r="K62" s="300">
        <v>2036785</v>
      </c>
      <c r="L62" s="300">
        <v>2036785</v>
      </c>
      <c r="M62" s="300">
        <v>2036785</v>
      </c>
      <c r="N62" s="300">
        <v>2036785</v>
      </c>
      <c r="O62" s="300">
        <v>2036785</v>
      </c>
      <c r="P62" s="300">
        <v>2036785</v>
      </c>
      <c r="Q62" s="300">
        <v>2036785</v>
      </c>
      <c r="R62" s="302">
        <f>SUM(F62:Q62)</f>
        <v>24441420</v>
      </c>
      <c r="S62" s="201" t="s">
        <v>706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5005246286</v>
      </c>
      <c r="C63" s="183" t="str">
        <f>IFERROR(IF(VLOOKUP($B63,勘定科目!$A:$H,HLOOKUP($E$5,勘定科目!$F$1:$H$2,2,0),0)="","",VLOOKUP($B63,勘定科目!$A:$E,2,0)),"")</f>
        <v>その他手数料（製）</v>
      </c>
      <c r="D63" s="239" t="str">
        <f>IF(C63="","",VLOOKUP($B63,勘定科目!$A:$E,4,0))</f>
        <v>手数料</v>
      </c>
      <c r="E63" s="245"/>
      <c r="F63" s="301"/>
      <c r="G63" s="300"/>
      <c r="H63" s="300"/>
      <c r="I63" s="300"/>
      <c r="J63" s="300"/>
      <c r="K63" s="300">
        <v>127500</v>
      </c>
      <c r="L63" s="300"/>
      <c r="M63" s="300"/>
      <c r="N63" s="300"/>
      <c r="O63" s="300"/>
      <c r="P63" s="300"/>
      <c r="Q63" s="300"/>
      <c r="R63" s="302">
        <f t="shared" ref="R63:R64" si="27">SUM(F63:Q63)</f>
        <v>127500</v>
      </c>
      <c r="S63" s="201" t="s">
        <v>714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5005116291</v>
      </c>
      <c r="C64" s="183" t="str">
        <f>IFERROR(IF(VLOOKUP($B64,勘定科目!$A:$H,HLOOKUP($E$5,勘定科目!$F$1:$H$2,2,0),0)="","",VLOOKUP($B64,勘定科目!$A:$E,2,0)),"")</f>
        <v>ベトナム国内交通費（製）</v>
      </c>
      <c r="D64" s="239" t="str">
        <f>IF(C64="","",VLOOKUP($B64,勘定科目!$A:$E,4,0))</f>
        <v>旅費交通費</v>
      </c>
      <c r="E64" s="245"/>
      <c r="F64" s="301">
        <v>800000</v>
      </c>
      <c r="G64" s="300">
        <v>800000</v>
      </c>
      <c r="H64" s="300">
        <v>800000</v>
      </c>
      <c r="I64" s="300">
        <v>800000</v>
      </c>
      <c r="J64" s="300">
        <v>800000</v>
      </c>
      <c r="K64" s="300">
        <v>800000</v>
      </c>
      <c r="L64" s="300">
        <v>800000</v>
      </c>
      <c r="M64" s="300">
        <v>800000</v>
      </c>
      <c r="N64" s="300">
        <v>800000</v>
      </c>
      <c r="O64" s="300">
        <v>800000</v>
      </c>
      <c r="P64" s="300">
        <v>800000</v>
      </c>
      <c r="Q64" s="300">
        <v>800000</v>
      </c>
      <c r="R64" s="302">
        <f t="shared" si="27"/>
        <v>9600000</v>
      </c>
      <c r="S64" s="201" t="s">
        <v>737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/>
      <c r="C65" s="183"/>
      <c r="D65" s="239"/>
      <c r="E65" s="245"/>
      <c r="F65" s="301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2"/>
      <c r="S65" s="201"/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5006016260</v>
      </c>
      <c r="C66" s="183" t="str">
        <f>IFERROR(IF(VLOOKUP($B66,勘定科目!$A:$H,HLOOKUP($E$5,勘定科目!$F$1:$H$2,2,0),0)="","",VLOOKUP($B66,勘定科目!$A:$E,2,0)),"")</f>
        <v>減価償却費配賦（製）　建物</v>
      </c>
      <c r="D66" s="239" t="str">
        <f>IF(C66="","",VLOOKUP($B66,勘定科目!$A:$E,4,0))</f>
        <v>減価償却費</v>
      </c>
      <c r="E66" s="245"/>
      <c r="F66" s="301">
        <f>ROUND(5320.52*B2,0)</f>
        <v>135088003</v>
      </c>
      <c r="G66" s="300">
        <f>ROUND(5318.7*B2,0)</f>
        <v>135041793</v>
      </c>
      <c r="H66" s="300">
        <f>ROUND(5319.15*B2,0)</f>
        <v>135053219</v>
      </c>
      <c r="I66" s="300">
        <f>ROUND(5366.16*B2,0)</f>
        <v>136246802</v>
      </c>
      <c r="J66" s="300">
        <f>ROUND(5360.28*B2,0)</f>
        <v>136097509</v>
      </c>
      <c r="K66" s="300">
        <f>ROUND(5344.18*B2,0)</f>
        <v>135688730</v>
      </c>
      <c r="L66" s="300">
        <f>ROUND(5331.96*B2,0)</f>
        <v>135378464</v>
      </c>
      <c r="M66" s="300">
        <f>ROUND(5331.64*B2,0)</f>
        <v>135370340</v>
      </c>
      <c r="N66" s="300">
        <f>ROUND(5332.08*B2,0)</f>
        <v>135381511</v>
      </c>
      <c r="O66" s="300">
        <f>ROUND(5366.62*B2,0)</f>
        <v>136258482</v>
      </c>
      <c r="P66" s="300">
        <f>ROUND(5354.69*B2,0)</f>
        <v>135955579</v>
      </c>
      <c r="Q66" s="300">
        <f>ROUND(5364.13*B2,0)</f>
        <v>136195261</v>
      </c>
      <c r="R66" s="302">
        <f t="shared" si="5"/>
        <v>1627755693</v>
      </c>
      <c r="S66" s="201" t="s">
        <v>700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5006016260</v>
      </c>
      <c r="C67" s="183" t="str">
        <f>IFERROR(IF(VLOOKUP($B67,勘定科目!$A:$H,HLOOKUP($E$5,勘定科目!$F$1:$H$2,2,0),0)="","",VLOOKUP($B67,勘定科目!$A:$E,2,0)),"")</f>
        <v>減価償却費配賦（製）　建物</v>
      </c>
      <c r="D67" s="239" t="str">
        <f>IF(C67="","",VLOOKUP($B67,勘定科目!$A:$E,4,0))</f>
        <v>減価償却費</v>
      </c>
      <c r="E67" s="245"/>
      <c r="F67" s="301">
        <f>ROUND(359.11*25390,0)</f>
        <v>9117803</v>
      </c>
      <c r="G67" s="300">
        <f>ROUND(358.99*B2,0)</f>
        <v>9114756</v>
      </c>
      <c r="H67" s="300">
        <f>ROUND(359.02*B2,0)</f>
        <v>9115518</v>
      </c>
      <c r="I67" s="300">
        <f>ROUND(362.19*B2,0)</f>
        <v>9196004</v>
      </c>
      <c r="J67" s="300">
        <f>ROUND(361.8*B2,0)</f>
        <v>9186102</v>
      </c>
      <c r="K67" s="300">
        <f>ROUND(360.71*B2,0)</f>
        <v>9158427</v>
      </c>
      <c r="L67" s="300">
        <f>ROUND(359.89*B2,0)</f>
        <v>9137607</v>
      </c>
      <c r="M67" s="300">
        <f>ROUND(359.86*B2,0)</f>
        <v>9136845</v>
      </c>
      <c r="N67" s="300">
        <f>ROUND(359.89*B2,0)</f>
        <v>9137607</v>
      </c>
      <c r="O67" s="300">
        <f>ROUND(362.23*B2,0)</f>
        <v>9197020</v>
      </c>
      <c r="P67" s="300">
        <f>ROUND(361.42*B2,0)</f>
        <v>9176454</v>
      </c>
      <c r="Q67" s="300">
        <f>ROUND(362.06*B2,0)</f>
        <v>9192703</v>
      </c>
      <c r="R67" s="302">
        <f t="shared" si="5"/>
        <v>109866846</v>
      </c>
      <c r="S67" s="201" t="s">
        <v>701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9114120007</v>
      </c>
      <c r="C68" s="183" t="str">
        <f>IFERROR(IF(VLOOKUP($B68,勘定科目!$A:$H,HLOOKUP($E$5,勘定科目!$F$1:$H$2,2,0),0)="","",VLOOKUP($B68,勘定科目!$A:$E,2,0)),"")</f>
        <v>社内金利（固定資産）</v>
      </c>
      <c r="D68" s="239" t="str">
        <f>IF(C68="","",VLOOKUP($B68,勘定科目!$A:$E,4,0))</f>
        <v>固定資産金利</v>
      </c>
      <c r="E68" s="245"/>
      <c r="F68" s="301">
        <f>ROUND(3611.48*B2,0)</f>
        <v>91695477</v>
      </c>
      <c r="G68" s="300">
        <f>ROUND(3418.77*B2,0)</f>
        <v>86802570</v>
      </c>
      <c r="H68" s="300">
        <f>ROUND(3419.06*B2,0)</f>
        <v>86809933</v>
      </c>
      <c r="I68" s="300">
        <f>ROUND(3449.28*B2,0)</f>
        <v>87577219</v>
      </c>
      <c r="J68" s="300">
        <f>ROUND(3445.49*B2,0)</f>
        <v>87480991</v>
      </c>
      <c r="K68" s="300">
        <f>ROUND(3435.15*B2,0)</f>
        <v>87218459</v>
      </c>
      <c r="L68" s="300">
        <f>ROUND(3427.29*B2,0)</f>
        <v>87018893</v>
      </c>
      <c r="M68" s="300">
        <f>ROUND(3427.09*B2,0)</f>
        <v>87013815</v>
      </c>
      <c r="N68" s="300">
        <f>ROUND(3427.37*B2,0)</f>
        <v>87020924</v>
      </c>
      <c r="O68" s="300">
        <f>ROUND(3449.57*B2,0)</f>
        <v>87584582</v>
      </c>
      <c r="P68" s="300">
        <f>ROUND(3441.9*B2,0)</f>
        <v>87389841</v>
      </c>
      <c r="Q68" s="300">
        <f>ROUND(3447.97*B2,0)</f>
        <v>87543958</v>
      </c>
      <c r="R68" s="302">
        <f t="shared" si="5"/>
        <v>1051156662</v>
      </c>
      <c r="S68" s="201" t="s">
        <v>702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9114120007</v>
      </c>
      <c r="C69" s="183" t="str">
        <f>IFERROR(IF(VLOOKUP($B69,勘定科目!$A:$H,HLOOKUP($E$5,勘定科目!$F$1:$H$2,2,0),0)="","",VLOOKUP($B69,勘定科目!$A:$E,2,0)),"")</f>
        <v>社内金利（固定資産）</v>
      </c>
      <c r="D69" s="239" t="str">
        <f>IF(C69="","",VLOOKUP($B69,勘定科目!$A:$E,4,0))</f>
        <v>固定資産金利</v>
      </c>
      <c r="E69" s="245"/>
      <c r="F69" s="301">
        <f>ROUND(446.54*B2,0)</f>
        <v>11337651</v>
      </c>
      <c r="G69" s="300">
        <f>ROUND(433.47*B2,0)</f>
        <v>11005803</v>
      </c>
      <c r="H69" s="300">
        <f>ROUND(433.5*B2,0)</f>
        <v>11006565</v>
      </c>
      <c r="I69" s="300">
        <f>ROUND(437.33*B2,0)</f>
        <v>11103809</v>
      </c>
      <c r="J69" s="300">
        <f>ROUND(436.85*B2,0)</f>
        <v>11091622</v>
      </c>
      <c r="K69" s="300">
        <f>ROUND(435.54*B2,0)</f>
        <v>11058361</v>
      </c>
      <c r="L69" s="300">
        <f>ROUND(434.55*B2,0)</f>
        <v>11033225</v>
      </c>
      <c r="M69" s="300">
        <f>ROUND(434.52*B2,0)</f>
        <v>11032463</v>
      </c>
      <c r="N69" s="300">
        <f>ROUND(434.56*B2,0)</f>
        <v>11033478</v>
      </c>
      <c r="O69" s="300">
        <f>ROUND(437.37*B2,0)</f>
        <v>11104824</v>
      </c>
      <c r="P69" s="300">
        <f>ROUND(436.4*B2,0)</f>
        <v>11080196</v>
      </c>
      <c r="Q69" s="300">
        <f>ROUND(437.17*B2,0)</f>
        <v>11099746</v>
      </c>
      <c r="R69" s="302">
        <f t="shared" si="5"/>
        <v>132987743</v>
      </c>
      <c r="S69" s="201" t="s">
        <v>703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5005066281</v>
      </c>
      <c r="C70" s="183" t="str">
        <f>IFERROR(IF(VLOOKUP($B70,勘定科目!$A:$H,HLOOKUP($E$5,勘定科目!$F$1:$H$2,2,0),0)="","",VLOOKUP($B70,勘定科目!$A:$E,2,0)),"")</f>
        <v>電気代（製）</v>
      </c>
      <c r="D70" s="239" t="str">
        <f>IF(C70="","",VLOOKUP($B70,勘定科目!$A:$E,4,0))</f>
        <v>水道光熱費</v>
      </c>
      <c r="E70" s="245"/>
      <c r="F70" s="301">
        <v>11934652</v>
      </c>
      <c r="G70" s="300">
        <v>12349961</v>
      </c>
      <c r="H70" s="300">
        <v>15515048</v>
      </c>
      <c r="I70" s="300">
        <v>16708513</v>
      </c>
      <c r="J70" s="300">
        <v>17305245</v>
      </c>
      <c r="K70" s="300">
        <v>15873087</v>
      </c>
      <c r="L70" s="300">
        <v>15515048</v>
      </c>
      <c r="M70" s="300">
        <v>14321582</v>
      </c>
      <c r="N70" s="300">
        <v>13724850</v>
      </c>
      <c r="O70" s="300">
        <v>12531385</v>
      </c>
      <c r="P70" s="300">
        <v>12459283</v>
      </c>
      <c r="Q70" s="300">
        <v>9547722</v>
      </c>
      <c r="R70" s="302">
        <f t="shared" si="5"/>
        <v>167786376</v>
      </c>
      <c r="S70" s="201" t="s">
        <v>704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5005066282</v>
      </c>
      <c r="C71" s="183" t="str">
        <f>IFERROR(IF(VLOOKUP($B71,勘定科目!$A:$H,HLOOKUP($E$5,勘定科目!$F$1:$H$2,2,0),0)="","",VLOOKUP($B71,勘定科目!$A:$E,2,0)),"")</f>
        <v>水道代（製）</v>
      </c>
      <c r="D71" s="239" t="str">
        <f>IF(C71="","",VLOOKUP($B71,勘定科目!$A:$E,4,0))</f>
        <v>水道光熱費</v>
      </c>
      <c r="E71" s="245"/>
      <c r="F71" s="301">
        <v>900956</v>
      </c>
      <c r="G71" s="300">
        <v>995703</v>
      </c>
      <c r="H71" s="300">
        <v>1124591</v>
      </c>
      <c r="I71" s="300">
        <v>2383094</v>
      </c>
      <c r="J71" s="300">
        <v>2134394</v>
      </c>
      <c r="K71" s="300">
        <v>1851999</v>
      </c>
      <c r="L71" s="300">
        <v>1296251</v>
      </c>
      <c r="M71" s="300">
        <v>1805521</v>
      </c>
      <c r="N71" s="300">
        <v>1803248</v>
      </c>
      <c r="O71" s="300">
        <v>1560987</v>
      </c>
      <c r="P71" s="300">
        <v>1170529</v>
      </c>
      <c r="Q71" s="300">
        <v>1360022</v>
      </c>
      <c r="R71" s="302">
        <f t="shared" si="5"/>
        <v>18387295</v>
      </c>
      <c r="S71" s="201" t="s">
        <v>705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5006016242</v>
      </c>
      <c r="C72" s="183" t="s">
        <v>22</v>
      </c>
      <c r="D72" s="239" t="str">
        <f>IF(C72="","",VLOOKUP($B72,勘定科目!$A:$E,4,0))</f>
        <v>減価償却費</v>
      </c>
      <c r="E72" s="245"/>
      <c r="F72" s="301">
        <f>ROUND(1118.88*B2,0)</f>
        <v>28408363</v>
      </c>
      <c r="G72" s="301">
        <v>28408363</v>
      </c>
      <c r="H72" s="301">
        <v>28408363</v>
      </c>
      <c r="I72" s="301">
        <v>28408363</v>
      </c>
      <c r="J72" s="301">
        <v>28408363</v>
      </c>
      <c r="K72" s="301">
        <v>28408363</v>
      </c>
      <c r="L72" s="301">
        <v>28408363</v>
      </c>
      <c r="M72" s="301">
        <v>28408363</v>
      </c>
      <c r="N72" s="301">
        <v>28408363</v>
      </c>
      <c r="O72" s="301">
        <v>28408363</v>
      </c>
      <c r="P72" s="301">
        <v>28408363</v>
      </c>
      <c r="Q72" s="301">
        <v>28408363</v>
      </c>
      <c r="R72" s="302">
        <f t="shared" si="5"/>
        <v>340900356</v>
      </c>
      <c r="S72" s="201" t="s">
        <v>720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5006016244</v>
      </c>
      <c r="C73" s="183" t="s">
        <v>24</v>
      </c>
      <c r="D73" s="239" t="str">
        <f>IF(C73="","",VLOOKUP($B73,勘定科目!$A:$E,4,0))</f>
        <v>減価償却費</v>
      </c>
      <c r="E73" s="245"/>
      <c r="F73" s="301">
        <f>ROUND(159.99*B2,0)</f>
        <v>4062146</v>
      </c>
      <c r="G73" s="301">
        <v>4062146</v>
      </c>
      <c r="H73" s="301">
        <v>4062146</v>
      </c>
      <c r="I73" s="301">
        <v>4062146</v>
      </c>
      <c r="J73" s="301">
        <v>4062146</v>
      </c>
      <c r="K73" s="301">
        <v>4062146</v>
      </c>
      <c r="L73" s="301">
        <v>4062146</v>
      </c>
      <c r="M73" s="301">
        <v>4062146</v>
      </c>
      <c r="N73" s="301">
        <v>4062146</v>
      </c>
      <c r="O73" s="301">
        <v>4062146</v>
      </c>
      <c r="P73" s="301">
        <v>4062146</v>
      </c>
      <c r="Q73" s="301">
        <v>4062146</v>
      </c>
      <c r="R73" s="302">
        <f t="shared" si="5"/>
        <v>48745752</v>
      </c>
      <c r="S73" s="201" t="s">
        <v>719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5006016244</v>
      </c>
      <c r="C74" s="183" t="s">
        <v>24</v>
      </c>
      <c r="D74" s="239" t="str">
        <f>IF(C74="","",VLOOKUP($B74,勘定科目!$A:$E,4,0))</f>
        <v>減価償却費</v>
      </c>
      <c r="E74" s="245"/>
      <c r="F74" s="301">
        <f>ROUND(1147.9*B2,0)</f>
        <v>29145181</v>
      </c>
      <c r="G74" s="300">
        <v>29145181</v>
      </c>
      <c r="H74" s="300">
        <v>29145181</v>
      </c>
      <c r="I74" s="300">
        <v>29145181</v>
      </c>
      <c r="J74" s="300">
        <v>29145181</v>
      </c>
      <c r="K74" s="300">
        <v>29145181</v>
      </c>
      <c r="L74" s="300">
        <v>29145181</v>
      </c>
      <c r="M74" s="300">
        <v>29145181</v>
      </c>
      <c r="N74" s="300">
        <v>29145181</v>
      </c>
      <c r="O74" s="300">
        <v>29145181</v>
      </c>
      <c r="P74" s="300">
        <v>29145181</v>
      </c>
      <c r="Q74" s="300">
        <v>29145181</v>
      </c>
      <c r="R74" s="302">
        <f t="shared" si="5"/>
        <v>349742172</v>
      </c>
      <c r="S74" s="201" t="s">
        <v>718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9114120007</v>
      </c>
      <c r="C75" s="183" t="s">
        <v>108</v>
      </c>
      <c r="D75" s="239" t="str">
        <f>IF(C75="","",VLOOKUP($B75,勘定科目!$A:$E,4,0))</f>
        <v>固定資産金利</v>
      </c>
      <c r="E75" s="245"/>
      <c r="F75" s="300">
        <f>ROUND(201.4*B2,0)</f>
        <v>5113546</v>
      </c>
      <c r="G75" s="300">
        <v>5113546</v>
      </c>
      <c r="H75" s="300">
        <v>5113546</v>
      </c>
      <c r="I75" s="300">
        <v>5113546</v>
      </c>
      <c r="J75" s="300">
        <v>5113546</v>
      </c>
      <c r="K75" s="300">
        <v>5113546</v>
      </c>
      <c r="L75" s="300">
        <v>5113546</v>
      </c>
      <c r="M75" s="300">
        <v>5113546</v>
      </c>
      <c r="N75" s="300">
        <v>5113546</v>
      </c>
      <c r="O75" s="300">
        <v>5113546</v>
      </c>
      <c r="P75" s="300">
        <v>5113546</v>
      </c>
      <c r="Q75" s="300">
        <v>5113546</v>
      </c>
      <c r="R75" s="302">
        <f t="shared" si="5"/>
        <v>61362552</v>
      </c>
      <c r="S75" s="201" t="s">
        <v>720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>
        <v>9114120007</v>
      </c>
      <c r="C76" s="183" t="s">
        <v>108</v>
      </c>
      <c r="D76" s="239" t="str">
        <f>IF(C76="","",VLOOKUP($B76,勘定科目!$A:$E,4,0))</f>
        <v>固定資産金利</v>
      </c>
      <c r="E76" s="245"/>
      <c r="F76" s="301">
        <f>ROUND(17.3*B2,0)</f>
        <v>439247</v>
      </c>
      <c r="G76" s="300">
        <v>439247</v>
      </c>
      <c r="H76" s="300">
        <v>439247</v>
      </c>
      <c r="I76" s="300">
        <v>439247</v>
      </c>
      <c r="J76" s="300">
        <v>439247</v>
      </c>
      <c r="K76" s="300">
        <v>439247</v>
      </c>
      <c r="L76" s="300">
        <v>439247</v>
      </c>
      <c r="M76" s="300">
        <v>439247</v>
      </c>
      <c r="N76" s="300">
        <v>439247</v>
      </c>
      <c r="O76" s="300">
        <v>439247</v>
      </c>
      <c r="P76" s="300">
        <v>439247</v>
      </c>
      <c r="Q76" s="300">
        <v>439247</v>
      </c>
      <c r="R76" s="302">
        <f t="shared" si="5"/>
        <v>5270964</v>
      </c>
      <c r="S76" s="201" t="s">
        <v>719</v>
      </c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9114120007</v>
      </c>
      <c r="C77" s="183" t="s">
        <v>108</v>
      </c>
      <c r="D77" s="239" t="str">
        <f>IF(C77="","",VLOOKUP($B77,勘定科目!$A:$E,4,0))</f>
        <v>固定資産金利</v>
      </c>
      <c r="E77" s="245"/>
      <c r="F77" s="301">
        <f>ROUND(215.4*B2,0)</f>
        <v>5469006</v>
      </c>
      <c r="G77" s="300">
        <v>5469006</v>
      </c>
      <c r="H77" s="300">
        <v>5469006</v>
      </c>
      <c r="I77" s="300">
        <v>5469006</v>
      </c>
      <c r="J77" s="300">
        <v>5469006</v>
      </c>
      <c r="K77" s="300">
        <v>5469006</v>
      </c>
      <c r="L77" s="300">
        <v>5469006</v>
      </c>
      <c r="M77" s="300">
        <v>5469006</v>
      </c>
      <c r="N77" s="300">
        <v>5469006</v>
      </c>
      <c r="O77" s="300">
        <v>5469006</v>
      </c>
      <c r="P77" s="300">
        <v>5469006</v>
      </c>
      <c r="Q77" s="300">
        <v>5469006</v>
      </c>
      <c r="R77" s="302">
        <f t="shared" si="5"/>
        <v>65628072</v>
      </c>
      <c r="S77" s="201" t="s">
        <v>718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/>
      <c r="C78" s="183"/>
      <c r="D78" s="239"/>
      <c r="E78" s="245"/>
      <c r="F78" s="301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2"/>
      <c r="S78" s="201"/>
      <c r="T78" s="202"/>
      <c r="U78" s="246"/>
      <c r="V78" s="246"/>
      <c r="W78" s="246"/>
      <c r="BA78"/>
      <c r="BB78"/>
    </row>
    <row r="79" spans="1:54" s="191" customFormat="1" ht="13">
      <c r="A79" s="226"/>
      <c r="B79" s="180"/>
      <c r="C79" s="183"/>
      <c r="D79" s="239"/>
      <c r="E79" s="245"/>
      <c r="F79" s="301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2"/>
      <c r="S79" s="201"/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5005046281</v>
      </c>
      <c r="C80" s="183" t="str">
        <f>IFERROR(IF(VLOOKUP($B80,勘定科目!$A:$H,HLOOKUP($E$5,勘定科目!$F$1:$H$2,2,0),0)="","",VLOOKUP($B80,勘定科目!$A:$E,2,0)),"")</f>
        <v>機械設備修繕費（製）</v>
      </c>
      <c r="D80" s="239" t="str">
        <f>IF(C80="","",VLOOKUP($B80,勘定科目!$A:$E,4,0))</f>
        <v>修繕費</v>
      </c>
      <c r="E80" s="245"/>
      <c r="F80" s="194"/>
      <c r="G80" s="247">
        <v>2000000</v>
      </c>
      <c r="H80" s="247">
        <v>23000000</v>
      </c>
      <c r="I80" s="247">
        <v>2000000</v>
      </c>
      <c r="J80" s="247">
        <v>2150000</v>
      </c>
      <c r="K80" s="247">
        <v>7430000</v>
      </c>
      <c r="L80" s="247">
        <v>29250000</v>
      </c>
      <c r="M80" s="247">
        <v>2000000</v>
      </c>
      <c r="N80" s="247">
        <v>2000000</v>
      </c>
      <c r="O80" s="247">
        <v>600000</v>
      </c>
      <c r="P80" s="247"/>
      <c r="Q80" s="247"/>
      <c r="R80" s="200">
        <f t="shared" si="5"/>
        <v>70430000</v>
      </c>
      <c r="S80" s="201" t="s">
        <v>721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5005136281</v>
      </c>
      <c r="C81" s="183" t="str">
        <f>IFERROR(IF(VLOOKUP($B81,勘定科目!$A:$H,HLOOKUP($E$5,勘定科目!$F$1:$H$2,2,0),0)="","",VLOOKUP($B81,勘定科目!$A:$E,2,0)),"")</f>
        <v>通信費（製）</v>
      </c>
      <c r="D81" s="239" t="str">
        <f>IF(C81="","",VLOOKUP($B81,勘定科目!$A:$E,4,0))</f>
        <v>通信費</v>
      </c>
      <c r="E81" s="245"/>
      <c r="F81" s="301">
        <f>99000*3+199000*2+150000</f>
        <v>845000</v>
      </c>
      <c r="G81" s="300">
        <v>845000</v>
      </c>
      <c r="H81" s="300">
        <v>845000</v>
      </c>
      <c r="I81" s="300">
        <v>845000</v>
      </c>
      <c r="J81" s="300">
        <v>845000</v>
      </c>
      <c r="K81" s="300">
        <v>845000</v>
      </c>
      <c r="L81" s="300">
        <v>845000</v>
      </c>
      <c r="M81" s="300">
        <v>845000</v>
      </c>
      <c r="N81" s="300">
        <v>845000</v>
      </c>
      <c r="O81" s="300">
        <v>845000</v>
      </c>
      <c r="P81" s="300">
        <v>845000</v>
      </c>
      <c r="Q81" s="300">
        <v>845000</v>
      </c>
      <c r="R81" s="302">
        <f t="shared" si="5"/>
        <v>10140000</v>
      </c>
      <c r="S81" s="201" t="s">
        <v>722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5005246286</v>
      </c>
      <c r="C82" s="183" t="s">
        <v>206</v>
      </c>
      <c r="D82" s="239" t="str">
        <f>IF(C82="","",VLOOKUP($B82,勘定科目!$A:$E,4,0))</f>
        <v>手数料</v>
      </c>
      <c r="E82" s="245"/>
      <c r="F82" s="194"/>
      <c r="G82" s="247"/>
      <c r="H82" s="300">
        <v>349600000</v>
      </c>
      <c r="I82" s="247"/>
      <c r="J82" s="247"/>
      <c r="K82" s="247"/>
      <c r="L82" s="247"/>
      <c r="M82" s="247"/>
      <c r="N82" s="247"/>
      <c r="O82" s="247"/>
      <c r="P82" s="247"/>
      <c r="Q82" s="247"/>
      <c r="R82" s="302">
        <f t="shared" si="5"/>
        <v>349600000</v>
      </c>
      <c r="S82" s="201" t="s">
        <v>733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>
        <v>5005116292</v>
      </c>
      <c r="C83" s="183" t="s">
        <v>212</v>
      </c>
      <c r="D83" s="239" t="str">
        <f>IF(C83="","",VLOOKUP($B83,勘定科目!$A:$E,4,0))</f>
        <v>渡航費</v>
      </c>
      <c r="E83" s="245"/>
      <c r="F83" s="301"/>
      <c r="G83" s="300">
        <v>10500000</v>
      </c>
      <c r="H83" s="300"/>
      <c r="I83" s="300"/>
      <c r="J83" s="300">
        <v>10500000</v>
      </c>
      <c r="K83" s="300"/>
      <c r="L83" s="300"/>
      <c r="M83" s="300"/>
      <c r="N83" s="300">
        <v>10500000</v>
      </c>
      <c r="O83" s="300"/>
      <c r="P83" s="300"/>
      <c r="Q83" s="300"/>
      <c r="R83" s="302">
        <f t="shared" si="5"/>
        <v>31500000</v>
      </c>
      <c r="S83" s="201" t="s">
        <v>736</v>
      </c>
      <c r="T83" s="202"/>
      <c r="U83" s="246"/>
      <c r="V83" s="246"/>
      <c r="W83" s="246"/>
      <c r="BA83"/>
      <c r="BB83"/>
    </row>
    <row r="84" spans="1:54" s="191" customFormat="1" ht="13">
      <c r="A84" s="226"/>
      <c r="B84" s="180"/>
      <c r="C84" s="304"/>
      <c r="D84" s="239"/>
      <c r="E84" s="239" t="s">
        <v>57</v>
      </c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/>
      <c r="S84" s="201"/>
      <c r="T84" s="202"/>
      <c r="U84" s="246"/>
      <c r="V84" s="246"/>
      <c r="W84" s="246"/>
      <c r="BA84"/>
      <c r="BB84"/>
    </row>
    <row r="85" spans="1:54" s="191" customFormat="1" ht="13">
      <c r="A85" s="226"/>
      <c r="B85" s="180"/>
      <c r="C85" s="183"/>
      <c r="D85" s="239"/>
      <c r="E85" s="245"/>
      <c r="F85" s="301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2"/>
      <c r="S85" s="201"/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5001016151</v>
      </c>
      <c r="C86" s="183" t="str">
        <f>IFERROR(IF(VLOOKUP($B86,勘定科目!$A:$H,HLOOKUP($E$5,勘定科目!$F$1:$H$2,2,0),0)="","",VLOOKUP($B86,勘定科目!$A:$E,2,0)),"")</f>
        <v>生産用副資材</v>
      </c>
      <c r="D86" s="239" t="str">
        <f>IF(C86="","",VLOOKUP($B86,勘定科目!$A:$E,4,0))</f>
        <v>材料費</v>
      </c>
      <c r="E86" s="245"/>
      <c r="F86" s="301">
        <v>35380965</v>
      </c>
      <c r="G86" s="300">
        <f>ROUND(277184999.68,0)</f>
        <v>277185000</v>
      </c>
      <c r="H86" s="300">
        <f>ROUND(156086847.6202,0)</f>
        <v>156086848</v>
      </c>
      <c r="I86" s="300">
        <f>ROUND(182545670.4116,0)</f>
        <v>182545670</v>
      </c>
      <c r="J86" s="300">
        <f>ROUND(227780745.9496,0)</f>
        <v>227780746</v>
      </c>
      <c r="K86" s="300">
        <f>ROUND(212541152.7651,0)</f>
        <v>212541153</v>
      </c>
      <c r="L86" s="300">
        <f>ROUND(203418761.9882,0)</f>
        <v>203418762</v>
      </c>
      <c r="M86" s="300">
        <f>ROUND(231820156.6472,0)</f>
        <v>231820157</v>
      </c>
      <c r="N86" s="300">
        <f>ROUND(207233492.5603,0)</f>
        <v>207233493</v>
      </c>
      <c r="O86" s="300">
        <f>ROUND(203607851.2507,0)</f>
        <v>203607851</v>
      </c>
      <c r="P86" s="300">
        <f>ROUND(253143640.6416,0)</f>
        <v>253143641</v>
      </c>
      <c r="Q86" s="300">
        <f>ROUND(295458562.0074,0)</f>
        <v>295458562</v>
      </c>
      <c r="R86" s="302">
        <f t="shared" si="5"/>
        <v>2486202848</v>
      </c>
      <c r="S86" s="201" t="s">
        <v>723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5005016371</v>
      </c>
      <c r="C87" s="183" t="str">
        <f>IFERROR(IF(VLOOKUP($B87,勘定科目!$A:$H,HLOOKUP($E$5,勘定科目!$F$1:$H$2,2,0),0)="","",VLOOKUP($B87,勘定科目!$A:$E,2,0)),"")</f>
        <v>生産用消耗品費（製）</v>
      </c>
      <c r="D87" s="239" t="str">
        <f>IF(C87="","",VLOOKUP($B87,勘定科目!$A:$E,4,0))</f>
        <v>消耗品費</v>
      </c>
      <c r="E87" s="245"/>
      <c r="F87" s="301">
        <f>ROUND(84559513.75,0)</f>
        <v>84559514</v>
      </c>
      <c r="G87" s="300">
        <f>ROUND(55494913.75,0)</f>
        <v>55494914</v>
      </c>
      <c r="H87" s="300">
        <f>ROUND(55494913.75,0)</f>
        <v>55494914</v>
      </c>
      <c r="I87" s="300">
        <f>ROUND(26430313.75,0)</f>
        <v>26430314</v>
      </c>
      <c r="J87" s="300">
        <f>ROUND(84559513.75,0)</f>
        <v>84559514</v>
      </c>
      <c r="K87" s="300">
        <f>ROUND(74871313.75,0)</f>
        <v>74871314</v>
      </c>
      <c r="L87" s="300">
        <f t="shared" ref="L87:Q87" si="28">ROUND(26430313.75,0)</f>
        <v>26430314</v>
      </c>
      <c r="M87" s="300">
        <f t="shared" si="28"/>
        <v>26430314</v>
      </c>
      <c r="N87" s="300">
        <f t="shared" si="28"/>
        <v>26430314</v>
      </c>
      <c r="O87" s="300">
        <f t="shared" si="28"/>
        <v>26430314</v>
      </c>
      <c r="P87" s="300">
        <f t="shared" si="28"/>
        <v>26430314</v>
      </c>
      <c r="Q87" s="300">
        <f t="shared" si="28"/>
        <v>26430314</v>
      </c>
      <c r="R87" s="302">
        <f t="shared" si="5"/>
        <v>539992368</v>
      </c>
      <c r="S87" s="201" t="s">
        <v>724</v>
      </c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5005026371</v>
      </c>
      <c r="C88" s="183" t="str">
        <f>IFERROR(IF(VLOOKUP($B88,勘定科目!$A:$H,HLOOKUP($E$5,勘定科目!$F$1:$H$2,2,0),0)="","",VLOOKUP($B88,勘定科目!$A:$E,2,0)),"")</f>
        <v>消耗工具器具備品費（製）</v>
      </c>
      <c r="D88" s="239" t="str">
        <f>IF(C88="","",VLOOKUP($B88,勘定科目!$A:$E,4,0))</f>
        <v>消耗工具器具備品費</v>
      </c>
      <c r="E88" s="245"/>
      <c r="F88" s="301">
        <v>141144100</v>
      </c>
      <c r="G88" s="300">
        <v>211319100</v>
      </c>
      <c r="H88" s="300">
        <v>148581500</v>
      </c>
      <c r="I88" s="300">
        <v>135684100</v>
      </c>
      <c r="J88" s="300">
        <v>84094100</v>
      </c>
      <c r="K88" s="300">
        <v>93581500</v>
      </c>
      <c r="L88" s="300">
        <v>93906500</v>
      </c>
      <c r="M88" s="300">
        <v>84684100</v>
      </c>
      <c r="N88" s="300">
        <v>127968900</v>
      </c>
      <c r="O88" s="300">
        <v>89684100</v>
      </c>
      <c r="P88" s="300">
        <v>91906500</v>
      </c>
      <c r="Q88" s="300">
        <v>80824100</v>
      </c>
      <c r="R88" s="302">
        <f t="shared" si="5"/>
        <v>1383378600</v>
      </c>
      <c r="S88" s="201" t="s">
        <v>732</v>
      </c>
      <c r="T88" s="202"/>
      <c r="U88" s="246"/>
      <c r="V88" s="246"/>
      <c r="W88" s="246"/>
      <c r="BA88"/>
      <c r="BB88"/>
    </row>
    <row r="89" spans="1:54" s="191" customFormat="1" ht="13">
      <c r="A89" s="226"/>
      <c r="B89" s="180"/>
      <c r="C89" s="183"/>
      <c r="D89" s="239"/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/>
      <c r="S89" s="201"/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5005246281</v>
      </c>
      <c r="C90" s="183" t="s">
        <v>197</v>
      </c>
      <c r="D90" s="239" t="str">
        <f>IF(C90="","",VLOOKUP($B90,勘定科目!$A:$E,4,0))</f>
        <v>図書及び事務費</v>
      </c>
      <c r="E90" s="245"/>
      <c r="F90" s="301">
        <f>800*4</f>
        <v>3200</v>
      </c>
      <c r="G90" s="300"/>
      <c r="H90" s="300"/>
      <c r="I90" s="300">
        <f>15*800</f>
        <v>12000</v>
      </c>
      <c r="J90" s="300"/>
      <c r="K90" s="300"/>
      <c r="L90" s="300">
        <v>800</v>
      </c>
      <c r="M90" s="300"/>
      <c r="N90" s="300"/>
      <c r="O90" s="300">
        <f>13*800</f>
        <v>10400</v>
      </c>
      <c r="P90" s="300"/>
      <c r="Q90" s="300"/>
      <c r="R90" s="302">
        <f t="shared" si="5"/>
        <v>26400</v>
      </c>
      <c r="S90" s="201" t="s">
        <v>725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5004086291</v>
      </c>
      <c r="C91" s="183" t="s">
        <v>209</v>
      </c>
      <c r="D91" s="239" t="str">
        <f>IF(C91="","",VLOOKUP($B91,勘定科目!$A:$E,4,0))</f>
        <v>福利厚生費</v>
      </c>
      <c r="E91" s="245"/>
      <c r="F91" s="301">
        <f>33500*2*4</f>
        <v>268000</v>
      </c>
      <c r="G91" s="300"/>
      <c r="H91" s="300"/>
      <c r="I91" s="300">
        <f>33500*2*15</f>
        <v>1005000</v>
      </c>
      <c r="J91" s="300"/>
      <c r="K91" s="300"/>
      <c r="L91" s="300">
        <f>33500*2*1</f>
        <v>67000</v>
      </c>
      <c r="M91" s="300"/>
      <c r="N91" s="300"/>
      <c r="O91" s="300">
        <f>13*33500*2</f>
        <v>871000</v>
      </c>
      <c r="P91" s="300"/>
      <c r="Q91" s="300"/>
      <c r="R91" s="302">
        <f t="shared" si="5"/>
        <v>2211000</v>
      </c>
      <c r="S91" s="201" t="s">
        <v>726</v>
      </c>
      <c r="T91" s="202"/>
      <c r="U91" s="246"/>
      <c r="V91" s="246"/>
      <c r="W91" s="246"/>
      <c r="BA91"/>
      <c r="BB91"/>
    </row>
    <row r="92" spans="1:54" s="191" customFormat="1" ht="13">
      <c r="A92" s="226"/>
      <c r="B92" s="180">
        <v>5004086291</v>
      </c>
      <c r="C92" s="183" t="s">
        <v>209</v>
      </c>
      <c r="D92" s="239" t="str">
        <f>IF(C92="","",VLOOKUP($B92,勘定科目!$A:$E,4,0))</f>
        <v>福利厚生費</v>
      </c>
      <c r="E92" s="245"/>
      <c r="F92" s="301">
        <f>116000*2*4</f>
        <v>928000</v>
      </c>
      <c r="G92" s="300"/>
      <c r="H92" s="300"/>
      <c r="I92" s="300">
        <f>15*2*116000</f>
        <v>3480000</v>
      </c>
      <c r="J92" s="300"/>
      <c r="K92" s="300"/>
      <c r="L92" s="300">
        <f>116000*2</f>
        <v>232000</v>
      </c>
      <c r="M92" s="300"/>
      <c r="N92" s="300"/>
      <c r="O92" s="300">
        <f>2*116000*13</f>
        <v>3016000</v>
      </c>
      <c r="P92" s="300"/>
      <c r="Q92" s="300"/>
      <c r="R92" s="302">
        <f t="shared" si="5"/>
        <v>7656000</v>
      </c>
      <c r="S92" s="201" t="s">
        <v>727</v>
      </c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5004086291</v>
      </c>
      <c r="C93" s="183" t="s">
        <v>209</v>
      </c>
      <c r="D93" s="239" t="str">
        <f>IF(C93="","",VLOOKUP($B93,勘定科目!$A:$E,4,0))</f>
        <v>福利厚生費</v>
      </c>
      <c r="E93" s="245"/>
      <c r="F93" s="301">
        <f>84000*4</f>
        <v>336000</v>
      </c>
      <c r="G93" s="300"/>
      <c r="H93" s="300"/>
      <c r="I93" s="300">
        <f>15*84000</f>
        <v>1260000</v>
      </c>
      <c r="J93" s="300"/>
      <c r="K93" s="300"/>
      <c r="L93" s="300">
        <v>84000</v>
      </c>
      <c r="M93" s="300"/>
      <c r="N93" s="300"/>
      <c r="O93" s="300">
        <f>84000*13</f>
        <v>1092000</v>
      </c>
      <c r="P93" s="300"/>
      <c r="Q93" s="300"/>
      <c r="R93" s="302">
        <f t="shared" si="5"/>
        <v>2772000</v>
      </c>
      <c r="S93" s="201" t="s">
        <v>728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5004086291</v>
      </c>
      <c r="C94" s="183" t="s">
        <v>209</v>
      </c>
      <c r="D94" s="239" t="str">
        <f>IF(C94="","",VLOOKUP($B94,勘定科目!$A:$E,4,0))</f>
        <v>福利厚生費</v>
      </c>
      <c r="E94" s="245"/>
      <c r="F94" s="301"/>
      <c r="G94" s="300"/>
      <c r="H94" s="300"/>
      <c r="I94" s="300">
        <f>680000*15</f>
        <v>10200000</v>
      </c>
      <c r="J94" s="300"/>
      <c r="K94" s="300"/>
      <c r="L94" s="300">
        <f>680000</f>
        <v>680000</v>
      </c>
      <c r="M94" s="300"/>
      <c r="N94" s="300"/>
      <c r="O94" s="300">
        <f>680000*13</f>
        <v>8840000</v>
      </c>
      <c r="P94" s="300"/>
      <c r="Q94" s="300"/>
      <c r="R94" s="302">
        <f t="shared" si="5"/>
        <v>19720000</v>
      </c>
      <c r="S94" s="201" t="s">
        <v>738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5004086291</v>
      </c>
      <c r="C95" s="183" t="s">
        <v>209</v>
      </c>
      <c r="D95" s="239" t="str">
        <f>IF(C95="","",VLOOKUP($B95,勘定科目!$A:$E,4,0))</f>
        <v>福利厚生費</v>
      </c>
      <c r="E95" s="245"/>
      <c r="F95" s="301">
        <f>4*6800</f>
        <v>27200</v>
      </c>
      <c r="G95" s="300"/>
      <c r="H95" s="300"/>
      <c r="I95" s="300">
        <f>15*6800</f>
        <v>102000</v>
      </c>
      <c r="J95" s="300"/>
      <c r="K95" s="300"/>
      <c r="L95" s="300">
        <v>6800</v>
      </c>
      <c r="M95" s="300"/>
      <c r="N95" s="300"/>
      <c r="O95" s="300">
        <f>13*6800</f>
        <v>88400</v>
      </c>
      <c r="P95" s="300"/>
      <c r="Q95" s="300"/>
      <c r="R95" s="302">
        <f t="shared" si="5"/>
        <v>224400</v>
      </c>
      <c r="S95" s="201" t="s">
        <v>729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5005246281</v>
      </c>
      <c r="C96" s="183" t="s">
        <v>197</v>
      </c>
      <c r="D96" s="239" t="str">
        <f>IF(C96="","",VLOOKUP($B96,勘定科目!$A:$E,4,0))</f>
        <v>図書及び事務費</v>
      </c>
      <c r="E96" s="245"/>
      <c r="F96" s="301">
        <f>4*85200</f>
        <v>340800</v>
      </c>
      <c r="G96" s="300"/>
      <c r="H96" s="300"/>
      <c r="I96" s="300">
        <f>15*85200</f>
        <v>1278000</v>
      </c>
      <c r="J96" s="300"/>
      <c r="K96" s="300"/>
      <c r="L96" s="300">
        <v>85200</v>
      </c>
      <c r="M96" s="300"/>
      <c r="N96" s="300"/>
      <c r="O96" s="300">
        <f>13*85200</f>
        <v>1107600</v>
      </c>
      <c r="P96" s="300"/>
      <c r="Q96" s="300"/>
      <c r="R96" s="302">
        <f t="shared" si="5"/>
        <v>2811600</v>
      </c>
      <c r="S96" s="201" t="s">
        <v>730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5005246288</v>
      </c>
      <c r="C97" s="183" t="s">
        <v>208</v>
      </c>
      <c r="D97" s="239" t="str">
        <f>IF(C97="","",VLOOKUP($B97,勘定科目!$A:$E,4,0))</f>
        <v>図書及び事務費</v>
      </c>
      <c r="E97" s="245"/>
      <c r="F97" s="301">
        <f>10600*4</f>
        <v>42400</v>
      </c>
      <c r="G97" s="300"/>
      <c r="H97" s="300"/>
      <c r="I97" s="300">
        <f>10600*15</f>
        <v>159000</v>
      </c>
      <c r="J97" s="300"/>
      <c r="K97" s="300"/>
      <c r="L97" s="300">
        <v>10600</v>
      </c>
      <c r="M97" s="300"/>
      <c r="N97" s="300"/>
      <c r="O97" s="300">
        <f>10600*13</f>
        <v>137800</v>
      </c>
      <c r="P97" s="300"/>
      <c r="Q97" s="300"/>
      <c r="R97" s="302">
        <f t="shared" si="5"/>
        <v>349800</v>
      </c>
      <c r="S97" s="201" t="s">
        <v>731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/>
      <c r="C98" s="183"/>
      <c r="D98" s="239"/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/>
      <c r="S98" s="201"/>
      <c r="T98" s="202"/>
      <c r="U98" s="246"/>
      <c r="V98" s="246"/>
      <c r="W98" s="246"/>
      <c r="BA98"/>
      <c r="BB98"/>
    </row>
    <row r="99" spans="1:54" s="191" customFormat="1" ht="13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5"/>
        <v>0</v>
      </c>
      <c r="S99" s="201"/>
      <c r="T99" s="202"/>
      <c r="U99" s="246"/>
      <c r="V99" s="246"/>
      <c r="W99" s="246"/>
      <c r="BA99"/>
      <c r="BB99"/>
    </row>
    <row r="100" spans="1:54" s="191" customFormat="1" ht="13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5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ref="R101:R164" si="29">SUM(F101:Q101)</f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29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29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29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29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29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29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29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29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29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29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29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29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29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29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29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29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29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29"/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29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29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29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29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29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29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29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29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29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29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29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29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29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29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29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29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29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29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29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29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29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29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29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29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29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29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29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29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29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29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29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29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29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29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29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29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29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29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29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29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29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29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29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29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29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ref="R165:R228" si="30">SUM(F165:Q165)</f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30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30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30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30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30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30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30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30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30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30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30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30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30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30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30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30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30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30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30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30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30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30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30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30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30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30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30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30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30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30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30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30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30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30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30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30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30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30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30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30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30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30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30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30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30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30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30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30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30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30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30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30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30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30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30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30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30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30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30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30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30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30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30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ref="R229:R292" si="31">SUM(F229:Q229)</f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3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3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3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3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3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3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3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3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3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3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3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3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3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3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3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3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3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31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31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3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3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3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3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3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3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3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3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3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3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31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31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31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31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31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31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31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31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31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31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31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31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31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31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31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31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31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31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31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31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31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31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31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31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31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31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31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31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31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31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31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31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31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31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ref="R293:R356" si="32">SUM(F293:Q293)</f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3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3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3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3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3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3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182"/>
      <c r="B300" s="178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240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00">
        <f t="shared" si="3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182"/>
      <c r="B301" s="178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240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00">
        <f t="shared" si="3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182"/>
      <c r="B302" s="178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240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00">
        <f t="shared" si="3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182"/>
      <c r="B303" s="178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240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00">
        <f t="shared" si="3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182"/>
      <c r="B304" s="178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240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00">
        <f t="shared" si="3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182"/>
      <c r="B305" s="178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240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00">
        <f t="shared" si="3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182"/>
      <c r="B306" s="178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240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00">
        <f t="shared" si="3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182"/>
      <c r="B307" s="178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240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00">
        <f t="shared" si="3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182"/>
      <c r="B308" s="178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240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00">
        <f t="shared" si="3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182"/>
      <c r="B309" s="178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240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00">
        <f t="shared" si="3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240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00">
        <f t="shared" si="3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240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00">
        <f t="shared" si="32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240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00">
        <f t="shared" si="32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240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00">
        <f t="shared" si="3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240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00">
        <f t="shared" si="3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240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00">
        <f t="shared" si="3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240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00">
        <f t="shared" si="3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240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00">
        <f t="shared" si="3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3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3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3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3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3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32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32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32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32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32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32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32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32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32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32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32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32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32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32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32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32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32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32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32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32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32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32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32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32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32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32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32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32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32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32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32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32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32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32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ref="R357:R420" si="33">SUM(F357:Q357)</f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3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3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3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3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3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3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3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3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3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3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3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3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3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3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3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3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3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33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33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3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3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3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3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3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3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3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3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3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3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33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33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33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33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33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33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33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33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33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33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33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33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33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33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33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33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33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33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33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33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33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33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33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33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33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33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33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33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33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33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33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33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33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33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ref="R421:R484" si="34">SUM(F421:Q421)</f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3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3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3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3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3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3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3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3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3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3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3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3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3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3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3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3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3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34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34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3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3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3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3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3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3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3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3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3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3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34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34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34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34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34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34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34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34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34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34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34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34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34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34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34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34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34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34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34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34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34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34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34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34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34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34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34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34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34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34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34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34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34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34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ref="R485:R548" si="35">SUM(F485:Q485)</f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3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3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3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3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3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3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3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3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3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3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3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3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3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3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3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3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3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35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35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3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3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3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3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3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3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3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3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3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3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35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35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35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35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35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35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35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35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35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35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35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35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35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35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35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35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35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35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35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35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35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35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35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35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35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35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35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35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35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35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35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35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35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35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ref="R549:R612" si="36">SUM(F549:Q549)</f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3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3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3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3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3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3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3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3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3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3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3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3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3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3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3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3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3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36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36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3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3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3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3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3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3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3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3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3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3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36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36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36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36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36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36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36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36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36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36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36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36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36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36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36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36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36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36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36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36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36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36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36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36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36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36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36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36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36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36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36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36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36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36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ref="R613:R676" si="37">SUM(F613:Q613)</f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3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3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3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3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3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3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3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3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3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3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3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3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3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3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3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3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3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37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37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3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3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3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3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3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3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3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3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3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3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37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37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37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37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37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37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37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37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37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37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37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37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37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37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37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37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37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37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37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37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37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37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37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37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37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37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37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37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37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37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37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37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37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37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ref="R677:R740" si="38">SUM(F677:Q677)</f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3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3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3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3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3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3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3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3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3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3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3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3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3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3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3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3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3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38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38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3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3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3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3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3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3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3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3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3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3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38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38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38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38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38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38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38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38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38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38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38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38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38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38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38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38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38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38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38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38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38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38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38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38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38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38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38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38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38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38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38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38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38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38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ref="R741:R781" si="39">SUM(F741:Q741)</f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3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3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3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3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3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3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3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3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3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3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3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3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3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3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3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3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3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39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39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3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3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3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3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39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39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39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39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39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39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39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39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39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39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39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39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39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39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39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39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39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</sheetData>
  <autoFilter ref="A7:T781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81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電工製造課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2025-03-25T02:31:13Z</dcterms:modified>
</cp:coreProperties>
</file>