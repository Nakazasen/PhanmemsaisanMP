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CC897121-FB0C-4F9D-A692-67796272E8FA}" xr6:coauthVersionLast="47" xr6:coauthVersionMax="47" xr10:uidLastSave="{00000000-0000-0000-0000-000000000000}"/>
  <bookViews>
    <workbookView xWindow="-110" yWindow="-110" windowWidth="19420" windowHeight="1030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'内訳ﾘｽﾄ(4～3月)'!$B$7:$AG$998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5" i="10" l="1"/>
  <c r="P84" i="10"/>
  <c r="P83" i="10"/>
  <c r="P82" i="10"/>
  <c r="K82" i="10"/>
  <c r="K85" i="10"/>
  <c r="K84" i="10"/>
  <c r="K83" i="10"/>
  <c r="I71" i="10" l="1"/>
  <c r="Q77" i="10" l="1"/>
  <c r="P77" i="10"/>
  <c r="O77" i="10"/>
  <c r="N77" i="10"/>
  <c r="M77" i="10"/>
  <c r="L77" i="10"/>
  <c r="K77" i="10"/>
  <c r="J77" i="10"/>
  <c r="I77" i="10"/>
  <c r="H77" i="10"/>
  <c r="G77" i="10"/>
  <c r="F77" i="10"/>
  <c r="L4" i="21" l="1"/>
  <c r="Q64" i="10"/>
  <c r="Q65" i="10" l="1"/>
  <c r="P65" i="10"/>
  <c r="Q63" i="10"/>
  <c r="P63" i="10"/>
  <c r="P104" i="10"/>
  <c r="Q78" i="10" l="1"/>
  <c r="P78" i="10"/>
  <c r="O78" i="10"/>
  <c r="N78" i="10"/>
  <c r="M78" i="10"/>
  <c r="L78" i="10"/>
  <c r="K78" i="10"/>
  <c r="J78" i="10"/>
  <c r="I78" i="10"/>
  <c r="H78" i="10"/>
  <c r="G78" i="10"/>
  <c r="F78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R112" i="10"/>
  <c r="L107" i="10" l="1"/>
  <c r="L105" i="10"/>
  <c r="G95" i="10"/>
  <c r="N88" i="10"/>
  <c r="P58" i="10"/>
  <c r="L58" i="10"/>
  <c r="I58" i="10"/>
  <c r="O58" i="10"/>
  <c r="N58" i="10"/>
  <c r="M58" i="10"/>
  <c r="J58" i="10"/>
  <c r="G58" i="10"/>
  <c r="M110" i="10"/>
  <c r="K98" i="10"/>
  <c r="M92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Q56" i="10" l="1"/>
  <c r="P56" i="10"/>
  <c r="O56" i="10"/>
  <c r="N56" i="10"/>
  <c r="M56" i="10"/>
  <c r="L56" i="10"/>
  <c r="K56" i="10"/>
  <c r="J56" i="10"/>
  <c r="I56" i="10"/>
  <c r="H56" i="10"/>
  <c r="G56" i="10"/>
  <c r="F56" i="10"/>
  <c r="Q67" i="10" l="1"/>
  <c r="P67" i="10"/>
  <c r="O67" i="10"/>
  <c r="N67" i="10"/>
  <c r="M67" i="10"/>
  <c r="L67" i="10"/>
  <c r="K67" i="10"/>
  <c r="J67" i="10"/>
  <c r="I67" i="10"/>
  <c r="H67" i="10"/>
  <c r="G67" i="10"/>
  <c r="Q66" i="10"/>
  <c r="P66" i="10"/>
  <c r="O66" i="10"/>
  <c r="N66" i="10"/>
  <c r="M66" i="10"/>
  <c r="L66" i="10"/>
  <c r="K66" i="10"/>
  <c r="J66" i="10"/>
  <c r="I66" i="10"/>
  <c r="H66" i="10"/>
  <c r="G66" i="10"/>
  <c r="F67" i="10"/>
  <c r="F66" i="10"/>
  <c r="Q62" i="10" l="1"/>
  <c r="P62" i="10"/>
  <c r="O62" i="10"/>
  <c r="N62" i="10"/>
  <c r="M62" i="10"/>
  <c r="L62" i="10"/>
  <c r="K62" i="10"/>
  <c r="J62" i="10"/>
  <c r="I62" i="10"/>
  <c r="H62" i="10"/>
  <c r="G62" i="10"/>
  <c r="Q61" i="10"/>
  <c r="P61" i="10"/>
  <c r="O61" i="10"/>
  <c r="N61" i="10"/>
  <c r="M61" i="10"/>
  <c r="L61" i="10"/>
  <c r="K61" i="10"/>
  <c r="J61" i="10"/>
  <c r="I61" i="10"/>
  <c r="H61" i="10"/>
  <c r="G61" i="10"/>
  <c r="F62" i="10"/>
  <c r="F61" i="10"/>
  <c r="Q60" i="10"/>
  <c r="P60" i="10"/>
  <c r="O60" i="10"/>
  <c r="N60" i="10"/>
  <c r="M60" i="10"/>
  <c r="L60" i="10"/>
  <c r="K60" i="10"/>
  <c r="J60" i="10"/>
  <c r="I60" i="10"/>
  <c r="H60" i="10"/>
  <c r="G60" i="10"/>
  <c r="Q59" i="10"/>
  <c r="P59" i="10"/>
  <c r="O59" i="10"/>
  <c r="N59" i="10"/>
  <c r="M59" i="10"/>
  <c r="L59" i="10"/>
  <c r="K59" i="10"/>
  <c r="J59" i="10"/>
  <c r="I59" i="10"/>
  <c r="H59" i="10"/>
  <c r="G59" i="10"/>
  <c r="F60" i="10"/>
  <c r="F59" i="10"/>
  <c r="R56" i="10" l="1"/>
  <c r="Q55" i="10"/>
  <c r="P55" i="10"/>
  <c r="O55" i="10"/>
  <c r="N55" i="10"/>
  <c r="M55" i="10"/>
  <c r="L55" i="10"/>
  <c r="K55" i="10"/>
  <c r="J55" i="10"/>
  <c r="I55" i="10"/>
  <c r="H55" i="10"/>
  <c r="G55" i="10"/>
  <c r="Q54" i="10"/>
  <c r="P54" i="10"/>
  <c r="O54" i="10"/>
  <c r="N54" i="10"/>
  <c r="M54" i="10"/>
  <c r="L54" i="10"/>
  <c r="K54" i="10"/>
  <c r="J54" i="10"/>
  <c r="I54" i="10"/>
  <c r="H54" i="10"/>
  <c r="G54" i="10"/>
  <c r="Q53" i="10"/>
  <c r="P53" i="10"/>
  <c r="O53" i="10"/>
  <c r="N53" i="10"/>
  <c r="M53" i="10"/>
  <c r="L53" i="10"/>
  <c r="K53" i="10"/>
  <c r="J53" i="10"/>
  <c r="I53" i="10"/>
  <c r="H53" i="10"/>
  <c r="G53" i="10"/>
  <c r="F55" i="10"/>
  <c r="F54" i="10"/>
  <c r="F53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Q69" i="10" l="1"/>
  <c r="P69" i="10"/>
  <c r="O69" i="10"/>
  <c r="N69" i="10"/>
  <c r="M69" i="10"/>
  <c r="L69" i="10"/>
  <c r="K69" i="10"/>
  <c r="J69" i="10"/>
  <c r="I69" i="10"/>
  <c r="H69" i="10"/>
  <c r="G69" i="10"/>
  <c r="F69" i="10"/>
  <c r="K49" i="10"/>
  <c r="I49" i="10"/>
  <c r="H49" i="10"/>
  <c r="Q75" i="10" l="1"/>
  <c r="P75" i="10"/>
  <c r="O75" i="10"/>
  <c r="N75" i="10"/>
  <c r="M75" i="10"/>
  <c r="L75" i="10"/>
  <c r="K75" i="10"/>
  <c r="J75" i="10"/>
  <c r="I75" i="10"/>
  <c r="H75" i="10"/>
  <c r="G75" i="10"/>
  <c r="F75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Q89" i="10"/>
  <c r="L89" i="10"/>
  <c r="F49" i="10" l="1"/>
  <c r="O49" i="10"/>
  <c r="G49" i="10"/>
  <c r="G50" i="10"/>
  <c r="F50" i="10"/>
  <c r="G103" i="10"/>
  <c r="I102" i="10"/>
  <c r="P101" i="10"/>
  <c r="Q39" i="10" l="1"/>
  <c r="P39" i="10"/>
  <c r="O39" i="10"/>
  <c r="N39" i="10"/>
  <c r="M39" i="10"/>
  <c r="L39" i="10"/>
  <c r="K39" i="10"/>
  <c r="J39" i="10"/>
  <c r="I39" i="10"/>
  <c r="H39" i="10"/>
  <c r="G39" i="10"/>
  <c r="F39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6" i="10" s="1"/>
  <c r="D986" i="10" s="1"/>
  <c r="D5" i="10"/>
  <c r="I75" i="5" s="1"/>
  <c r="I75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G98" i="32" s="1"/>
  <c r="F98" i="5"/>
  <c r="F98" i="32" s="1"/>
  <c r="E98" i="5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L94" i="32" s="1"/>
  <c r="K92" i="5"/>
  <c r="K92" i="32" s="1"/>
  <c r="J92" i="5"/>
  <c r="J92" i="32" s="1"/>
  <c r="I92" i="5"/>
  <c r="I92" i="32" s="1"/>
  <c r="H92" i="5"/>
  <c r="G92" i="5"/>
  <c r="G92" i="32" s="1"/>
  <c r="F92" i="5"/>
  <c r="F92" i="32" s="1"/>
  <c r="E92" i="5"/>
  <c r="D92" i="5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M87" i="5"/>
  <c r="M89" i="5" s="1"/>
  <c r="L87" i="5"/>
  <c r="L87" i="32" s="1"/>
  <c r="K87" i="5"/>
  <c r="K87" i="32" s="1"/>
  <c r="J87" i="5"/>
  <c r="J87" i="32" s="1"/>
  <c r="I87" i="5"/>
  <c r="I87" i="32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8" i="5" s="1"/>
  <c r="F78" i="32" s="1"/>
  <c r="E74" i="5"/>
  <c r="E78" i="5" s="1"/>
  <c r="E78" i="32" s="1"/>
  <c r="D74" i="5"/>
  <c r="D74" i="32" s="1"/>
  <c r="C74" i="5"/>
  <c r="C78" i="5" s="1"/>
  <c r="C78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72" i="5" s="1"/>
  <c r="E72" i="32" s="1"/>
  <c r="D68" i="5"/>
  <c r="D72" i="5" s="1"/>
  <c r="D72" i="32" s="1"/>
  <c r="C68" i="5"/>
  <c r="C68" i="32" s="1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992" i="10"/>
  <c r="D992" i="10" s="1"/>
  <c r="C734" i="10"/>
  <c r="D734" i="10" s="1"/>
  <c r="C243" i="10"/>
  <c r="D243" i="10" s="1"/>
  <c r="C142" i="10"/>
  <c r="D142" i="10" s="1"/>
  <c r="C613" i="10"/>
  <c r="D613" i="10" s="1"/>
  <c r="C217" i="10"/>
  <c r="D217" i="10" s="1"/>
  <c r="C429" i="10"/>
  <c r="D429" i="10" s="1"/>
  <c r="C994" i="10"/>
  <c r="D994" i="10" s="1"/>
  <c r="C967" i="10"/>
  <c r="D967" i="10" s="1"/>
  <c r="C110" i="10"/>
  <c r="D110" i="10" s="1"/>
  <c r="C804" i="10"/>
  <c r="D804" i="10" s="1"/>
  <c r="C875" i="10"/>
  <c r="D875" i="10" s="1"/>
  <c r="C597" i="10"/>
  <c r="D597" i="10" s="1"/>
  <c r="C404" i="10"/>
  <c r="D404" i="10" s="1"/>
  <c r="C388" i="10"/>
  <c r="D388" i="10" s="1"/>
  <c r="C302" i="10"/>
  <c r="D302" i="10" s="1"/>
  <c r="C355" i="10"/>
  <c r="D355" i="10" s="1"/>
  <c r="C832" i="10"/>
  <c r="D832" i="10" s="1"/>
  <c r="C546" i="10"/>
  <c r="D546" i="10" s="1"/>
  <c r="C514" i="10"/>
  <c r="D514" i="10" s="1"/>
  <c r="C196" i="10"/>
  <c r="D196" i="10" s="1"/>
  <c r="C212" i="10"/>
  <c r="D212" i="10" s="1"/>
  <c r="C472" i="10"/>
  <c r="D472" i="10" s="1"/>
  <c r="C541" i="10"/>
  <c r="D541" i="10" s="1"/>
  <c r="C168" i="10"/>
  <c r="D168" i="10" s="1"/>
  <c r="C54" i="10"/>
  <c r="D54" i="10" s="1"/>
  <c r="C93" i="10"/>
  <c r="D93" i="10" s="1"/>
  <c r="C635" i="10"/>
  <c r="D635" i="10" s="1"/>
  <c r="C810" i="10"/>
  <c r="D810" i="10" s="1"/>
  <c r="C714" i="10"/>
  <c r="D714" i="10" s="1"/>
  <c r="C138" i="10"/>
  <c r="D138" i="10" s="1"/>
  <c r="C450" i="10"/>
  <c r="D450" i="10" s="1"/>
  <c r="C984" i="10"/>
  <c r="D984" i="10" s="1"/>
  <c r="C854" i="10"/>
  <c r="D854" i="10" s="1"/>
  <c r="C895" i="10"/>
  <c r="D895" i="10" s="1"/>
  <c r="C31" i="10"/>
  <c r="D31" i="10" s="1"/>
  <c r="C290" i="10"/>
  <c r="D290" i="10" s="1"/>
  <c r="C352" i="10"/>
  <c r="D352" i="10" s="1"/>
  <c r="C394" i="10"/>
  <c r="D394" i="10" s="1"/>
  <c r="C508" i="10"/>
  <c r="D508" i="10" s="1"/>
  <c r="C592" i="10"/>
  <c r="D592" i="10" s="1"/>
  <c r="C778" i="10"/>
  <c r="D778" i="10" s="1"/>
  <c r="I69" i="5"/>
  <c r="I69" i="32" s="1"/>
  <c r="C62" i="5"/>
  <c r="C62" i="32" s="1"/>
  <c r="C71" i="5"/>
  <c r="C71" i="32" s="1"/>
  <c r="F75" i="5"/>
  <c r="F75" i="32" s="1"/>
  <c r="C75" i="5"/>
  <c r="C75" i="32" s="1"/>
  <c r="H71" i="5"/>
  <c r="H71" i="32" s="1"/>
  <c r="N61" i="5"/>
  <c r="N61" i="32" s="1"/>
  <c r="D76" i="5"/>
  <c r="D76" i="32" s="1"/>
  <c r="F76" i="5"/>
  <c r="F76" i="32" s="1"/>
  <c r="E76" i="5"/>
  <c r="E76" i="32" s="1"/>
  <c r="M75" i="5"/>
  <c r="M75" i="32" s="1"/>
  <c r="H69" i="5"/>
  <c r="H69" i="32" s="1"/>
  <c r="B2" i="5"/>
  <c r="B2" i="32" s="1"/>
  <c r="C965" i="10"/>
  <c r="D965" i="10" s="1"/>
  <c r="C325" i="10"/>
  <c r="D325" i="10" s="1"/>
  <c r="C814" i="10"/>
  <c r="D814" i="10" s="1"/>
  <c r="C75" i="10"/>
  <c r="D75" i="10" s="1"/>
  <c r="C189" i="10"/>
  <c r="D189" i="10" s="1"/>
  <c r="C197" i="10"/>
  <c r="D197" i="10" s="1"/>
  <c r="C944" i="10"/>
  <c r="D944" i="10" s="1"/>
  <c r="C241" i="10"/>
  <c r="D241" i="10" s="1"/>
  <c r="C730" i="10"/>
  <c r="D730" i="10" s="1"/>
  <c r="C933" i="10"/>
  <c r="D933" i="10" s="1"/>
  <c r="C824" i="10"/>
  <c r="D824" i="10" s="1"/>
  <c r="C995" i="10"/>
  <c r="D995" i="10" s="1"/>
  <c r="C202" i="10" l="1"/>
  <c r="D202" i="10" s="1"/>
  <c r="C112" i="10"/>
  <c r="D112" i="10" s="1"/>
  <c r="K94" i="32"/>
  <c r="E94" i="5"/>
  <c r="J63" i="5"/>
  <c r="J63" i="32" s="1"/>
  <c r="O61" i="5"/>
  <c r="C289" i="10"/>
  <c r="D289" i="10" s="1"/>
  <c r="G69" i="5"/>
  <c r="G69" i="32" s="1"/>
  <c r="J70" i="5"/>
  <c r="J70" i="32" s="1"/>
  <c r="C934" i="10"/>
  <c r="D934" i="10" s="1"/>
  <c r="C296" i="10"/>
  <c r="D296" i="10" s="1"/>
  <c r="C798" i="10"/>
  <c r="D798" i="10" s="1"/>
  <c r="C838" i="10"/>
  <c r="D838" i="10" s="1"/>
  <c r="J77" i="5"/>
  <c r="J77" i="32" s="1"/>
  <c r="I70" i="5"/>
  <c r="I70" i="32" s="1"/>
  <c r="C61" i="5"/>
  <c r="C61" i="32" s="1"/>
  <c r="C571" i="10"/>
  <c r="D571" i="10" s="1"/>
  <c r="K70" i="5"/>
  <c r="K70" i="32" s="1"/>
  <c r="C521" i="10"/>
  <c r="D521" i="10" s="1"/>
  <c r="C400" i="10"/>
  <c r="D400" i="10" s="1"/>
  <c r="C958" i="10"/>
  <c r="D958" i="10" s="1"/>
  <c r="L70" i="5"/>
  <c r="L70" i="32" s="1"/>
  <c r="C518" i="10"/>
  <c r="D518" i="10" s="1"/>
  <c r="M77" i="5"/>
  <c r="M77" i="32" s="1"/>
  <c r="C913" i="10"/>
  <c r="D913" i="10" s="1"/>
  <c r="C361" i="10"/>
  <c r="D361" i="10" s="1"/>
  <c r="C973" i="10"/>
  <c r="D973" i="10" s="1"/>
  <c r="F69" i="5"/>
  <c r="F69" i="32" s="1"/>
  <c r="C57" i="10"/>
  <c r="D57" i="10" s="1"/>
  <c r="C605" i="10"/>
  <c r="D605" i="10" s="1"/>
  <c r="C528" i="10"/>
  <c r="D528" i="10" s="1"/>
  <c r="C468" i="10"/>
  <c r="D468" i="10" s="1"/>
  <c r="H61" i="5"/>
  <c r="H61" i="32" s="1"/>
  <c r="K61" i="5"/>
  <c r="K61" i="32" s="1"/>
  <c r="M76" i="5"/>
  <c r="M76" i="32" s="1"/>
  <c r="C213" i="10"/>
  <c r="D213" i="10" s="1"/>
  <c r="L62" i="5"/>
  <c r="L62" i="32" s="1"/>
  <c r="C507" i="10"/>
  <c r="D507" i="10" s="1"/>
  <c r="C577" i="10"/>
  <c r="D577" i="10" s="1"/>
  <c r="C125" i="10"/>
  <c r="D125" i="10" s="1"/>
  <c r="C70" i="5"/>
  <c r="C70" i="32" s="1"/>
  <c r="C647" i="10"/>
  <c r="D647" i="10" s="1"/>
  <c r="C869" i="10"/>
  <c r="D869" i="10" s="1"/>
  <c r="J76" i="5"/>
  <c r="N71" i="5"/>
  <c r="N71" i="32" s="1"/>
  <c r="M61" i="5"/>
  <c r="M61" i="32" s="1"/>
  <c r="C185" i="10"/>
  <c r="D185" i="10" s="1"/>
  <c r="C250" i="10"/>
  <c r="D250" i="10" s="1"/>
  <c r="C677" i="10"/>
  <c r="D677" i="10" s="1"/>
  <c r="C680" i="10"/>
  <c r="D680" i="10" s="1"/>
  <c r="K62" i="5"/>
  <c r="K62" i="32" s="1"/>
  <c r="C379" i="10"/>
  <c r="D379" i="10" s="1"/>
  <c r="C759" i="10"/>
  <c r="D759" i="10" s="1"/>
  <c r="M70" i="5"/>
  <c r="M70" i="32" s="1"/>
  <c r="F77" i="5"/>
  <c r="F77" i="32" s="1"/>
  <c r="C247" i="10"/>
  <c r="D247" i="10" s="1"/>
  <c r="C334" i="10"/>
  <c r="D334" i="10" s="1"/>
  <c r="C630" i="10"/>
  <c r="D630" i="10" s="1"/>
  <c r="C145" i="10"/>
  <c r="D145" i="10" s="1"/>
  <c r="O69" i="5"/>
  <c r="M62" i="5"/>
  <c r="M62" i="32" s="1"/>
  <c r="L76" i="5"/>
  <c r="L76" i="32" s="1"/>
  <c r="C469" i="10"/>
  <c r="D469" i="10" s="1"/>
  <c r="C808" i="10"/>
  <c r="D808" i="10" s="1"/>
  <c r="C483" i="10"/>
  <c r="D483" i="10" s="1"/>
  <c r="C951" i="10"/>
  <c r="D951" i="10" s="1"/>
  <c r="C176" i="10"/>
  <c r="D176" i="10" s="1"/>
  <c r="C868" i="10"/>
  <c r="D868" i="10" s="1"/>
  <c r="C283" i="10"/>
  <c r="D283" i="10" s="1"/>
  <c r="G71" i="5"/>
  <c r="G71" i="32" s="1"/>
  <c r="L61" i="5"/>
  <c r="L61" i="32" s="1"/>
  <c r="F71" i="5"/>
  <c r="F71" i="32" s="1"/>
  <c r="C345" i="10"/>
  <c r="D345" i="10" s="1"/>
  <c r="C908" i="10"/>
  <c r="D908" i="10" s="1"/>
  <c r="C652" i="10"/>
  <c r="D652" i="10" s="1"/>
  <c r="C865" i="10"/>
  <c r="D865" i="10" s="1"/>
  <c r="C464" i="10"/>
  <c r="D464" i="10" s="1"/>
  <c r="C935" i="10"/>
  <c r="D935" i="10" s="1"/>
  <c r="J94" i="32"/>
  <c r="C879" i="10"/>
  <c r="D879" i="10" s="1"/>
  <c r="C506" i="10"/>
  <c r="D506" i="10" s="1"/>
  <c r="C205" i="10"/>
  <c r="D205" i="10" s="1"/>
  <c r="C248" i="10"/>
  <c r="D248" i="10" s="1"/>
  <c r="C767" i="10"/>
  <c r="D767" i="10" s="1"/>
  <c r="C563" i="10"/>
  <c r="D563" i="10" s="1"/>
  <c r="C343" i="10"/>
  <c r="D343" i="10" s="1"/>
  <c r="C796" i="10"/>
  <c r="D796" i="10" s="1"/>
  <c r="C141" i="10"/>
  <c r="D141" i="10" s="1"/>
  <c r="C638" i="10"/>
  <c r="D638" i="10" s="1"/>
  <c r="C693" i="10"/>
  <c r="D693" i="10" s="1"/>
  <c r="C949" i="10"/>
  <c r="D949" i="10" s="1"/>
  <c r="C764" i="10"/>
  <c r="D764" i="10" s="1"/>
  <c r="C347" i="10"/>
  <c r="D347" i="10" s="1"/>
  <c r="C90" i="10"/>
  <c r="D90" i="10" s="1"/>
  <c r="C954" i="10"/>
  <c r="D954" i="10" s="1"/>
  <c r="C985" i="10"/>
  <c r="D985" i="10" s="1"/>
  <c r="C447" i="10"/>
  <c r="D447" i="10" s="1"/>
  <c r="C567" i="10"/>
  <c r="D567" i="10" s="1"/>
  <c r="C251" i="10"/>
  <c r="D251" i="10" s="1"/>
  <c r="C555" i="10"/>
  <c r="D555" i="10" s="1"/>
  <c r="C287" i="10"/>
  <c r="D287" i="10" s="1"/>
  <c r="C133" i="10"/>
  <c r="D133" i="10" s="1"/>
  <c r="C178" i="10"/>
  <c r="D178" i="10" s="1"/>
  <c r="C622" i="10"/>
  <c r="D622" i="10" s="1"/>
  <c r="C820" i="10"/>
  <c r="D820" i="10" s="1"/>
  <c r="C291" i="10"/>
  <c r="D291" i="10" s="1"/>
  <c r="C149" i="10"/>
  <c r="D149" i="10" s="1"/>
  <c r="C59" i="10"/>
  <c r="D59" i="10" s="1"/>
  <c r="C436" i="10"/>
  <c r="D436" i="10" s="1"/>
  <c r="C557" i="10"/>
  <c r="D557" i="10" s="1"/>
  <c r="C204" i="10"/>
  <c r="D204" i="10" s="1"/>
  <c r="C162" i="10"/>
  <c r="D162" i="10" s="1"/>
  <c r="C748" i="10"/>
  <c r="D748" i="10" s="1"/>
  <c r="C386" i="10"/>
  <c r="D386" i="10" s="1"/>
  <c r="C564" i="10"/>
  <c r="D564" i="10" s="1"/>
  <c r="C387" i="10"/>
  <c r="D387" i="10" s="1"/>
  <c r="C244" i="10"/>
  <c r="D244" i="10" s="1"/>
  <c r="C499" i="10"/>
  <c r="D499" i="10" s="1"/>
  <c r="C395" i="10"/>
  <c r="D395" i="10" s="1"/>
  <c r="C947" i="10"/>
  <c r="D947" i="10" s="1"/>
  <c r="C900" i="10"/>
  <c r="D900" i="10" s="1"/>
  <c r="C491" i="10"/>
  <c r="D491" i="10" s="1"/>
  <c r="C862" i="10"/>
  <c r="D862" i="10" s="1"/>
  <c r="C781" i="10"/>
  <c r="D781" i="10" s="1"/>
  <c r="C634" i="10"/>
  <c r="D634" i="10" s="1"/>
  <c r="C191" i="10"/>
  <c r="D191" i="10" s="1"/>
  <c r="C643" i="10"/>
  <c r="D643" i="10" s="1"/>
  <c r="C462" i="10"/>
  <c r="D462" i="10" s="1"/>
  <c r="C628" i="10"/>
  <c r="D628" i="10" s="1"/>
  <c r="C294" i="10"/>
  <c r="D294" i="10" s="1"/>
  <c r="C648" i="10"/>
  <c r="D648" i="10" s="1"/>
  <c r="C641" i="10"/>
  <c r="D641" i="10" s="1"/>
  <c r="C675" i="10"/>
  <c r="D675" i="10" s="1"/>
  <c r="H77" i="5"/>
  <c r="H77" i="32" s="1"/>
  <c r="D71" i="5"/>
  <c r="D71" i="32" s="1"/>
  <c r="O62" i="5"/>
  <c r="O63" i="5"/>
  <c r="O77" i="5"/>
  <c r="N77" i="5"/>
  <c r="N77" i="32" s="1"/>
  <c r="H76" i="5"/>
  <c r="H76" i="32" s="1"/>
  <c r="L78" i="5"/>
  <c r="L78" i="32" s="1"/>
  <c r="K63" i="5"/>
  <c r="K63" i="32" s="1"/>
  <c r="C873" i="10"/>
  <c r="D873" i="10" s="1"/>
  <c r="C943" i="10"/>
  <c r="D943" i="10" s="1"/>
  <c r="C165" i="10"/>
  <c r="D165" i="10" s="1"/>
  <c r="C373" i="10"/>
  <c r="D373" i="10" s="1"/>
  <c r="J61" i="5"/>
  <c r="J61" i="32" s="1"/>
  <c r="M71" i="5"/>
  <c r="M71" i="32" s="1"/>
  <c r="N69" i="5"/>
  <c r="N69" i="32" s="1"/>
  <c r="G76" i="5"/>
  <c r="G76" i="32" s="1"/>
  <c r="L69" i="5"/>
  <c r="L69" i="32" s="1"/>
  <c r="D70" i="5"/>
  <c r="D70" i="32" s="1"/>
  <c r="E63" i="5"/>
  <c r="E63" i="32" s="1"/>
  <c r="J75" i="5"/>
  <c r="J75" i="32" s="1"/>
  <c r="G63" i="5"/>
  <c r="G63" i="32" s="1"/>
  <c r="C414" i="10"/>
  <c r="D414" i="10" s="1"/>
  <c r="C80" i="10"/>
  <c r="D80" i="10" s="1"/>
  <c r="C122" i="10"/>
  <c r="D122" i="10" s="1"/>
  <c r="C663" i="10"/>
  <c r="D663" i="10" s="1"/>
  <c r="C375" i="10"/>
  <c r="D375" i="10" s="1"/>
  <c r="C749" i="10"/>
  <c r="D749" i="10" s="1"/>
  <c r="C306" i="10"/>
  <c r="D306" i="10" s="1"/>
  <c r="C602" i="10"/>
  <c r="D602" i="10" s="1"/>
  <c r="C770" i="10"/>
  <c r="D770" i="10" s="1"/>
  <c r="C903" i="10"/>
  <c r="D903" i="10" s="1"/>
  <c r="C76" i="10"/>
  <c r="D76" i="10" s="1"/>
  <c r="C816" i="10"/>
  <c r="D816" i="10" s="1"/>
  <c r="C587" i="10"/>
  <c r="D587" i="10" s="1"/>
  <c r="F99" i="5"/>
  <c r="O70" i="5"/>
  <c r="I61" i="5"/>
  <c r="I61" i="32" s="1"/>
  <c r="N63" i="5"/>
  <c r="N63" i="32" s="1"/>
  <c r="L75" i="5"/>
  <c r="L75" i="32" s="1"/>
  <c r="J69" i="5"/>
  <c r="J69" i="32" s="1"/>
  <c r="E69" i="5"/>
  <c r="E69" i="32" s="1"/>
  <c r="J71" i="5"/>
  <c r="J71" i="32" s="1"/>
  <c r="F61" i="5"/>
  <c r="F61" i="32" s="1"/>
  <c r="G75" i="5"/>
  <c r="G75" i="32" s="1"/>
  <c r="H75" i="5"/>
  <c r="H75" i="32" s="1"/>
  <c r="C69" i="5"/>
  <c r="C69" i="32" s="1"/>
  <c r="E75" i="5"/>
  <c r="E75" i="32" s="1"/>
  <c r="G77" i="5"/>
  <c r="G77" i="32" s="1"/>
  <c r="N75" i="5"/>
  <c r="N75" i="32" s="1"/>
  <c r="F63" i="5"/>
  <c r="F63" i="32" s="1"/>
  <c r="E62" i="5"/>
  <c r="E62" i="32" s="1"/>
  <c r="H70" i="5"/>
  <c r="H70" i="32" s="1"/>
  <c r="I71" i="5"/>
  <c r="I71" i="32" s="1"/>
  <c r="K77" i="5"/>
  <c r="K77" i="32" s="1"/>
  <c r="C63" i="5"/>
  <c r="C63" i="32" s="1"/>
  <c r="G62" i="5"/>
  <c r="G62" i="32" s="1"/>
  <c r="D69" i="5"/>
  <c r="D69" i="32" s="1"/>
  <c r="O75" i="5"/>
  <c r="K76" i="5"/>
  <c r="K76" i="32" s="1"/>
  <c r="I77" i="5"/>
  <c r="I77" i="32" s="1"/>
  <c r="L77" i="5"/>
  <c r="L77" i="32" s="1"/>
  <c r="D61" i="5"/>
  <c r="D61" i="32" s="1"/>
  <c r="M63" i="5"/>
  <c r="M63" i="32" s="1"/>
  <c r="I62" i="5"/>
  <c r="I62" i="32" s="1"/>
  <c r="O76" i="5"/>
  <c r="J62" i="5"/>
  <c r="J62" i="32" s="1"/>
  <c r="K75" i="5"/>
  <c r="K75" i="32" s="1"/>
  <c r="D75" i="5"/>
  <c r="D75" i="32" s="1"/>
  <c r="E70" i="5"/>
  <c r="E70" i="32" s="1"/>
  <c r="D63" i="5"/>
  <c r="D63" i="32" s="1"/>
  <c r="G61" i="5"/>
  <c r="G61" i="32" s="1"/>
  <c r="E71" i="5"/>
  <c r="E71" i="32" s="1"/>
  <c r="F70" i="5"/>
  <c r="F70" i="32" s="1"/>
  <c r="I76" i="5"/>
  <c r="I76" i="32" s="1"/>
  <c r="E61" i="5"/>
  <c r="E61" i="32" s="1"/>
  <c r="D77" i="5"/>
  <c r="D77" i="32" s="1"/>
  <c r="C77" i="5"/>
  <c r="C77" i="32" s="1"/>
  <c r="G70" i="5"/>
  <c r="G70" i="32" s="1"/>
  <c r="K71" i="5"/>
  <c r="K71" i="32" s="1"/>
  <c r="I63" i="5"/>
  <c r="I63" i="32" s="1"/>
  <c r="M69" i="5"/>
  <c r="M69" i="32" s="1"/>
  <c r="L63" i="5"/>
  <c r="L63" i="32" s="1"/>
  <c r="E77" i="5"/>
  <c r="E77" i="32" s="1"/>
  <c r="D62" i="5"/>
  <c r="D62" i="32" s="1"/>
  <c r="N76" i="5"/>
  <c r="N76" i="32" s="1"/>
  <c r="K69" i="5"/>
  <c r="K69" i="32" s="1"/>
  <c r="O92" i="5"/>
  <c r="H63" i="5"/>
  <c r="H63" i="32" s="1"/>
  <c r="C76" i="5"/>
  <c r="C76" i="32" s="1"/>
  <c r="N62" i="5"/>
  <c r="N62" i="32" s="1"/>
  <c r="F62" i="5"/>
  <c r="F62" i="32" s="1"/>
  <c r="L71" i="5"/>
  <c r="L71" i="32" s="1"/>
  <c r="N70" i="5"/>
  <c r="N70" i="32" s="1"/>
  <c r="O71" i="5"/>
  <c r="H62" i="5"/>
  <c r="H62" i="32" s="1"/>
  <c r="C948" i="10"/>
  <c r="D948" i="10" s="1"/>
  <c r="C671" i="10"/>
  <c r="D671" i="10" s="1"/>
  <c r="C63" i="10"/>
  <c r="D63" i="10" s="1"/>
  <c r="C882" i="10"/>
  <c r="D882" i="10" s="1"/>
  <c r="C692" i="10"/>
  <c r="D692" i="10" s="1"/>
  <c r="C260" i="10"/>
  <c r="D260" i="10" s="1"/>
  <c r="C263" i="10"/>
  <c r="D263" i="10" s="1"/>
  <c r="C210" i="10"/>
  <c r="D210" i="10" s="1"/>
  <c r="C575" i="10"/>
  <c r="D575" i="10" s="1"/>
  <c r="C503" i="10"/>
  <c r="D503" i="10" s="1"/>
  <c r="C649" i="10"/>
  <c r="D649" i="10" s="1"/>
  <c r="C920" i="10"/>
  <c r="D920" i="10" s="1"/>
  <c r="H78" i="5"/>
  <c r="H78" i="32" s="1"/>
  <c r="L72" i="5"/>
  <c r="L72" i="32" s="1"/>
  <c r="K78" i="5"/>
  <c r="K78" i="32" s="1"/>
  <c r="D78" i="5"/>
  <c r="D78" i="32" s="1"/>
  <c r="C89" i="32"/>
  <c r="E68" i="32"/>
  <c r="C99" i="32"/>
  <c r="M99" i="5"/>
  <c r="I78" i="5"/>
  <c r="I78" i="32" s="1"/>
  <c r="J99" i="32"/>
  <c r="J78" i="5"/>
  <c r="J78" i="32" s="1"/>
  <c r="K72" i="5"/>
  <c r="K72" i="32" s="1"/>
  <c r="N72" i="5"/>
  <c r="N72" i="32" s="1"/>
  <c r="E92" i="32"/>
  <c r="E94" i="32" s="1"/>
  <c r="M97" i="32"/>
  <c r="M99" i="32" s="1"/>
  <c r="E74" i="32"/>
  <c r="M78" i="5"/>
  <c r="M78" i="32" s="1"/>
  <c r="C74" i="32"/>
  <c r="F72" i="5"/>
  <c r="F72" i="32" s="1"/>
  <c r="G94" i="5"/>
  <c r="J72" i="5"/>
  <c r="J72" i="32" s="1"/>
  <c r="R29" i="10"/>
  <c r="R5" i="10" s="1"/>
  <c r="F97" i="32"/>
  <c r="F99" i="32" s="1"/>
  <c r="I89" i="5"/>
  <c r="I89" i="32"/>
  <c r="J89" i="5"/>
  <c r="E89" i="32"/>
  <c r="G99" i="5"/>
  <c r="M87" i="32"/>
  <c r="M89" i="32" s="1"/>
  <c r="E99" i="5"/>
  <c r="G99" i="32"/>
  <c r="N78" i="5"/>
  <c r="N78" i="32" s="1"/>
  <c r="D89" i="5"/>
  <c r="M94" i="32"/>
  <c r="K94" i="5"/>
  <c r="C72" i="5"/>
  <c r="C72" i="32" s="1"/>
  <c r="H89" i="5"/>
  <c r="K89" i="32"/>
  <c r="R28" i="10"/>
  <c r="R26" i="10"/>
  <c r="G78" i="5"/>
  <c r="G78" i="32" s="1"/>
  <c r="G72" i="5"/>
  <c r="G72" i="32" s="1"/>
  <c r="F74" i="32"/>
  <c r="E89" i="5"/>
  <c r="C94" i="5"/>
  <c r="O97" i="5"/>
  <c r="R27" i="10"/>
  <c r="L94" i="5"/>
  <c r="H72" i="5"/>
  <c r="H72" i="32" s="1"/>
  <c r="D99" i="5"/>
  <c r="M94" i="5"/>
  <c r="J99" i="5"/>
  <c r="O74" i="5"/>
  <c r="O78" i="5" s="1"/>
  <c r="E98" i="32"/>
  <c r="E99" i="32" s="1"/>
  <c r="L89" i="5"/>
  <c r="O98" i="5"/>
  <c r="O93" i="5"/>
  <c r="G94" i="32"/>
  <c r="C99" i="5"/>
  <c r="K89" i="5"/>
  <c r="O89" i="5"/>
  <c r="H89" i="32"/>
  <c r="D68" i="32"/>
  <c r="G89" i="32"/>
  <c r="C89" i="5"/>
  <c r="G89" i="5"/>
  <c r="K99" i="5"/>
  <c r="N99" i="5"/>
  <c r="N97" i="32"/>
  <c r="N99" i="32" s="1"/>
  <c r="H99" i="5"/>
  <c r="H98" i="32"/>
  <c r="H99" i="32" s="1"/>
  <c r="I93" i="32"/>
  <c r="I94" i="32" s="1"/>
  <c r="I94" i="5"/>
  <c r="C981" i="10"/>
  <c r="D981" i="10" s="1"/>
  <c r="C335" i="10"/>
  <c r="D335" i="10" s="1"/>
  <c r="C732" i="10"/>
  <c r="D732" i="10" s="1"/>
  <c r="C742" i="10"/>
  <c r="D742" i="10" s="1"/>
  <c r="C439" i="10"/>
  <c r="D439" i="10" s="1"/>
  <c r="C980" i="10"/>
  <c r="D980" i="10" s="1"/>
  <c r="C991" i="10"/>
  <c r="D991" i="10" s="1"/>
  <c r="C665" i="10"/>
  <c r="D665" i="10" s="1"/>
  <c r="C86" i="10"/>
  <c r="D86" i="10" s="1"/>
  <c r="C772" i="10"/>
  <c r="D772" i="10" s="1"/>
  <c r="C453" i="10"/>
  <c r="D453" i="10" s="1"/>
  <c r="C167" i="10"/>
  <c r="D167" i="10" s="1"/>
  <c r="C735" i="10"/>
  <c r="D735" i="10" s="1"/>
  <c r="C540" i="10"/>
  <c r="D540" i="10" s="1"/>
  <c r="C708" i="10"/>
  <c r="D708" i="10" s="1"/>
  <c r="C926" i="10"/>
  <c r="D926" i="10" s="1"/>
  <c r="C160" i="10"/>
  <c r="D160" i="10" s="1"/>
  <c r="C656" i="10"/>
  <c r="D656" i="10" s="1"/>
  <c r="C318" i="10"/>
  <c r="D318" i="10" s="1"/>
  <c r="C679" i="10"/>
  <c r="D679" i="10" s="1"/>
  <c r="C441" i="10"/>
  <c r="D441" i="10" s="1"/>
  <c r="C151" i="10"/>
  <c r="D151" i="10" s="1"/>
  <c r="C819" i="10"/>
  <c r="D819" i="10" s="1"/>
  <c r="C118" i="10"/>
  <c r="D118" i="10" s="1"/>
  <c r="C29" i="10"/>
  <c r="D29" i="10" s="1"/>
  <c r="C486" i="10"/>
  <c r="D486" i="10" s="1"/>
  <c r="C236" i="10"/>
  <c r="D236" i="10" s="1"/>
  <c r="C258" i="10"/>
  <c r="D258" i="10" s="1"/>
  <c r="C620" i="10"/>
  <c r="D620" i="10" s="1"/>
  <c r="C724" i="10"/>
  <c r="D724" i="10" s="1"/>
  <c r="C315" i="10"/>
  <c r="D315" i="10" s="1"/>
  <c r="C822" i="10"/>
  <c r="D822" i="10" s="1"/>
  <c r="C845" i="10"/>
  <c r="D845" i="10" s="1"/>
  <c r="C37" i="10"/>
  <c r="D37" i="10" s="1"/>
  <c r="C825" i="10"/>
  <c r="D825" i="10" s="1"/>
  <c r="C907" i="10"/>
  <c r="D907" i="10" s="1"/>
  <c r="C87" i="10"/>
  <c r="D87" i="10" s="1"/>
  <c r="C360" i="10"/>
  <c r="D360" i="10" s="1"/>
  <c r="C698" i="10"/>
  <c r="D698" i="10" s="1"/>
  <c r="C623" i="10"/>
  <c r="D623" i="10" s="1"/>
  <c r="C672" i="10"/>
  <c r="D672" i="10" s="1"/>
  <c r="C906" i="10"/>
  <c r="D906" i="10" s="1"/>
  <c r="C215" i="10"/>
  <c r="D215" i="10" s="1"/>
  <c r="C420" i="10"/>
  <c r="D420" i="10" s="1"/>
  <c r="C139" i="10"/>
  <c r="D139" i="10" s="1"/>
  <c r="C872" i="10"/>
  <c r="D872" i="10" s="1"/>
  <c r="C393" i="10"/>
  <c r="D393" i="10" s="1"/>
  <c r="C653" i="10"/>
  <c r="D653" i="10" s="1"/>
  <c r="C134" i="10"/>
  <c r="D134" i="10" s="1"/>
  <c r="C608" i="10"/>
  <c r="D608" i="10" s="1"/>
  <c r="C827" i="10"/>
  <c r="D827" i="10" s="1"/>
  <c r="C621" i="10"/>
  <c r="D621" i="10" s="1"/>
  <c r="C105" i="10"/>
  <c r="D105" i="10" s="1"/>
  <c r="C237" i="10"/>
  <c r="D237" i="10" s="1"/>
  <c r="C300" i="10"/>
  <c r="D300" i="10" s="1"/>
  <c r="C794" i="10"/>
  <c r="D794" i="10" s="1"/>
  <c r="C968" i="10"/>
  <c r="D968" i="10" s="1"/>
  <c r="C455" i="10"/>
  <c r="D455" i="10" s="1"/>
  <c r="C218" i="10"/>
  <c r="D218" i="10" s="1"/>
  <c r="C800" i="10"/>
  <c r="D800" i="10" s="1"/>
  <c r="C830" i="10"/>
  <c r="D830" i="10" s="1"/>
  <c r="C809" i="10"/>
  <c r="D809" i="10" s="1"/>
  <c r="C150" i="10"/>
  <c r="D150" i="10" s="1"/>
  <c r="C47" i="10"/>
  <c r="D47" i="10" s="1"/>
  <c r="C342" i="10"/>
  <c r="D342" i="10" s="1"/>
  <c r="C670" i="10"/>
  <c r="D670" i="10" s="1"/>
  <c r="C686" i="10"/>
  <c r="D686" i="10" s="1"/>
  <c r="C899" i="10"/>
  <c r="D899" i="10" s="1"/>
  <c r="C107" i="10"/>
  <c r="D107" i="10" s="1"/>
  <c r="C871" i="10"/>
  <c r="D871" i="10" s="1"/>
  <c r="C323" i="10"/>
  <c r="D323" i="10" s="1"/>
  <c r="C537" i="10"/>
  <c r="D537" i="10" s="1"/>
  <c r="C527" i="10"/>
  <c r="D527" i="10" s="1"/>
  <c r="C485" i="10"/>
  <c r="D485" i="10" s="1"/>
  <c r="C639" i="10"/>
  <c r="D639" i="10" s="1"/>
  <c r="C697" i="10"/>
  <c r="D697" i="10" s="1"/>
  <c r="C753" i="10"/>
  <c r="D753" i="10" s="1"/>
  <c r="C233" i="10"/>
  <c r="D233" i="10" s="1"/>
  <c r="C826" i="10"/>
  <c r="D826" i="10" s="1"/>
  <c r="C405" i="10"/>
  <c r="D405" i="10" s="1"/>
  <c r="C123" i="10"/>
  <c r="D123" i="10" s="1"/>
  <c r="C857" i="10"/>
  <c r="D857" i="10" s="1"/>
  <c r="C883" i="10"/>
  <c r="D883" i="10" s="1"/>
  <c r="C126" i="10"/>
  <c r="D126" i="10" s="1"/>
  <c r="C214" i="10"/>
  <c r="D214" i="10" s="1"/>
  <c r="C768" i="10"/>
  <c r="D768" i="10" s="1"/>
  <c r="C829" i="10"/>
  <c r="D829" i="10" s="1"/>
  <c r="C79" i="10"/>
  <c r="D79" i="10" s="1"/>
  <c r="C385" i="10"/>
  <c r="D385" i="10" s="1"/>
  <c r="C64" i="10"/>
  <c r="D64" i="10" s="1"/>
  <c r="C279" i="10"/>
  <c r="D279" i="10" s="1"/>
  <c r="C736" i="10"/>
  <c r="D736" i="10" s="1"/>
  <c r="C362" i="10"/>
  <c r="D362" i="10" s="1"/>
  <c r="C573" i="10"/>
  <c r="D573" i="10" s="1"/>
  <c r="C892" i="10"/>
  <c r="D892" i="10" s="1"/>
  <c r="C705" i="10"/>
  <c r="D705" i="10" s="1"/>
  <c r="C821" i="10"/>
  <c r="D821" i="10" s="1"/>
  <c r="C983" i="10"/>
  <c r="D983" i="10" s="1"/>
  <c r="C993" i="10"/>
  <c r="D993" i="10" s="1"/>
  <c r="C699" i="10"/>
  <c r="D699" i="10" s="1"/>
  <c r="C169" i="10"/>
  <c r="D169" i="10" s="1"/>
  <c r="C807" i="10"/>
  <c r="D807" i="10" s="1"/>
  <c r="C152" i="10"/>
  <c r="D152" i="10" s="1"/>
  <c r="C277" i="10"/>
  <c r="D277" i="10" s="1"/>
  <c r="C650" i="10"/>
  <c r="D650" i="10" s="1"/>
  <c r="C715" i="10"/>
  <c r="D715" i="10" s="1"/>
  <c r="C55" i="10"/>
  <c r="D55" i="10" s="1"/>
  <c r="C580" i="10"/>
  <c r="D580" i="10" s="1"/>
  <c r="C50" i="10"/>
  <c r="D50" i="10" s="1"/>
  <c r="C234" i="10"/>
  <c r="D234" i="10" s="1"/>
  <c r="C461" i="10"/>
  <c r="D461" i="10" s="1"/>
  <c r="C298" i="10"/>
  <c r="D298" i="10" s="1"/>
  <c r="C430" i="10"/>
  <c r="D430" i="10" s="1"/>
  <c r="C784" i="10"/>
  <c r="D784" i="10" s="1"/>
  <c r="C625" i="10"/>
  <c r="D625" i="10" s="1"/>
  <c r="C669" i="10"/>
  <c r="D669" i="10" s="1"/>
  <c r="C700" i="10"/>
  <c r="D700" i="10" s="1"/>
  <c r="C745" i="10"/>
  <c r="D745" i="10" s="1"/>
  <c r="C760" i="10"/>
  <c r="D760" i="10" s="1"/>
  <c r="C265" i="10"/>
  <c r="D265" i="10" s="1"/>
  <c r="C912" i="10"/>
  <c r="D912" i="10" s="1"/>
  <c r="C919" i="10"/>
  <c r="D919" i="10" s="1"/>
  <c r="C783" i="10"/>
  <c r="D783" i="10" s="1"/>
  <c r="C440" i="10"/>
  <c r="D440" i="10" s="1"/>
  <c r="C227" i="10"/>
  <c r="D227" i="10" s="1"/>
  <c r="C127" i="10"/>
  <c r="D127" i="10" s="1"/>
  <c r="C209" i="10"/>
  <c r="D209" i="10" s="1"/>
  <c r="C834" i="10"/>
  <c r="D834" i="10" s="1"/>
  <c r="C801" i="10"/>
  <c r="D801" i="10" s="1"/>
  <c r="C839" i="10"/>
  <c r="D839" i="10" s="1"/>
  <c r="C195" i="10"/>
  <c r="D195" i="10" s="1"/>
  <c r="C132" i="10"/>
  <c r="D132" i="10" s="1"/>
  <c r="C77" i="10"/>
  <c r="D77" i="10" s="1"/>
  <c r="C259" i="10"/>
  <c r="D259" i="10" s="1"/>
  <c r="C601" i="10"/>
  <c r="D601" i="10" s="1"/>
  <c r="C846" i="10"/>
  <c r="D846" i="10" s="1"/>
  <c r="C970" i="10"/>
  <c r="D970" i="10" s="1"/>
  <c r="C811" i="10"/>
  <c r="D811" i="10" s="1"/>
  <c r="C102" i="10"/>
  <c r="D102" i="10" s="1"/>
  <c r="C249" i="10"/>
  <c r="D249" i="10" s="1"/>
  <c r="C399" i="10"/>
  <c r="D399" i="10" s="1"/>
  <c r="C562" i="10"/>
  <c r="D562" i="10" s="1"/>
  <c r="C91" i="10"/>
  <c r="D91" i="10" s="1"/>
  <c r="C58" i="10"/>
  <c r="D58" i="10" s="1"/>
  <c r="C226" i="10"/>
  <c r="D226" i="10" s="1"/>
  <c r="C357" i="10"/>
  <c r="D357" i="10" s="1"/>
  <c r="C754" i="10"/>
  <c r="D754" i="10" s="1"/>
  <c r="C266" i="10"/>
  <c r="D266" i="10" s="1"/>
  <c r="C350" i="10"/>
  <c r="D350" i="10" s="1"/>
  <c r="C412" i="10"/>
  <c r="D412" i="10" s="1"/>
  <c r="C509" i="10"/>
  <c r="D509" i="10" s="1"/>
  <c r="C765" i="10"/>
  <c r="D765" i="10" s="1"/>
  <c r="C962" i="10"/>
  <c r="D962" i="10" s="1"/>
  <c r="C859" i="10"/>
  <c r="D859" i="10" s="1"/>
  <c r="C538" i="10"/>
  <c r="D538" i="10" s="1"/>
  <c r="C261" i="10"/>
  <c r="D261" i="10" s="1"/>
  <c r="C642" i="10"/>
  <c r="D642" i="10" s="1"/>
  <c r="C401" i="10"/>
  <c r="D401" i="10" s="1"/>
  <c r="C728" i="10"/>
  <c r="D728" i="10" s="1"/>
  <c r="C616" i="10"/>
  <c r="D616" i="10" s="1"/>
  <c r="C536" i="10"/>
  <c r="D536" i="10" s="1"/>
  <c r="C488" i="10"/>
  <c r="D488" i="10" s="1"/>
  <c r="C640" i="10"/>
  <c r="D640" i="10" s="1"/>
  <c r="C490" i="10"/>
  <c r="D490" i="10" s="1"/>
  <c r="C422" i="10"/>
  <c r="D422" i="10" s="1"/>
  <c r="C396" i="10"/>
  <c r="D396" i="10" s="1"/>
  <c r="C348" i="10"/>
  <c r="D348" i="10" s="1"/>
  <c r="C316" i="10"/>
  <c r="D316" i="10" s="1"/>
  <c r="C262" i="10"/>
  <c r="D262" i="10" s="1"/>
  <c r="C844" i="10"/>
  <c r="D844" i="10" s="1"/>
  <c r="C847" i="10"/>
  <c r="D847" i="10" s="1"/>
  <c r="C74" i="10"/>
  <c r="D74" i="10" s="1"/>
  <c r="C905" i="10"/>
  <c r="D905" i="10" s="1"/>
  <c r="C725" i="10"/>
  <c r="D725" i="10" s="1"/>
  <c r="C945" i="10"/>
  <c r="D945" i="10" s="1"/>
  <c r="C425" i="10"/>
  <c r="D425" i="10" s="1"/>
  <c r="C188" i="10"/>
  <c r="D188" i="10" s="1"/>
  <c r="C755" i="10"/>
  <c r="D755" i="10" s="1"/>
  <c r="C779" i="10"/>
  <c r="D779" i="10" s="1"/>
  <c r="C586" i="10"/>
  <c r="D586" i="10" s="1"/>
  <c r="C206" i="10"/>
  <c r="D206" i="10" s="1"/>
  <c r="C961" i="10"/>
  <c r="D961" i="10" s="1"/>
  <c r="C95" i="10"/>
  <c r="D95" i="10" s="1"/>
  <c r="C456" i="10"/>
  <c r="D456" i="10" s="1"/>
  <c r="C637" i="10"/>
  <c r="D637" i="10" s="1"/>
  <c r="C664" i="10"/>
  <c r="D664" i="10" s="1"/>
  <c r="C658" i="10"/>
  <c r="D658" i="10" s="1"/>
  <c r="C187" i="10"/>
  <c r="D187" i="10" s="1"/>
  <c r="C349" i="10"/>
  <c r="D349" i="10" s="1"/>
  <c r="C545" i="10"/>
  <c r="D545" i="10" s="1"/>
  <c r="C858" i="10"/>
  <c r="D858" i="10" s="1"/>
  <c r="C607" i="10"/>
  <c r="D607" i="10" s="1"/>
  <c r="C397" i="10"/>
  <c r="D397" i="10" s="1"/>
  <c r="C941" i="10"/>
  <c r="D941" i="10" s="1"/>
  <c r="C719" i="10"/>
  <c r="D719" i="10" s="1"/>
  <c r="C201" i="10"/>
  <c r="D201" i="10" s="1"/>
  <c r="C678" i="10"/>
  <c r="D678" i="10" s="1"/>
  <c r="C211" i="10"/>
  <c r="D211" i="10" s="1"/>
  <c r="C594" i="10"/>
  <c r="D594" i="10" s="1"/>
  <c r="C923" i="10"/>
  <c r="D923" i="10" s="1"/>
  <c r="C799" i="10"/>
  <c r="D799" i="10" s="1"/>
  <c r="C553" i="10"/>
  <c r="D553" i="10" s="1"/>
  <c r="C32" i="10"/>
  <c r="D32" i="10" s="1"/>
  <c r="C407" i="10"/>
  <c r="D407" i="10" s="1"/>
  <c r="C493" i="10"/>
  <c r="D493" i="10" s="1"/>
  <c r="C902" i="10"/>
  <c r="D902" i="10" s="1"/>
  <c r="C645" i="10"/>
  <c r="D645" i="10" s="1"/>
  <c r="C721" i="10"/>
  <c r="D721" i="10" s="1"/>
  <c r="C727" i="10"/>
  <c r="D727" i="10" s="1"/>
  <c r="C870" i="10"/>
  <c r="D870" i="10" s="1"/>
  <c r="C174" i="10"/>
  <c r="D174" i="10" s="1"/>
  <c r="C996" i="10"/>
  <c r="D996" i="10" s="1"/>
  <c r="C711" i="10"/>
  <c r="D711" i="10" s="1"/>
  <c r="C171" i="10"/>
  <c r="D171" i="10" s="1"/>
  <c r="C61" i="10"/>
  <c r="D61" i="10" s="1"/>
  <c r="C418" i="10"/>
  <c r="D418" i="10" s="1"/>
  <c r="C953" i="10"/>
  <c r="D953" i="10" s="1"/>
  <c r="C843" i="10"/>
  <c r="D843" i="10" s="1"/>
  <c r="C229" i="10"/>
  <c r="D229" i="10" s="1"/>
  <c r="C327" i="10"/>
  <c r="D327" i="10" s="1"/>
  <c r="C449" i="10"/>
  <c r="D449" i="10" s="1"/>
  <c r="C338" i="10"/>
  <c r="D338" i="10" s="1"/>
  <c r="C526" i="10"/>
  <c r="D526" i="10" s="1"/>
  <c r="C657" i="10"/>
  <c r="D657" i="10" s="1"/>
  <c r="C689" i="10"/>
  <c r="D689" i="10" s="1"/>
  <c r="C756" i="10"/>
  <c r="D756" i="10" s="1"/>
  <c r="C805" i="10"/>
  <c r="D805" i="10" s="1"/>
  <c r="C359" i="10"/>
  <c r="D359" i="10" s="1"/>
  <c r="C836" i="10"/>
  <c r="D836" i="10" s="1"/>
  <c r="C964" i="10"/>
  <c r="D964" i="10" s="1"/>
  <c r="C911" i="10"/>
  <c r="D911" i="10" s="1"/>
  <c r="C377" i="10"/>
  <c r="D377" i="10" s="1"/>
  <c r="C88" i="10"/>
  <c r="D88" i="10" s="1"/>
  <c r="C159" i="10"/>
  <c r="D159" i="10" s="1"/>
  <c r="C942" i="10"/>
  <c r="D942" i="10" s="1"/>
  <c r="C207" i="10"/>
  <c r="D207" i="10" s="1"/>
  <c r="C156" i="10"/>
  <c r="D156" i="10" s="1"/>
  <c r="C116" i="10"/>
  <c r="D116" i="10" s="1"/>
  <c r="C223" i="10"/>
  <c r="D223" i="10" s="1"/>
  <c r="C492" i="10"/>
  <c r="D492" i="10" s="1"/>
  <c r="C976" i="10"/>
  <c r="D976" i="10" s="1"/>
  <c r="C974" i="10"/>
  <c r="D974" i="10" s="1"/>
  <c r="C683" i="10"/>
  <c r="D683" i="10" s="1"/>
  <c r="C170" i="10"/>
  <c r="D170" i="10" s="1"/>
  <c r="C426" i="10"/>
  <c r="D426" i="10" s="1"/>
  <c r="C72" i="10"/>
  <c r="D72" i="10" s="1"/>
  <c r="C242" i="10"/>
  <c r="D242" i="10" s="1"/>
  <c r="C489" i="10"/>
  <c r="D489" i="10" s="1"/>
  <c r="C484" i="10"/>
  <c r="D484" i="10" s="1"/>
  <c r="C288" i="10"/>
  <c r="D288" i="10" s="1"/>
  <c r="C370" i="10"/>
  <c r="D370" i="10" s="1"/>
  <c r="C558" i="10"/>
  <c r="D558" i="10" s="1"/>
  <c r="C549" i="10"/>
  <c r="D549" i="10" s="1"/>
  <c r="C556" i="10"/>
  <c r="D556" i="10" s="1"/>
  <c r="C861" i="10"/>
  <c r="D861" i="10" s="1"/>
  <c r="C852" i="10"/>
  <c r="D852" i="10" s="1"/>
  <c r="C473" i="10"/>
  <c r="D473" i="10" s="1"/>
  <c r="C813" i="10"/>
  <c r="D813" i="10" s="1"/>
  <c r="C674" i="10"/>
  <c r="D674" i="10" s="1"/>
  <c r="C552" i="10"/>
  <c r="D552" i="10" s="1"/>
  <c r="C26" i="10"/>
  <c r="D26" i="10" s="1"/>
  <c r="C593" i="10"/>
  <c r="D593" i="10" s="1"/>
  <c r="C511" i="10"/>
  <c r="D511" i="10" s="1"/>
  <c r="C380" i="10"/>
  <c r="D380" i="10" s="1"/>
  <c r="C310" i="10"/>
  <c r="D310" i="10" s="1"/>
  <c r="C278" i="10"/>
  <c r="D278" i="10" s="1"/>
  <c r="C636" i="10"/>
  <c r="D636" i="10" s="1"/>
  <c r="C535" i="10"/>
  <c r="D535" i="10" s="1"/>
  <c r="C720" i="10"/>
  <c r="D720" i="10" s="1"/>
  <c r="C731" i="10"/>
  <c r="D731" i="10" s="1"/>
  <c r="C275" i="10"/>
  <c r="D275" i="10" s="1"/>
  <c r="C129" i="10"/>
  <c r="D129" i="10" s="1"/>
  <c r="C523" i="10"/>
  <c r="D523" i="10" s="1"/>
  <c r="C896" i="10"/>
  <c r="D896" i="10" s="1"/>
  <c r="C448" i="10"/>
  <c r="D448" i="10" s="1"/>
  <c r="C421" i="10"/>
  <c r="D421" i="10" s="1"/>
  <c r="C815" i="10"/>
  <c r="D815" i="10" s="1"/>
  <c r="C591" i="10"/>
  <c r="D591" i="10" s="1"/>
  <c r="C632" i="10"/>
  <c r="D632" i="10" s="1"/>
  <c r="C501" i="10"/>
  <c r="D501" i="10" s="1"/>
  <c r="C624" i="10"/>
  <c r="D624" i="10" s="1"/>
  <c r="C522" i="10"/>
  <c r="D522" i="10" s="1"/>
  <c r="C390" i="10"/>
  <c r="D390" i="10" s="1"/>
  <c r="C346" i="10"/>
  <c r="D346" i="10" s="1"/>
  <c r="C274" i="10"/>
  <c r="D274" i="10" s="1"/>
  <c r="C818" i="10"/>
  <c r="D818" i="10" s="1"/>
  <c r="C588" i="10"/>
  <c r="D588" i="10" s="1"/>
  <c r="C445" i="10"/>
  <c r="D445" i="10" s="1"/>
  <c r="C738" i="10"/>
  <c r="D738" i="10" s="1"/>
  <c r="C482" i="10"/>
  <c r="D482" i="10" s="1"/>
  <c r="C389" i="10"/>
  <c r="D389" i="10" s="1"/>
  <c r="C240" i="10"/>
  <c r="D240" i="10" s="1"/>
  <c r="C216" i="10"/>
  <c r="D216" i="10" s="1"/>
  <c r="C44" i="10"/>
  <c r="D44" i="10" s="1"/>
  <c r="C739" i="10"/>
  <c r="D739" i="10" s="1"/>
  <c r="C157" i="10"/>
  <c r="D157" i="10" s="1"/>
  <c r="C786" i="10"/>
  <c r="D786" i="10" s="1"/>
  <c r="C855" i="10"/>
  <c r="D855" i="10" s="1"/>
  <c r="C119" i="10"/>
  <c r="D119" i="10" s="1"/>
  <c r="C239" i="10"/>
  <c r="D239" i="10" s="1"/>
  <c r="C533" i="10"/>
  <c r="D533" i="10" s="1"/>
  <c r="C128" i="10"/>
  <c r="D128" i="10" s="1"/>
  <c r="C568" i="10"/>
  <c r="D568" i="10" s="1"/>
  <c r="C193" i="10"/>
  <c r="D193" i="10" s="1"/>
  <c r="C876" i="10"/>
  <c r="D876" i="10" s="1"/>
  <c r="C688" i="10"/>
  <c r="D688" i="10" s="1"/>
  <c r="C267" i="10"/>
  <c r="D267" i="10" s="1"/>
  <c r="C921" i="10"/>
  <c r="D921" i="10" s="1"/>
  <c r="C67" i="10"/>
  <c r="D67" i="10" s="1"/>
  <c r="C916" i="10"/>
  <c r="D916" i="10" s="1"/>
  <c r="C53" i="10"/>
  <c r="D53" i="10" s="1"/>
  <c r="C957" i="10"/>
  <c r="D957" i="10" s="1"/>
  <c r="C48" i="10"/>
  <c r="D48" i="10" s="1"/>
  <c r="C435" i="10"/>
  <c r="D435" i="10" s="1"/>
  <c r="C615" i="10"/>
  <c r="D615" i="10" s="1"/>
  <c r="C177" i="10"/>
  <c r="D177" i="10" s="1"/>
  <c r="C144" i="10"/>
  <c r="D144" i="10" s="1"/>
  <c r="C997" i="10"/>
  <c r="D997" i="10" s="1"/>
  <c r="C276" i="10"/>
  <c r="D276" i="10" s="1"/>
  <c r="C716" i="10"/>
  <c r="D716" i="10" s="1"/>
  <c r="C780" i="10"/>
  <c r="D780" i="10" s="1"/>
  <c r="C548" i="10"/>
  <c r="D548" i="10" s="1"/>
  <c r="C73" i="10"/>
  <c r="D73" i="10" s="1"/>
  <c r="C901" i="10"/>
  <c r="D901" i="10" s="1"/>
  <c r="C183" i="10"/>
  <c r="D183" i="10" s="1"/>
  <c r="C245" i="10"/>
  <c r="D245" i="10" s="1"/>
  <c r="C927" i="10"/>
  <c r="D927" i="10" s="1"/>
  <c r="C281" i="10"/>
  <c r="D281" i="10" s="1"/>
  <c r="C746" i="10"/>
  <c r="D746" i="10" s="1"/>
  <c r="C534" i="10"/>
  <c r="D534" i="10" s="1"/>
  <c r="C280" i="10"/>
  <c r="D280" i="10" s="1"/>
  <c r="C406" i="10"/>
  <c r="D406" i="10" s="1"/>
  <c r="C662" i="10"/>
  <c r="D662" i="10" s="1"/>
  <c r="C740" i="10"/>
  <c r="D740" i="10" s="1"/>
  <c r="C516" i="10"/>
  <c r="D516" i="10" s="1"/>
  <c r="C955" i="10"/>
  <c r="D955" i="10" s="1"/>
  <c r="C104" i="10"/>
  <c r="D104" i="10" s="1"/>
  <c r="C853" i="10"/>
  <c r="D853" i="10" s="1"/>
  <c r="C136" i="10"/>
  <c r="D136" i="10" s="1"/>
  <c r="C510" i="10"/>
  <c r="D510" i="10" s="1"/>
  <c r="C864" i="10"/>
  <c r="D864" i="10" s="1"/>
  <c r="C313" i="10"/>
  <c r="D313" i="10" s="1"/>
  <c r="C97" i="10"/>
  <c r="D97" i="10" s="1"/>
  <c r="C192" i="10"/>
  <c r="D192" i="10" s="1"/>
  <c r="C598" i="10"/>
  <c r="D598" i="10" s="1"/>
  <c r="C701" i="10"/>
  <c r="D701" i="10" s="1"/>
  <c r="C788" i="10"/>
  <c r="D788" i="10" s="1"/>
  <c r="C609" i="10"/>
  <c r="D609" i="10" s="1"/>
  <c r="C633" i="10"/>
  <c r="D633" i="10" s="1"/>
  <c r="C766" i="10"/>
  <c r="D766" i="10" s="1"/>
  <c r="C194" i="10"/>
  <c r="D194" i="10" s="1"/>
  <c r="C707" i="10"/>
  <c r="D707" i="10" s="1"/>
  <c r="C166" i="10"/>
  <c r="D166" i="10" s="1"/>
  <c r="C744" i="10"/>
  <c r="D744" i="10" s="1"/>
  <c r="C695" i="10"/>
  <c r="D695" i="10" s="1"/>
  <c r="C92" i="10"/>
  <c r="D92" i="10" s="1"/>
  <c r="C713" i="10"/>
  <c r="D713" i="10" s="1"/>
  <c r="C863" i="10"/>
  <c r="D863" i="10" s="1"/>
  <c r="C722" i="10"/>
  <c r="D722" i="10" s="1"/>
  <c r="C114" i="10"/>
  <c r="D114" i="10" s="1"/>
  <c r="C34" i="10"/>
  <c r="D34" i="10" s="1"/>
  <c r="C655" i="10"/>
  <c r="D655" i="10" s="1"/>
  <c r="C532" i="10"/>
  <c r="D532" i="10" s="1"/>
  <c r="C975" i="10"/>
  <c r="D975" i="10" s="1"/>
  <c r="C155" i="10"/>
  <c r="D155" i="10" s="1"/>
  <c r="C85" i="10"/>
  <c r="D85" i="10" s="1"/>
  <c r="C186" i="10"/>
  <c r="D186" i="10" s="1"/>
  <c r="C550" i="10"/>
  <c r="D550" i="10" s="1"/>
  <c r="C590" i="10"/>
  <c r="D590" i="10" s="1"/>
  <c r="C629" i="10"/>
  <c r="D629" i="10" s="1"/>
  <c r="C782" i="10"/>
  <c r="D782" i="10" s="1"/>
  <c r="C478" i="10"/>
  <c r="D478" i="10" s="1"/>
  <c r="C610" i="10"/>
  <c r="D610" i="10" s="1"/>
  <c r="C676" i="10"/>
  <c r="D676" i="10" s="1"/>
  <c r="C774" i="10"/>
  <c r="D774" i="10" s="1"/>
  <c r="C83" i="10"/>
  <c r="D83" i="10" s="1"/>
  <c r="C860" i="10"/>
  <c r="D860" i="10" s="1"/>
  <c r="C513" i="10"/>
  <c r="D513" i="10" s="1"/>
  <c r="C111" i="10"/>
  <c r="D111" i="10" s="1"/>
  <c r="C938" i="10"/>
  <c r="D938" i="10" s="1"/>
  <c r="C691" i="10"/>
  <c r="D691" i="10" s="1"/>
  <c r="C140" i="10"/>
  <c r="D140" i="10" s="1"/>
  <c r="C45" i="10"/>
  <c r="D45" i="10" s="1"/>
  <c r="C551" i="10"/>
  <c r="D551" i="10" s="1"/>
  <c r="C889" i="10"/>
  <c r="D889" i="10" s="1"/>
  <c r="C928" i="10"/>
  <c r="D928" i="10" s="1"/>
  <c r="C939" i="10"/>
  <c r="D939" i="10" s="1"/>
  <c r="C331" i="10"/>
  <c r="D331" i="10" s="1"/>
  <c r="C595" i="10"/>
  <c r="D595" i="10" s="1"/>
  <c r="C42" i="10"/>
  <c r="D42" i="10" s="1"/>
  <c r="C295" i="10"/>
  <c r="D295" i="10" s="1"/>
  <c r="C424" i="10"/>
  <c r="D424" i="10" s="1"/>
  <c r="C308" i="10"/>
  <c r="D308" i="10" s="1"/>
  <c r="C451" i="10"/>
  <c r="D451" i="10" s="1"/>
  <c r="C888" i="10"/>
  <c r="D888" i="10" s="1"/>
  <c r="C113" i="10"/>
  <c r="D113" i="10" s="1"/>
  <c r="C803" i="10"/>
  <c r="D803" i="10" s="1"/>
  <c r="C988" i="10"/>
  <c r="D988" i="10" s="1"/>
  <c r="C773" i="10"/>
  <c r="D773" i="10" s="1"/>
  <c r="C581" i="10"/>
  <c r="D581" i="10" s="1"/>
  <c r="C752" i="10"/>
  <c r="D752" i="10" s="1"/>
  <c r="C554" i="10"/>
  <c r="D554" i="10" s="1"/>
  <c r="C438" i="10"/>
  <c r="D438" i="10" s="1"/>
  <c r="C372" i="10"/>
  <c r="D372" i="10" s="1"/>
  <c r="C332" i="10"/>
  <c r="D332" i="10" s="1"/>
  <c r="C286" i="10"/>
  <c r="D286" i="10" s="1"/>
  <c r="C776" i="10"/>
  <c r="D776" i="10" s="1"/>
  <c r="C578" i="10"/>
  <c r="D578" i="10" s="1"/>
  <c r="C442" i="10"/>
  <c r="D442" i="10" s="1"/>
  <c r="C603" i="10"/>
  <c r="D603" i="10" s="1"/>
  <c r="C969" i="10"/>
  <c r="D969" i="10" s="1"/>
  <c r="C687" i="10"/>
  <c r="D687" i="10" s="1"/>
  <c r="C909" i="10"/>
  <c r="D909" i="10" s="1"/>
  <c r="C884" i="10"/>
  <c r="D884" i="10" s="1"/>
  <c r="C757" i="10"/>
  <c r="D757" i="10" s="1"/>
  <c r="C584" i="10"/>
  <c r="D584" i="10" s="1"/>
  <c r="C480" i="10"/>
  <c r="D480" i="10" s="1"/>
  <c r="C579" i="10"/>
  <c r="D579" i="10" s="1"/>
  <c r="C446" i="10"/>
  <c r="D446" i="10" s="1"/>
  <c r="C378" i="10"/>
  <c r="D378" i="10" s="1"/>
  <c r="C326" i="10"/>
  <c r="D326" i="10" s="1"/>
  <c r="C284" i="10"/>
  <c r="D284" i="10" s="1"/>
  <c r="C709" i="10"/>
  <c r="D709" i="10" s="1"/>
  <c r="C531" i="10"/>
  <c r="D531" i="10" s="1"/>
  <c r="C457" i="10"/>
  <c r="D457" i="10" s="1"/>
  <c r="C351" i="10"/>
  <c r="D351" i="10" s="1"/>
  <c r="C36" i="10"/>
  <c r="D36" i="10" s="1"/>
  <c r="C60" i="10"/>
  <c r="D60" i="10" s="1"/>
  <c r="C383" i="10"/>
  <c r="D383" i="10" s="1"/>
  <c r="C661" i="10"/>
  <c r="D661" i="10" s="1"/>
  <c r="C576" i="10"/>
  <c r="D576" i="10" s="1"/>
  <c r="C517" i="10"/>
  <c r="D517" i="10" s="1"/>
  <c r="C604" i="10"/>
  <c r="D604" i="10" s="1"/>
  <c r="C515" i="10"/>
  <c r="D515" i="10" s="1"/>
  <c r="C408" i="10"/>
  <c r="D408" i="10" s="1"/>
  <c r="C376" i="10"/>
  <c r="D376" i="10" s="1"/>
  <c r="C322" i="10"/>
  <c r="D322" i="10" s="1"/>
  <c r="C282" i="10"/>
  <c r="D282" i="10" s="1"/>
  <c r="C792" i="10"/>
  <c r="D792" i="10" s="1"/>
  <c r="C463" i="10"/>
  <c r="D463" i="10" s="1"/>
  <c r="C363" i="10"/>
  <c r="D363" i="10" s="1"/>
  <c r="C539" i="10"/>
  <c r="D539" i="10" s="1"/>
  <c r="C423" i="10"/>
  <c r="D423" i="10" s="1"/>
  <c r="C230" i="10"/>
  <c r="D230" i="10" s="1"/>
  <c r="C184" i="10"/>
  <c r="D184" i="10" s="1"/>
  <c r="C38" i="10"/>
  <c r="D38" i="10" s="1"/>
  <c r="C62" i="10"/>
  <c r="D62" i="10" s="1"/>
  <c r="C101" i="10"/>
  <c r="D101" i="10" s="1"/>
  <c r="C627" i="10"/>
  <c r="D627" i="10" s="1"/>
  <c r="C673" i="10"/>
  <c r="D673" i="10" s="1"/>
  <c r="C702" i="10"/>
  <c r="D702" i="10" s="1"/>
  <c r="C758" i="10"/>
  <c r="D758" i="10" s="1"/>
  <c r="C789" i="10"/>
  <c r="D789" i="10" s="1"/>
  <c r="C416" i="10"/>
  <c r="D416" i="10" s="1"/>
  <c r="C35" i="10"/>
  <c r="D35" i="10" s="1"/>
  <c r="C914" i="10"/>
  <c r="D914" i="10" s="1"/>
  <c r="C952" i="10"/>
  <c r="D952" i="10" s="1"/>
  <c r="C841" i="10"/>
  <c r="D841" i="10" s="1"/>
  <c r="C763" i="10"/>
  <c r="D763" i="10" s="1"/>
  <c r="C367" i="10"/>
  <c r="D367" i="10" s="1"/>
  <c r="C115" i="10"/>
  <c r="D115" i="10" s="1"/>
  <c r="C990" i="10"/>
  <c r="D990" i="10" s="1"/>
  <c r="C743" i="10"/>
  <c r="D743" i="10" s="1"/>
  <c r="C979" i="10"/>
  <c r="D979" i="10" s="1"/>
  <c r="C154" i="10"/>
  <c r="D154" i="10" s="1"/>
  <c r="C130" i="10"/>
  <c r="D130" i="10" s="1"/>
  <c r="C198" i="10"/>
  <c r="D198" i="10" s="1"/>
  <c r="C309" i="10"/>
  <c r="D309" i="10" s="1"/>
  <c r="C614" i="10"/>
  <c r="D614" i="10" s="1"/>
  <c r="C812" i="10"/>
  <c r="D812" i="10" s="1"/>
  <c r="C850" i="10"/>
  <c r="D850" i="10" s="1"/>
  <c r="C978" i="10"/>
  <c r="D978" i="10" s="1"/>
  <c r="C959" i="10"/>
  <c r="D959" i="10" s="1"/>
  <c r="C384" i="10"/>
  <c r="D384" i="10" s="1"/>
  <c r="C668" i="10"/>
  <c r="D668" i="10" s="1"/>
  <c r="C66" i="10"/>
  <c r="D66" i="10" s="1"/>
  <c r="C723" i="10"/>
  <c r="D723" i="10" s="1"/>
  <c r="C631" i="10"/>
  <c r="D631" i="10" s="1"/>
  <c r="C910" i="10"/>
  <c r="D910" i="10" s="1"/>
  <c r="C750" i="10"/>
  <c r="D750" i="10" s="1"/>
  <c r="C199" i="10"/>
  <c r="D199" i="10" s="1"/>
  <c r="C317" i="10"/>
  <c r="D317" i="10" s="1"/>
  <c r="C866" i="10"/>
  <c r="D866" i="10" s="1"/>
  <c r="C585" i="10"/>
  <c r="D585" i="10" s="1"/>
  <c r="C271" i="10"/>
  <c r="D271" i="10" s="1"/>
  <c r="C771" i="10"/>
  <c r="D771" i="10" s="1"/>
  <c r="C972" i="10"/>
  <c r="D972" i="10" s="1"/>
  <c r="C158" i="10"/>
  <c r="D158" i="10" s="1"/>
  <c r="C337" i="10"/>
  <c r="D337" i="10" s="1"/>
  <c r="C915" i="10"/>
  <c r="D915" i="10" s="1"/>
  <c r="C220" i="10"/>
  <c r="D220" i="10" s="1"/>
  <c r="C712" i="10"/>
  <c r="D712" i="10" s="1"/>
  <c r="C684" i="10"/>
  <c r="D684" i="10" s="1"/>
  <c r="C369" i="10"/>
  <c r="D369" i="10" s="1"/>
  <c r="C530" i="10"/>
  <c r="D530" i="10" s="1"/>
  <c r="C924" i="10"/>
  <c r="D924" i="10" s="1"/>
  <c r="C120" i="10"/>
  <c r="D120" i="10" s="1"/>
  <c r="C998" i="10"/>
  <c r="D998" i="10" s="1"/>
  <c r="C971" i="10"/>
  <c r="D971" i="10" s="1"/>
  <c r="C382" i="10"/>
  <c r="D382" i="10" s="1"/>
  <c r="C617" i="10"/>
  <c r="D617" i="10" s="1"/>
  <c r="C785" i="10"/>
  <c r="D785" i="10" s="1"/>
  <c r="C963" i="10"/>
  <c r="D963" i="10" s="1"/>
  <c r="C293" i="10"/>
  <c r="D293" i="10" s="1"/>
  <c r="C143" i="10"/>
  <c r="D143" i="10" s="1"/>
  <c r="C890" i="10"/>
  <c r="D890" i="10" s="1"/>
  <c r="C787" i="10"/>
  <c r="D787" i="10" s="1"/>
  <c r="C179" i="10"/>
  <c r="D179" i="10" s="1"/>
  <c r="C124" i="10"/>
  <c r="D124" i="10" s="1"/>
  <c r="C305" i="10"/>
  <c r="D305" i="10" s="1"/>
  <c r="C932" i="10"/>
  <c r="D932" i="10" s="1"/>
  <c r="C747" i="10"/>
  <c r="D747" i="10" s="1"/>
  <c r="C71" i="10"/>
  <c r="D71" i="10" s="1"/>
  <c r="C103" i="10"/>
  <c r="D103" i="10" s="1"/>
  <c r="C208" i="10"/>
  <c r="D208" i="10" s="1"/>
  <c r="C437" i="10"/>
  <c r="D437" i="10" s="1"/>
  <c r="C569" i="10"/>
  <c r="D569" i="10" s="1"/>
  <c r="C328" i="10"/>
  <c r="D328" i="10" s="1"/>
  <c r="C497" i="10"/>
  <c r="D497" i="10" s="1"/>
  <c r="C589" i="10"/>
  <c r="D589" i="10" s="1"/>
  <c r="C667" i="10"/>
  <c r="D667" i="10" s="1"/>
  <c r="C751" i="10"/>
  <c r="D751" i="10" s="1"/>
  <c r="C887" i="10"/>
  <c r="D887" i="10" s="1"/>
  <c r="C520" i="10"/>
  <c r="D520" i="10" s="1"/>
  <c r="C682" i="10"/>
  <c r="D682" i="10" s="1"/>
  <c r="C529" i="10"/>
  <c r="D529" i="10" s="1"/>
  <c r="C410" i="10"/>
  <c r="D410" i="10" s="1"/>
  <c r="C364" i="10"/>
  <c r="D364" i="10" s="1"/>
  <c r="C324" i="10"/>
  <c r="D324" i="10" s="1"/>
  <c r="C270" i="10"/>
  <c r="D270" i="10" s="1"/>
  <c r="C696" i="10"/>
  <c r="D696" i="10" s="1"/>
  <c r="C559" i="10"/>
  <c r="D559" i="10" s="1"/>
  <c r="C417" i="10"/>
  <c r="D417" i="10" s="1"/>
  <c r="C612" i="10"/>
  <c r="D612" i="10" s="1"/>
  <c r="C219" i="10"/>
  <c r="D219" i="10" s="1"/>
  <c r="C828" i="10"/>
  <c r="D828" i="10" s="1"/>
  <c r="C225" i="10"/>
  <c r="D225" i="10" s="1"/>
  <c r="C81" i="10"/>
  <c r="D81" i="10" s="1"/>
  <c r="C96" i="10"/>
  <c r="D96" i="10" s="1"/>
  <c r="C690" i="10"/>
  <c r="D690" i="10" s="1"/>
  <c r="C565" i="10"/>
  <c r="D565" i="10" s="1"/>
  <c r="C762" i="10"/>
  <c r="D762" i="10" s="1"/>
  <c r="C547" i="10"/>
  <c r="D547" i="10" s="1"/>
  <c r="C427" i="10"/>
  <c r="D427" i="10" s="1"/>
  <c r="C368" i="10"/>
  <c r="D368" i="10" s="1"/>
  <c r="C314" i="10"/>
  <c r="D314" i="10" s="1"/>
  <c r="C264" i="10"/>
  <c r="D264" i="10" s="1"/>
  <c r="C474" i="10"/>
  <c r="D474" i="10" s="1"/>
  <c r="C596" i="10"/>
  <c r="D596" i="10" s="1"/>
  <c r="C319" i="10"/>
  <c r="D319" i="10" s="1"/>
  <c r="C232" i="10"/>
  <c r="D232" i="10" s="1"/>
  <c r="C180" i="10"/>
  <c r="D180" i="10" s="1"/>
  <c r="C190" i="10"/>
  <c r="D190" i="10" s="1"/>
  <c r="C153" i="10"/>
  <c r="D153" i="10" s="1"/>
  <c r="C626" i="10"/>
  <c r="D626" i="10" s="1"/>
  <c r="C560" i="10"/>
  <c r="D560" i="10" s="1"/>
  <c r="C741" i="10"/>
  <c r="D741" i="10" s="1"/>
  <c r="C572" i="10"/>
  <c r="D572" i="10" s="1"/>
  <c r="C443" i="10"/>
  <c r="D443" i="10" s="1"/>
  <c r="C398" i="10"/>
  <c r="D398" i="10" s="1"/>
  <c r="C344" i="10"/>
  <c r="D344" i="10" s="1"/>
  <c r="C304" i="10"/>
  <c r="D304" i="10" s="1"/>
  <c r="C272" i="10"/>
  <c r="D272" i="10" s="1"/>
  <c r="C583" i="10"/>
  <c r="D583" i="10" s="1"/>
  <c r="C431" i="10"/>
  <c r="D431" i="10" s="1"/>
  <c r="C704" i="10"/>
  <c r="D704" i="10" s="1"/>
  <c r="C502" i="10"/>
  <c r="D502" i="10" s="1"/>
  <c r="C311" i="10"/>
  <c r="D311" i="10" s="1"/>
  <c r="C222" i="10"/>
  <c r="D222" i="10" s="1"/>
  <c r="C200" i="10"/>
  <c r="D200" i="10" s="1"/>
  <c r="C46" i="10"/>
  <c r="D46" i="10" s="1"/>
  <c r="C611" i="10"/>
  <c r="D611" i="10" s="1"/>
  <c r="C651" i="10"/>
  <c r="D651" i="10" s="1"/>
  <c r="C681" i="10"/>
  <c r="D681" i="10" s="1"/>
  <c r="C737" i="10"/>
  <c r="D737" i="10" s="1"/>
  <c r="C769" i="10"/>
  <c r="D769" i="10" s="1"/>
  <c r="C582" i="10"/>
  <c r="D582" i="10" s="1"/>
  <c r="C329" i="10"/>
  <c r="D329" i="10" s="1"/>
  <c r="C791" i="10"/>
  <c r="D791" i="10" s="1"/>
  <c r="C956" i="10"/>
  <c r="D956" i="10" s="1"/>
  <c r="C793" i="10"/>
  <c r="D793" i="10" s="1"/>
  <c r="C465" i="10"/>
  <c r="D465" i="10" s="1"/>
  <c r="C257" i="10"/>
  <c r="D257" i="10" s="1"/>
  <c r="C163" i="10"/>
  <c r="D163" i="10" s="1"/>
  <c r="C930" i="10"/>
  <c r="D930" i="10" s="1"/>
  <c r="C837" i="10"/>
  <c r="D837" i="10" s="1"/>
  <c r="C851" i="10"/>
  <c r="D851" i="10" s="1"/>
  <c r="C175" i="10"/>
  <c r="D175" i="10" s="1"/>
  <c r="C146" i="10"/>
  <c r="D146" i="10" s="1"/>
  <c r="C100" i="10"/>
  <c r="D100" i="10" s="1"/>
  <c r="C231" i="10"/>
  <c r="D231" i="10" s="1"/>
  <c r="C500" i="10"/>
  <c r="D500" i="10" s="1"/>
  <c r="C717" i="10"/>
  <c r="D717" i="10" s="1"/>
  <c r="C940" i="10"/>
  <c r="D940" i="10" s="1"/>
  <c r="C893" i="10"/>
  <c r="D893" i="10" s="1"/>
  <c r="C831" i="10"/>
  <c r="D831" i="10" s="1"/>
  <c r="C94" i="10"/>
  <c r="D94" i="10" s="1"/>
  <c r="C299" i="10"/>
  <c r="D299" i="10" s="1"/>
  <c r="C432" i="10"/>
  <c r="D432" i="10" s="1"/>
  <c r="C99" i="10"/>
  <c r="D99" i="10" s="1"/>
  <c r="C68" i="10"/>
  <c r="D68" i="10" s="1"/>
  <c r="C40" i="10"/>
  <c r="D40" i="10" s="1"/>
  <c r="C987" i="10"/>
  <c r="D987" i="10" s="1"/>
  <c r="C49" i="10"/>
  <c r="D49" i="10" s="1"/>
  <c r="C606" i="10"/>
  <c r="D606" i="10" s="1"/>
  <c r="C922" i="10"/>
  <c r="D922" i="10" s="1"/>
  <c r="C898" i="10"/>
  <c r="D898" i="10" s="1"/>
  <c r="C542" i="10"/>
  <c r="D542" i="10" s="1"/>
  <c r="C840" i="10"/>
  <c r="D840" i="10" s="1"/>
  <c r="C391" i="10"/>
  <c r="D391" i="10" s="1"/>
  <c r="C848" i="10"/>
  <c r="D848" i="10" s="1"/>
  <c r="C28" i="10"/>
  <c r="D28" i="10" s="1"/>
  <c r="C339" i="10"/>
  <c r="D339" i="10" s="1"/>
  <c r="C918" i="10"/>
  <c r="D918" i="10" s="1"/>
  <c r="C977" i="10"/>
  <c r="D977" i="10" s="1"/>
  <c r="C950" i="10"/>
  <c r="D950" i="10" s="1"/>
  <c r="C381" i="10"/>
  <c r="D381" i="10" s="1"/>
  <c r="C733" i="10"/>
  <c r="D733" i="10" s="1"/>
  <c r="C65" i="10"/>
  <c r="D65" i="10" s="1"/>
  <c r="C43" i="10"/>
  <c r="D43" i="10" s="1"/>
  <c r="C937" i="10"/>
  <c r="D937" i="10" s="1"/>
  <c r="C121" i="10"/>
  <c r="D121" i="10" s="1"/>
  <c r="C524" i="10"/>
  <c r="D524" i="10" s="1"/>
  <c r="I72" i="5"/>
  <c r="M72" i="5"/>
  <c r="M72" i="32" s="1"/>
  <c r="C333" i="10"/>
  <c r="D333" i="10" s="1"/>
  <c r="C654" i="10"/>
  <c r="D654" i="10" s="1"/>
  <c r="C646" i="10"/>
  <c r="D646" i="10" s="1"/>
  <c r="C459" i="10"/>
  <c r="D459" i="10" s="1"/>
  <c r="C330" i="10"/>
  <c r="D330" i="10" s="1"/>
  <c r="C268" i="10"/>
  <c r="D268" i="10" s="1"/>
  <c r="C428" i="10"/>
  <c r="D428" i="10" s="1"/>
  <c r="C495" i="10"/>
  <c r="D495" i="10" s="1"/>
  <c r="C228" i="10"/>
  <c r="D228" i="10" s="1"/>
  <c r="C570" i="10"/>
  <c r="D570" i="10" s="1"/>
  <c r="C409" i="10"/>
  <c r="D409" i="10" s="1"/>
  <c r="C253" i="10"/>
  <c r="D253" i="10" s="1"/>
  <c r="C703" i="10"/>
  <c r="D703" i="10" s="1"/>
  <c r="C982" i="10"/>
  <c r="D982" i="10" s="1"/>
  <c r="C365" i="10"/>
  <c r="D365" i="10" s="1"/>
  <c r="C69" i="10"/>
  <c r="D69" i="10" s="1"/>
  <c r="C203" i="10"/>
  <c r="D203" i="10" s="1"/>
  <c r="C790" i="10"/>
  <c r="D790" i="10" s="1"/>
  <c r="C147" i="10"/>
  <c r="D147" i="10" s="1"/>
  <c r="C891" i="10"/>
  <c r="D891" i="10" s="1"/>
  <c r="C835" i="10"/>
  <c r="D835" i="10" s="1"/>
  <c r="C777" i="10"/>
  <c r="D777" i="10" s="1"/>
  <c r="C729" i="10"/>
  <c r="D729" i="10" s="1"/>
  <c r="C619" i="10"/>
  <c r="D619" i="10" s="1"/>
  <c r="C78" i="10"/>
  <c r="D78" i="10" s="1"/>
  <c r="C30" i="10"/>
  <c r="D30" i="10" s="1"/>
  <c r="C238" i="10"/>
  <c r="D238" i="10" s="1"/>
  <c r="C452" i="10"/>
  <c r="D452" i="10" s="1"/>
  <c r="C618" i="10"/>
  <c r="D618" i="10" s="1"/>
  <c r="C292" i="10"/>
  <c r="D292" i="10" s="1"/>
  <c r="C354" i="10"/>
  <c r="D354" i="10" s="1"/>
  <c r="C543" i="10"/>
  <c r="D543" i="10" s="1"/>
  <c r="C477" i="10"/>
  <c r="D477" i="10" s="1"/>
  <c r="C966" i="10"/>
  <c r="D966" i="10" s="1"/>
  <c r="C224" i="10"/>
  <c r="D224" i="10" s="1"/>
  <c r="C371" i="10"/>
  <c r="D371" i="10" s="1"/>
  <c r="C336" i="10"/>
  <c r="D336" i="10" s="1"/>
  <c r="C467" i="10"/>
  <c r="D467" i="10" s="1"/>
  <c r="C525" i="10"/>
  <c r="D525" i="10" s="1"/>
  <c r="C802" i="10"/>
  <c r="D802" i="10" s="1"/>
  <c r="C817" i="10"/>
  <c r="D817" i="10" s="1"/>
  <c r="C505" i="10"/>
  <c r="D505" i="10" s="1"/>
  <c r="C460" i="10"/>
  <c r="D460" i="10" s="1"/>
  <c r="C246" i="10"/>
  <c r="D246" i="10" s="1"/>
  <c r="C340" i="10"/>
  <c r="D340" i="10" s="1"/>
  <c r="C454" i="10"/>
  <c r="D454" i="10" s="1"/>
  <c r="C504" i="10"/>
  <c r="D504" i="10" s="1"/>
  <c r="C795" i="10"/>
  <c r="D795" i="10" s="1"/>
  <c r="C269" i="10"/>
  <c r="D269" i="10" s="1"/>
  <c r="C392" i="10"/>
  <c r="D392" i="10" s="1"/>
  <c r="C82" i="10"/>
  <c r="D82" i="10" s="1"/>
  <c r="C285" i="10"/>
  <c r="D285" i="10" s="1"/>
  <c r="C885" i="10"/>
  <c r="D885" i="10" s="1"/>
  <c r="C444" i="10"/>
  <c r="D444" i="10" s="1"/>
  <c r="C148" i="10"/>
  <c r="D148" i="10" s="1"/>
  <c r="C849" i="10"/>
  <c r="D849" i="10" s="1"/>
  <c r="C41" i="10"/>
  <c r="D41" i="10" s="1"/>
  <c r="C856" i="10"/>
  <c r="D856" i="10" s="1"/>
  <c r="C726" i="10"/>
  <c r="D726" i="10" s="1"/>
  <c r="C256" i="10"/>
  <c r="D256" i="10" s="1"/>
  <c r="C413" i="10"/>
  <c r="D413" i="10" s="1"/>
  <c r="C182" i="10"/>
  <c r="D182" i="10" s="1"/>
  <c r="C135" i="10"/>
  <c r="D135" i="10" s="1"/>
  <c r="C761" i="10"/>
  <c r="D761" i="10" s="1"/>
  <c r="C479" i="10"/>
  <c r="D479" i="10" s="1"/>
  <c r="C84" i="10"/>
  <c r="D84" i="10" s="1"/>
  <c r="C833" i="10"/>
  <c r="D833" i="10" s="1"/>
  <c r="C775" i="10"/>
  <c r="D775" i="10" s="1"/>
  <c r="C878" i="10"/>
  <c r="D878" i="10" s="1"/>
  <c r="C659" i="10"/>
  <c r="D659" i="10" s="1"/>
  <c r="C706" i="10"/>
  <c r="D706" i="10" s="1"/>
  <c r="C307" i="10"/>
  <c r="D307" i="10" s="1"/>
  <c r="C301" i="10"/>
  <c r="D301" i="10" s="1"/>
  <c r="C599" i="10"/>
  <c r="D599" i="10" s="1"/>
  <c r="L97" i="32"/>
  <c r="L99" i="5"/>
  <c r="I98" i="32"/>
  <c r="I99" i="32" s="1"/>
  <c r="I99" i="5"/>
  <c r="C877" i="10"/>
  <c r="D877" i="10" s="1"/>
  <c r="C867" i="10"/>
  <c r="D867" i="10" s="1"/>
  <c r="C353" i="10"/>
  <c r="D353" i="10" s="1"/>
  <c r="C297" i="10"/>
  <c r="D297" i="10" s="1"/>
  <c r="C931" i="10"/>
  <c r="D931" i="10" s="1"/>
  <c r="C881" i="10"/>
  <c r="D881" i="10" s="1"/>
  <c r="C109" i="10"/>
  <c r="D109" i="10" s="1"/>
  <c r="C806" i="10"/>
  <c r="D806" i="10" s="1"/>
  <c r="C946" i="10"/>
  <c r="D946" i="10" s="1"/>
  <c r="C137" i="10"/>
  <c r="D137" i="10" s="1"/>
  <c r="C117" i="10"/>
  <c r="D117" i="10" s="1"/>
  <c r="C434" i="10"/>
  <c r="D434" i="10" s="1"/>
  <c r="C925" i="10"/>
  <c r="D925" i="10" s="1"/>
  <c r="C989" i="10"/>
  <c r="D989" i="10" s="1"/>
  <c r="C161" i="10"/>
  <c r="D161" i="10" s="1"/>
  <c r="C929" i="10"/>
  <c r="D929" i="10" s="1"/>
  <c r="C27" i="10"/>
  <c r="D27" i="10" s="1"/>
  <c r="C487" i="10"/>
  <c r="D487" i="10" s="1"/>
  <c r="C823" i="10"/>
  <c r="D823" i="10" s="1"/>
  <c r="C33" i="10"/>
  <c r="D33" i="10" s="1"/>
  <c r="C880" i="10"/>
  <c r="D880" i="10" s="1"/>
  <c r="C235" i="10"/>
  <c r="D235" i="10" s="1"/>
  <c r="C512" i="10"/>
  <c r="D512" i="10" s="1"/>
  <c r="C561" i="10"/>
  <c r="D561" i="10" s="1"/>
  <c r="C374" i="10"/>
  <c r="D374" i="10" s="1"/>
  <c r="C312" i="10"/>
  <c r="D312" i="10" s="1"/>
  <c r="C574" i="10"/>
  <c r="D574" i="10" s="1"/>
  <c r="C797" i="10"/>
  <c r="D797" i="10" s="1"/>
  <c r="C303" i="10"/>
  <c r="D303" i="10" s="1"/>
  <c r="C172" i="10"/>
  <c r="D172" i="10" s="1"/>
  <c r="C56" i="10"/>
  <c r="D56" i="10" s="1"/>
  <c r="C89" i="10"/>
  <c r="D89" i="10" s="1"/>
  <c r="C519" i="10"/>
  <c r="D519" i="10" s="1"/>
  <c r="C221" i="10"/>
  <c r="D221" i="10" s="1"/>
  <c r="C936" i="10"/>
  <c r="D936" i="10" s="1"/>
  <c r="C897" i="10"/>
  <c r="D897" i="10" s="1"/>
  <c r="C273" i="10"/>
  <c r="D273" i="10" s="1"/>
  <c r="C108" i="10"/>
  <c r="D108" i="10" s="1"/>
  <c r="C917" i="10"/>
  <c r="D917" i="10" s="1"/>
  <c r="C886" i="10"/>
  <c r="D886" i="10" s="1"/>
  <c r="C131" i="10"/>
  <c r="D131" i="10" s="1"/>
  <c r="C415" i="10"/>
  <c r="D415" i="10" s="1"/>
  <c r="C904" i="10"/>
  <c r="D904" i="10" s="1"/>
  <c r="C98" i="10"/>
  <c r="D98" i="10" s="1"/>
  <c r="C481" i="10"/>
  <c r="D481" i="10" s="1"/>
  <c r="C710" i="10"/>
  <c r="D710" i="10" s="1"/>
  <c r="C660" i="10"/>
  <c r="D660" i="10" s="1"/>
  <c r="C70" i="10"/>
  <c r="D70" i="10" s="1"/>
  <c r="C255" i="10"/>
  <c r="D255" i="10" s="1"/>
  <c r="C471" i="10"/>
  <c r="D471" i="10" s="1"/>
  <c r="C403" i="10"/>
  <c r="D403" i="10" s="1"/>
  <c r="C685" i="10"/>
  <c r="D685" i="10" s="1"/>
  <c r="C366" i="10"/>
  <c r="D366" i="10" s="1"/>
  <c r="C419" i="10"/>
  <c r="D419" i="10" s="1"/>
  <c r="C496" i="10"/>
  <c r="D496" i="10" s="1"/>
  <c r="C600" i="10"/>
  <c r="D600" i="10" s="1"/>
  <c r="C52" i="10"/>
  <c r="D52" i="10" s="1"/>
  <c r="C433" i="10"/>
  <c r="D433" i="10" s="1"/>
  <c r="C411" i="10"/>
  <c r="D411" i="10" s="1"/>
  <c r="C252" i="10"/>
  <c r="D252" i="10" s="1"/>
  <c r="C358" i="10"/>
  <c r="D358" i="10" s="1"/>
  <c r="C494" i="10"/>
  <c r="D494" i="10" s="1"/>
  <c r="C544" i="10"/>
  <c r="D544" i="10" s="1"/>
  <c r="C173" i="10"/>
  <c r="D173" i="10" s="1"/>
  <c r="C181" i="10"/>
  <c r="D181" i="10" s="1"/>
  <c r="C498" i="10"/>
  <c r="D498" i="10" s="1"/>
  <c r="C254" i="10"/>
  <c r="D254" i="10" s="1"/>
  <c r="C356" i="10"/>
  <c r="D356" i="10" s="1"/>
  <c r="C470" i="10"/>
  <c r="D470" i="10" s="1"/>
  <c r="C106" i="10"/>
  <c r="D106" i="10" s="1"/>
  <c r="C644" i="10"/>
  <c r="D644" i="10" s="1"/>
  <c r="C566" i="10"/>
  <c r="D566" i="10" s="1"/>
  <c r="C39" i="10"/>
  <c r="D39" i="10" s="1"/>
  <c r="C842" i="10"/>
  <c r="D842" i="10" s="1"/>
  <c r="C341" i="10"/>
  <c r="D341" i="10" s="1"/>
  <c r="C164" i="10"/>
  <c r="D164" i="10" s="1"/>
  <c r="C894" i="10"/>
  <c r="D894" i="10" s="1"/>
  <c r="C960" i="10"/>
  <c r="D960" i="10" s="1"/>
  <c r="C718" i="10"/>
  <c r="D718" i="10" s="1"/>
  <c r="C666" i="10"/>
  <c r="D666" i="10" s="1"/>
  <c r="C321" i="10"/>
  <c r="D321" i="10" s="1"/>
  <c r="C320" i="10"/>
  <c r="D320" i="10" s="1"/>
  <c r="C458" i="10"/>
  <c r="D458" i="10" s="1"/>
  <c r="C475" i="10"/>
  <c r="D475" i="10" s="1"/>
  <c r="C476" i="10"/>
  <c r="D476" i="10" s="1"/>
  <c r="C466" i="10"/>
  <c r="D466" i="10" s="1"/>
  <c r="C874" i="10"/>
  <c r="D874" i="10" s="1"/>
  <c r="C51" i="10"/>
  <c r="D51" i="10" s="1"/>
  <c r="C694" i="10"/>
  <c r="D694" i="10" s="1"/>
  <c r="C402" i="10"/>
  <c r="D402" i="10" s="1"/>
  <c r="D92" i="32"/>
  <c r="D94" i="5"/>
  <c r="F93" i="32"/>
  <c r="F94" i="5"/>
  <c r="F88" i="32"/>
  <c r="O88" i="32" s="1"/>
  <c r="F89" i="5"/>
  <c r="L89" i="32"/>
  <c r="H92" i="32"/>
  <c r="H94" i="32" s="1"/>
  <c r="H94" i="5"/>
  <c r="O68" i="5"/>
  <c r="D89" i="32"/>
  <c r="J89" i="32"/>
  <c r="N89" i="5"/>
  <c r="N87" i="32"/>
  <c r="N89" i="32" s="1"/>
  <c r="N92" i="32"/>
  <c r="N94" i="32" s="1"/>
  <c r="N94" i="5"/>
  <c r="C94" i="32"/>
  <c r="D99" i="32"/>
  <c r="K99" i="32"/>
  <c r="J76" i="32"/>
  <c r="J94" i="5"/>
  <c r="C79" i="5" l="1"/>
  <c r="F79" i="5"/>
  <c r="F79" i="32"/>
  <c r="O68" i="32"/>
  <c r="M79" i="32"/>
  <c r="L79" i="32"/>
  <c r="O62" i="32"/>
  <c r="O61" i="32"/>
  <c r="O70" i="32"/>
  <c r="I79" i="32"/>
  <c r="N79" i="32"/>
  <c r="C79" i="32"/>
  <c r="K73" i="32"/>
  <c r="O63" i="32"/>
  <c r="O94" i="5"/>
  <c r="H79" i="32"/>
  <c r="K79" i="32"/>
  <c r="L79" i="5"/>
  <c r="O77" i="32"/>
  <c r="J73" i="32"/>
  <c r="E79" i="5"/>
  <c r="G79" i="32"/>
  <c r="D73" i="5"/>
  <c r="E73" i="32"/>
  <c r="K79" i="5"/>
  <c r="L73" i="32"/>
  <c r="J79" i="5"/>
  <c r="H79" i="5"/>
  <c r="E79" i="32"/>
  <c r="D79" i="32"/>
  <c r="E73" i="5"/>
  <c r="H73" i="32"/>
  <c r="D79" i="5"/>
  <c r="C73" i="32"/>
  <c r="N73" i="32"/>
  <c r="L73" i="5"/>
  <c r="F73" i="32"/>
  <c r="J79" i="32"/>
  <c r="I79" i="5"/>
  <c r="K73" i="5"/>
  <c r="N73" i="5"/>
  <c r="O99" i="5"/>
  <c r="C73" i="5"/>
  <c r="H73" i="5"/>
  <c r="J73" i="5"/>
  <c r="O93" i="32"/>
  <c r="M79" i="5"/>
  <c r="F73" i="5"/>
  <c r="M73" i="32"/>
  <c r="N79" i="5"/>
  <c r="G79" i="5"/>
  <c r="G73" i="5"/>
  <c r="O74" i="32"/>
  <c r="O78" i="32"/>
  <c r="M73" i="5"/>
  <c r="D73" i="32"/>
  <c r="K52" i="5"/>
  <c r="K52" i="32" s="1"/>
  <c r="O76" i="32"/>
  <c r="O71" i="32"/>
  <c r="M16" i="5"/>
  <c r="M16" i="32" s="1"/>
  <c r="O20" i="5"/>
  <c r="G28" i="5"/>
  <c r="G28" i="32" s="1"/>
  <c r="N50" i="5"/>
  <c r="N50" i="32" s="1"/>
  <c r="J23" i="5"/>
  <c r="J23" i="32" s="1"/>
  <c r="I15" i="5"/>
  <c r="I15" i="32" s="1"/>
  <c r="G41" i="5"/>
  <c r="G41" i="32" s="1"/>
  <c r="I37" i="5"/>
  <c r="I37" i="32" s="1"/>
  <c r="F58" i="5"/>
  <c r="F58" i="32" s="1"/>
  <c r="M48" i="5"/>
  <c r="M48" i="32" s="1"/>
  <c r="I54" i="5"/>
  <c r="I54" i="32" s="1"/>
  <c r="J38" i="5"/>
  <c r="J38" i="32" s="1"/>
  <c r="D22" i="5"/>
  <c r="D22" i="32" s="1"/>
  <c r="M14" i="5"/>
  <c r="M14" i="32" s="1"/>
  <c r="E42" i="5"/>
  <c r="E42" i="32" s="1"/>
  <c r="I27" i="5"/>
  <c r="I27" i="32" s="1"/>
  <c r="K9" i="5"/>
  <c r="K9" i="32" s="1"/>
  <c r="L6" i="5"/>
  <c r="G25" i="5"/>
  <c r="G25" i="32" s="1"/>
  <c r="E26" i="5"/>
  <c r="E26" i="32" s="1"/>
  <c r="K44" i="5"/>
  <c r="K44" i="32" s="1"/>
  <c r="L52" i="5"/>
  <c r="L52" i="32" s="1"/>
  <c r="K42" i="5"/>
  <c r="K42" i="32" s="1"/>
  <c r="O50" i="5"/>
  <c r="H42" i="5"/>
  <c r="H42" i="32" s="1"/>
  <c r="O16" i="5"/>
  <c r="K65" i="5"/>
  <c r="K65" i="32" s="1"/>
  <c r="M56" i="5"/>
  <c r="M56" i="32" s="1"/>
  <c r="D17" i="5"/>
  <c r="D17" i="32" s="1"/>
  <c r="K47" i="5"/>
  <c r="K47" i="32" s="1"/>
  <c r="L58" i="5"/>
  <c r="L58" i="32" s="1"/>
  <c r="N26" i="5"/>
  <c r="N26" i="32" s="1"/>
  <c r="K57" i="5"/>
  <c r="K57" i="32" s="1"/>
  <c r="H9" i="5"/>
  <c r="H9" i="32" s="1"/>
  <c r="K56" i="5"/>
  <c r="K56" i="32" s="1"/>
  <c r="L56" i="5"/>
  <c r="L56" i="32" s="1"/>
  <c r="J19" i="5"/>
  <c r="J19" i="32" s="1"/>
  <c r="K23" i="5"/>
  <c r="K23" i="32" s="1"/>
  <c r="M49" i="5"/>
  <c r="M49" i="32" s="1"/>
  <c r="L35" i="5"/>
  <c r="L35" i="32" s="1"/>
  <c r="J51" i="5"/>
  <c r="J51" i="32" s="1"/>
  <c r="I43" i="5"/>
  <c r="I43" i="32" s="1"/>
  <c r="E59" i="5"/>
  <c r="E59" i="32" s="1"/>
  <c r="I29" i="5"/>
  <c r="I29" i="32" s="1"/>
  <c r="L19" i="5"/>
  <c r="L19" i="32" s="1"/>
  <c r="G45" i="5"/>
  <c r="G45" i="32" s="1"/>
  <c r="F48" i="5"/>
  <c r="F48" i="32" s="1"/>
  <c r="M32" i="5"/>
  <c r="M32" i="32" s="1"/>
  <c r="I28" i="5"/>
  <c r="I28" i="32" s="1"/>
  <c r="H65" i="5"/>
  <c r="H65" i="32" s="1"/>
  <c r="F94" i="32"/>
  <c r="G48" i="5"/>
  <c r="G48" i="32" s="1"/>
  <c r="L7" i="5"/>
  <c r="L7" i="32" s="1"/>
  <c r="C6" i="5"/>
  <c r="C6" i="32" s="1"/>
  <c r="I56" i="5"/>
  <c r="I56" i="32" s="1"/>
  <c r="I20" i="5"/>
  <c r="I20" i="32" s="1"/>
  <c r="N7" i="5"/>
  <c r="N7" i="32" s="1"/>
  <c r="E29" i="5"/>
  <c r="E29" i="32" s="1"/>
  <c r="K28" i="5"/>
  <c r="K28" i="32" s="1"/>
  <c r="G9" i="5"/>
  <c r="G9" i="32" s="1"/>
  <c r="C36" i="5"/>
  <c r="C36" i="32" s="1"/>
  <c r="D34" i="5"/>
  <c r="D34" i="32" s="1"/>
  <c r="K38" i="5"/>
  <c r="K38" i="32" s="1"/>
  <c r="O57" i="5"/>
  <c r="G52" i="5"/>
  <c r="G52" i="32" s="1"/>
  <c r="M22" i="5"/>
  <c r="M22" i="32" s="1"/>
  <c r="J40" i="5"/>
  <c r="J40" i="32" s="1"/>
  <c r="C41" i="5"/>
  <c r="C41" i="32" s="1"/>
  <c r="O40" i="5"/>
  <c r="H59" i="5"/>
  <c r="H59" i="32" s="1"/>
  <c r="J47" i="5"/>
  <c r="J47" i="32" s="1"/>
  <c r="L32" i="5"/>
  <c r="L32" i="32" s="1"/>
  <c r="L9" i="5"/>
  <c r="L9" i="32" s="1"/>
  <c r="J45" i="5"/>
  <c r="J45" i="32" s="1"/>
  <c r="N57" i="5"/>
  <c r="N57" i="32" s="1"/>
  <c r="C44" i="5"/>
  <c r="C44" i="32" s="1"/>
  <c r="C33" i="5"/>
  <c r="C33" i="32" s="1"/>
  <c r="E39" i="5"/>
  <c r="E39" i="32" s="1"/>
  <c r="N10" i="5"/>
  <c r="N10" i="32" s="1"/>
  <c r="I14" i="5"/>
  <c r="I14" i="32" s="1"/>
  <c r="C9" i="5"/>
  <c r="C9" i="32" s="1"/>
  <c r="E10" i="5"/>
  <c r="E10" i="32" s="1"/>
  <c r="L17" i="5"/>
  <c r="L17" i="32" s="1"/>
  <c r="O53" i="5"/>
  <c r="O44" i="5"/>
  <c r="J41" i="5"/>
  <c r="J41" i="32" s="1"/>
  <c r="H30" i="5"/>
  <c r="H30" i="32" s="1"/>
  <c r="N51" i="5"/>
  <c r="N51" i="32" s="1"/>
  <c r="K58" i="5"/>
  <c r="K58" i="32" s="1"/>
  <c r="D33" i="5"/>
  <c r="D33" i="32" s="1"/>
  <c r="M36" i="5"/>
  <c r="M36" i="32" s="1"/>
  <c r="E14" i="5"/>
  <c r="E14" i="32" s="1"/>
  <c r="C22" i="5"/>
  <c r="C22" i="32" s="1"/>
  <c r="L26" i="5"/>
  <c r="L26" i="32" s="1"/>
  <c r="L24" i="5"/>
  <c r="L24" i="32" s="1"/>
  <c r="C46" i="5"/>
  <c r="C46" i="32" s="1"/>
  <c r="L41" i="5"/>
  <c r="L41" i="32" s="1"/>
  <c r="L10" i="5"/>
  <c r="L10" i="32" s="1"/>
  <c r="N38" i="5"/>
  <c r="N38" i="32" s="1"/>
  <c r="F46" i="5"/>
  <c r="F46" i="32" s="1"/>
  <c r="O22" i="5"/>
  <c r="J18" i="5"/>
  <c r="J18" i="32" s="1"/>
  <c r="C56" i="5"/>
  <c r="C56" i="32" s="1"/>
  <c r="K19" i="5"/>
  <c r="K19" i="32" s="1"/>
  <c r="K6" i="5"/>
  <c r="K6" i="32" s="1"/>
  <c r="O15" i="5"/>
  <c r="K24" i="5"/>
  <c r="K24" i="32" s="1"/>
  <c r="N55" i="5"/>
  <c r="N55" i="32" s="1"/>
  <c r="I10" i="5"/>
  <c r="I10" i="32" s="1"/>
  <c r="G27" i="5"/>
  <c r="G27" i="32" s="1"/>
  <c r="K32" i="5"/>
  <c r="K32" i="32" s="1"/>
  <c r="G17" i="5"/>
  <c r="G17" i="32" s="1"/>
  <c r="D44" i="5"/>
  <c r="D44" i="32" s="1"/>
  <c r="C35" i="5"/>
  <c r="C35" i="32" s="1"/>
  <c r="F65" i="5"/>
  <c r="F65" i="32" s="1"/>
  <c r="H6" i="5"/>
  <c r="H6" i="32" s="1"/>
  <c r="O14" i="5"/>
  <c r="F38" i="5"/>
  <c r="F38" i="32" s="1"/>
  <c r="I33" i="5"/>
  <c r="I33" i="32" s="1"/>
  <c r="G65" i="5"/>
  <c r="G65" i="32" s="1"/>
  <c r="H39" i="5"/>
  <c r="H39" i="32" s="1"/>
  <c r="O43" i="5"/>
  <c r="J39" i="5"/>
  <c r="J39" i="32" s="1"/>
  <c r="H35" i="5"/>
  <c r="H35" i="32" s="1"/>
  <c r="I41" i="5"/>
  <c r="I41" i="32" s="1"/>
  <c r="F15" i="5"/>
  <c r="F15" i="32" s="1"/>
  <c r="M65" i="5"/>
  <c r="M65" i="32" s="1"/>
  <c r="O65" i="5"/>
  <c r="F16" i="5"/>
  <c r="F16" i="32" s="1"/>
  <c r="D65" i="5"/>
  <c r="D65" i="32" s="1"/>
  <c r="N48" i="5"/>
  <c r="N48" i="32" s="1"/>
  <c r="N17" i="5"/>
  <c r="N17" i="32" s="1"/>
  <c r="I44" i="5"/>
  <c r="I44" i="32" s="1"/>
  <c r="J14" i="5"/>
  <c r="J14" i="32" s="1"/>
  <c r="D10" i="5"/>
  <c r="D10" i="32" s="1"/>
  <c r="O9" i="5"/>
  <c r="M42" i="5"/>
  <c r="M42" i="32" s="1"/>
  <c r="H19" i="5"/>
  <c r="H19" i="32" s="1"/>
  <c r="L29" i="5"/>
  <c r="L29" i="32" s="1"/>
  <c r="F32" i="5"/>
  <c r="F32" i="32" s="1"/>
  <c r="L33" i="5"/>
  <c r="L33" i="32" s="1"/>
  <c r="F28" i="5"/>
  <c r="F28" i="32" s="1"/>
  <c r="M23" i="5"/>
  <c r="M23" i="32" s="1"/>
  <c r="N39" i="5"/>
  <c r="N39" i="32" s="1"/>
  <c r="C29" i="5"/>
  <c r="C29" i="32" s="1"/>
  <c r="J15" i="5"/>
  <c r="J15" i="32" s="1"/>
  <c r="C47" i="5"/>
  <c r="C47" i="32" s="1"/>
  <c r="H46" i="5"/>
  <c r="H46" i="32" s="1"/>
  <c r="I39" i="5"/>
  <c r="I39" i="32" s="1"/>
  <c r="N24" i="5"/>
  <c r="N24" i="32" s="1"/>
  <c r="O33" i="5"/>
  <c r="D52" i="5"/>
  <c r="D52" i="32" s="1"/>
  <c r="L49" i="5"/>
  <c r="L49" i="32" s="1"/>
  <c r="F27" i="5"/>
  <c r="F27" i="32" s="1"/>
  <c r="N42" i="5"/>
  <c r="N42" i="32" s="1"/>
  <c r="D7" i="5"/>
  <c r="D7" i="32" s="1"/>
  <c r="E7" i="5"/>
  <c r="E7" i="32" s="1"/>
  <c r="M46" i="5"/>
  <c r="M46" i="32" s="1"/>
  <c r="O35" i="5"/>
  <c r="D31" i="5"/>
  <c r="D31" i="32" s="1"/>
  <c r="G35" i="5"/>
  <c r="G35" i="32" s="1"/>
  <c r="N35" i="5"/>
  <c r="N35" i="32" s="1"/>
  <c r="M55" i="5"/>
  <c r="M55" i="32" s="1"/>
  <c r="M10" i="5"/>
  <c r="M10" i="32" s="1"/>
  <c r="F89" i="32"/>
  <c r="F6" i="5"/>
  <c r="F6" i="32" s="1"/>
  <c r="L14" i="5"/>
  <c r="L14" i="32" s="1"/>
  <c r="H51" i="5"/>
  <c r="H51" i="32" s="1"/>
  <c r="F49" i="5"/>
  <c r="F49" i="32" s="1"/>
  <c r="K34" i="5"/>
  <c r="K34" i="32" s="1"/>
  <c r="O32" i="5"/>
  <c r="D59" i="5"/>
  <c r="D59" i="32" s="1"/>
  <c r="K20" i="5"/>
  <c r="K20" i="32" s="1"/>
  <c r="E27" i="5"/>
  <c r="E27" i="32" s="1"/>
  <c r="O52" i="5"/>
  <c r="M17" i="5"/>
  <c r="M17" i="32" s="1"/>
  <c r="D18" i="5"/>
  <c r="D18" i="32" s="1"/>
  <c r="N23" i="5"/>
  <c r="N23" i="32" s="1"/>
  <c r="K27" i="5"/>
  <c r="K27" i="32" s="1"/>
  <c r="O54" i="5"/>
  <c r="F18" i="5"/>
  <c r="F18" i="32" s="1"/>
  <c r="O37" i="5"/>
  <c r="K54" i="5"/>
  <c r="K54" i="32" s="1"/>
  <c r="M53" i="5"/>
  <c r="M53" i="32" s="1"/>
  <c r="K41" i="5"/>
  <c r="K41" i="32" s="1"/>
  <c r="O48" i="5"/>
  <c r="N19" i="5"/>
  <c r="N19" i="32" s="1"/>
  <c r="H38" i="5"/>
  <c r="H38" i="32" s="1"/>
  <c r="E35" i="5"/>
  <c r="E35" i="32" s="1"/>
  <c r="H53" i="5"/>
  <c r="H53" i="32" s="1"/>
  <c r="J32" i="5"/>
  <c r="J32" i="32" s="1"/>
  <c r="H26" i="5"/>
  <c r="H26" i="32" s="1"/>
  <c r="D24" i="5"/>
  <c r="D24" i="32" s="1"/>
  <c r="G44" i="5"/>
  <c r="G44" i="32" s="1"/>
  <c r="C49" i="5"/>
  <c r="C49" i="32" s="1"/>
  <c r="H47" i="5"/>
  <c r="H47" i="32" s="1"/>
  <c r="F36" i="5"/>
  <c r="F36" i="32" s="1"/>
  <c r="H17" i="5"/>
  <c r="H17" i="32" s="1"/>
  <c r="F55" i="5"/>
  <c r="F55" i="32" s="1"/>
  <c r="D40" i="5"/>
  <c r="D40" i="32" s="1"/>
  <c r="D54" i="5"/>
  <c r="D54" i="32" s="1"/>
  <c r="D58" i="5"/>
  <c r="D58" i="32" s="1"/>
  <c r="J44" i="5"/>
  <c r="J44" i="32" s="1"/>
  <c r="C14" i="5"/>
  <c r="C14" i="32" s="1"/>
  <c r="C59" i="5"/>
  <c r="C59" i="32" s="1"/>
  <c r="J20" i="5"/>
  <c r="J20" i="32" s="1"/>
  <c r="N34" i="5"/>
  <c r="N34" i="32" s="1"/>
  <c r="G36" i="5"/>
  <c r="G36" i="32" s="1"/>
  <c r="O39" i="5"/>
  <c r="C21" i="5"/>
  <c r="C21" i="32" s="1"/>
  <c r="L15" i="5"/>
  <c r="L15" i="32" s="1"/>
  <c r="G14" i="5"/>
  <c r="G14" i="32" s="1"/>
  <c r="O47" i="5"/>
  <c r="N59" i="5"/>
  <c r="N59" i="32" s="1"/>
  <c r="G46" i="5"/>
  <c r="G46" i="32" s="1"/>
  <c r="K10" i="5"/>
  <c r="K10" i="32" s="1"/>
  <c r="C48" i="5"/>
  <c r="C48" i="32" s="1"/>
  <c r="C24" i="5"/>
  <c r="C24" i="32" s="1"/>
  <c r="C55" i="5"/>
  <c r="C55" i="32" s="1"/>
  <c r="I21" i="5"/>
  <c r="I21" i="32" s="1"/>
  <c r="M58" i="5"/>
  <c r="M58" i="32" s="1"/>
  <c r="L43" i="5"/>
  <c r="L43" i="32" s="1"/>
  <c r="G58" i="5"/>
  <c r="G58" i="32" s="1"/>
  <c r="I7" i="5"/>
  <c r="I7" i="32" s="1"/>
  <c r="F30" i="5"/>
  <c r="F30" i="32" s="1"/>
  <c r="C15" i="5"/>
  <c r="C15" i="32" s="1"/>
  <c r="M57" i="5"/>
  <c r="M57" i="32" s="1"/>
  <c r="C60" i="5"/>
  <c r="C60" i="32" s="1"/>
  <c r="N28" i="5"/>
  <c r="N28" i="32" s="1"/>
  <c r="O41" i="5"/>
  <c r="J22" i="5"/>
  <c r="J22" i="32" s="1"/>
  <c r="D36" i="5"/>
  <c r="D36" i="32" s="1"/>
  <c r="N41" i="5"/>
  <c r="N41" i="32" s="1"/>
  <c r="M31" i="5"/>
  <c r="M31" i="32" s="1"/>
  <c r="G15" i="5"/>
  <c r="G15" i="32" s="1"/>
  <c r="H16" i="5"/>
  <c r="H16" i="32" s="1"/>
  <c r="C19" i="5"/>
  <c r="C19" i="32" s="1"/>
  <c r="E17" i="5"/>
  <c r="E17" i="32" s="1"/>
  <c r="D47" i="5"/>
  <c r="D47" i="32" s="1"/>
  <c r="E60" i="5"/>
  <c r="E60" i="32" s="1"/>
  <c r="L39" i="5"/>
  <c r="L39" i="32" s="1"/>
  <c r="N32" i="5"/>
  <c r="N32" i="32" s="1"/>
  <c r="D27" i="5"/>
  <c r="D27" i="32" s="1"/>
  <c r="I32" i="5"/>
  <c r="I32" i="32" s="1"/>
  <c r="L30" i="5"/>
  <c r="L30" i="32" s="1"/>
  <c r="C38" i="5"/>
  <c r="C38" i="32" s="1"/>
  <c r="G23" i="5"/>
  <c r="G23" i="32" s="1"/>
  <c r="M40" i="5"/>
  <c r="M40" i="32" s="1"/>
  <c r="M18" i="5"/>
  <c r="M18" i="32" s="1"/>
  <c r="D60" i="5"/>
  <c r="D60" i="32" s="1"/>
  <c r="H10" i="5"/>
  <c r="H10" i="32" s="1"/>
  <c r="D50" i="5"/>
  <c r="D50" i="32" s="1"/>
  <c r="C10" i="5"/>
  <c r="C10" i="32" s="1"/>
  <c r="I57" i="5"/>
  <c r="I57" i="32" s="1"/>
  <c r="N36" i="5"/>
  <c r="N36" i="32" s="1"/>
  <c r="J25" i="5"/>
  <c r="J25" i="32" s="1"/>
  <c r="I53" i="5"/>
  <c r="I53" i="32" s="1"/>
  <c r="H54" i="5"/>
  <c r="H54" i="32" s="1"/>
  <c r="J24" i="5"/>
  <c r="J24" i="32" s="1"/>
  <c r="L28" i="5"/>
  <c r="L28" i="32" s="1"/>
  <c r="E19" i="5"/>
  <c r="E19" i="32" s="1"/>
  <c r="D29" i="5"/>
  <c r="D29" i="32" s="1"/>
  <c r="G42" i="5"/>
  <c r="G42" i="32" s="1"/>
  <c r="I46" i="5"/>
  <c r="I46" i="32" s="1"/>
  <c r="I36" i="5"/>
  <c r="I36" i="32" s="1"/>
  <c r="K55" i="5"/>
  <c r="K55" i="32" s="1"/>
  <c r="D21" i="5"/>
  <c r="D21" i="32" s="1"/>
  <c r="F42" i="5"/>
  <c r="F42" i="32" s="1"/>
  <c r="I60" i="5"/>
  <c r="I60" i="32" s="1"/>
  <c r="N58" i="5"/>
  <c r="N58" i="32" s="1"/>
  <c r="G59" i="5"/>
  <c r="G59" i="32" s="1"/>
  <c r="H58" i="5"/>
  <c r="H58" i="32" s="1"/>
  <c r="E41" i="5"/>
  <c r="E41" i="32" s="1"/>
  <c r="L50" i="5"/>
  <c r="L50" i="32" s="1"/>
  <c r="O36" i="5"/>
  <c r="J30" i="5"/>
  <c r="J30" i="32" s="1"/>
  <c r="N52" i="5"/>
  <c r="N52" i="32" s="1"/>
  <c r="K49" i="5"/>
  <c r="K49" i="32" s="1"/>
  <c r="F23" i="5"/>
  <c r="F23" i="32" s="1"/>
  <c r="G54" i="5"/>
  <c r="G54" i="32" s="1"/>
  <c r="I51" i="5"/>
  <c r="I51" i="32" s="1"/>
  <c r="D48" i="5"/>
  <c r="D48" i="32" s="1"/>
  <c r="J56" i="5"/>
  <c r="J56" i="32" s="1"/>
  <c r="D57" i="5"/>
  <c r="D57" i="32" s="1"/>
  <c r="M52" i="5"/>
  <c r="M52" i="32" s="1"/>
  <c r="F20" i="5"/>
  <c r="F20" i="32" s="1"/>
  <c r="H44" i="5"/>
  <c r="H44" i="32" s="1"/>
  <c r="H55" i="5"/>
  <c r="H55" i="32" s="1"/>
  <c r="F52" i="5"/>
  <c r="F52" i="32" s="1"/>
  <c r="K16" i="5"/>
  <c r="K16" i="32" s="1"/>
  <c r="K21" i="5"/>
  <c r="K21" i="32" s="1"/>
  <c r="K18" i="5"/>
  <c r="K18" i="32" s="1"/>
  <c r="E57" i="5"/>
  <c r="E57" i="32" s="1"/>
  <c r="G50" i="5"/>
  <c r="G50" i="32" s="1"/>
  <c r="J17" i="5"/>
  <c r="J17" i="32" s="1"/>
  <c r="N6" i="5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M51" i="5"/>
  <c r="M51" i="32" s="1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L18" i="5"/>
  <c r="L18" i="32" s="1"/>
  <c r="C39" i="5"/>
  <c r="C39" i="32" s="1"/>
  <c r="D9" i="5"/>
  <c r="D9" i="32" s="1"/>
  <c r="D23" i="5"/>
  <c r="D23" i="32" s="1"/>
  <c r="C17" i="5"/>
  <c r="C17" i="32" s="1"/>
  <c r="O27" i="5"/>
  <c r="I40" i="5"/>
  <c r="I40" i="32" s="1"/>
  <c r="D37" i="5"/>
  <c r="D37" i="32" s="1"/>
  <c r="N37" i="5"/>
  <c r="N37" i="32" s="1"/>
  <c r="K40" i="5"/>
  <c r="K40" i="32" s="1"/>
  <c r="L40" i="5"/>
  <c r="L40" i="32" s="1"/>
  <c r="J9" i="5"/>
  <c r="J9" i="32" s="1"/>
  <c r="O17" i="5"/>
  <c r="H27" i="5"/>
  <c r="H27" i="32" s="1"/>
  <c r="K26" i="5"/>
  <c r="K26" i="32" s="1"/>
  <c r="J60" i="5"/>
  <c r="J60" i="32" s="1"/>
  <c r="J26" i="5"/>
  <c r="J26" i="32" s="1"/>
  <c r="I45" i="5"/>
  <c r="I45" i="32" s="1"/>
  <c r="O29" i="5"/>
  <c r="M50" i="5"/>
  <c r="M50" i="32" s="1"/>
  <c r="N20" i="5"/>
  <c r="N20" i="32" s="1"/>
  <c r="K33" i="5"/>
  <c r="K33" i="32" s="1"/>
  <c r="H25" i="5"/>
  <c r="H25" i="32" s="1"/>
  <c r="G39" i="5"/>
  <c r="G39" i="32" s="1"/>
  <c r="K60" i="5"/>
  <c r="K60" i="32" s="1"/>
  <c r="L44" i="5"/>
  <c r="L44" i="32" s="1"/>
  <c r="N33" i="5"/>
  <c r="N33" i="32" s="1"/>
  <c r="F17" i="5"/>
  <c r="F17" i="32" s="1"/>
  <c r="D15" i="5"/>
  <c r="D15" i="32" s="1"/>
  <c r="D38" i="5"/>
  <c r="D38" i="32" s="1"/>
  <c r="O49" i="5"/>
  <c r="G57" i="5"/>
  <c r="G57" i="32" s="1"/>
  <c r="L37" i="5"/>
  <c r="L37" i="32" s="1"/>
  <c r="E6" i="5"/>
  <c r="E6" i="32" s="1"/>
  <c r="I9" i="5"/>
  <c r="I9" i="32" s="1"/>
  <c r="E15" i="5"/>
  <c r="E15" i="32" s="1"/>
  <c r="L46" i="5"/>
  <c r="L46" i="32" s="1"/>
  <c r="E32" i="5"/>
  <c r="E32" i="32" s="1"/>
  <c r="I58" i="5"/>
  <c r="I58" i="32" s="1"/>
  <c r="E40" i="5"/>
  <c r="E40" i="32" s="1"/>
  <c r="E34" i="5"/>
  <c r="E34" i="32" s="1"/>
  <c r="F47" i="5"/>
  <c r="F47" i="32" s="1"/>
  <c r="C32" i="5"/>
  <c r="C32" i="32" s="1"/>
  <c r="N47" i="5"/>
  <c r="N47" i="32" s="1"/>
  <c r="M29" i="5"/>
  <c r="M29" i="32" s="1"/>
  <c r="L47" i="5"/>
  <c r="L47" i="32" s="1"/>
  <c r="C26" i="5"/>
  <c r="C26" i="32" s="1"/>
  <c r="C40" i="5"/>
  <c r="C40" i="32" s="1"/>
  <c r="K30" i="5"/>
  <c r="K30" i="32" s="1"/>
  <c r="G30" i="5"/>
  <c r="G30" i="32" s="1"/>
  <c r="F50" i="5"/>
  <c r="F50" i="32" s="1"/>
  <c r="L25" i="5"/>
  <c r="L25" i="32" s="1"/>
  <c r="L55" i="5"/>
  <c r="L55" i="32" s="1"/>
  <c r="F9" i="5"/>
  <c r="F9" i="32" s="1"/>
  <c r="C58" i="5"/>
  <c r="C58" i="32" s="1"/>
  <c r="F54" i="5"/>
  <c r="F54" i="32" s="1"/>
  <c r="C43" i="5"/>
  <c r="C43" i="32" s="1"/>
  <c r="L57" i="5"/>
  <c r="L57" i="32" s="1"/>
  <c r="F60" i="5"/>
  <c r="F60" i="32" s="1"/>
  <c r="E44" i="5"/>
  <c r="E44" i="32" s="1"/>
  <c r="I52" i="5"/>
  <c r="I52" i="32" s="1"/>
  <c r="M15" i="5"/>
  <c r="M15" i="32" s="1"/>
  <c r="N56" i="5"/>
  <c r="N56" i="32" s="1"/>
  <c r="C51" i="5"/>
  <c r="C51" i="32" s="1"/>
  <c r="D14" i="5"/>
  <c r="D14" i="32" s="1"/>
  <c r="I55" i="5"/>
  <c r="I55" i="32" s="1"/>
  <c r="E33" i="5"/>
  <c r="E33" i="32" s="1"/>
  <c r="F57" i="5"/>
  <c r="F57" i="32" s="1"/>
  <c r="L59" i="5"/>
  <c r="L59" i="32" s="1"/>
  <c r="O25" i="5"/>
  <c r="G22" i="5"/>
  <c r="G22" i="32" s="1"/>
  <c r="I65" i="5"/>
  <c r="I65" i="32" s="1"/>
  <c r="M38" i="5"/>
  <c r="M38" i="32" s="1"/>
  <c r="N53" i="5"/>
  <c r="N53" i="32" s="1"/>
  <c r="J28" i="5"/>
  <c r="J28" i="32" s="1"/>
  <c r="C16" i="5"/>
  <c r="C16" i="32" s="1"/>
  <c r="E31" i="5"/>
  <c r="E31" i="32" s="1"/>
  <c r="F26" i="5"/>
  <c r="F26" i="32" s="1"/>
  <c r="M25" i="5"/>
  <c r="M25" i="32" s="1"/>
  <c r="K17" i="5"/>
  <c r="K17" i="32" s="1"/>
  <c r="E56" i="5"/>
  <c r="E56" i="32" s="1"/>
  <c r="E30" i="5"/>
  <c r="E30" i="32" s="1"/>
  <c r="G31" i="5"/>
  <c r="G31" i="32" s="1"/>
  <c r="H41" i="5"/>
  <c r="H41" i="32" s="1"/>
  <c r="O10" i="5"/>
  <c r="O79" i="5" s="1"/>
  <c r="J49" i="5"/>
  <c r="J49" i="32" s="1"/>
  <c r="E23" i="5"/>
  <c r="E23" i="32" s="1"/>
  <c r="L23" i="5"/>
  <c r="L23" i="32" s="1"/>
  <c r="F24" i="5"/>
  <c r="F24" i="32" s="1"/>
  <c r="J33" i="5"/>
  <c r="J33" i="32" s="1"/>
  <c r="H22" i="5"/>
  <c r="H22" i="32" s="1"/>
  <c r="K46" i="5"/>
  <c r="K46" i="32" s="1"/>
  <c r="L38" i="5"/>
  <c r="L38" i="32" s="1"/>
  <c r="I47" i="5"/>
  <c r="I47" i="32" s="1"/>
  <c r="H15" i="5"/>
  <c r="H15" i="32" s="1"/>
  <c r="J43" i="5"/>
  <c r="J43" i="32" s="1"/>
  <c r="F53" i="5"/>
  <c r="F53" i="32" s="1"/>
  <c r="G43" i="5"/>
  <c r="G43" i="32" s="1"/>
  <c r="L65" i="5"/>
  <c r="L65" i="32" s="1"/>
  <c r="G10" i="5"/>
  <c r="G10" i="32" s="1"/>
  <c r="C65" i="5"/>
  <c r="C65" i="32" s="1"/>
  <c r="J59" i="5"/>
  <c r="J59" i="32" s="1"/>
  <c r="J46" i="5"/>
  <c r="J46" i="32" s="1"/>
  <c r="I42" i="5"/>
  <c r="I42" i="32" s="1"/>
  <c r="C25" i="5"/>
  <c r="C25" i="32" s="1"/>
  <c r="H29" i="5"/>
  <c r="H29" i="32" s="1"/>
  <c r="G6" i="5"/>
  <c r="G6" i="32" s="1"/>
  <c r="K31" i="5"/>
  <c r="K31" i="32" s="1"/>
  <c r="J31" i="5"/>
  <c r="J31" i="32" s="1"/>
  <c r="N25" i="5"/>
  <c r="N25" i="32" s="1"/>
  <c r="K50" i="5"/>
  <c r="K50" i="32" s="1"/>
  <c r="E52" i="5"/>
  <c r="E52" i="32" s="1"/>
  <c r="D49" i="5"/>
  <c r="D49" i="32" s="1"/>
  <c r="N43" i="5"/>
  <c r="N43" i="32" s="1"/>
  <c r="C45" i="5"/>
  <c r="C45" i="32" s="1"/>
  <c r="J54" i="5"/>
  <c r="J54" i="32" s="1"/>
  <c r="E49" i="5"/>
  <c r="E49" i="32" s="1"/>
  <c r="L22" i="5"/>
  <c r="L22" i="32" s="1"/>
  <c r="M59" i="5"/>
  <c r="M59" i="32" s="1"/>
  <c r="H43" i="5"/>
  <c r="H43" i="32" s="1"/>
  <c r="L51" i="5"/>
  <c r="L51" i="32" s="1"/>
  <c r="F40" i="5"/>
  <c r="F40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G47" i="5"/>
  <c r="G47" i="32" s="1"/>
  <c r="D56" i="5"/>
  <c r="D56" i="32" s="1"/>
  <c r="H24" i="5"/>
  <c r="H24" i="32" s="1"/>
  <c r="E22" i="5"/>
  <c r="E22" i="32" s="1"/>
  <c r="I16" i="5"/>
  <c r="I16" i="32" s="1"/>
  <c r="H40" i="5"/>
  <c r="H40" i="32" s="1"/>
  <c r="F33" i="5"/>
  <c r="F33" i="32" s="1"/>
  <c r="N44" i="5"/>
  <c r="N44" i="32" s="1"/>
  <c r="F37" i="5"/>
  <c r="F37" i="32" s="1"/>
  <c r="F10" i="5"/>
  <c r="F10" i="32" s="1"/>
  <c r="M26" i="5"/>
  <c r="M26" i="32" s="1"/>
  <c r="M20" i="5"/>
  <c r="M20" i="32" s="1"/>
  <c r="D45" i="5"/>
  <c r="D45" i="32" s="1"/>
  <c r="G49" i="5"/>
  <c r="G49" i="32" s="1"/>
  <c r="H45" i="5"/>
  <c r="H45" i="32" s="1"/>
  <c r="F45" i="5"/>
  <c r="F45" i="32" s="1"/>
  <c r="E45" i="5"/>
  <c r="E45" i="32" s="1"/>
  <c r="I34" i="5"/>
  <c r="I34" i="32" s="1"/>
  <c r="M43" i="5"/>
  <c r="M43" i="32" s="1"/>
  <c r="D46" i="5"/>
  <c r="D46" i="32" s="1"/>
  <c r="N18" i="5"/>
  <c r="N18" i="32" s="1"/>
  <c r="M39" i="5"/>
  <c r="M39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M6" i="32" s="1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D16" i="5"/>
  <c r="D16" i="32" s="1"/>
  <c r="H34" i="5"/>
  <c r="H34" i="32" s="1"/>
  <c r="H52" i="5"/>
  <c r="H52" i="32" s="1"/>
  <c r="E53" i="5"/>
  <c r="E53" i="32" s="1"/>
  <c r="J35" i="5"/>
  <c r="J35" i="32" s="1"/>
  <c r="O38" i="5"/>
  <c r="L45" i="5"/>
  <c r="L45" i="32" s="1"/>
  <c r="L36" i="5"/>
  <c r="L36" i="32" s="1"/>
  <c r="F56" i="5"/>
  <c r="F56" i="32" s="1"/>
  <c r="C20" i="5"/>
  <c r="C20" i="32" s="1"/>
  <c r="H60" i="5"/>
  <c r="H60" i="32" s="1"/>
  <c r="I19" i="5"/>
  <c r="I19" i="32" s="1"/>
  <c r="N45" i="5"/>
  <c r="N45" i="32" s="1"/>
  <c r="D30" i="5"/>
  <c r="D30" i="32" s="1"/>
  <c r="M45" i="5"/>
  <c r="M45" i="32" s="1"/>
  <c r="O42" i="5"/>
  <c r="D19" i="5"/>
  <c r="D19" i="32" s="1"/>
  <c r="O6" i="5"/>
  <c r="H31" i="5"/>
  <c r="H31" i="32" s="1"/>
  <c r="O30" i="5"/>
  <c r="D39" i="5"/>
  <c r="D39" i="32" s="1"/>
  <c r="E37" i="5"/>
  <c r="E37" i="32" s="1"/>
  <c r="D35" i="5"/>
  <c r="D35" i="32" s="1"/>
  <c r="G26" i="5"/>
  <c r="G26" i="32" s="1"/>
  <c r="O59" i="5"/>
  <c r="D32" i="5"/>
  <c r="D32" i="32" s="1"/>
  <c r="J37" i="5"/>
  <c r="J37" i="32" s="1"/>
  <c r="I6" i="5"/>
  <c r="I6" i="32" s="1"/>
  <c r="K53" i="5"/>
  <c r="K53" i="32" s="1"/>
  <c r="J21" i="5"/>
  <c r="J21" i="32" s="1"/>
  <c r="F41" i="5"/>
  <c r="F41" i="32" s="1"/>
  <c r="O46" i="5"/>
  <c r="E28" i="5"/>
  <c r="E28" i="32" s="1"/>
  <c r="K15" i="5"/>
  <c r="K15" i="32" s="1"/>
  <c r="L60" i="5"/>
  <c r="L60" i="32" s="1"/>
  <c r="K35" i="5"/>
  <c r="K35" i="32" s="1"/>
  <c r="G29" i="5"/>
  <c r="G29" i="32" s="1"/>
  <c r="J53" i="5"/>
  <c r="J53" i="32" s="1"/>
  <c r="K48" i="5"/>
  <c r="K48" i="32" s="1"/>
  <c r="O21" i="5"/>
  <c r="H37" i="5"/>
  <c r="H37" i="32" s="1"/>
  <c r="M24" i="5"/>
  <c r="M24" i="32" s="1"/>
  <c r="O98" i="32"/>
  <c r="J29" i="5"/>
  <c r="J29" i="32" s="1"/>
  <c r="H28" i="5"/>
  <c r="H28" i="32" s="1"/>
  <c r="E18" i="5"/>
  <c r="E18" i="32" s="1"/>
  <c r="F22" i="5"/>
  <c r="F22" i="32" s="1"/>
  <c r="O58" i="5"/>
  <c r="F25" i="5"/>
  <c r="F25" i="32" s="1"/>
  <c r="H57" i="5"/>
  <c r="H57" i="32" s="1"/>
  <c r="F34" i="5"/>
  <c r="F34" i="32" s="1"/>
  <c r="D53" i="5"/>
  <c r="D53" i="32" s="1"/>
  <c r="N49" i="5"/>
  <c r="N49" i="32" s="1"/>
  <c r="K7" i="5"/>
  <c r="K7" i="32" s="1"/>
  <c r="O7" i="5"/>
  <c r="G33" i="5"/>
  <c r="G33" i="32" s="1"/>
  <c r="J34" i="5"/>
  <c r="J34" i="32" s="1"/>
  <c r="C28" i="5"/>
  <c r="C28" i="32" s="1"/>
  <c r="O26" i="5"/>
  <c r="I50" i="5"/>
  <c r="I50" i="32" s="1"/>
  <c r="D42" i="5"/>
  <c r="D42" i="32" s="1"/>
  <c r="O31" i="5"/>
  <c r="I22" i="5"/>
  <c r="I22" i="32" s="1"/>
  <c r="C27" i="5"/>
  <c r="C27" i="32" s="1"/>
  <c r="H20" i="5"/>
  <c r="H20" i="32" s="1"/>
  <c r="E51" i="5"/>
  <c r="E51" i="32" s="1"/>
  <c r="D43" i="5"/>
  <c r="D43" i="32" s="1"/>
  <c r="H32" i="5"/>
  <c r="H32" i="32" s="1"/>
  <c r="H21" i="5"/>
  <c r="H21" i="32" s="1"/>
  <c r="J55" i="5"/>
  <c r="J55" i="32" s="1"/>
  <c r="M44" i="5"/>
  <c r="M44" i="32" s="1"/>
  <c r="N31" i="5"/>
  <c r="N31" i="32" s="1"/>
  <c r="O60" i="5"/>
  <c r="G24" i="5"/>
  <c r="G24" i="32" s="1"/>
  <c r="N29" i="5"/>
  <c r="N29" i="32" s="1"/>
  <c r="N40" i="5"/>
  <c r="N40" i="32" s="1"/>
  <c r="I38" i="5"/>
  <c r="I38" i="32" s="1"/>
  <c r="O75" i="32"/>
  <c r="D94" i="32"/>
  <c r="O92" i="32"/>
  <c r="O87" i="32"/>
  <c r="O89" i="32" s="1"/>
  <c r="O72" i="5"/>
  <c r="O73" i="5" s="1"/>
  <c r="L99" i="32"/>
  <c r="O97" i="32"/>
  <c r="I72" i="32"/>
  <c r="I73" i="5"/>
  <c r="G73" i="32"/>
  <c r="O69" i="32"/>
  <c r="E8" i="32" l="1"/>
  <c r="E5" i="32" s="1"/>
  <c r="E12" i="32" s="1"/>
  <c r="F67" i="5"/>
  <c r="G67" i="32"/>
  <c r="C67" i="5"/>
  <c r="M67" i="32"/>
  <c r="F67" i="32"/>
  <c r="L67" i="32"/>
  <c r="N67" i="32"/>
  <c r="K67" i="32"/>
  <c r="E67" i="5"/>
  <c r="D67" i="32"/>
  <c r="H67" i="32"/>
  <c r="L67" i="5"/>
  <c r="C67" i="32"/>
  <c r="E67" i="32"/>
  <c r="D67" i="5"/>
  <c r="J67" i="32"/>
  <c r="K67" i="5"/>
  <c r="J67" i="5"/>
  <c r="H67" i="5"/>
  <c r="N8" i="5"/>
  <c r="N5" i="5" s="1"/>
  <c r="N12" i="5" s="1"/>
  <c r="I67" i="5"/>
  <c r="O94" i="32"/>
  <c r="M8" i="32"/>
  <c r="M5" i="32" s="1"/>
  <c r="M12" i="32" s="1"/>
  <c r="M67" i="5"/>
  <c r="O79" i="32"/>
  <c r="N67" i="5"/>
  <c r="G67" i="5"/>
  <c r="L8" i="5"/>
  <c r="L5" i="5" s="1"/>
  <c r="L12" i="5" s="1"/>
  <c r="E8" i="5"/>
  <c r="E5" i="5" s="1"/>
  <c r="E12" i="5" s="1"/>
  <c r="L6" i="32"/>
  <c r="L8" i="32" s="1"/>
  <c r="L5" i="32" s="1"/>
  <c r="L12" i="32" s="1"/>
  <c r="O10" i="32"/>
  <c r="D8" i="5"/>
  <c r="D5" i="5" s="1"/>
  <c r="D12" i="5" s="1"/>
  <c r="G8" i="5"/>
  <c r="G5" i="5" s="1"/>
  <c r="G12" i="5" s="1"/>
  <c r="O52" i="32"/>
  <c r="O30" i="32"/>
  <c r="D6" i="32"/>
  <c r="D8" i="32" s="1"/>
  <c r="D5" i="32" s="1"/>
  <c r="D12" i="32" s="1"/>
  <c r="O36" i="32"/>
  <c r="O43" i="32"/>
  <c r="O57" i="32"/>
  <c r="O40" i="32"/>
  <c r="O54" i="32"/>
  <c r="O45" i="32"/>
  <c r="O46" i="32"/>
  <c r="O58" i="32"/>
  <c r="O42" i="32"/>
  <c r="O17" i="32"/>
  <c r="F8" i="32"/>
  <c r="F5" i="32" s="1"/>
  <c r="F12" i="32" s="1"/>
  <c r="H8" i="5"/>
  <c r="H5" i="5" s="1"/>
  <c r="H12" i="5" s="1"/>
  <c r="H8" i="32"/>
  <c r="H5" i="32" s="1"/>
  <c r="H12" i="32" s="1"/>
  <c r="N6" i="32"/>
  <c r="N8" i="32" s="1"/>
  <c r="N5" i="32" s="1"/>
  <c r="N12" i="32" s="1"/>
  <c r="I8" i="32"/>
  <c r="I5" i="32" s="1"/>
  <c r="I12" i="32" s="1"/>
  <c r="O7" i="32"/>
  <c r="J8" i="32"/>
  <c r="J5" i="32" s="1"/>
  <c r="J12" i="32" s="1"/>
  <c r="O41" i="32"/>
  <c r="O51" i="32"/>
  <c r="I8" i="5"/>
  <c r="I5" i="5" s="1"/>
  <c r="I12" i="5" s="1"/>
  <c r="O37" i="32"/>
  <c r="G8" i="32"/>
  <c r="G5" i="32" s="1"/>
  <c r="G12" i="32" s="1"/>
  <c r="O65" i="32"/>
  <c r="O8" i="5"/>
  <c r="O5" i="5" s="1"/>
  <c r="O12" i="5" s="1"/>
  <c r="F8" i="5"/>
  <c r="F5" i="5" s="1"/>
  <c r="F12" i="5" s="1"/>
  <c r="I64" i="5"/>
  <c r="O20" i="32"/>
  <c r="O34" i="32"/>
  <c r="O56" i="32"/>
  <c r="O18" i="32"/>
  <c r="O23" i="32"/>
  <c r="O50" i="32"/>
  <c r="O9" i="32"/>
  <c r="O32" i="32"/>
  <c r="O64" i="5"/>
  <c r="O13" i="5" s="1"/>
  <c r="O29" i="32"/>
  <c r="K8" i="5"/>
  <c r="K5" i="5" s="1"/>
  <c r="K12" i="5" s="1"/>
  <c r="O31" i="32"/>
  <c r="O22" i="32"/>
  <c r="O26" i="32"/>
  <c r="O25" i="32"/>
  <c r="O44" i="32"/>
  <c r="M8" i="5"/>
  <c r="M5" i="5" s="1"/>
  <c r="M12" i="5" s="1"/>
  <c r="O33" i="32"/>
  <c r="O99" i="32"/>
  <c r="O39" i="32"/>
  <c r="O28" i="32"/>
  <c r="H64" i="5"/>
  <c r="O53" i="32"/>
  <c r="O21" i="32"/>
  <c r="O59" i="32"/>
  <c r="C8" i="5"/>
  <c r="C5" i="5" s="1"/>
  <c r="C12" i="5" s="1"/>
  <c r="O35" i="32"/>
  <c r="C64" i="5"/>
  <c r="O55" i="32"/>
  <c r="O47" i="32"/>
  <c r="I73" i="32"/>
  <c r="I67" i="32" s="1"/>
  <c r="O72" i="32"/>
  <c r="O73" i="32" s="1"/>
  <c r="O16" i="32"/>
  <c r="F64" i="5"/>
  <c r="N64" i="5"/>
  <c r="K8" i="32"/>
  <c r="K5" i="32" s="1"/>
  <c r="K12" i="32" s="1"/>
  <c r="M64" i="5"/>
  <c r="E64" i="5"/>
  <c r="O38" i="32"/>
  <c r="G64" i="5"/>
  <c r="H14" i="32"/>
  <c r="O14" i="32" s="1"/>
  <c r="D64" i="5"/>
  <c r="J64" i="5"/>
  <c r="O27" i="32"/>
  <c r="O49" i="32"/>
  <c r="O67" i="5"/>
  <c r="O15" i="32"/>
  <c r="O60" i="32"/>
  <c r="K64" i="5"/>
  <c r="J8" i="5"/>
  <c r="J5" i="5" s="1"/>
  <c r="J12" i="5" s="1"/>
  <c r="L64" i="5"/>
  <c r="O19" i="32"/>
  <c r="O24" i="32"/>
  <c r="O48" i="32"/>
  <c r="C8" i="32"/>
  <c r="C5" i="32" s="1"/>
  <c r="C12" i="32" s="1"/>
  <c r="K3" i="10" a="1"/>
  <c r="K3" i="10" s="1"/>
  <c r="Q3" i="10" l="1" a="1"/>
  <c r="Q3" i="10" s="1"/>
  <c r="F13" i="5"/>
  <c r="H64" i="32"/>
  <c r="H13" i="32" s="1"/>
  <c r="H66" i="32" s="1"/>
  <c r="H80" i="32" s="1"/>
  <c r="D64" i="32"/>
  <c r="D13" i="32" s="1"/>
  <c r="D66" i="32" s="1"/>
  <c r="D80" i="32" s="1"/>
  <c r="C13" i="5"/>
  <c r="E64" i="32"/>
  <c r="E13" i="32" s="1"/>
  <c r="J13" i="5"/>
  <c r="J3" i="10" a="1"/>
  <c r="J3" i="10" s="1"/>
  <c r="O3" i="10" a="1"/>
  <c r="O3" i="10" s="1"/>
  <c r="K13" i="5"/>
  <c r="M13" i="5"/>
  <c r="I64" i="32"/>
  <c r="I13" i="32" s="1"/>
  <c r="F81" i="5"/>
  <c r="F81" i="32"/>
  <c r="M81" i="32"/>
  <c r="G81" i="32"/>
  <c r="C81" i="5"/>
  <c r="L81" i="5"/>
  <c r="L81" i="32"/>
  <c r="E81" i="5"/>
  <c r="K81" i="32"/>
  <c r="H81" i="32"/>
  <c r="D81" i="32"/>
  <c r="N81" i="32"/>
  <c r="I3" i="10" a="1"/>
  <c r="I3" i="10" s="1"/>
  <c r="J81" i="32"/>
  <c r="D81" i="5"/>
  <c r="N81" i="5"/>
  <c r="E81" i="32"/>
  <c r="J81" i="5"/>
  <c r="K81" i="5"/>
  <c r="H81" i="5"/>
  <c r="I81" i="5"/>
  <c r="O67" i="32"/>
  <c r="G81" i="5"/>
  <c r="N3" i="10" a="1"/>
  <c r="N3" i="10" s="1"/>
  <c r="P3" i="10" a="1"/>
  <c r="P3" i="10" s="1"/>
  <c r="H3" i="10" a="1"/>
  <c r="H3" i="10" s="1"/>
  <c r="F3" i="10" a="1"/>
  <c r="F3" i="10" s="1"/>
  <c r="O6" i="32"/>
  <c r="O8" i="32" s="1"/>
  <c r="O5" i="32" s="1"/>
  <c r="O12" i="32" s="1"/>
  <c r="E13" i="5"/>
  <c r="E66" i="5" s="1"/>
  <c r="E80" i="5" s="1"/>
  <c r="I81" i="32"/>
  <c r="O81" i="5"/>
  <c r="L3" i="10" a="1"/>
  <c r="L3" i="10" s="1"/>
  <c r="M64" i="32"/>
  <c r="M13" i="32" s="1"/>
  <c r="M66" i="32" s="1"/>
  <c r="M80" i="32" s="1"/>
  <c r="I13" i="5"/>
  <c r="I66" i="5" s="1"/>
  <c r="I80" i="5" s="1"/>
  <c r="O66" i="5"/>
  <c r="O80" i="5" s="1"/>
  <c r="K66" i="5"/>
  <c r="K80" i="5" s="1"/>
  <c r="I66" i="32"/>
  <c r="I80" i="32" s="1"/>
  <c r="E66" i="32"/>
  <c r="E80" i="32" s="1"/>
  <c r="F64" i="32"/>
  <c r="F13" i="32" s="1"/>
  <c r="F66" i="32" s="1"/>
  <c r="F80" i="32" s="1"/>
  <c r="H13" i="5"/>
  <c r="H66" i="5" s="1"/>
  <c r="H80" i="5" s="1"/>
  <c r="N64" i="32"/>
  <c r="N13" i="32" s="1"/>
  <c r="N66" i="32" s="1"/>
  <c r="N80" i="32" s="1"/>
  <c r="C66" i="5"/>
  <c r="C80" i="5" s="1"/>
  <c r="M81" i="5"/>
  <c r="M66" i="5"/>
  <c r="M80" i="5" s="1"/>
  <c r="G13" i="5"/>
  <c r="G66" i="5" s="1"/>
  <c r="G80" i="5" s="1"/>
  <c r="G64" i="32"/>
  <c r="G13" i="32" s="1"/>
  <c r="G66" i="32" s="1"/>
  <c r="G80" i="32" s="1"/>
  <c r="L64" i="32"/>
  <c r="L13" i="32" s="1"/>
  <c r="L66" i="32" s="1"/>
  <c r="L80" i="32" s="1"/>
  <c r="K64" i="32"/>
  <c r="K13" i="32" s="1"/>
  <c r="K66" i="32" s="1"/>
  <c r="K80" i="32" s="1"/>
  <c r="C64" i="32"/>
  <c r="C13" i="32" s="1"/>
  <c r="C66" i="32" s="1"/>
  <c r="C80" i="32" s="1"/>
  <c r="F66" i="5"/>
  <c r="F80" i="5" s="1"/>
  <c r="J66" i="5"/>
  <c r="J80" i="5" s="1"/>
  <c r="M3" i="10" a="1"/>
  <c r="M3" i="10" s="1"/>
  <c r="D13" i="5"/>
  <c r="D66" i="5" s="1"/>
  <c r="D80" i="5" s="1"/>
  <c r="L13" i="5"/>
  <c r="L66" i="5" s="1"/>
  <c r="L80" i="5" s="1"/>
  <c r="G3" i="10" a="1"/>
  <c r="G3" i="10" s="1"/>
  <c r="J64" i="32"/>
  <c r="J13" i="32" s="1"/>
  <c r="J66" i="32" s="1"/>
  <c r="J80" i="32" s="1"/>
  <c r="N13" i="5"/>
  <c r="N66" i="5" s="1"/>
  <c r="N80" i="5" s="1"/>
  <c r="C81" i="32"/>
  <c r="O81" i="32" l="1"/>
  <c r="O64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Nguyễn Thị Gái(Nguyen Thi Gai)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49" authorId="1" shapeId="0" xr:uid="{3F955D9E-1E46-41CE-9F2C-D05FAAA7E272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giầy cho Gái &amp;Hằng</t>
        </r>
      </text>
    </comment>
    <comment ref="G49" authorId="1" shapeId="0" xr:uid="{5D7D085D-C817-42CF-BD92-12DF4264C5B7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Quần cho Nguyên</t>
        </r>
      </text>
    </comment>
    <comment ref="H49" authorId="1" shapeId="0" xr:uid="{DD7F029B-06FB-43F3-BE2D-5132F1ACD4FF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Lan</t>
        </r>
      </text>
    </comment>
    <comment ref="I49" authorId="1" shapeId="0" xr:uid="{66C3EE25-D426-4464-BAC3-FB384E6E3161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Lan</t>
        </r>
      </text>
    </comment>
    <comment ref="K49" authorId="1" shapeId="0" xr:uid="{6F76F75C-923E-46B4-8FE8-99BFDB922795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Giày cho Hoa</t>
        </r>
      </text>
    </comment>
    <comment ref="O49" authorId="1" shapeId="0" xr:uid="{617129BE-7837-4F8B-8BA9-08EF6780F4F2}">
      <text>
        <r>
          <rPr>
            <b/>
            <sz val="9"/>
            <color indexed="81"/>
            <rFont val="Tahoma"/>
            <family val="2"/>
          </rPr>
          <t>Nguyễn Thị Gái(Nguyen Thi Gai):</t>
        </r>
        <r>
          <rPr>
            <sz val="9"/>
            <color indexed="81"/>
            <rFont val="Tahoma"/>
            <family val="2"/>
          </rPr>
          <t xml:space="preserve">
Quần cho Nguyên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<sst xmlns="http://schemas.openxmlformats.org/spreadsheetml/2006/main" count="1801" uniqueCount="813">
  <si>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</si>
  <si>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</si>
  <si>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</si>
  <si>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</si>
  <si>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</si>
  <si>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</si>
  <si>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</si>
  <si>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</si>
  <si>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</si>
  <si>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</si>
  <si>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</si>
  <si>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</si>
  <si>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</si>
  <si>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</si>
  <si>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</si>
  <si>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</si>
  <si>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</si>
  <si>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</si>
  <si>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</si>
  <si>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</si>
  <si>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</si>
  <si>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</si>
  <si>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</si>
  <si>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</si>
  <si>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</si>
  <si>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</si>
  <si>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</si>
  <si>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</si>
  <si>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</si>
  <si>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</si>
  <si>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</si>
  <si>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</si>
  <si>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</si>
  <si>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</si>
  <si>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</si>
  <si>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</si>
  <si>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</si>
  <si>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</si>
  <si>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</si>
  <si>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</si>
  <si>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</si>
  <si>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</si>
  <si>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</si>
  <si>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</si>
  <si>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</si>
  <si>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</si>
  <si>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</si>
  <si>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</si>
  <si>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</si>
  <si>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</si>
  <si>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</si>
  <si>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</si>
  <si>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</si>
  <si>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</si>
  <si>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</si>
  <si>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</si>
  <si>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</si>
  <si>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</si>
  <si>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</si>
  <si>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</si>
  <si>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</si>
  <si>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</si>
  <si>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</si>
  <si>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</si>
  <si>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</si>
  <si>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</si>
  <si>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</si>
  <si>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</si>
  <si>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</si>
  <si>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</si>
  <si>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</si>
  <si>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</si>
  <si>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</si>
  <si>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</si>
  <si>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</si>
  <si>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</si>
  <si>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</si>
  <si>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</si>
  <si>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</si>
  <si>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</si>
  <si>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</si>
  <si>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</si>
  <si>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</si>
  <si>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</si>
  <si>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</si>
  <si>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</si>
  <si>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</si>
  <si>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</si>
  <si>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</si>
  <si>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</si>
  <si>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</si>
  <si>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</si>
  <si>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</si>
  <si>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</si>
  <si>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</si>
  <si>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</si>
  <si>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</si>
  <si>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</si>
  <si>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</si>
  <si>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</si>
  <si>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</si>
  <si>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</si>
  <si>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</si>
  <si>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</si>
  <si>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</si>
  <si>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</si>
  <si>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</si>
  <si>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</si>
  <si>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</si>
  <si>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</si>
  <si>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</si>
  <si>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</si>
  <si>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</si>
  <si>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</si>
  <si>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</si>
  <si>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</si>
  <si>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</si>
  <si>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</si>
  <si>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</si>
  <si>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</si>
  <si>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</si>
  <si>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</si>
  <si>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</si>
  <si>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</si>
  <si>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</si>
  <si>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</si>
  <si>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</si>
  <si>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</si>
  <si>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</si>
  <si>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</si>
  <si>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</si>
  <si>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</si>
  <si>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</si>
  <si>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</si>
  <si>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</si>
  <si>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</si>
  <si>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</si>
  <si>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</si>
  <si>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</si>
  <si>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</si>
  <si>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</si>
  <si>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</si>
  <si>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</si>
  <si>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</si>
  <si>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</si>
  <si>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</si>
  <si>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</si>
  <si>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</si>
  <si>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</si>
  <si>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</si>
  <si>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</si>
  <si>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</si>
  <si>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</si>
  <si>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</si>
  <si>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</si>
  <si>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</si>
  <si>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</si>
  <si>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</si>
  <si>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</si>
  <si>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</si>
  <si>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</si>
  <si>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</si>
  <si>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</si>
  <si>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</si>
  <si>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</si>
  <si>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</si>
  <si>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</si>
  <si>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</si>
  <si>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</si>
  <si>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</si>
  <si>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</si>
  <si>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</si>
  <si>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</si>
  <si>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</si>
  <si>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</si>
  <si>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</si>
  <si>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</si>
  <si>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</si>
  <si>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</si>
  <si>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</si>
  <si>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</si>
  <si>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</si>
  <si>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</si>
  <si>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</si>
  <si>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</si>
  <si>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</si>
  <si>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</si>
  <si>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</si>
  <si>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</si>
  <si>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</si>
  <si>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</si>
  <si>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</si>
  <si>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</si>
  <si>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</si>
  <si>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</si>
  <si>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</si>
  <si>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</si>
  <si>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</si>
  <si>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</si>
  <si>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</si>
  <si>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</si>
  <si>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</si>
  <si>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</si>
  <si>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</si>
  <si>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</si>
  <si>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</si>
  <si>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</si>
  <si>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</si>
  <si>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</si>
  <si>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</si>
  <si>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</si>
  <si>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</si>
  <si>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</si>
  <si>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</si>
  <si>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</si>
  <si>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</si>
  <si>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</si>
  <si>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</si>
  <si>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</si>
  <si>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</si>
  <si>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</si>
  <si>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</si>
  <si>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</si>
  <si>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</si>
  <si>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</si>
  <si>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</si>
  <si>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</si>
  <si>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</si>
  <si>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</si>
  <si>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</si>
  <si>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</si>
  <si>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</si>
  <si>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</si>
  <si>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</si>
  <si>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</si>
  <si>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</si>
  <si>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</si>
  <si>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</si>
  <si>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</si>
  <si>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</si>
  <si>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</si>
  <si>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</si>
  <si>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</si>
  <si>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</si>
  <si>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</si>
  <si>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</si>
  <si>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</si>
  <si>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</si>
  <si>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</si>
  <si>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</si>
  <si>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</si>
  <si>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</si>
  <si>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</si>
  <si>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</si>
  <si>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</si>
  <si>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</si>
  <si>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</si>
  <si>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</si>
  <si>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</si>
  <si>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</si>
  <si>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</si>
  <si>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</si>
  <si>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</si>
  <si>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</si>
  <si>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</si>
  <si>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</si>
  <si>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</si>
  <si>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</si>
  <si>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</si>
  <si>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</si>
  <si>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</si>
  <si>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</si>
  <si>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</si>
  <si>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</si>
  <si>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</si>
  <si>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</si>
  <si>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</si>
  <si>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</si>
  <si>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</si>
  <si>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</si>
  <si>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</si>
  <si>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</si>
  <si>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</si>
  <si>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</si>
  <si>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</si>
  <si>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</si>
  <si>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</si>
  <si>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</si>
  <si>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</si>
  <si>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</si>
  <si>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</si>
  <si>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</si>
  <si>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</si>
  <si>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</si>
  <si>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</si>
  <si>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</si>
  <si>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</si>
  <si>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</si>
  <si>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</si>
  <si>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</si>
  <si>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</si>
  <si>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</si>
  <si>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</si>
  <si>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</si>
  <si>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</si>
  <si>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</si>
  <si>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</si>
  <si>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</si>
  <si>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</si>
  <si>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</si>
  <si>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</si>
  <si>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</si>
  <si>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</si>
  <si>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</si>
  <si>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</si>
  <si>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</si>
  <si>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</si>
  <si>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</si>
  <si>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</si>
  <si>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</si>
  <si>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</si>
  <si>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</si>
  <si>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</si>
  <si>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</si>
  <si>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</si>
  <si>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</si>
  <si>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</si>
  <si>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</si>
  <si>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</si>
  <si>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</si>
  <si>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</si>
  <si>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</si>
  <si>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</si>
  <si>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</si>
  <si>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</si>
  <si>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</si>
  <si>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</si>
  <si>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</si>
  <si>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</si>
  <si>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</si>
  <si>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</si>
  <si>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</si>
  <si>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</si>
  <si>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</si>
  <si>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</si>
  <si>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</si>
  <si>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</si>
  <si>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</si>
  <si>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</si>
  <si>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</si>
  <si>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</si>
  <si>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</si>
  <si>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</si>
  <si>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</si>
  <si>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</si>
  <si>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</si>
  <si>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</si>
  <si>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</si>
  <si>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</si>
  <si>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</si>
  <si>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</si>
  <si>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</si>
  <si>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</si>
  <si>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</si>
  <si>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</si>
  <si>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</si>
  <si>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</si>
  <si>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</si>
  <si>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</si>
  <si>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</si>
  <si>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</si>
  <si>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</si>
  <si>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</si>
  <si>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</si>
  <si>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</si>
  <si>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</si>
  <si>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</si>
  <si>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</si>
  <si>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</si>
  <si>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</si>
  <si>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</si>
  <si>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</si>
  <si>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</si>
  <si>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</si>
  <si>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</si>
  <si>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</si>
  <si>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</si>
  <si>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</si>
  <si>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</si>
  <si>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</si>
  <si>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</si>
  <si>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</si>
  <si>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</si>
  <si>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</si>
  <si>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</si>
  <si>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</si>
  <si>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</si>
  <si>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</si>
  <si>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</si>
  <si>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</si>
  <si>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</si>
  <si>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</si>
  <si>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</si>
  <si>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</si>
  <si>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</si>
  <si>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</si>
  <si>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</si>
  <si>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</si>
  <si>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</si>
  <si>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</si>
  <si>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</si>
  <si>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</si>
  <si>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</si>
  <si>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</si>
  <si>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</si>
  <si>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</si>
  <si>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</si>
  <si>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</si>
  <si>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</si>
  <si>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</si>
  <si>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</si>
  <si>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</si>
  <si>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</si>
  <si>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</si>
  <si>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</si>
  <si>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</si>
  <si>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</si>
  <si>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</si>
  <si>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</si>
  <si>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</si>
  <si>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</si>
  <si>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</si>
  <si>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</si>
  <si>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</si>
  <si>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</si>
  <si>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</si>
  <si>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</si>
  <si>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</si>
  <si>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</si>
  <si>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</si>
  <si>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</si>
  <si>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</si>
  <si>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</si>
  <si>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</si>
  <si>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</si>
  <si>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</si>
  <si>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</si>
  <si>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</si>
  <si>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</si>
  <si>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</si>
  <si>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</si>
  <si>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</si>
  <si>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</si>
  <si>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</si>
  <si>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</si>
  <si>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</si>
  <si>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</si>
  <si>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</si>
  <si>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</si>
  <si>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</si>
  <si>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</si>
  <si>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</si>
  <si>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</si>
  <si>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</si>
  <si>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</si>
  <si>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</si>
  <si>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</si>
  <si>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</si>
  <si>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</si>
  <si>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</si>
  <si>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</si>
  <si>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</si>
  <si>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</si>
  <si>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</si>
  <si>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</si>
  <si>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</si>
  <si>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</si>
  <si>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</si>
  <si>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</si>
  <si>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</si>
  <si>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</si>
  <si>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</si>
  <si>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</si>
  <si>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</si>
  <si>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</si>
  <si>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</si>
  <si>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</si>
  <si>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</si>
  <si>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</si>
  <si>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</si>
  <si>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</si>
  <si>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</si>
  <si>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</si>
  <si>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</si>
  <si>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</si>
  <si>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</si>
  <si>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</si>
  <si>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</si>
  <si>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</si>
  <si>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</si>
  <si>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</si>
  <si>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</si>
  <si>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</si>
  <si>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</si>
  <si>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</si>
  <si>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</si>
  <si>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</si>
  <si>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</si>
  <si>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</si>
  <si>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</si>
  <si>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</si>
  <si>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</si>
  <si>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</si>
  <si>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</si>
  <si>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</si>
  <si>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</si>
  <si>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</si>
  <si>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</si>
  <si>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</si>
  <si>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</si>
  <si>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</si>
  <si>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</si>
  <si>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</si>
  <si>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</si>
  <si>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</si>
  <si>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</si>
  <si>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</si>
  <si>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</si>
  <si>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</si>
  <si>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</si>
  <si>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</si>
  <si>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</si>
  <si>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</si>
  <si>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</si>
  <si>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</si>
  <si>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</si>
  <si>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</si>
  <si>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</si>
  <si>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</si>
  <si>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</si>
  <si>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</si>
  <si>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</si>
  <si>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</si>
  <si>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</si>
  <si>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</si>
  <si>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</si>
  <si>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</si>
  <si>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</si>
  <si>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</si>
  <si>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</si>
  <si>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</si>
  <si>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</si>
  <si>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</si>
  <si>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</si>
  <si>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</si>
  <si>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</si>
  <si>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</si>
  <si>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</si>
  <si>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</si>
  <si>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</si>
  <si>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</si>
  <si>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</si>
  <si>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</si>
  <si>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</si>
  <si>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</si>
  <si>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</si>
  <si>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</si>
  <si>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</si>
  <si>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</si>
  <si>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</si>
  <si>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</si>
  <si>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</si>
  <si>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</si>
  <si>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</si>
  <si>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</si>
  <si>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</si>
  <si>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</si>
  <si>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</si>
  <si>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</si>
  <si>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</si>
  <si>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</si>
  <si>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</si>
  <si>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</si>
  <si>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</si>
  <si>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</si>
  <si>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</si>
  <si>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</si>
  <si>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</si>
  <si>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</si>
  <si>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</si>
  <si>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</si>
  <si>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</si>
  <si>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</si>
  <si>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</si>
  <si>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</si>
  <si>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</si>
  <si>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</si>
  <si>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</si>
  <si>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</si>
  <si>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</si>
  <si>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</si>
  <si>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</si>
  <si>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</si>
  <si>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</si>
  <si>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</si>
  <si>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</si>
  <si>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</si>
  <si>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</si>
  <si>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</si>
  <si>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</si>
  <si>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</si>
  <si>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</si>
  <si>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</si>
  <si>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</si>
  <si>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</si>
  <si>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</si>
  <si>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</si>
  <si>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</si>
  <si>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</si>
  <si>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</si>
  <si>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</si>
  <si>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</si>
  <si>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</si>
  <si>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</si>
  <si>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</si>
  <si>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</si>
  <si>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</si>
  <si>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</si>
  <si>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</si>
  <si>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</si>
  <si>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</si>
  <si>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</si>
  <si>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</si>
  <si>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</si>
  <si>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</si>
  <si>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</si>
  <si>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</si>
  <si>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</si>
  <si>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</si>
  <si>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</si>
  <si>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</si>
  <si>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</si>
  <si>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</si>
  <si>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</si>
  <si>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</si>
  <si>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</si>
  <si>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</si>
  <si>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</si>
  <si>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</si>
  <si>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</si>
  <si>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</si>
  <si>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</si>
  <si>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</si>
  <si>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</si>
  <si>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</si>
  <si>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</si>
  <si>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</si>
  <si>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</si>
  <si>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</si>
  <si>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</si>
  <si>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</si>
  <si>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</si>
  <si>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</si>
  <si>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</si>
  <si>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</si>
  <si>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</si>
  <si>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</si>
  <si>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</si>
  <si>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</si>
  <si>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</si>
  <si>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</si>
  <si>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</si>
  <si>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</si>
  <si>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</si>
  <si>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</si>
  <si>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</si>
  <si>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</si>
  <si>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</si>
  <si>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</si>
  <si>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</si>
  <si>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</si>
  <si>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</si>
  <si>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</si>
  <si>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</si>
  <si>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</si>
  <si>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</si>
  <si>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</si>
  <si>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</si>
  <si>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</si>
  <si>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</si>
  <si>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</si>
  <si>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</si>
  <si>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Mikomi check</t>
  </si>
  <si>
    <t>Mitooshi Check</t>
  </si>
  <si>
    <t>T12</t>
  </si>
  <si>
    <t>T1</t>
  </si>
  <si>
    <t>T2</t>
  </si>
  <si>
    <t>JPN working hours</t>
  </si>
  <si>
    <t>VNS working hours</t>
  </si>
  <si>
    <t>Support BSA section working hours</t>
  </si>
  <si>
    <t>この分には間接部門から直接部門に配賦された数字</t>
  </si>
  <si>
    <t>JPN overtime working hours</t>
  </si>
  <si>
    <t>VNS overtime working hours</t>
  </si>
  <si>
    <t>Employee JPN cho cả người nghỉ sinh + nghỉ phép dài ngày</t>
  </si>
  <si>
    <t>Employee VNS cho cả người nghỉ sinh + nghỉ phép dài ngày</t>
  </si>
  <si>
    <t>Inventory interest</t>
  </si>
  <si>
    <t>Mobile basic</t>
  </si>
  <si>
    <t>Stationery</t>
  </si>
  <si>
    <t>x</t>
  </si>
  <si>
    <t>Name card</t>
  </si>
  <si>
    <t>Accumulator/ power supply/ UPS/ mouse/SSD/ Battery/ Screen xac nhan code Equement</t>
  </si>
  <si>
    <t>Cabinet to keep voucher, separating divider for cabinet, tepra printer, safety box, desk + chair, …</t>
  </si>
  <si>
    <t>Calendar pocket for new staff</t>
  </si>
  <si>
    <t xml:space="preserve">2 Philosophy for new staff (18000+9200)/per Allocated by HR) </t>
  </si>
  <si>
    <t>Gas fee (phân bổ cho cả người nghỉ sinh + nghỉ phép dài ngày)</t>
  </si>
  <si>
    <t>Gas fee</t>
  </si>
  <si>
    <t>Hand soap (phân bổ cho cả người nghỉ sinh + nghỉ phép dài ngày)</t>
  </si>
  <si>
    <t>Hand soap</t>
  </si>
  <si>
    <t>Toilet paper (phân bổ cho cả người nghỉ sinh + nghỉ phép dài ngày)</t>
  </si>
  <si>
    <t>Toilet paper</t>
  </si>
  <si>
    <t>Cleaning fee (phân bổ cho cả người nghỉ sinh + nghỉ phép dài ngày)</t>
  </si>
  <si>
    <t xml:space="preserve">Cleaning fee </t>
  </si>
  <si>
    <t>Bus for staff (allocation even though taking leave for long time)</t>
  </si>
  <si>
    <t>Bus for staff</t>
  </si>
  <si>
    <t>Taxi fee for overtime working ( chú ý tiền xe tăng ca kiểm kê)</t>
  </si>
  <si>
    <t>Building depreciation</t>
  </si>
  <si>
    <t>Land use rights depreciation</t>
  </si>
  <si>
    <t>Interest expense for Building</t>
  </si>
  <si>
    <t>Interest expense for Land</t>
  </si>
  <si>
    <t>VNPT Sub - accounting system depreciation</t>
  </si>
  <si>
    <t>Interest expense for VNPT Sub - accounting system</t>
  </si>
  <si>
    <t>Electricity from Facility section</t>
  </si>
  <si>
    <t>Water from Facility section</t>
  </si>
  <si>
    <t>Bank commision (5$/transaction)</t>
  </si>
  <si>
    <t>oversea transfering money</t>
  </si>
  <si>
    <t>Taxi to Hai Phong center</t>
  </si>
  <si>
    <t>Send documents (Aseax)</t>
  </si>
  <si>
    <t>PwC auditing expense</t>
  </si>
  <si>
    <t>PwC auditing expense (FY2024)</t>
  </si>
  <si>
    <t>PwC auditing expense - additional</t>
  </si>
  <si>
    <t>PwC auditing expense - additional (FY2024)</t>
  </si>
  <si>
    <t>EY auditing TP fee</t>
  </si>
  <si>
    <t>EY TP FY 2024</t>
  </si>
  <si>
    <t>EY auditing TP fee - additional</t>
  </si>
  <si>
    <t>EY TP FY 2024 additional</t>
  </si>
  <si>
    <t>Deloitte yearly CIT  finalisation return</t>
  </si>
  <si>
    <t>Deloitte yearly CIT FY2024 finalisation return</t>
  </si>
  <si>
    <t>Deloitte CIT - additional</t>
  </si>
  <si>
    <t>Deloitte CIT - additional (FY2024)</t>
  </si>
  <si>
    <t>BlackToner for Mebius printer (3V2TWJ0010) ( USD/pcs)</t>
  </si>
  <si>
    <t>Yellow Toner for Mebius printer (3V2TWJ0020) ( USD/pcs)</t>
  </si>
  <si>
    <t>Cyan Toner for Mebius printer (3V2TWJ0030) ( USD/pcs)</t>
  </si>
  <si>
    <t>Magenta Toner for Mebius printer (3V2TWJ0040) ( USD/pcs)</t>
  </si>
  <si>
    <t>Logistics fee for toner (internal use purpose)</t>
  </si>
  <si>
    <t>Notarization fee, translate documents</t>
  </si>
  <si>
    <t>Foreign language exam fee (JPN, Eng)</t>
  </si>
  <si>
    <t>Traveling expense to attend foreign language exam</t>
  </si>
  <si>
    <t>Pocket Calendar (800đ) in Nov</t>
  </si>
  <si>
    <t>Token extension fee (Vietin) in 2025 (hết pin thì thay mới)</t>
  </si>
  <si>
    <t>Gift for not traveling 10-11/5, allocate in June</t>
  </si>
  <si>
    <t>Money for staff's wedding, giving-birth, funeral</t>
  </si>
  <si>
    <t>Yearly maintenance for Effect software in November 107,262,500</t>
  </si>
  <si>
    <t>Lucky money for Tet holiday</t>
  </si>
  <si>
    <t>Gift for writing about philosophy (100k/per) in Jul</t>
  </si>
  <si>
    <t>Kick-off party in April (200,000/per), expense allocate next month held</t>
  </si>
  <si>
    <t>Traveling expense to stock taking</t>
  </si>
  <si>
    <t>BKAV Create delivery slip template Mar 2024 (Phiếu giao hàng- chỉ tạo 1 lần)</t>
  </si>
  <si>
    <t>Japanese internal traning expense</t>
  </si>
  <si>
    <t>Difference in lunch fee</t>
  </si>
  <si>
    <t>nhận thông tin</t>
  </si>
  <si>
    <t>License tax in Jan 2026</t>
  </si>
  <si>
    <t>Uniform,  (short shirt 165,000; long shirt 175,000; pan 116K; cap 33,500; shoes 82K, quần bà bầu: 124,500) (from 1/N to 24/N), FY2024</t>
  </si>
  <si>
    <t>Laptop Dell Vostro, PC Body, Winpro</t>
  </si>
  <si>
    <t>PWC</t>
  </si>
  <si>
    <t>10/3-14/3</t>
  </si>
  <si>
    <t>CP tháng 4</t>
  </si>
  <si>
    <t>7/4-18/4</t>
  </si>
  <si>
    <t>CP tháng 5+6</t>
  </si>
  <si>
    <t>Tháng 8, 10, 11</t>
  </si>
  <si>
    <t>Tháng 5 or 6</t>
  </si>
  <si>
    <t>T4</t>
  </si>
  <si>
    <t>T6</t>
  </si>
  <si>
    <t>T5</t>
  </si>
  <si>
    <t>T7</t>
  </si>
  <si>
    <t>T8</t>
  </si>
  <si>
    <t>T9</t>
  </si>
  <si>
    <t>T10</t>
  </si>
  <si>
    <t>T11</t>
  </si>
  <si>
    <t>T3</t>
  </si>
  <si>
    <t>Kyocera festival (126K/per) in Sep</t>
  </si>
  <si>
    <t>Year end party supporting fee (300k/per)</t>
  </si>
  <si>
    <t>Kyocera sport festival in November (107k/người)</t>
  </si>
  <si>
    <t>Annual health check fee (204k/female); (189k/male) December</t>
  </si>
  <si>
    <t>Case of employee's card. Pen, note book for new staff (16,1K/ Allocated by HR)</t>
  </si>
  <si>
    <t>New employee: employee card + photo: 58K/ Allocate by HR, vỏ thẻ móc thẻ 3,6K, Ruy băng: 2,5K</t>
  </si>
  <si>
    <t>Company travel (1,890,000/per) in May</t>
  </si>
  <si>
    <t>Moon cake (56000/per) in Oct</t>
  </si>
  <si>
    <t>Gift for 10th company anniversary in Oct (931,000 VND/per)</t>
  </si>
  <si>
    <t>New Uniform,  (short shirt 165,000 (Tháng 4.2025) ; long shirt 175,000(Tháng 4.2025) (Áo dài tay c. Nguyệt phân bổ T5)</t>
  </si>
  <si>
    <t>Health checking for new staff , expense in next month</t>
  </si>
  <si>
    <t>VNPT invoice Token T2.2025 (1,5tr/ Valid for 3 years)</t>
  </si>
  <si>
    <t>VNPT invoice T5.2025 (11,750K)</t>
  </si>
  <si>
    <t>Sub-accounting system fee (5.970.000 VND/ 1 user/ year)</t>
  </si>
  <si>
    <t>Send documents (PCS) BCTC, Phân chia lợi nhuận, update nhiệm kỳ, Passport hết hạn, 2 bộ dự phòng</t>
  </si>
  <si>
    <t>経理電子承認、電子保管システム</t>
  </si>
  <si>
    <t>会計伝票の電子承認、電子データ保管、R3への自動アップロード</t>
  </si>
  <si>
    <t>Birthday 163K/per FY2026</t>
  </si>
  <si>
    <t>Token fee (Vietin) mua mới cho 1 người</t>
  </si>
  <si>
    <t>Information from IT Dept</t>
  </si>
  <si>
    <t>Off PWC additional audit fee FY2025</t>
  </si>
  <si>
    <t>Off CIT additional audit fee FY2025</t>
  </si>
  <si>
    <t>APA Step 3 (lần 2)</t>
  </si>
  <si>
    <t>Tax registration token extension fee of Viettel ( có hiệu lực ~17/4/2027)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</si>
</sst>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2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4" borderId="39" xfId="0" applyNumberFormat="1" applyFont="1" applyFill="1" applyBorder="1" applyProtection="1">
      <protection locked="0"/>
    </xf>
    <xf numFmtId="0" fontId="0" fillId="0" borderId="24" xfId="129" applyFont="1" applyBorder="1" applyAlignment="1" applyProtection="1">
      <alignment horizont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topLeftCell="C1" zoomScaleNormal="100" workbookViewId="0">
      <selection activeCell="E47" sqref="E47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会計課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4.9999999999272404E-2</v>
      </c>
      <c r="D13" s="133">
        <f t="shared" ref="D13:O13" si="3">SUM(D14:D65)</f>
        <v>4.0000000004511094E-2</v>
      </c>
      <c r="E13" s="133">
        <f t="shared" si="3"/>
        <v>7.0000000001527951E-2</v>
      </c>
      <c r="F13" s="133">
        <f t="shared" si="3"/>
        <v>4.0000000000873115E-2</v>
      </c>
      <c r="G13" s="133">
        <f t="shared" si="3"/>
        <v>2.0000000002255547E-2</v>
      </c>
      <c r="H13" s="133">
        <f t="shared" si="3"/>
        <v>4.0000000000873115E-2</v>
      </c>
      <c r="I13" s="133">
        <f t="shared" si="3"/>
        <v>8.000000000174623E-2</v>
      </c>
      <c r="J13" s="133">
        <f t="shared" si="3"/>
        <v>4.0000000000873115E-2</v>
      </c>
      <c r="K13" s="133">
        <f t="shared" si="3"/>
        <v>4.9999999999272404E-2</v>
      </c>
      <c r="L13" s="133">
        <f t="shared" si="3"/>
        <v>2.9999999998835847E-2</v>
      </c>
      <c r="M13" s="133">
        <f t="shared" si="3"/>
        <v>4.9999999999272404E-2</v>
      </c>
      <c r="N13" s="133">
        <f t="shared" si="3"/>
        <v>9.9999999983992893E-3</v>
      </c>
      <c r="O13" s="133">
        <f t="shared" si="3"/>
        <v>0.51999999998952262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293.69</v>
      </c>
      <c r="D20" s="136">
        <f>ROUNDUP('採算表(VND)'!D20/$N$1,2)</f>
        <v>292.37</v>
      </c>
      <c r="E20" s="136">
        <f>ROUNDUP('採算表(VND)'!E20/$N$1,2)</f>
        <v>292.45</v>
      </c>
      <c r="F20" s="136">
        <f>ROUNDUP('採算表(VND)'!F20/$N$1,2)</f>
        <v>292.18</v>
      </c>
      <c r="G20" s="136">
        <f>ROUNDUP('採算表(VND)'!G20/$N$1,2)</f>
        <v>292.10000000000002</v>
      </c>
      <c r="H20" s="136">
        <f>ROUNDUP('採算表(VND)'!H20/$N$1,2)</f>
        <v>288.39</v>
      </c>
      <c r="I20" s="136">
        <f>ROUNDUP('採算表(VND)'!I20/$N$1,2)</f>
        <v>287.32</v>
      </c>
      <c r="J20" s="136">
        <f>ROUNDUP('採算表(VND)'!J20/$N$1,2)</f>
        <v>287.26</v>
      </c>
      <c r="K20" s="136">
        <f>ROUNDUP('採算表(VND)'!K20/$N$1,2)</f>
        <v>287.27999999999997</v>
      </c>
      <c r="L20" s="136">
        <f>ROUNDUP('採算表(VND)'!L20/$N$1,2)</f>
        <v>287.2</v>
      </c>
      <c r="M20" s="136">
        <f>ROUNDUP('採算表(VND)'!M20/$N$1,2)</f>
        <v>1075.56</v>
      </c>
      <c r="N20" s="136">
        <f>ROUNDUP('採算表(VND)'!N20/$N$1,2)</f>
        <v>1075.71</v>
      </c>
      <c r="O20" s="136">
        <f t="shared" si="4"/>
        <v>5051.51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9.24</v>
      </c>
      <c r="D25" s="136">
        <f>ROUNDUP('採算表(VND)'!D25/$N$1,2)</f>
        <v>8.92</v>
      </c>
      <c r="E25" s="136">
        <f>ROUNDUP('採算表(VND)'!E25/$N$1,2)</f>
        <v>9.7200000000000006</v>
      </c>
      <c r="F25" s="136">
        <f>ROUNDUP('採算表(VND)'!F25/$N$1,2)</f>
        <v>10.52</v>
      </c>
      <c r="G25" s="136">
        <f>ROUNDUP('採算表(VND)'!G25/$N$1,2)</f>
        <v>9.2099999999999991</v>
      </c>
      <c r="H25" s="136">
        <f>ROUNDUP('採算表(VND)'!H25/$N$1,2)</f>
        <v>8.7899999999999991</v>
      </c>
      <c r="I25" s="136">
        <f>ROUNDUP('採算表(VND)'!I25/$N$1,2)</f>
        <v>10.52</v>
      </c>
      <c r="J25" s="136">
        <f>ROUNDUP('採算表(VND)'!J25/$N$1,2)</f>
        <v>9.24</v>
      </c>
      <c r="K25" s="136">
        <f>ROUNDUP('採算表(VND)'!K25/$N$1,2)</f>
        <v>10.11</v>
      </c>
      <c r="L25" s="136">
        <f>ROUNDUP('採算表(VND)'!L25/$N$1,2)</f>
        <v>9.23</v>
      </c>
      <c r="M25" s="136">
        <f>ROUNDUP('採算表(VND)'!M25/$N$1,2)</f>
        <v>7.1</v>
      </c>
      <c r="N25" s="136">
        <f>ROUNDUP('採算表(VND)'!N25/$N$1,2)</f>
        <v>9.23</v>
      </c>
      <c r="O25" s="136">
        <f t="shared" si="4"/>
        <v>111.83</v>
      </c>
    </row>
    <row r="26" spans="1:15" ht="11.25" customHeight="1">
      <c r="A26" s="34"/>
      <c r="B26" s="37" t="s">
        <v>104</v>
      </c>
      <c r="C26" s="136">
        <f>ROUNDUP('採算表(VND)'!C26/$N$1,2)</f>
        <v>617.68999999999994</v>
      </c>
      <c r="D26" s="136">
        <f>ROUNDUP('採算表(VND)'!D26/$N$1,2)</f>
        <v>659.71</v>
      </c>
      <c r="E26" s="136">
        <f>ROUNDUP('採算表(VND)'!E26/$N$1,2)</f>
        <v>777.2</v>
      </c>
      <c r="F26" s="136">
        <f>ROUNDUP('採算表(VND)'!F26/$N$1,2)</f>
        <v>659.71</v>
      </c>
      <c r="G26" s="136">
        <f>ROUNDUP('採算表(VND)'!G26/$N$1,2)</f>
        <v>117.49000000000001</v>
      </c>
      <c r="H26" s="136">
        <f>ROUNDUP('採算表(VND)'!H26/$N$1,2)</f>
        <v>21.67</v>
      </c>
      <c r="I26" s="136">
        <f>ROUNDUP('採算表(VND)'!I26/$N$1,2)</f>
        <v>117.49000000000001</v>
      </c>
      <c r="J26" s="136">
        <f>ROUNDUP('採算表(VND)'!J26/$N$1,2)</f>
        <v>10.64</v>
      </c>
      <c r="K26" s="136">
        <f>ROUNDUP('採算表(VND)'!K26/$N$1,2)</f>
        <v>117.49000000000001</v>
      </c>
      <c r="L26" s="136">
        <f>ROUNDUP('採算表(VND)'!L26/$N$1,2)</f>
        <v>10.64</v>
      </c>
      <c r="M26" s="136">
        <f>ROUNDUP('採算表(VND)'!M26/$N$1,2)</f>
        <v>117.49000000000001</v>
      </c>
      <c r="N26" s="136">
        <f>ROUNDUP('採算表(VND)'!N26/$N$1,2)</f>
        <v>0</v>
      </c>
      <c r="O26" s="136">
        <f t="shared" si="4"/>
        <v>3227.2200000000003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49.53</v>
      </c>
      <c r="D28" s="136">
        <f>ROUNDUP('採算表(VND)'!D28/$N$1,2)</f>
        <v>146.19</v>
      </c>
      <c r="E28" s="136">
        <f>ROUNDUP('採算表(VND)'!E28/$N$1,2)</f>
        <v>71.540000000000006</v>
      </c>
      <c r="F28" s="136">
        <f>ROUNDUP('採算表(VND)'!F28/$N$1,2)</f>
        <v>18.170000000000002</v>
      </c>
      <c r="G28" s="136">
        <f>ROUNDUP('採算表(VND)'!G28/$N$1,2)</f>
        <v>18.080000000000002</v>
      </c>
      <c r="H28" s="136">
        <f>ROUNDUP('採算表(VND)'!H28/$N$1,2)</f>
        <v>15.85</v>
      </c>
      <c r="I28" s="136">
        <f>ROUNDUP('採算表(VND)'!I28/$N$1,2)</f>
        <v>42.129999999999995</v>
      </c>
      <c r="J28" s="136">
        <f>ROUNDUP('採算表(VND)'!J28/$N$1,2)</f>
        <v>11.61</v>
      </c>
      <c r="K28" s="136">
        <f>ROUNDUP('採算表(VND)'!K28/$N$1,2)</f>
        <v>14.18</v>
      </c>
      <c r="L28" s="136">
        <f>ROUNDUP('採算表(VND)'!L28/$N$1,2)</f>
        <v>138.44999999999999</v>
      </c>
      <c r="M28" s="136">
        <f>ROUNDUP('採算表(VND)'!M28/$N$1,2)</f>
        <v>19.110000000000003</v>
      </c>
      <c r="N28" s="136">
        <f>ROUNDUP('採算表(VND)'!N28/$N$1,2)</f>
        <v>36.04</v>
      </c>
      <c r="O28" s="136">
        <f t="shared" si="4"/>
        <v>580.88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68.570000000000007</v>
      </c>
      <c r="D30" s="136">
        <f>ROUNDUP('採算表(VND)'!D30/$N$1,2)</f>
        <v>70.37</v>
      </c>
      <c r="E30" s="136">
        <f>ROUNDUP('採算表(VND)'!E30/$N$1,2)</f>
        <v>84.460000000000008</v>
      </c>
      <c r="F30" s="136">
        <f>ROUNDUP('採算表(VND)'!F30/$N$1,2)</f>
        <v>96.320000000000007</v>
      </c>
      <c r="G30" s="136">
        <f>ROUNDUP('採算表(VND)'!G30/$N$1,2)</f>
        <v>93.37</v>
      </c>
      <c r="H30" s="136">
        <f>ROUNDUP('採算表(VND)'!H30/$N$1,2)</f>
        <v>84.12</v>
      </c>
      <c r="I30" s="136">
        <f>ROUNDUP('採算表(VND)'!I30/$N$1,2)</f>
        <v>81.08</v>
      </c>
      <c r="J30" s="136">
        <f>ROUNDUP('採算表(VND)'!J30/$N$1,2)</f>
        <v>79.910000000000011</v>
      </c>
      <c r="K30" s="136">
        <f>ROUNDUP('採算表(VND)'!K30/$N$1,2)</f>
        <v>79.53</v>
      </c>
      <c r="L30" s="136">
        <f>ROUNDUP('採算表(VND)'!L30/$N$1,2)</f>
        <v>69.39</v>
      </c>
      <c r="M30" s="136">
        <f>ROUNDUP('採算表(VND)'!M30/$N$1,2)</f>
        <v>61.58</v>
      </c>
      <c r="N30" s="136">
        <f>ROUNDUP('採算表(VND)'!N30/$N$1,2)</f>
        <v>59.03</v>
      </c>
      <c r="O30" s="136">
        <f t="shared" si="4"/>
        <v>927.73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4224.6000000000004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4224.6000000000004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118.16000000000001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118.16000000000001</v>
      </c>
    </row>
    <row r="39" spans="1:15" ht="11.25" customHeight="1">
      <c r="A39" s="38"/>
      <c r="B39" s="37" t="s">
        <v>50</v>
      </c>
      <c r="C39" s="136">
        <f>ROUNDUP('採算表(VND)'!C39/$N$1,2)</f>
        <v>131.59</v>
      </c>
      <c r="D39" s="136">
        <f>ROUNDUP('採算表(VND)'!D39/$N$1,2)</f>
        <v>131.69</v>
      </c>
      <c r="E39" s="136">
        <f>ROUNDUP('採算表(VND)'!E39/$N$1,2)</f>
        <v>132.51</v>
      </c>
      <c r="F39" s="136">
        <f>ROUNDUP('採算表(VND)'!F39/$N$1,2)</f>
        <v>130.19999999999999</v>
      </c>
      <c r="G39" s="136">
        <f>ROUNDUP('採算表(VND)'!G39/$N$1,2)</f>
        <v>129.53</v>
      </c>
      <c r="H39" s="136">
        <f>ROUNDUP('採算表(VND)'!H39/$N$1,2)</f>
        <v>128.44</v>
      </c>
      <c r="I39" s="136">
        <f>ROUNDUP('採算表(VND)'!I39/$N$1,2)</f>
        <v>140.62</v>
      </c>
      <c r="J39" s="136">
        <f>ROUNDUP('採算表(VND)'!J39/$N$1,2)</f>
        <v>127.14</v>
      </c>
      <c r="K39" s="136">
        <f>ROUNDUP('採算表(VND)'!K39/$N$1,2)</f>
        <v>127.21000000000001</v>
      </c>
      <c r="L39" s="136">
        <f>ROUNDUP('採算表(VND)'!L39/$N$1,2)</f>
        <v>140.04</v>
      </c>
      <c r="M39" s="136">
        <f>ROUNDUP('採算表(VND)'!M39/$N$1,2)</f>
        <v>125.12</v>
      </c>
      <c r="N39" s="136">
        <f>ROUNDUP('採算表(VND)'!N39/$N$1,2)</f>
        <v>153.03</v>
      </c>
      <c r="O39" s="136">
        <f t="shared" si="4"/>
        <v>1597.1200000000001</v>
      </c>
    </row>
    <row r="40" spans="1:15" ht="11.25" customHeight="1">
      <c r="A40" s="38"/>
      <c r="B40" s="37" t="s">
        <v>51</v>
      </c>
      <c r="C40" s="136">
        <f>ROUNDUP('採算表(VND)'!C40/$N$1,2)</f>
        <v>12681.34</v>
      </c>
      <c r="D40" s="136">
        <f>ROUNDUP('採算表(VND)'!D40/$N$1,2)</f>
        <v>12681.34</v>
      </c>
      <c r="E40" s="136">
        <f>ROUNDUP('採算表(VND)'!E40/$N$1,2)</f>
        <v>12681.34</v>
      </c>
      <c r="F40" s="136">
        <f>ROUNDUP('採算表(VND)'!F40/$N$1,2)</f>
        <v>12681.34</v>
      </c>
      <c r="G40" s="136">
        <f>ROUNDUP('採算表(VND)'!G40/$N$1,2)</f>
        <v>12681.34</v>
      </c>
      <c r="H40" s="136">
        <f>ROUNDUP('採算表(VND)'!H40/$N$1,2)</f>
        <v>12681.34</v>
      </c>
      <c r="I40" s="136">
        <f>ROUNDUP('採算表(VND)'!I40/$N$1,2)</f>
        <v>47667.01</v>
      </c>
      <c r="J40" s="136">
        <f>ROUNDUP('採算表(VND)'!J40/$N$1,2)</f>
        <v>12681.34</v>
      </c>
      <c r="K40" s="136">
        <f>ROUNDUP('採算表(VND)'!K40/$N$1,2)</f>
        <v>12681.34</v>
      </c>
      <c r="L40" s="136">
        <f>ROUNDUP('採算表(VND)'!L40/$N$1,2)</f>
        <v>12681.34</v>
      </c>
      <c r="M40" s="136">
        <f>ROUNDUP('採算表(VND)'!M40/$N$1,2)</f>
        <v>12681.34</v>
      </c>
      <c r="N40" s="136">
        <f>ROUNDUP('採算表(VND)'!N40/$N$1,2)</f>
        <v>12681.34</v>
      </c>
      <c r="O40" s="136">
        <f t="shared" si="4"/>
        <v>187161.74999999997</v>
      </c>
    </row>
    <row r="41" spans="1:15" ht="11.25" customHeight="1">
      <c r="A41" s="38"/>
      <c r="B41" s="37" t="s">
        <v>58</v>
      </c>
      <c r="C41" s="136">
        <f>ROUNDUP('採算表(VND)'!C41/$N$1,2)</f>
        <v>27.200000000000003</v>
      </c>
      <c r="D41" s="136">
        <f>ROUNDUP('採算表(VND)'!D41/$N$1,2)</f>
        <v>15.7</v>
      </c>
      <c r="E41" s="136">
        <f>ROUNDUP('採算表(VND)'!E41/$N$1,2)</f>
        <v>18.990000000000002</v>
      </c>
      <c r="F41" s="136">
        <f>ROUNDUP('採算表(VND)'!F41/$N$1,2)</f>
        <v>52.28</v>
      </c>
      <c r="G41" s="136">
        <f>ROUNDUP('採算表(VND)'!G41/$N$1,2)</f>
        <v>45.69</v>
      </c>
      <c r="H41" s="136">
        <f>ROUNDUP('採算表(VND)'!H41/$N$1,2)</f>
        <v>9.94</v>
      </c>
      <c r="I41" s="136">
        <f>ROUNDUP('採算表(VND)'!I41/$N$1,2)</f>
        <v>10.17</v>
      </c>
      <c r="J41" s="136">
        <f>ROUNDUP('採算表(VND)'!J41/$N$1,2)</f>
        <v>12.39</v>
      </c>
      <c r="K41" s="136">
        <f>ROUNDUP('採算表(VND)'!K41/$N$1,2)</f>
        <v>10.17</v>
      </c>
      <c r="L41" s="136">
        <f>ROUNDUP('採算表(VND)'!L41/$N$1,2)</f>
        <v>31.220000000000002</v>
      </c>
      <c r="M41" s="136">
        <f>ROUNDUP('採算表(VND)'!M41/$N$1,2)</f>
        <v>14.81</v>
      </c>
      <c r="N41" s="136">
        <f>ROUNDUP('採算表(VND)'!N41/$N$1,2)</f>
        <v>45.5</v>
      </c>
      <c r="O41" s="136">
        <f t="shared" si="4"/>
        <v>294.06</v>
      </c>
    </row>
    <row r="42" spans="1:15" ht="11.25" customHeight="1">
      <c r="A42" s="38"/>
      <c r="B42" s="37" t="s">
        <v>98</v>
      </c>
      <c r="C42" s="136">
        <f>ROUNDUP('採算表(VND)'!C42/$N$1,2)</f>
        <v>1122.4000000000001</v>
      </c>
      <c r="D42" s="136">
        <f>ROUNDUP('採算表(VND)'!D42/$N$1,2)</f>
        <v>1608.6</v>
      </c>
      <c r="E42" s="136">
        <f>ROUNDUP('採算表(VND)'!E42/$N$1,2)</f>
        <v>1121.48</v>
      </c>
      <c r="F42" s="136">
        <f>ROUNDUP('採算表(VND)'!F42/$N$1,2)</f>
        <v>1123.8499999999999</v>
      </c>
      <c r="G42" s="136">
        <f>ROUNDUP('採算表(VND)'!G42/$N$1,2)</f>
        <v>1130.53</v>
      </c>
      <c r="H42" s="136">
        <f>ROUNDUP('採算表(VND)'!H42/$N$1,2)</f>
        <v>1184.79</v>
      </c>
      <c r="I42" s="136">
        <f>ROUNDUP('採算表(VND)'!I42/$N$1,2)</f>
        <v>1128.43</v>
      </c>
      <c r="J42" s="136">
        <f>ROUNDUP('採算表(VND)'!J42/$N$1,2)</f>
        <v>1131.99</v>
      </c>
      <c r="K42" s="136">
        <f>ROUNDUP('採算表(VND)'!K42/$N$1,2)</f>
        <v>1131.1099999999999</v>
      </c>
      <c r="L42" s="136">
        <f>ROUNDUP('採算表(VND)'!L42/$N$1,2)</f>
        <v>1120.29</v>
      </c>
      <c r="M42" s="136">
        <f>ROUNDUP('採算表(VND)'!M42/$N$1,2)</f>
        <v>2855.7700000000004</v>
      </c>
      <c r="N42" s="136">
        <f>ROUNDUP('採算表(VND)'!N42/$N$1,2)</f>
        <v>2810.6400000000003</v>
      </c>
      <c r="O42" s="136">
        <f t="shared" si="4"/>
        <v>17469.88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368.21</v>
      </c>
      <c r="D44" s="136">
        <f>ROUNDUP('採算表(VND)'!D44/$N$1,2)</f>
        <v>1075.06</v>
      </c>
      <c r="E44" s="136">
        <f>ROUNDUP('採算表(VND)'!E44/$N$1,2)</f>
        <v>60.44</v>
      </c>
      <c r="F44" s="136">
        <f>ROUNDUP('採算表(VND)'!F44/$N$1,2)</f>
        <v>123.26</v>
      </c>
      <c r="G44" s="136">
        <f>ROUNDUP('採算表(VND)'!G44/$N$1,2)</f>
        <v>68.98</v>
      </c>
      <c r="H44" s="136">
        <f>ROUNDUP('採算表(VND)'!H44/$N$1,2)</f>
        <v>125.55000000000001</v>
      </c>
      <c r="I44" s="136">
        <f>ROUNDUP('採算表(VND)'!I44/$N$1,2)</f>
        <v>171.51999999999998</v>
      </c>
      <c r="J44" s="136">
        <f>ROUNDUP('採算表(VND)'!J44/$N$1,2)</f>
        <v>114.21000000000001</v>
      </c>
      <c r="K44" s="136">
        <f>ROUNDUP('採算表(VND)'!K44/$N$1,2)</f>
        <v>172.38</v>
      </c>
      <c r="L44" s="136">
        <f>ROUNDUP('採算表(VND)'!L44/$N$1,2)</f>
        <v>65.300000000000011</v>
      </c>
      <c r="M44" s="136">
        <f>ROUNDUP('採算表(VND)'!M44/$N$1,2)</f>
        <v>269.5</v>
      </c>
      <c r="N44" s="136">
        <f>ROUNDUP('採算表(VND)'!N44/$N$1,2)</f>
        <v>62.87</v>
      </c>
      <c r="O44" s="136">
        <f t="shared" si="4"/>
        <v>2677.28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24.42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24.42</v>
      </c>
      <c r="O45" s="136">
        <f t="shared" si="4"/>
        <v>48.84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209.85</v>
      </c>
      <c r="D57" s="139">
        <f>ROUNDUP('採算表(VND)'!D57/$N$1,2)</f>
        <v>198.38</v>
      </c>
      <c r="E57" s="139">
        <f>ROUNDUP('採算表(VND)'!E57/$N$1,2)</f>
        <v>198.42999999999998</v>
      </c>
      <c r="F57" s="139">
        <f>ROUNDUP('採算表(VND)'!F57/$N$1,2)</f>
        <v>198.26</v>
      </c>
      <c r="G57" s="139">
        <f>ROUNDUP('採算表(VND)'!G57/$N$1,2)</f>
        <v>198.19</v>
      </c>
      <c r="H57" s="139">
        <f>ROUNDUP('採算表(VND)'!H57/$N$1,2)</f>
        <v>195.67999999999998</v>
      </c>
      <c r="I57" s="139">
        <f>ROUNDUP('採算表(VND)'!I57/$N$1,2)</f>
        <v>194.94</v>
      </c>
      <c r="J57" s="139">
        <f>ROUNDUP('採算表(VND)'!J57/$N$1,2)</f>
        <v>194.92</v>
      </c>
      <c r="K57" s="139">
        <f>ROUNDUP('採算表(VND)'!K57/$N$1,2)</f>
        <v>194.92999999999998</v>
      </c>
      <c r="L57" s="139">
        <f>ROUNDUP('採算表(VND)'!L57/$N$1,2)</f>
        <v>194.87</v>
      </c>
      <c r="M57" s="139">
        <f>ROUNDUP('採算表(VND)'!M57/$N$1,2)</f>
        <v>194.78</v>
      </c>
      <c r="N57" s="139">
        <f>ROUNDUP('採算表(VND)'!N57/$N$1,2)</f>
        <v>280.02999999999997</v>
      </c>
      <c r="O57" s="139">
        <f t="shared" si="4"/>
        <v>2453.2600000000002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-15579.26</v>
      </c>
      <c r="D64" s="139">
        <f>ROUNDUP('採算表(VND)'!D64/$N$1,2)</f>
        <v>-16888.289999999997</v>
      </c>
      <c r="E64" s="139">
        <f>ROUNDUP('採算表(VND)'!E64/$N$1,2)</f>
        <v>-15448.49</v>
      </c>
      <c r="F64" s="139">
        <f>ROUNDUP('採算表(VND)'!F64/$N$1,2)</f>
        <v>-15386.050000000001</v>
      </c>
      <c r="G64" s="139">
        <f>ROUNDUP('採算表(VND)'!G64/$N$1,2)</f>
        <v>-14784.49</v>
      </c>
      <c r="H64" s="139">
        <f>ROUNDUP('採算表(VND)'!H64/$N$1,2)</f>
        <v>-14744.52</v>
      </c>
      <c r="I64" s="139">
        <f>ROUNDUP('採算表(VND)'!I64/$N$1,2)</f>
        <v>-49875.57</v>
      </c>
      <c r="J64" s="139">
        <f>ROUNDUP('採算表(VND)'!J64/$N$1,2)</f>
        <v>-18885.21</v>
      </c>
      <c r="K64" s="139">
        <f>ROUNDUP('採算表(VND)'!K64/$N$1,2)</f>
        <v>-14825.68</v>
      </c>
      <c r="L64" s="139">
        <f>ROUNDUP('採算表(VND)'!L64/$N$1,2)</f>
        <v>-14866.1</v>
      </c>
      <c r="M64" s="139">
        <f>ROUNDUP('採算表(VND)'!M64/$N$1,2)</f>
        <v>-17422.109999999997</v>
      </c>
      <c r="N64" s="139">
        <f>ROUNDUP('採算表(VND)'!N64/$N$1,2)</f>
        <v>-17237.829999999998</v>
      </c>
      <c r="O64" s="139">
        <f t="shared" si="4"/>
        <v>-225943.59999999998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-4.9999999999272404E-2</v>
      </c>
      <c r="D66" s="134">
        <f t="shared" ref="D66:O66" si="5">IF(ISBLANK(D4),"",D12-D13)</f>
        <v>-4.0000000004511094E-2</v>
      </c>
      <c r="E66" s="134">
        <f t="shared" si="5"/>
        <v>-7.0000000001527951E-2</v>
      </c>
      <c r="F66" s="134">
        <f t="shared" si="5"/>
        <v>-4.0000000000873115E-2</v>
      </c>
      <c r="G66" s="134">
        <f t="shared" si="5"/>
        <v>-2.0000000002255547E-2</v>
      </c>
      <c r="H66" s="134">
        <f t="shared" si="5"/>
        <v>-4.0000000000873115E-2</v>
      </c>
      <c r="I66" s="134">
        <f t="shared" si="5"/>
        <v>-8.000000000174623E-2</v>
      </c>
      <c r="J66" s="134">
        <f t="shared" si="5"/>
        <v>-4.0000000000873115E-2</v>
      </c>
      <c r="K66" s="134">
        <f t="shared" si="5"/>
        <v>-4.9999999999272404E-2</v>
      </c>
      <c r="L66" s="134">
        <f t="shared" si="5"/>
        <v>-2.9999999998835847E-2</v>
      </c>
      <c r="M66" s="134">
        <f t="shared" si="5"/>
        <v>-4.9999999999272404E-2</v>
      </c>
      <c r="N66" s="134">
        <f t="shared" si="5"/>
        <v>-9.9999999983992893E-3</v>
      </c>
      <c r="O66" s="134">
        <f t="shared" si="5"/>
        <v>-0.51999999998952262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1785</v>
      </c>
      <c r="D68" s="135">
        <f>'採算表(VND)'!D68</f>
        <v>1810.5</v>
      </c>
      <c r="E68" s="135">
        <f>'採算表(VND)'!E68</f>
        <v>2040</v>
      </c>
      <c r="F68" s="135">
        <f>'採算表(VND)'!F68</f>
        <v>2244</v>
      </c>
      <c r="G68" s="135">
        <f>'採算表(VND)'!G68</f>
        <v>1997.5</v>
      </c>
      <c r="H68" s="135">
        <f>'採算表(VND)'!H68</f>
        <v>1776.5</v>
      </c>
      <c r="I68" s="135">
        <f>'採算表(VND)'!I68</f>
        <v>2244</v>
      </c>
      <c r="J68" s="135">
        <f>'採算表(VND)'!J68</f>
        <v>1938</v>
      </c>
      <c r="K68" s="135">
        <f>'採算表(VND)'!K68</f>
        <v>2142</v>
      </c>
      <c r="L68" s="135">
        <f>'採算表(VND)'!L68</f>
        <v>1921</v>
      </c>
      <c r="M68" s="135">
        <f>'採算表(VND)'!M68</f>
        <v>1487.5</v>
      </c>
      <c r="N68" s="135">
        <f>'採算表(VND)'!N68</f>
        <v>1997.5</v>
      </c>
      <c r="O68" s="135">
        <f>SUM(C68:N68)</f>
        <v>23383.5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-1785</v>
      </c>
      <c r="D72" s="141">
        <f>'採算表(VND)'!D72</f>
        <v>-1810.5</v>
      </c>
      <c r="E72" s="141">
        <f>'採算表(VND)'!E72</f>
        <v>-2040</v>
      </c>
      <c r="F72" s="141">
        <f>'採算表(VND)'!F72</f>
        <v>-2244</v>
      </c>
      <c r="G72" s="141">
        <f>'採算表(VND)'!G72</f>
        <v>-1997.5</v>
      </c>
      <c r="H72" s="141">
        <f>'採算表(VND)'!H72</f>
        <v>-1776.5</v>
      </c>
      <c r="I72" s="141">
        <f>'採算表(VND)'!I72</f>
        <v>-2244</v>
      </c>
      <c r="J72" s="141">
        <f>'採算表(VND)'!J72</f>
        <v>-1938</v>
      </c>
      <c r="K72" s="141">
        <f>'採算表(VND)'!K72</f>
        <v>-2142</v>
      </c>
      <c r="L72" s="141">
        <f>'採算表(VND)'!L72</f>
        <v>-1921</v>
      </c>
      <c r="M72" s="141">
        <f>'採算表(VND)'!M72</f>
        <v>-1487.5</v>
      </c>
      <c r="N72" s="141">
        <f>'採算表(VND)'!N72</f>
        <v>-1997.5</v>
      </c>
      <c r="O72" s="141">
        <f>SUM(C72:N72)</f>
        <v>-23383.5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46</v>
      </c>
      <c r="D74" s="135">
        <f>'採算表(VND)'!D74</f>
        <v>66</v>
      </c>
      <c r="E74" s="135">
        <f>'採算表(VND)'!E74</f>
        <v>80</v>
      </c>
      <c r="F74" s="135">
        <f>'採算表(VND)'!F74</f>
        <v>88</v>
      </c>
      <c r="G74" s="135">
        <f>'採算表(VND)'!G74</f>
        <v>122.5</v>
      </c>
      <c r="H74" s="135">
        <f>'採算表(VND)'!H74</f>
        <v>68</v>
      </c>
      <c r="I74" s="135">
        <f>'採算表(VND)'!I74</f>
        <v>88</v>
      </c>
      <c r="J74" s="135">
        <f>'採算表(VND)'!J74</f>
        <v>76</v>
      </c>
      <c r="K74" s="135">
        <f>'採算表(VND)'!K74</f>
        <v>84</v>
      </c>
      <c r="L74" s="135">
        <f>'採算表(VND)'!L74</f>
        <v>72</v>
      </c>
      <c r="M74" s="135">
        <f>'採算表(VND)'!M74</f>
        <v>60</v>
      </c>
      <c r="N74" s="135">
        <f>'採算表(VND)'!N74</f>
        <v>122.5</v>
      </c>
      <c r="O74" s="135">
        <f>SUM(C74:N74)</f>
        <v>973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-46</v>
      </c>
      <c r="D78" s="141">
        <f>'採算表(VND)'!D78</f>
        <v>-66</v>
      </c>
      <c r="E78" s="141">
        <f>'採算表(VND)'!E78</f>
        <v>-80</v>
      </c>
      <c r="F78" s="141">
        <f>'採算表(VND)'!F78</f>
        <v>-88</v>
      </c>
      <c r="G78" s="141">
        <f>'採算表(VND)'!G78</f>
        <v>-122.5</v>
      </c>
      <c r="H78" s="141">
        <f>'採算表(VND)'!H78</f>
        <v>-68</v>
      </c>
      <c r="I78" s="141">
        <f>'採算表(VND)'!I78</f>
        <v>-88</v>
      </c>
      <c r="J78" s="141">
        <f>'採算表(VND)'!J78</f>
        <v>-76</v>
      </c>
      <c r="K78" s="141">
        <f>'採算表(VND)'!K78</f>
        <v>-84</v>
      </c>
      <c r="L78" s="141">
        <f>'採算表(VND)'!L78</f>
        <v>-72</v>
      </c>
      <c r="M78" s="141">
        <f>'採算表(VND)'!M78</f>
        <v>-60</v>
      </c>
      <c r="N78" s="141">
        <f>'採算表(VND)'!N78</f>
        <v>-122.5</v>
      </c>
      <c r="O78" s="141">
        <f>SUM(C78:N78)</f>
        <v>-973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12</v>
      </c>
      <c r="D88" s="150">
        <f>'採算表(VND)'!D88</f>
        <v>12</v>
      </c>
      <c r="E88" s="150">
        <f>'採算表(VND)'!E88</f>
        <v>12</v>
      </c>
      <c r="F88" s="150">
        <f>'採算表(VND)'!F88</f>
        <v>12</v>
      </c>
      <c r="G88" s="150">
        <f>'採算表(VND)'!G88</f>
        <v>12</v>
      </c>
      <c r="H88" s="150">
        <f>'採算表(VND)'!H88</f>
        <v>12</v>
      </c>
      <c r="I88" s="150">
        <f>'採算表(VND)'!I88</f>
        <v>12</v>
      </c>
      <c r="J88" s="150">
        <f>'採算表(VND)'!J88</f>
        <v>12</v>
      </c>
      <c r="K88" s="150">
        <f>'採算表(VND)'!K88</f>
        <v>12</v>
      </c>
      <c r="L88" s="150">
        <f>'採算表(VND)'!L88</f>
        <v>12</v>
      </c>
      <c r="M88" s="150">
        <f>'採算表(VND)'!M88</f>
        <v>12</v>
      </c>
      <c r="N88" s="150">
        <f>'採算表(VND)'!N88</f>
        <v>12</v>
      </c>
      <c r="O88" s="150">
        <f>SUM(C88:N88)</f>
        <v>144</v>
      </c>
    </row>
    <row r="89" spans="1:15">
      <c r="A89" s="44"/>
      <c r="B89" s="60" t="s">
        <v>18</v>
      </c>
      <c r="C89" s="151">
        <f t="shared" ref="C89:O89" si="11">C87+C88</f>
        <v>12</v>
      </c>
      <c r="D89" s="151">
        <f t="shared" si="11"/>
        <v>12</v>
      </c>
      <c r="E89" s="151">
        <f t="shared" si="11"/>
        <v>12</v>
      </c>
      <c r="F89" s="151">
        <f t="shared" si="11"/>
        <v>12</v>
      </c>
      <c r="G89" s="151">
        <f t="shared" si="11"/>
        <v>12</v>
      </c>
      <c r="H89" s="151">
        <f t="shared" si="11"/>
        <v>12</v>
      </c>
      <c r="I89" s="151">
        <f t="shared" si="11"/>
        <v>12</v>
      </c>
      <c r="J89" s="151">
        <f t="shared" si="11"/>
        <v>12</v>
      </c>
      <c r="K89" s="151">
        <f t="shared" si="11"/>
        <v>12</v>
      </c>
      <c r="L89" s="151">
        <f t="shared" si="11"/>
        <v>12</v>
      </c>
      <c r="M89" s="151">
        <f t="shared" si="11"/>
        <v>12</v>
      </c>
      <c r="N89" s="151">
        <f t="shared" si="11"/>
        <v>12</v>
      </c>
      <c r="O89" s="151">
        <f t="shared" si="11"/>
        <v>144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1785</v>
      </c>
      <c r="D93" s="133">
        <f>'採算表(VND)'!D93</f>
        <v>1810.5</v>
      </c>
      <c r="E93" s="133">
        <f>'採算表(VND)'!E93</f>
        <v>2040</v>
      </c>
      <c r="F93" s="133">
        <f>'採算表(VND)'!F93</f>
        <v>2244</v>
      </c>
      <c r="G93" s="133">
        <f>'採算表(VND)'!G93</f>
        <v>1997.5</v>
      </c>
      <c r="H93" s="133">
        <f>'採算表(VND)'!H93</f>
        <v>1776.5</v>
      </c>
      <c r="I93" s="133">
        <f>'採算表(VND)'!I93</f>
        <v>2244</v>
      </c>
      <c r="J93" s="133">
        <f>'採算表(VND)'!J93</f>
        <v>1938</v>
      </c>
      <c r="K93" s="133">
        <f>'採算表(VND)'!K93</f>
        <v>2142</v>
      </c>
      <c r="L93" s="133">
        <f>'採算表(VND)'!L93</f>
        <v>1921</v>
      </c>
      <c r="M93" s="133">
        <f>'採算表(VND)'!M93</f>
        <v>1487.5</v>
      </c>
      <c r="N93" s="133">
        <f>'採算表(VND)'!N93</f>
        <v>1997.5</v>
      </c>
      <c r="O93" s="133">
        <f>SUM(C93:N93)</f>
        <v>23383.5</v>
      </c>
    </row>
    <row r="94" spans="1:15">
      <c r="B94" s="61" t="s">
        <v>18</v>
      </c>
      <c r="C94" s="147">
        <f t="shared" ref="C94:O94" si="12">C92+C93</f>
        <v>1785</v>
      </c>
      <c r="D94" s="147">
        <f t="shared" si="12"/>
        <v>1810.5</v>
      </c>
      <c r="E94" s="147">
        <f t="shared" si="12"/>
        <v>2040</v>
      </c>
      <c r="F94" s="147">
        <f t="shared" si="12"/>
        <v>2244</v>
      </c>
      <c r="G94" s="147">
        <f t="shared" si="12"/>
        <v>1997.5</v>
      </c>
      <c r="H94" s="147">
        <f t="shared" si="12"/>
        <v>1776.5</v>
      </c>
      <c r="I94" s="147">
        <f t="shared" si="12"/>
        <v>2244</v>
      </c>
      <c r="J94" s="147">
        <f t="shared" si="12"/>
        <v>1938</v>
      </c>
      <c r="K94" s="147">
        <f t="shared" si="12"/>
        <v>2142</v>
      </c>
      <c r="L94" s="147">
        <f t="shared" si="12"/>
        <v>1921</v>
      </c>
      <c r="M94" s="147">
        <f t="shared" si="12"/>
        <v>1487.5</v>
      </c>
      <c r="N94" s="147">
        <f t="shared" si="12"/>
        <v>1997.5</v>
      </c>
      <c r="O94" s="147">
        <f t="shared" si="12"/>
        <v>23383.5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46</v>
      </c>
      <c r="D98" s="133">
        <f>'採算表(VND)'!D98</f>
        <v>66</v>
      </c>
      <c r="E98" s="133">
        <f>'採算表(VND)'!E98</f>
        <v>80</v>
      </c>
      <c r="F98" s="133">
        <f>'採算表(VND)'!F98</f>
        <v>88</v>
      </c>
      <c r="G98" s="133">
        <f>'採算表(VND)'!G98</f>
        <v>122.5</v>
      </c>
      <c r="H98" s="133">
        <f>'採算表(VND)'!H98</f>
        <v>68</v>
      </c>
      <c r="I98" s="133">
        <f>'採算表(VND)'!I98</f>
        <v>88</v>
      </c>
      <c r="J98" s="133">
        <f>'採算表(VND)'!J98</f>
        <v>76</v>
      </c>
      <c r="K98" s="133">
        <f>'採算表(VND)'!K98</f>
        <v>84</v>
      </c>
      <c r="L98" s="133">
        <f>'採算表(VND)'!L98</f>
        <v>72</v>
      </c>
      <c r="M98" s="133">
        <f>'採算表(VND)'!M98</f>
        <v>60</v>
      </c>
      <c r="N98" s="133">
        <f>'採算表(VND)'!N98</f>
        <v>122.5</v>
      </c>
      <c r="O98" s="133">
        <f>SUM(C98:N98)</f>
        <v>973</v>
      </c>
    </row>
    <row r="99" spans="2:15">
      <c r="B99" s="61" t="s">
        <v>18</v>
      </c>
      <c r="C99" s="147">
        <f t="shared" ref="C99:O99" si="13">C97+C98</f>
        <v>46</v>
      </c>
      <c r="D99" s="147">
        <f t="shared" si="13"/>
        <v>66</v>
      </c>
      <c r="E99" s="147">
        <f t="shared" si="13"/>
        <v>80</v>
      </c>
      <c r="F99" s="147">
        <f t="shared" si="13"/>
        <v>88</v>
      </c>
      <c r="G99" s="147">
        <f t="shared" si="13"/>
        <v>122.5</v>
      </c>
      <c r="H99" s="147">
        <f t="shared" si="13"/>
        <v>68</v>
      </c>
      <c r="I99" s="147">
        <f t="shared" si="13"/>
        <v>88</v>
      </c>
      <c r="J99" s="147">
        <f t="shared" si="13"/>
        <v>76</v>
      </c>
      <c r="K99" s="147">
        <f t="shared" si="13"/>
        <v>84</v>
      </c>
      <c r="L99" s="147">
        <f t="shared" si="13"/>
        <v>72</v>
      </c>
      <c r="M99" s="147">
        <f t="shared" si="13"/>
        <v>60</v>
      </c>
      <c r="N99" s="147">
        <f t="shared" si="13"/>
        <v>122.5</v>
      </c>
      <c r="O99" s="147">
        <f t="shared" si="13"/>
        <v>973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E21" sqref="E21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会計課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SUMIF('内訳ﾘｽﾄ(4～3月)'!$D$26:$D$998,'採算表(VND)'!$B6,'内訳ﾘｽﾄ(4～3月)'!F$26:F$998)</f>
        <v>0</v>
      </c>
      <c r="D6" s="153">
        <f>SUMIF('内訳ﾘｽﾄ(4～3月)'!$D$26:$D$998,'採算表(VND)'!$B6,'内訳ﾘｽﾄ(4～3月)'!G$26:G$998)</f>
        <v>0</v>
      </c>
      <c r="E6" s="153">
        <f>SUMIF('内訳ﾘｽﾄ(4～3月)'!$D$26:$D$998,'採算表(VND)'!$B6,'内訳ﾘｽﾄ(4～3月)'!H$26:H$998)</f>
        <v>0</v>
      </c>
      <c r="F6" s="153">
        <f>SUMIF('内訳ﾘｽﾄ(4～3月)'!$D$26:$D$998,'採算表(VND)'!$B6,'内訳ﾘｽﾄ(4～3月)'!I$26:I$998)</f>
        <v>0</v>
      </c>
      <c r="G6" s="153">
        <f>SUMIF('内訳ﾘｽﾄ(4～3月)'!$D$26:$D$998,'採算表(VND)'!$B6,'内訳ﾘｽﾄ(4～3月)'!J$26:J$998)</f>
        <v>0</v>
      </c>
      <c r="H6" s="153">
        <f>SUMIF('内訳ﾘｽﾄ(4～3月)'!$D$26:$D$998,'採算表(VND)'!$B6,'内訳ﾘｽﾄ(4～3月)'!K$26:K$998)</f>
        <v>0</v>
      </c>
      <c r="I6" s="153">
        <f>SUMIF('内訳ﾘｽﾄ(4～3月)'!$D$26:$D$998,'採算表(VND)'!$B6,'内訳ﾘｽﾄ(4～3月)'!L$26:L$998)</f>
        <v>0</v>
      </c>
      <c r="J6" s="153">
        <f>SUMIF('内訳ﾘｽﾄ(4～3月)'!$D$26:$D$998,'採算表(VND)'!$B6,'内訳ﾘｽﾄ(4～3月)'!M$26:M$998)</f>
        <v>0</v>
      </c>
      <c r="K6" s="153">
        <f>SUMIF('内訳ﾘｽﾄ(4～3月)'!$D$26:$D$998,'採算表(VND)'!$B6,'内訳ﾘｽﾄ(4～3月)'!N$26:N$998)</f>
        <v>0</v>
      </c>
      <c r="L6" s="153">
        <f>SUMIF('内訳ﾘｽﾄ(4～3月)'!$D$26:$D$998,'採算表(VND)'!$B6,'内訳ﾘｽﾄ(4～3月)'!O$26:O$998)</f>
        <v>0</v>
      </c>
      <c r="M6" s="153">
        <f>SUMIF('内訳ﾘｽﾄ(4～3月)'!$D$26:$D$998,'採算表(VND)'!$B6,'内訳ﾘｽﾄ(4～3月)'!P$26:P$998)</f>
        <v>0</v>
      </c>
      <c r="N6" s="153">
        <f>SUMIF('内訳ﾘｽﾄ(4～3月)'!$D$26:$D$998,'採算表(VND)'!$B6,'内訳ﾘｽﾄ(4～3月)'!Q$26:Q$998)</f>
        <v>0</v>
      </c>
      <c r="O6" s="153">
        <f>SUMIF('内訳ﾘｽﾄ(4～3月)'!$D$26:$D$797,'採算表(VND)'!$B6,'内訳ﾘｽﾄ(4～3月)'!R$26:R$797)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SUMIF('内訳ﾘｽﾄ(4～3月)'!$D$26:$D$998,'採算表(VND)'!$B7,'内訳ﾘｽﾄ(4～3月)'!F$26:F$998)</f>
        <v>0</v>
      </c>
      <c r="D7" s="154">
        <f>SUMIF('内訳ﾘｽﾄ(4～3月)'!$D$26:$D$998,'採算表(VND)'!$B7,'内訳ﾘｽﾄ(4～3月)'!G$26:G$998)</f>
        <v>0</v>
      </c>
      <c r="E7" s="154">
        <f>SUMIF('内訳ﾘｽﾄ(4～3月)'!$D$26:$D$998,'採算表(VND)'!$B7,'内訳ﾘｽﾄ(4～3月)'!H$26:H$998)</f>
        <v>0</v>
      </c>
      <c r="F7" s="154">
        <f>SUMIF('内訳ﾘｽﾄ(4～3月)'!$D$26:$D$998,'採算表(VND)'!$B7,'内訳ﾘｽﾄ(4～3月)'!I$26:I$998)</f>
        <v>0</v>
      </c>
      <c r="G7" s="154">
        <f>SUMIF('内訳ﾘｽﾄ(4～3月)'!$D$26:$D$998,'採算表(VND)'!$B7,'内訳ﾘｽﾄ(4～3月)'!J$26:J$998)</f>
        <v>0</v>
      </c>
      <c r="H7" s="154">
        <f>SUMIF('内訳ﾘｽﾄ(4～3月)'!$D$26:$D$998,'採算表(VND)'!$B7,'内訳ﾘｽﾄ(4～3月)'!K$26:K$998)</f>
        <v>0</v>
      </c>
      <c r="I7" s="154">
        <f>SUMIF('内訳ﾘｽﾄ(4～3月)'!$D$26:$D$998,'採算表(VND)'!$B7,'内訳ﾘｽﾄ(4～3月)'!L$26:L$998)</f>
        <v>0</v>
      </c>
      <c r="J7" s="154">
        <f>SUMIF('内訳ﾘｽﾄ(4～3月)'!$D$26:$D$998,'採算表(VND)'!$B7,'内訳ﾘｽﾄ(4～3月)'!M$26:M$998)</f>
        <v>0</v>
      </c>
      <c r="K7" s="154">
        <f>SUMIF('内訳ﾘｽﾄ(4～3月)'!$D$26:$D$998,'採算表(VND)'!$B7,'内訳ﾘｽﾄ(4～3月)'!N$26:N$998)</f>
        <v>0</v>
      </c>
      <c r="L7" s="154">
        <f>SUMIF('内訳ﾘｽﾄ(4～3月)'!$D$26:$D$998,'採算表(VND)'!$B7,'内訳ﾘｽﾄ(4～3月)'!O$26:O$998)</f>
        <v>0</v>
      </c>
      <c r="M7" s="154">
        <f>SUMIF('内訳ﾘｽﾄ(4～3月)'!$D$26:$D$998,'採算表(VND)'!$B7,'内訳ﾘｽﾄ(4～3月)'!P$26:P$998)</f>
        <v>0</v>
      </c>
      <c r="N7" s="154">
        <f>SUMIF('内訳ﾘｽﾄ(4～3月)'!$D$26:$D$998,'採算表(VND)'!$B7,'内訳ﾘｽﾄ(4～3月)'!Q$26:Q$998)</f>
        <v>0</v>
      </c>
      <c r="O7" s="154">
        <f>SUMIF('内訳ﾘｽﾄ(4～3月)'!$D$26:$D$797,'採算表(VND)'!$B7,'内訳ﾘｽﾄ(4～3月)'!R$26:R$797)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SUMIF('内訳ﾘｽﾄ(4～3月)'!$D$26:$D$998,'採算表(VND)'!$B9,'内訳ﾘｽﾄ(4～3月)'!F$26:F$998)</f>
        <v>0</v>
      </c>
      <c r="D9" s="150">
        <f>SUMIF('内訳ﾘｽﾄ(4～3月)'!$D$26:$D$998,'採算表(VND)'!$B9,'内訳ﾘｽﾄ(4～3月)'!G$26:G$998)</f>
        <v>0</v>
      </c>
      <c r="E9" s="150">
        <f>SUMIF('内訳ﾘｽﾄ(4～3月)'!$D$26:$D$998,'採算表(VND)'!$B9,'内訳ﾘｽﾄ(4～3月)'!H$26:H$998)</f>
        <v>0</v>
      </c>
      <c r="F9" s="150">
        <f>SUMIF('内訳ﾘｽﾄ(4～3月)'!$D$26:$D$998,'採算表(VND)'!$B9,'内訳ﾘｽﾄ(4～3月)'!I$26:I$998)</f>
        <v>0</v>
      </c>
      <c r="G9" s="150">
        <f>SUMIF('内訳ﾘｽﾄ(4～3月)'!$D$26:$D$998,'採算表(VND)'!$B9,'内訳ﾘｽﾄ(4～3月)'!J$26:J$998)</f>
        <v>0</v>
      </c>
      <c r="H9" s="150">
        <f>SUMIF('内訳ﾘｽﾄ(4～3月)'!$D$26:$D$998,'採算表(VND)'!$B9,'内訳ﾘｽﾄ(4～3月)'!K$26:K$998)</f>
        <v>0</v>
      </c>
      <c r="I9" s="150">
        <f>SUMIF('内訳ﾘｽﾄ(4～3月)'!$D$26:$D$998,'採算表(VND)'!$B9,'内訳ﾘｽﾄ(4～3月)'!L$26:L$998)</f>
        <v>0</v>
      </c>
      <c r="J9" s="150">
        <f>SUMIF('内訳ﾘｽﾄ(4～3月)'!$D$26:$D$998,'採算表(VND)'!$B9,'内訳ﾘｽﾄ(4～3月)'!M$26:M$998)</f>
        <v>0</v>
      </c>
      <c r="K9" s="150">
        <f>SUMIF('内訳ﾘｽﾄ(4～3月)'!$D$26:$D$998,'採算表(VND)'!$B9,'内訳ﾘｽﾄ(4～3月)'!N$26:N$998)</f>
        <v>0</v>
      </c>
      <c r="L9" s="150">
        <f>SUMIF('内訳ﾘｽﾄ(4～3月)'!$D$26:$D$998,'採算表(VND)'!$B9,'内訳ﾘｽﾄ(4～3月)'!O$26:O$998)</f>
        <v>0</v>
      </c>
      <c r="M9" s="150">
        <f>SUMIF('内訳ﾘｽﾄ(4～3月)'!$D$26:$D$998,'採算表(VND)'!$B9,'内訳ﾘｽﾄ(4～3月)'!P$26:P$998)</f>
        <v>0</v>
      </c>
      <c r="N9" s="150">
        <f>SUMIF('内訳ﾘｽﾄ(4～3月)'!$D$26:$D$998,'採算表(VND)'!$B9,'内訳ﾘｽﾄ(4～3月)'!Q$26:Q$998)</f>
        <v>0</v>
      </c>
      <c r="O9" s="150">
        <f>SUMIF('内訳ﾘｽﾄ(4～3月)'!$D$26:$D$797,'採算表(VND)'!$B9,'内訳ﾘｽﾄ(4～3月)'!R$26:R$797)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SUMIF('内訳ﾘｽﾄ(4～3月)'!$D$26:$D$998,'採算表(VND)'!$B10,'内訳ﾘｽﾄ(4～3月)'!F$26:F$998)</f>
        <v>0</v>
      </c>
      <c r="D10" s="150">
        <f>SUMIF('内訳ﾘｽﾄ(4～3月)'!$D$26:$D$998,'採算表(VND)'!$B10,'内訳ﾘｽﾄ(4～3月)'!G$26:G$998)</f>
        <v>0</v>
      </c>
      <c r="E10" s="150">
        <f>SUMIF('内訳ﾘｽﾄ(4～3月)'!$D$26:$D$998,'採算表(VND)'!$B10,'内訳ﾘｽﾄ(4～3月)'!H$26:H$998)</f>
        <v>0</v>
      </c>
      <c r="F10" s="150">
        <f>SUMIF('内訳ﾘｽﾄ(4～3月)'!$D$26:$D$998,'採算表(VND)'!$B10,'内訳ﾘｽﾄ(4～3月)'!I$26:I$998)</f>
        <v>0</v>
      </c>
      <c r="G10" s="150">
        <f>SUMIF('内訳ﾘｽﾄ(4～3月)'!$D$26:$D$998,'採算表(VND)'!$B10,'内訳ﾘｽﾄ(4～3月)'!J$26:J$998)</f>
        <v>0</v>
      </c>
      <c r="H10" s="150">
        <f>SUMIF('内訳ﾘｽﾄ(4～3月)'!$D$26:$D$998,'採算表(VND)'!$B10,'内訳ﾘｽﾄ(4～3月)'!K$26:K$998)</f>
        <v>0</v>
      </c>
      <c r="I10" s="150">
        <f>SUMIF('内訳ﾘｽﾄ(4～3月)'!$D$26:$D$998,'採算表(VND)'!$B10,'内訳ﾘｽﾄ(4～3月)'!L$26:L$998)</f>
        <v>0</v>
      </c>
      <c r="J10" s="150">
        <f>SUMIF('内訳ﾘｽﾄ(4～3月)'!$D$26:$D$998,'採算表(VND)'!$B10,'内訳ﾘｽﾄ(4～3月)'!M$26:M$998)</f>
        <v>0</v>
      </c>
      <c r="K10" s="150">
        <f>SUMIF('内訳ﾘｽﾄ(4～3月)'!$D$26:$D$998,'採算表(VND)'!$B10,'内訳ﾘｽﾄ(4～3月)'!N$26:N$998)</f>
        <v>0</v>
      </c>
      <c r="L10" s="150">
        <f>SUMIF('内訳ﾘｽﾄ(4～3月)'!$D$26:$D$998,'採算表(VND)'!$B10,'内訳ﾘｽﾄ(4～3月)'!O$26:O$998)</f>
        <v>0</v>
      </c>
      <c r="M10" s="150">
        <f>SUMIF('内訳ﾘｽﾄ(4～3月)'!$D$26:$D$998,'採算表(VND)'!$B10,'内訳ﾘｽﾄ(4～3月)'!P$26:P$998)</f>
        <v>0</v>
      </c>
      <c r="N10" s="150">
        <f>SUMIF('内訳ﾘｽﾄ(4～3月)'!$D$26:$D$998,'採算表(VND)'!$B10,'内訳ﾘｽﾄ(4～3月)'!Q$26:Q$998)</f>
        <v>0</v>
      </c>
      <c r="O10" s="150">
        <f>SUMIF('内訳ﾘｽﾄ(4～3月)'!$D$26:$D$797,'採算表(VND)'!$B10,'内訳ﾘｽﾄ(4～3月)'!R$26:R$797)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SUMIF('内訳ﾘｽﾄ(4～3月)'!$D$26:$D$998,$B14,'内訳ﾘｽﾄ(4～3月)'!F$26:F$998)</f>
        <v>0</v>
      </c>
      <c r="D14" s="157">
        <f>SUMIF('内訳ﾘｽﾄ(4～3月)'!$D$26:$D$998,$B14,'内訳ﾘｽﾄ(4～3月)'!G$26:G$998)</f>
        <v>0</v>
      </c>
      <c r="E14" s="157">
        <f>SUMIF('内訳ﾘｽﾄ(4～3月)'!$D$26:$D$998,$B14,'内訳ﾘｽﾄ(4～3月)'!H$26:H$998)</f>
        <v>0</v>
      </c>
      <c r="F14" s="157">
        <f>SUMIF('内訳ﾘｽﾄ(4～3月)'!$D$26:$D$998,$B14,'内訳ﾘｽﾄ(4～3月)'!I$26:I$998)</f>
        <v>0</v>
      </c>
      <c r="G14" s="157">
        <f>SUMIF('内訳ﾘｽﾄ(4～3月)'!$D$26:$D$998,$B14,'内訳ﾘｽﾄ(4～3月)'!J$26:J$998)</f>
        <v>0</v>
      </c>
      <c r="H14" s="157">
        <f>SUMIF('内訳ﾘｽﾄ(4～3月)'!$D$26:$D$998,$B14,'内訳ﾘｽﾄ(4～3月)'!K$26:K$998)</f>
        <v>0</v>
      </c>
      <c r="I14" s="157">
        <f>SUMIF('内訳ﾘｽﾄ(4～3月)'!$D$26:$D$998,$B14,'内訳ﾘｽﾄ(4～3月)'!L$26:L$998)</f>
        <v>0</v>
      </c>
      <c r="J14" s="157">
        <f>SUMIF('内訳ﾘｽﾄ(4～3月)'!$D$26:$D$998,$B14,'内訳ﾘｽﾄ(4～3月)'!M$26:M$998)</f>
        <v>0</v>
      </c>
      <c r="K14" s="157">
        <f>SUMIF('内訳ﾘｽﾄ(4～3月)'!$D$26:$D$998,$B14,'内訳ﾘｽﾄ(4～3月)'!N$26:N$998)</f>
        <v>0</v>
      </c>
      <c r="L14" s="157">
        <f>SUMIF('内訳ﾘｽﾄ(4～3月)'!$D$26:$D$998,$B14,'内訳ﾘｽﾄ(4～3月)'!O$26:O$998)</f>
        <v>0</v>
      </c>
      <c r="M14" s="157">
        <f>SUMIF('内訳ﾘｽﾄ(4～3月)'!$D$26:$D$998,$B14,'内訳ﾘｽﾄ(4～3月)'!P$26:P$998)</f>
        <v>0</v>
      </c>
      <c r="N14" s="157">
        <f>SUMIF('内訳ﾘｽﾄ(4～3月)'!$D$26:$D$998,$B14,'内訳ﾘｽﾄ(4～3月)'!Q$26:Q$998)</f>
        <v>0</v>
      </c>
      <c r="O14" s="157">
        <f>SUMIF('内訳ﾘｽﾄ(4～3月)'!$D$26:$D$797,'採算表(VND)'!$B14,'内訳ﾘｽﾄ(4～3月)'!R$26:R$797)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SUMIF('内訳ﾘｽﾄ(4～3月)'!$D$26:$D$998,$B15,'内訳ﾘｽﾄ(4～3月)'!F$26:F$998)</f>
        <v>0</v>
      </c>
      <c r="D15" s="157">
        <f>SUMIF('内訳ﾘｽﾄ(4～3月)'!$D$26:$D$998,$B15,'内訳ﾘｽﾄ(4～3月)'!G$26:G$998)</f>
        <v>0</v>
      </c>
      <c r="E15" s="157">
        <f>SUMIF('内訳ﾘｽﾄ(4～3月)'!$D$26:$D$998,$B15,'内訳ﾘｽﾄ(4～3月)'!H$26:H$998)</f>
        <v>0</v>
      </c>
      <c r="F15" s="157">
        <f>SUMIF('内訳ﾘｽﾄ(4～3月)'!$D$26:$D$998,$B15,'内訳ﾘｽﾄ(4～3月)'!I$26:I$998)</f>
        <v>0</v>
      </c>
      <c r="G15" s="157">
        <f>SUMIF('内訳ﾘｽﾄ(4～3月)'!$D$26:$D$998,$B15,'内訳ﾘｽﾄ(4～3月)'!J$26:J$998)</f>
        <v>0</v>
      </c>
      <c r="H15" s="157">
        <f>SUMIF('内訳ﾘｽﾄ(4～3月)'!$D$26:$D$998,$B15,'内訳ﾘｽﾄ(4～3月)'!K$26:K$998)</f>
        <v>0</v>
      </c>
      <c r="I15" s="157">
        <f>SUMIF('内訳ﾘｽﾄ(4～3月)'!$D$26:$D$998,$B15,'内訳ﾘｽﾄ(4～3月)'!L$26:L$998)</f>
        <v>0</v>
      </c>
      <c r="J15" s="157">
        <f>SUMIF('内訳ﾘｽﾄ(4～3月)'!$D$26:$D$998,$B15,'内訳ﾘｽﾄ(4～3月)'!M$26:M$998)</f>
        <v>0</v>
      </c>
      <c r="K15" s="157">
        <f>SUMIF('内訳ﾘｽﾄ(4～3月)'!$D$26:$D$998,$B15,'内訳ﾘｽﾄ(4～3月)'!N$26:N$998)</f>
        <v>0</v>
      </c>
      <c r="L15" s="157">
        <f>SUMIF('内訳ﾘｽﾄ(4～3月)'!$D$26:$D$998,$B15,'内訳ﾘｽﾄ(4～3月)'!O$26:O$998)</f>
        <v>0</v>
      </c>
      <c r="M15" s="157">
        <f>SUMIF('内訳ﾘｽﾄ(4～3月)'!$D$26:$D$998,$B15,'内訳ﾘｽﾄ(4～3月)'!P$26:P$998)</f>
        <v>0</v>
      </c>
      <c r="N15" s="157">
        <f>SUMIF('内訳ﾘｽﾄ(4～3月)'!$D$26:$D$998,$B15,'内訳ﾘｽﾄ(4～3月)'!Q$26:Q$998)</f>
        <v>0</v>
      </c>
      <c r="O15" s="157">
        <f>SUMIF('内訳ﾘｽﾄ(4～3月)'!$D$26:$D$797,'採算表(VND)'!$B15,'内訳ﾘｽﾄ(4～3月)'!R$26:R$797)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SUMIF('内訳ﾘｽﾄ(4～3月)'!$D$26:$D$998,$B16,'内訳ﾘｽﾄ(4～3月)'!F$26:F$998)</f>
        <v>0</v>
      </c>
      <c r="D16" s="157">
        <f>SUMIF('内訳ﾘｽﾄ(4～3月)'!$D$26:$D$998,$B16,'内訳ﾘｽﾄ(4～3月)'!G$26:G$998)</f>
        <v>0</v>
      </c>
      <c r="E16" s="157">
        <f>SUMIF('内訳ﾘｽﾄ(4～3月)'!$D$26:$D$998,$B16,'内訳ﾘｽﾄ(4～3月)'!H$26:H$998)</f>
        <v>0</v>
      </c>
      <c r="F16" s="157">
        <f>SUMIF('内訳ﾘｽﾄ(4～3月)'!$D$26:$D$998,$B16,'内訳ﾘｽﾄ(4～3月)'!I$26:I$998)</f>
        <v>0</v>
      </c>
      <c r="G16" s="157">
        <f>SUMIF('内訳ﾘｽﾄ(4～3月)'!$D$26:$D$998,$B16,'内訳ﾘｽﾄ(4～3月)'!J$26:J$998)</f>
        <v>0</v>
      </c>
      <c r="H16" s="157">
        <f>SUMIF('内訳ﾘｽﾄ(4～3月)'!$D$26:$D$998,$B16,'内訳ﾘｽﾄ(4～3月)'!K$26:K$998)</f>
        <v>0</v>
      </c>
      <c r="I16" s="157">
        <f>SUMIF('内訳ﾘｽﾄ(4～3月)'!$D$26:$D$998,$B16,'内訳ﾘｽﾄ(4～3月)'!L$26:L$998)</f>
        <v>0</v>
      </c>
      <c r="J16" s="157">
        <f>SUMIF('内訳ﾘｽﾄ(4～3月)'!$D$26:$D$998,$B16,'内訳ﾘｽﾄ(4～3月)'!M$26:M$998)</f>
        <v>0</v>
      </c>
      <c r="K16" s="157">
        <f>SUMIF('内訳ﾘｽﾄ(4～3月)'!$D$26:$D$998,$B16,'内訳ﾘｽﾄ(4～3月)'!N$26:N$998)</f>
        <v>0</v>
      </c>
      <c r="L16" s="157">
        <f>SUMIF('内訳ﾘｽﾄ(4～3月)'!$D$26:$D$998,$B16,'内訳ﾘｽﾄ(4～3月)'!O$26:O$998)</f>
        <v>0</v>
      </c>
      <c r="M16" s="157">
        <f>SUMIF('内訳ﾘｽﾄ(4～3月)'!$D$26:$D$998,$B16,'内訳ﾘｽﾄ(4～3月)'!P$26:P$998)</f>
        <v>0</v>
      </c>
      <c r="N16" s="157">
        <f>SUMIF('内訳ﾘｽﾄ(4～3月)'!$D$26:$D$998,$B16,'内訳ﾘｽﾄ(4～3月)'!Q$26:Q$998)</f>
        <v>0</v>
      </c>
      <c r="O16" s="157">
        <f>SUMIF('内訳ﾘｽﾄ(4～3月)'!$D$26:$D$797,'採算表(VND)'!$B16,'内訳ﾘｽﾄ(4～3月)'!R$26:R$797)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SUMIF('内訳ﾘｽﾄ(4～3月)'!$D$26:$D$998,$B17,'内訳ﾘｽﾄ(4～3月)'!F$26:F$998)</f>
        <v>0</v>
      </c>
      <c r="D17" s="158">
        <f>SUMIF('内訳ﾘｽﾄ(4～3月)'!$D$26:$D$998,$B17,'内訳ﾘｽﾄ(4～3月)'!G$26:G$998)</f>
        <v>0</v>
      </c>
      <c r="E17" s="158">
        <f>SUMIF('内訳ﾘｽﾄ(4～3月)'!$D$26:$D$998,$B17,'内訳ﾘｽﾄ(4～3月)'!H$26:H$998)</f>
        <v>0</v>
      </c>
      <c r="F17" s="158">
        <f>SUMIF('内訳ﾘｽﾄ(4～3月)'!$D$26:$D$998,$B17,'内訳ﾘｽﾄ(4～3月)'!I$26:I$998)</f>
        <v>0</v>
      </c>
      <c r="G17" s="158">
        <f>SUMIF('内訳ﾘｽﾄ(4～3月)'!$D$26:$D$998,$B17,'内訳ﾘｽﾄ(4～3月)'!J$26:J$998)</f>
        <v>0</v>
      </c>
      <c r="H17" s="158">
        <f>SUMIF('内訳ﾘｽﾄ(4～3月)'!$D$26:$D$998,$B17,'内訳ﾘｽﾄ(4～3月)'!K$26:K$998)</f>
        <v>0</v>
      </c>
      <c r="I17" s="158">
        <f>SUMIF('内訳ﾘｽﾄ(4～3月)'!$D$26:$D$998,$B17,'内訳ﾘｽﾄ(4～3月)'!L$26:L$998)</f>
        <v>0</v>
      </c>
      <c r="J17" s="158">
        <f>SUMIF('内訳ﾘｽﾄ(4～3月)'!$D$26:$D$998,$B17,'内訳ﾘｽﾄ(4～3月)'!M$26:M$998)</f>
        <v>0</v>
      </c>
      <c r="K17" s="158">
        <f>SUMIF('内訳ﾘｽﾄ(4～3月)'!$D$26:$D$998,$B17,'内訳ﾘｽﾄ(4～3月)'!N$26:N$998)</f>
        <v>0</v>
      </c>
      <c r="L17" s="158">
        <f>SUMIF('内訳ﾘｽﾄ(4～3月)'!$D$26:$D$998,$B17,'内訳ﾘｽﾄ(4～3月)'!O$26:O$998)</f>
        <v>0</v>
      </c>
      <c r="M17" s="158">
        <f>SUMIF('内訳ﾘｽﾄ(4～3月)'!$D$26:$D$998,$B17,'内訳ﾘｽﾄ(4～3月)'!P$26:P$998)</f>
        <v>0</v>
      </c>
      <c r="N17" s="158">
        <f>SUMIF('内訳ﾘｽﾄ(4～3月)'!$D$26:$D$998,$B17,'内訳ﾘｽﾄ(4～3月)'!Q$26:Q$998)</f>
        <v>0</v>
      </c>
      <c r="O17" s="158">
        <f>SUMIF('内訳ﾘｽﾄ(4～3月)'!$D$26:$D$797,'採算表(VND)'!$B17,'内訳ﾘｽﾄ(4～3月)'!R$26:R$797)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SUMIF('内訳ﾘｽﾄ(4～3月)'!$D$26:$D$998,$B18,'内訳ﾘｽﾄ(4～3月)'!F$26:F$998)</f>
        <v>0</v>
      </c>
      <c r="D18" s="158">
        <f>SUMIF('内訳ﾘｽﾄ(4～3月)'!$D$26:$D$998,$B18,'内訳ﾘｽﾄ(4～3月)'!G$26:G$998)</f>
        <v>0</v>
      </c>
      <c r="E18" s="158">
        <f>SUMIF('内訳ﾘｽﾄ(4～3月)'!$D$26:$D$998,$B18,'内訳ﾘｽﾄ(4～3月)'!H$26:H$998)</f>
        <v>0</v>
      </c>
      <c r="F18" s="158">
        <f>SUMIF('内訳ﾘｽﾄ(4～3月)'!$D$26:$D$998,$B18,'内訳ﾘｽﾄ(4～3月)'!I$26:I$998)</f>
        <v>0</v>
      </c>
      <c r="G18" s="158">
        <f>SUMIF('内訳ﾘｽﾄ(4～3月)'!$D$26:$D$998,$B18,'内訳ﾘｽﾄ(4～3月)'!J$26:J$998)</f>
        <v>0</v>
      </c>
      <c r="H18" s="158">
        <f>SUMIF('内訳ﾘｽﾄ(4～3月)'!$D$26:$D$998,$B18,'内訳ﾘｽﾄ(4～3月)'!K$26:K$998)</f>
        <v>0</v>
      </c>
      <c r="I18" s="158">
        <f>SUMIF('内訳ﾘｽﾄ(4～3月)'!$D$26:$D$998,$B18,'内訳ﾘｽﾄ(4～3月)'!L$26:L$998)</f>
        <v>0</v>
      </c>
      <c r="J18" s="158">
        <f>SUMIF('内訳ﾘｽﾄ(4～3月)'!$D$26:$D$998,$B18,'内訳ﾘｽﾄ(4～3月)'!M$26:M$998)</f>
        <v>0</v>
      </c>
      <c r="K18" s="158">
        <f>SUMIF('内訳ﾘｽﾄ(4～3月)'!$D$26:$D$998,$B18,'内訳ﾘｽﾄ(4～3月)'!N$26:N$998)</f>
        <v>0</v>
      </c>
      <c r="L18" s="158">
        <f>SUMIF('内訳ﾘｽﾄ(4～3月)'!$D$26:$D$998,$B18,'内訳ﾘｽﾄ(4～3月)'!O$26:O$998)</f>
        <v>0</v>
      </c>
      <c r="M18" s="158">
        <f>SUMIF('内訳ﾘｽﾄ(4～3月)'!$D$26:$D$998,$B18,'内訳ﾘｽﾄ(4～3月)'!P$26:P$998)</f>
        <v>0</v>
      </c>
      <c r="N18" s="158">
        <f>SUMIF('内訳ﾘｽﾄ(4～3月)'!$D$26:$D$998,$B18,'内訳ﾘｽﾄ(4～3月)'!Q$26:Q$998)</f>
        <v>0</v>
      </c>
      <c r="O18" s="158">
        <f>SUMIF('内訳ﾘｽﾄ(4～3月)'!$D$26:$D$797,'採算表(VND)'!$B18,'内訳ﾘｽﾄ(4～3月)'!R$26:R$797)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SUMIF('内訳ﾘｽﾄ(4～3月)'!$D$26:$D$998,$B19,'内訳ﾘｽﾄ(4～3月)'!F$26:F$998)</f>
        <v>0</v>
      </c>
      <c r="D19" s="158">
        <f>SUMIF('内訳ﾘｽﾄ(4～3月)'!$D$26:$D$998,$B19,'内訳ﾘｽﾄ(4～3月)'!G$26:G$998)</f>
        <v>0</v>
      </c>
      <c r="E19" s="158">
        <f>SUMIF('内訳ﾘｽﾄ(4～3月)'!$D$26:$D$998,$B19,'内訳ﾘｽﾄ(4～3月)'!H$26:H$998)</f>
        <v>0</v>
      </c>
      <c r="F19" s="158">
        <f>SUMIF('内訳ﾘｽﾄ(4～3月)'!$D$26:$D$998,$B19,'内訳ﾘｽﾄ(4～3月)'!I$26:I$998)</f>
        <v>0</v>
      </c>
      <c r="G19" s="158">
        <f>SUMIF('内訳ﾘｽﾄ(4～3月)'!$D$26:$D$998,$B19,'内訳ﾘｽﾄ(4～3月)'!J$26:J$998)</f>
        <v>0</v>
      </c>
      <c r="H19" s="158">
        <f>SUMIF('内訳ﾘｽﾄ(4～3月)'!$D$26:$D$998,$B19,'内訳ﾘｽﾄ(4～3月)'!K$26:K$998)</f>
        <v>0</v>
      </c>
      <c r="I19" s="158">
        <f>SUMIF('内訳ﾘｽﾄ(4～3月)'!$D$26:$D$998,$B19,'内訳ﾘｽﾄ(4～3月)'!L$26:L$998)</f>
        <v>0</v>
      </c>
      <c r="J19" s="158">
        <f>SUMIF('内訳ﾘｽﾄ(4～3月)'!$D$26:$D$998,$B19,'内訳ﾘｽﾄ(4～3月)'!M$26:M$998)</f>
        <v>0</v>
      </c>
      <c r="K19" s="158">
        <f>SUMIF('内訳ﾘｽﾄ(4～3月)'!$D$26:$D$998,$B19,'内訳ﾘｽﾄ(4～3月)'!N$26:N$998)</f>
        <v>0</v>
      </c>
      <c r="L19" s="158">
        <f>SUMIF('内訳ﾘｽﾄ(4～3月)'!$D$26:$D$998,$B19,'内訳ﾘｽﾄ(4～3月)'!O$26:O$998)</f>
        <v>0</v>
      </c>
      <c r="M19" s="158">
        <f>SUMIF('内訳ﾘｽﾄ(4～3月)'!$D$26:$D$998,$B19,'内訳ﾘｽﾄ(4～3月)'!P$26:P$998)</f>
        <v>0</v>
      </c>
      <c r="N19" s="158">
        <f>SUMIF('内訳ﾘｽﾄ(4～3月)'!$D$26:$D$998,$B19,'内訳ﾘｽﾄ(4～3月)'!Q$26:Q$998)</f>
        <v>0</v>
      </c>
      <c r="O19" s="158">
        <f>SUMIF('内訳ﾘｽﾄ(4～3月)'!$D$26:$D$797,'採算表(VND)'!$B19,'内訳ﾘｽﾄ(4～3月)'!R$26:R$797)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SUMIF('内訳ﾘｽﾄ(4～3月)'!$D$26:$D$998,$B20,'内訳ﾘｽﾄ(4～3月)'!F$26:F$998)</f>
        <v>7456789</v>
      </c>
      <c r="D20" s="158">
        <f>SUMIF('内訳ﾘｽﾄ(4～3月)'!$D$26:$D$998,$B20,'内訳ﾘｽﾄ(4～3月)'!G$26:G$998)</f>
        <v>7423274</v>
      </c>
      <c r="E20" s="158">
        <f>SUMIF('内訳ﾘｽﾄ(4～3月)'!$D$26:$D$998,$B20,'内訳ﾘｽﾄ(4～3月)'!H$26:H$998)</f>
        <v>7425052</v>
      </c>
      <c r="F20" s="158">
        <f>SUMIF('内訳ﾘｽﾄ(4～3月)'!$D$26:$D$998,$B20,'内訳ﾘｽﾄ(4～3月)'!I$26:I$998)</f>
        <v>7418450</v>
      </c>
      <c r="G20" s="158">
        <f>SUMIF('内訳ﾘｽﾄ(4～3月)'!$D$26:$D$998,$B20,'内訳ﾘｽﾄ(4～3月)'!J$26:J$998)</f>
        <v>7416419</v>
      </c>
      <c r="H20" s="158">
        <f>SUMIF('内訳ﾘｽﾄ(4～3月)'!$D$26:$D$998,$B20,'内訳ﾘｽﾄ(4～3月)'!K$26:K$998)</f>
        <v>7321969</v>
      </c>
      <c r="I20" s="158">
        <f>SUMIF('内訳ﾘｽﾄ(4～3月)'!$D$26:$D$998,$B20,'内訳ﾘｽﾄ(4～3月)'!L$26:L$998)</f>
        <v>7294801</v>
      </c>
      <c r="J20" s="158">
        <f>SUMIF('内訳ﾘｽﾄ(4～3月)'!$D$26:$D$998,$B20,'内訳ﾘｽﾄ(4～3月)'!M$26:M$998)</f>
        <v>7293531</v>
      </c>
      <c r="K20" s="158">
        <f>SUMIF('内訳ﾘｽﾄ(4～3月)'!$D$26:$D$998,$B20,'内訳ﾘｽﾄ(4～3月)'!N$26:N$998)</f>
        <v>7294039</v>
      </c>
      <c r="L20" s="158">
        <f>SUMIF('内訳ﾘｽﾄ(4～3月)'!$D$26:$D$998,$B20,'内訳ﾘｽﾄ(4～3月)'!O$26:O$998)</f>
        <v>7292008</v>
      </c>
      <c r="M20" s="158">
        <f>SUMIF('内訳ﾘｽﾄ(4～3月)'!$D$26:$D$998,$B20,'内訳ﾘｽﾄ(4～3月)'!P$26:P$998)</f>
        <v>27308454</v>
      </c>
      <c r="N20" s="158">
        <f>SUMIF('内訳ﾘｽﾄ(4～3月)'!$D$26:$D$998,$B20,'内訳ﾘｽﾄ(4～3月)'!Q$26:Q$998)</f>
        <v>27312262</v>
      </c>
      <c r="O20" s="158">
        <f>SUMIF('内訳ﾘｽﾄ(4～3月)'!$D$26:$D$797,'採算表(VND)'!$B20,'内訳ﾘｽﾄ(4～3月)'!R$26:R$797)</f>
        <v>128257048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SUMIF('内訳ﾘｽﾄ(4～3月)'!$D$26:$D$998,$B21,'内訳ﾘｽﾄ(4～3月)'!F$26:F$998)</f>
        <v>0</v>
      </c>
      <c r="D21" s="158">
        <f>SUMIF('内訳ﾘｽﾄ(4～3月)'!$D$26:$D$998,$B21,'内訳ﾘｽﾄ(4～3月)'!G$26:G$998)</f>
        <v>0</v>
      </c>
      <c r="E21" s="158">
        <f>SUMIF('内訳ﾘｽﾄ(4～3月)'!$D$26:$D$998,$B21,'内訳ﾘｽﾄ(4～3月)'!H$26:H$998)</f>
        <v>0</v>
      </c>
      <c r="F21" s="158">
        <f>SUMIF('内訳ﾘｽﾄ(4～3月)'!$D$26:$D$998,$B21,'内訳ﾘｽﾄ(4～3月)'!I$26:I$998)</f>
        <v>0</v>
      </c>
      <c r="G21" s="158">
        <f>SUMIF('内訳ﾘｽﾄ(4～3月)'!$D$26:$D$998,$B21,'内訳ﾘｽﾄ(4～3月)'!J$26:J$998)</f>
        <v>0</v>
      </c>
      <c r="H21" s="158">
        <f>SUMIF('内訳ﾘｽﾄ(4～3月)'!$D$26:$D$998,$B21,'内訳ﾘｽﾄ(4～3月)'!K$26:K$998)</f>
        <v>0</v>
      </c>
      <c r="I21" s="158">
        <f>SUMIF('内訳ﾘｽﾄ(4～3月)'!$D$26:$D$998,$B21,'内訳ﾘｽﾄ(4～3月)'!L$26:L$998)</f>
        <v>0</v>
      </c>
      <c r="J21" s="158">
        <f>SUMIF('内訳ﾘｽﾄ(4～3月)'!$D$26:$D$998,$B21,'内訳ﾘｽﾄ(4～3月)'!M$26:M$998)</f>
        <v>0</v>
      </c>
      <c r="K21" s="158">
        <f>SUMIF('内訳ﾘｽﾄ(4～3月)'!$D$26:$D$998,$B21,'内訳ﾘｽﾄ(4～3月)'!N$26:N$998)</f>
        <v>0</v>
      </c>
      <c r="L21" s="158">
        <f>SUMIF('内訳ﾘｽﾄ(4～3月)'!$D$26:$D$998,$B21,'内訳ﾘｽﾄ(4～3月)'!O$26:O$998)</f>
        <v>0</v>
      </c>
      <c r="M21" s="158">
        <f>SUMIF('内訳ﾘｽﾄ(4～3月)'!$D$26:$D$998,$B21,'内訳ﾘｽﾄ(4～3月)'!P$26:P$998)</f>
        <v>0</v>
      </c>
      <c r="N21" s="158">
        <f>SUMIF('内訳ﾘｽﾄ(4～3月)'!$D$26:$D$998,$B21,'内訳ﾘｽﾄ(4～3月)'!Q$26:Q$998)</f>
        <v>0</v>
      </c>
      <c r="O21" s="158">
        <f>SUMIF('内訳ﾘｽﾄ(4～3月)'!$D$26:$D$797,'採算表(VND)'!$B21,'内訳ﾘｽﾄ(4～3月)'!R$26:R$797)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SUMIF('内訳ﾘｽﾄ(4～3月)'!$D$26:$D$998,$B22,'内訳ﾘｽﾄ(4～3月)'!F$26:F$998)</f>
        <v>0</v>
      </c>
      <c r="D22" s="158">
        <f>SUMIF('内訳ﾘｽﾄ(4～3月)'!$D$26:$D$998,$B22,'内訳ﾘｽﾄ(4～3月)'!G$26:G$998)</f>
        <v>0</v>
      </c>
      <c r="E22" s="158">
        <f>SUMIF('内訳ﾘｽﾄ(4～3月)'!$D$26:$D$998,$B22,'内訳ﾘｽﾄ(4～3月)'!H$26:H$998)</f>
        <v>0</v>
      </c>
      <c r="F22" s="158">
        <f>SUMIF('内訳ﾘｽﾄ(4～3月)'!$D$26:$D$998,$B22,'内訳ﾘｽﾄ(4～3月)'!I$26:I$998)</f>
        <v>0</v>
      </c>
      <c r="G22" s="158">
        <f>SUMIF('内訳ﾘｽﾄ(4～3月)'!$D$26:$D$998,$B22,'内訳ﾘｽﾄ(4～3月)'!J$26:J$998)</f>
        <v>0</v>
      </c>
      <c r="H22" s="158">
        <f>SUMIF('内訳ﾘｽﾄ(4～3月)'!$D$26:$D$998,$B22,'内訳ﾘｽﾄ(4～3月)'!K$26:K$998)</f>
        <v>0</v>
      </c>
      <c r="I22" s="158">
        <f>SUMIF('内訳ﾘｽﾄ(4～3月)'!$D$26:$D$998,$B22,'内訳ﾘｽﾄ(4～3月)'!L$26:L$998)</f>
        <v>0</v>
      </c>
      <c r="J22" s="158">
        <f>SUMIF('内訳ﾘｽﾄ(4～3月)'!$D$26:$D$998,$B22,'内訳ﾘｽﾄ(4～3月)'!M$26:M$998)</f>
        <v>0</v>
      </c>
      <c r="K22" s="158">
        <f>SUMIF('内訳ﾘｽﾄ(4～3月)'!$D$26:$D$998,$B22,'内訳ﾘｽﾄ(4～3月)'!N$26:N$998)</f>
        <v>0</v>
      </c>
      <c r="L22" s="158">
        <f>SUMIF('内訳ﾘｽﾄ(4～3月)'!$D$26:$D$998,$B22,'内訳ﾘｽﾄ(4～3月)'!O$26:O$998)</f>
        <v>0</v>
      </c>
      <c r="M22" s="158">
        <f>SUMIF('内訳ﾘｽﾄ(4～3月)'!$D$26:$D$998,$B22,'内訳ﾘｽﾄ(4～3月)'!P$26:P$998)</f>
        <v>0</v>
      </c>
      <c r="N22" s="158">
        <f>SUMIF('内訳ﾘｽﾄ(4～3月)'!$D$26:$D$998,$B22,'内訳ﾘｽﾄ(4～3月)'!Q$26:Q$998)</f>
        <v>0</v>
      </c>
      <c r="O22" s="158">
        <f>SUMIF('内訳ﾘｽﾄ(4～3月)'!$D$26:$D$797,'採算表(VND)'!$B22,'内訳ﾘｽﾄ(4～3月)'!R$26:R$797)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SUMIF('内訳ﾘｽﾄ(4～3月)'!$D$26:$D$998,$B23,'内訳ﾘｽﾄ(4～3月)'!F$26:F$998)</f>
        <v>0</v>
      </c>
      <c r="D23" s="158">
        <f>SUMIF('内訳ﾘｽﾄ(4～3月)'!$D$26:$D$998,$B23,'内訳ﾘｽﾄ(4～3月)'!G$26:G$998)</f>
        <v>0</v>
      </c>
      <c r="E23" s="158">
        <f>SUMIF('内訳ﾘｽﾄ(4～3月)'!$D$26:$D$998,$B23,'内訳ﾘｽﾄ(4～3月)'!H$26:H$998)</f>
        <v>0</v>
      </c>
      <c r="F23" s="158">
        <f>SUMIF('内訳ﾘｽﾄ(4～3月)'!$D$26:$D$998,$B23,'内訳ﾘｽﾄ(4～3月)'!I$26:I$998)</f>
        <v>0</v>
      </c>
      <c r="G23" s="158">
        <f>SUMIF('内訳ﾘｽﾄ(4～3月)'!$D$26:$D$998,$B23,'内訳ﾘｽﾄ(4～3月)'!J$26:J$998)</f>
        <v>0</v>
      </c>
      <c r="H23" s="158">
        <f>SUMIF('内訳ﾘｽﾄ(4～3月)'!$D$26:$D$998,$B23,'内訳ﾘｽﾄ(4～3月)'!K$26:K$998)</f>
        <v>0</v>
      </c>
      <c r="I23" s="158">
        <f>SUMIF('内訳ﾘｽﾄ(4～3月)'!$D$26:$D$998,$B23,'内訳ﾘｽﾄ(4～3月)'!L$26:L$998)</f>
        <v>0</v>
      </c>
      <c r="J23" s="158">
        <f>SUMIF('内訳ﾘｽﾄ(4～3月)'!$D$26:$D$998,$B23,'内訳ﾘｽﾄ(4～3月)'!M$26:M$998)</f>
        <v>0</v>
      </c>
      <c r="K23" s="158">
        <f>SUMIF('内訳ﾘｽﾄ(4～3月)'!$D$26:$D$998,$B23,'内訳ﾘｽﾄ(4～3月)'!N$26:N$998)</f>
        <v>0</v>
      </c>
      <c r="L23" s="158">
        <f>SUMIF('内訳ﾘｽﾄ(4～3月)'!$D$26:$D$998,$B23,'内訳ﾘｽﾄ(4～3月)'!O$26:O$998)</f>
        <v>0</v>
      </c>
      <c r="M23" s="158">
        <f>SUMIF('内訳ﾘｽﾄ(4～3月)'!$D$26:$D$998,$B23,'内訳ﾘｽﾄ(4～3月)'!P$26:P$998)</f>
        <v>0</v>
      </c>
      <c r="N23" s="158">
        <f>SUMIF('内訳ﾘｽﾄ(4～3月)'!$D$26:$D$998,$B23,'内訳ﾘｽﾄ(4～3月)'!Q$26:Q$998)</f>
        <v>0</v>
      </c>
      <c r="O23" s="158">
        <f>SUMIF('内訳ﾘｽﾄ(4～3月)'!$D$26:$D$797,'採算表(VND)'!$B23,'内訳ﾘｽﾄ(4～3月)'!R$26:R$797)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SUMIF('内訳ﾘｽﾄ(4～3月)'!$D$26:$D$998,$B24,'内訳ﾘｽﾄ(4～3月)'!F$26:F$998)</f>
        <v>0</v>
      </c>
      <c r="D24" s="158">
        <f>SUMIF('内訳ﾘｽﾄ(4～3月)'!$D$26:$D$998,$B24,'内訳ﾘｽﾄ(4～3月)'!G$26:G$998)</f>
        <v>0</v>
      </c>
      <c r="E24" s="158">
        <f>SUMIF('内訳ﾘｽﾄ(4～3月)'!$D$26:$D$998,$B24,'内訳ﾘｽﾄ(4～3月)'!H$26:H$998)</f>
        <v>0</v>
      </c>
      <c r="F24" s="158">
        <f>SUMIF('内訳ﾘｽﾄ(4～3月)'!$D$26:$D$998,$B24,'内訳ﾘｽﾄ(4～3月)'!I$26:I$998)</f>
        <v>0</v>
      </c>
      <c r="G24" s="158">
        <f>SUMIF('内訳ﾘｽﾄ(4～3月)'!$D$26:$D$998,$B24,'内訳ﾘｽﾄ(4～3月)'!J$26:J$998)</f>
        <v>0</v>
      </c>
      <c r="H24" s="158">
        <f>SUMIF('内訳ﾘｽﾄ(4～3月)'!$D$26:$D$998,$B24,'内訳ﾘｽﾄ(4～3月)'!K$26:K$998)</f>
        <v>0</v>
      </c>
      <c r="I24" s="158">
        <f>SUMIF('内訳ﾘｽﾄ(4～3月)'!$D$26:$D$998,$B24,'内訳ﾘｽﾄ(4～3月)'!L$26:L$998)</f>
        <v>0</v>
      </c>
      <c r="J24" s="158">
        <f>SUMIF('内訳ﾘｽﾄ(4～3月)'!$D$26:$D$998,$B24,'内訳ﾘｽﾄ(4～3月)'!M$26:M$998)</f>
        <v>0</v>
      </c>
      <c r="K24" s="158">
        <f>SUMIF('内訳ﾘｽﾄ(4～3月)'!$D$26:$D$998,$B24,'内訳ﾘｽﾄ(4～3月)'!N$26:N$998)</f>
        <v>0</v>
      </c>
      <c r="L24" s="158">
        <f>SUMIF('内訳ﾘｽﾄ(4～3月)'!$D$26:$D$998,$B24,'内訳ﾘｽﾄ(4～3月)'!O$26:O$998)</f>
        <v>0</v>
      </c>
      <c r="M24" s="158">
        <f>SUMIF('内訳ﾘｽﾄ(4～3月)'!$D$26:$D$998,$B24,'内訳ﾘｽﾄ(4～3月)'!P$26:P$998)</f>
        <v>0</v>
      </c>
      <c r="N24" s="158">
        <f>SUMIF('内訳ﾘｽﾄ(4～3月)'!$D$26:$D$998,$B24,'内訳ﾘｽﾄ(4～3月)'!Q$26:Q$998)</f>
        <v>0</v>
      </c>
      <c r="O24" s="158">
        <f>SUMIF('内訳ﾘｽﾄ(4～3月)'!$D$26:$D$797,'採算表(VND)'!$B24,'内訳ﾘｽﾄ(4～3月)'!R$26:R$797)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SUMIF('内訳ﾘｽﾄ(4～3月)'!$D$26:$D$998,$B25,'内訳ﾘｽﾄ(4～3月)'!F$26:F$998)</f>
        <v>234552</v>
      </c>
      <c r="D25" s="158">
        <f>SUMIF('内訳ﾘｽﾄ(4～3月)'!$D$26:$D$998,$B25,'内訳ﾘｽﾄ(4～3月)'!G$26:G$998)</f>
        <v>226392</v>
      </c>
      <c r="E25" s="158">
        <f>SUMIF('内訳ﾘｽﾄ(4～3月)'!$D$26:$D$998,$B25,'内訳ﾘｽﾄ(4～3月)'!H$26:H$998)</f>
        <v>246696</v>
      </c>
      <c r="F25" s="158">
        <f>SUMIF('内訳ﾘｽﾄ(4～3月)'!$D$26:$D$998,$B25,'内訳ﾘｽﾄ(4～3月)'!I$26:I$998)</f>
        <v>267012</v>
      </c>
      <c r="G25" s="158">
        <f>SUMIF('内訳ﾘｽﾄ(4～3月)'!$D$26:$D$998,$B25,'内訳ﾘｽﾄ(4～3月)'!J$26:J$998)</f>
        <v>233808</v>
      </c>
      <c r="H25" s="158">
        <f>SUMIF('内訳ﾘｽﾄ(4～3月)'!$D$26:$D$998,$B25,'内訳ﾘｽﾄ(4～3月)'!K$26:K$998)</f>
        <v>223116</v>
      </c>
      <c r="I25" s="158">
        <f>SUMIF('内訳ﾘｽﾄ(4～3月)'!$D$26:$D$998,$B25,'内訳ﾘｽﾄ(4～3月)'!L$26:L$998)</f>
        <v>266892</v>
      </c>
      <c r="J25" s="158">
        <f>SUMIF('内訳ﾘｽﾄ(4～3月)'!$D$26:$D$998,$B25,'内訳ﾘｽﾄ(4～3月)'!M$26:M$998)</f>
        <v>234420</v>
      </c>
      <c r="K25" s="158">
        <f>SUMIF('内訳ﾘｽﾄ(4～3月)'!$D$26:$D$998,$B25,'内訳ﾘｽﾄ(4～3月)'!N$26:N$998)</f>
        <v>256536</v>
      </c>
      <c r="L25" s="158">
        <f>SUMIF('内訳ﾘｽﾄ(4～3月)'!$D$26:$D$998,$B25,'内訳ﾘｽﾄ(4～3月)'!O$26:O$998)</f>
        <v>234324</v>
      </c>
      <c r="M25" s="158">
        <f>SUMIF('内訳ﾘｽﾄ(4～3月)'!$D$26:$D$998,$B25,'内訳ﾘｽﾄ(4～3月)'!P$26:P$998)</f>
        <v>180108</v>
      </c>
      <c r="N25" s="158">
        <f>SUMIF('内訳ﾘｽﾄ(4～3月)'!$D$26:$D$998,$B25,'内訳ﾘｽﾄ(4～3月)'!Q$26:Q$998)</f>
        <v>234240</v>
      </c>
      <c r="O25" s="158">
        <f>SUMIF('内訳ﾘｽﾄ(4～3月)'!$D$26:$D$797,'採算表(VND)'!$B25,'内訳ﾘｽﾄ(4～3月)'!R$26:R$797)</f>
        <v>2838096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SUMIF('内訳ﾘｽﾄ(4～3月)'!$D$26:$D$998,$B26,'内訳ﾘｽﾄ(4～3月)'!F$26:F$998)</f>
        <v>15683000</v>
      </c>
      <c r="D26" s="158">
        <f>SUMIF('内訳ﾘｽﾄ(4～3月)'!$D$26:$D$998,$B26,'内訳ﾘｽﾄ(4～3月)'!G$26:G$998)</f>
        <v>16750000</v>
      </c>
      <c r="E26" s="158">
        <f>SUMIF('内訳ﾘｽﾄ(4～3月)'!$D$26:$D$998,$B26,'内訳ﾘｽﾄ(4～3月)'!H$26:H$998)</f>
        <v>19733000</v>
      </c>
      <c r="F26" s="158">
        <f>SUMIF('内訳ﾘｽﾄ(4～3月)'!$D$26:$D$998,$B26,'内訳ﾘｽﾄ(4～3月)'!I$26:I$998)</f>
        <v>16750000</v>
      </c>
      <c r="G26" s="158">
        <f>SUMIF('内訳ﾘｽﾄ(4～3月)'!$D$26:$D$998,$B26,'内訳ﾘｽﾄ(4～3月)'!J$26:J$998)</f>
        <v>2983000</v>
      </c>
      <c r="H26" s="158">
        <f>SUMIF('内訳ﾘｽﾄ(4～3月)'!$D$26:$D$998,$B26,'内訳ﾘｽﾄ(4～3月)'!K$26:K$998)</f>
        <v>550000</v>
      </c>
      <c r="I26" s="158">
        <f>SUMIF('内訳ﾘｽﾄ(4～3月)'!$D$26:$D$998,$B26,'内訳ﾘｽﾄ(4～3月)'!L$26:L$998)</f>
        <v>2983000</v>
      </c>
      <c r="J26" s="158">
        <f>SUMIF('内訳ﾘｽﾄ(4～3月)'!$D$26:$D$998,$B26,'内訳ﾘｽﾄ(4～3月)'!M$26:M$998)</f>
        <v>270000</v>
      </c>
      <c r="K26" s="158">
        <f>SUMIF('内訳ﾘｽﾄ(4～3月)'!$D$26:$D$998,$B26,'内訳ﾘｽﾄ(4～3月)'!N$26:N$998)</f>
        <v>2983000</v>
      </c>
      <c r="L26" s="158">
        <f>SUMIF('内訳ﾘｽﾄ(4～3月)'!$D$26:$D$998,$B26,'内訳ﾘｽﾄ(4～3月)'!O$26:O$998)</f>
        <v>270000</v>
      </c>
      <c r="M26" s="158">
        <f>SUMIF('内訳ﾘｽﾄ(4～3月)'!$D$26:$D$998,$B26,'内訳ﾘｽﾄ(4～3月)'!P$26:P$998)</f>
        <v>2983000</v>
      </c>
      <c r="N26" s="158">
        <f>SUMIF('内訳ﾘｽﾄ(4～3月)'!$D$26:$D$998,$B26,'内訳ﾘｽﾄ(4～3月)'!Q$26:Q$998)</f>
        <v>0</v>
      </c>
      <c r="O26" s="158">
        <f>SUMIF('内訳ﾘｽﾄ(4～3月)'!$D$26:$D$797,'採算表(VND)'!$B26,'内訳ﾘｽﾄ(4～3月)'!R$26:R$797)</f>
        <v>81938000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SUMIF('内訳ﾘｽﾄ(4～3月)'!$D$26:$D$998,$B27,'内訳ﾘｽﾄ(4～3月)'!F$26:F$998)</f>
        <v>0</v>
      </c>
      <c r="D27" s="158">
        <f>SUMIF('内訳ﾘｽﾄ(4～3月)'!$D$26:$D$998,$B27,'内訳ﾘｽﾄ(4～3月)'!G$26:G$998)</f>
        <v>0</v>
      </c>
      <c r="E27" s="158">
        <f>SUMIF('内訳ﾘｽﾄ(4～3月)'!$D$26:$D$998,$B27,'内訳ﾘｽﾄ(4～3月)'!H$26:H$998)</f>
        <v>0</v>
      </c>
      <c r="F27" s="158">
        <f>SUMIF('内訳ﾘｽﾄ(4～3月)'!$D$26:$D$998,$B27,'内訳ﾘｽﾄ(4～3月)'!I$26:I$998)</f>
        <v>0</v>
      </c>
      <c r="G27" s="158">
        <f>SUMIF('内訳ﾘｽﾄ(4～3月)'!$D$26:$D$998,$B27,'内訳ﾘｽﾄ(4～3月)'!J$26:J$998)</f>
        <v>0</v>
      </c>
      <c r="H27" s="158">
        <f>SUMIF('内訳ﾘｽﾄ(4～3月)'!$D$26:$D$998,$B27,'内訳ﾘｽﾄ(4～3月)'!K$26:K$998)</f>
        <v>0</v>
      </c>
      <c r="I27" s="158">
        <f>SUMIF('内訳ﾘｽﾄ(4～3月)'!$D$26:$D$998,$B27,'内訳ﾘｽﾄ(4～3月)'!L$26:L$998)</f>
        <v>0</v>
      </c>
      <c r="J27" s="158">
        <f>SUMIF('内訳ﾘｽﾄ(4～3月)'!$D$26:$D$998,$B27,'内訳ﾘｽﾄ(4～3月)'!M$26:M$998)</f>
        <v>0</v>
      </c>
      <c r="K27" s="158">
        <f>SUMIF('内訳ﾘｽﾄ(4～3月)'!$D$26:$D$998,$B27,'内訳ﾘｽﾄ(4～3月)'!N$26:N$998)</f>
        <v>0</v>
      </c>
      <c r="L27" s="158">
        <f>SUMIF('内訳ﾘｽﾄ(4～3月)'!$D$26:$D$998,$B27,'内訳ﾘｽﾄ(4～3月)'!O$26:O$998)</f>
        <v>0</v>
      </c>
      <c r="M27" s="158">
        <f>SUMIF('内訳ﾘｽﾄ(4～3月)'!$D$26:$D$998,$B27,'内訳ﾘｽﾄ(4～3月)'!P$26:P$998)</f>
        <v>0</v>
      </c>
      <c r="N27" s="158">
        <f>SUMIF('内訳ﾘｽﾄ(4～3月)'!$D$26:$D$998,$B27,'内訳ﾘｽﾄ(4～3月)'!Q$26:Q$998)</f>
        <v>0</v>
      </c>
      <c r="O27" s="158">
        <f>SUMIF('内訳ﾘｽﾄ(4～3月)'!$D$26:$D$797,'採算表(VND)'!$B27,'内訳ﾘｽﾄ(4～3月)'!R$26:R$797)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SUMIF('内訳ﾘｽﾄ(4～3月)'!$D$26:$D$998,$B28,'内訳ﾘｽﾄ(4～3月)'!F$26:F$998)</f>
        <v>1257350</v>
      </c>
      <c r="D28" s="158">
        <f>SUMIF('内訳ﾘｽﾄ(4～3月)'!$D$26:$D$998,$B28,'内訳ﾘｽﾄ(4～3月)'!G$26:G$998)</f>
        <v>3711600</v>
      </c>
      <c r="E28" s="158">
        <f>SUMIF('内訳ﾘｽﾄ(4～3月)'!$D$26:$D$998,$B28,'内訳ﾘｽﾄ(4～3月)'!H$26:H$998)</f>
        <v>1816180</v>
      </c>
      <c r="F28" s="158">
        <f>SUMIF('内訳ﾘｽﾄ(4～3月)'!$D$26:$D$998,$B28,'内訳ﾘｽﾄ(4～3月)'!I$26:I$998)</f>
        <v>461200</v>
      </c>
      <c r="G28" s="158">
        <f>SUMIF('内訳ﾘｽﾄ(4～3月)'!$D$26:$D$998,$B28,'内訳ﾘｽﾄ(4～3月)'!J$26:J$998)</f>
        <v>459000</v>
      </c>
      <c r="H28" s="158">
        <f>SUMIF('内訳ﾘｽﾄ(4～3月)'!$D$26:$D$998,$B28,'内訳ﾘｽﾄ(4～3月)'!K$26:K$998)</f>
        <v>402400</v>
      </c>
      <c r="I28" s="158">
        <f>SUMIF('内訳ﾘｽﾄ(4～3月)'!$D$26:$D$998,$B28,'内訳ﾘｽﾄ(4～3月)'!L$26:L$998)</f>
        <v>1069440</v>
      </c>
      <c r="J28" s="158">
        <f>SUMIF('内訳ﾘｽﾄ(4～3月)'!$D$26:$D$998,$B28,'内訳ﾘｽﾄ(4～3月)'!M$26:M$998)</f>
        <v>294700</v>
      </c>
      <c r="K28" s="158">
        <f>SUMIF('内訳ﾘｽﾄ(4～3月)'!$D$26:$D$998,$B28,'内訳ﾘｽﾄ(4～3月)'!N$26:N$998)</f>
        <v>360000</v>
      </c>
      <c r="L28" s="158">
        <f>SUMIF('内訳ﾘｽﾄ(4～3月)'!$D$26:$D$998,$B28,'内訳ﾘｽﾄ(4～3月)'!O$26:O$998)</f>
        <v>3515000</v>
      </c>
      <c r="M28" s="158">
        <f>SUMIF('内訳ﾘｽﾄ(4～3月)'!$D$26:$D$998,$B28,'内訳ﾘｽﾄ(4～3月)'!P$26:P$998)</f>
        <v>485000</v>
      </c>
      <c r="N28" s="158">
        <f>SUMIF('内訳ﾘｽﾄ(4～3月)'!$D$26:$D$998,$B28,'内訳ﾘｽﾄ(4～3月)'!Q$26:Q$998)</f>
        <v>915000</v>
      </c>
      <c r="O28" s="158">
        <f>SUMIF('内訳ﾘｽﾄ(4～3月)'!$D$26:$D$797,'採算表(VND)'!$B28,'内訳ﾘｽﾄ(4～3月)'!R$26:R$797)</f>
        <v>14746870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SUMIF('内訳ﾘｽﾄ(4～3月)'!$D$26:$D$998,$B29,'内訳ﾘｽﾄ(4～3月)'!F$26:F$998)</f>
        <v>0</v>
      </c>
      <c r="D29" s="158">
        <f>SUMIF('内訳ﾘｽﾄ(4～3月)'!$D$26:$D$998,$B29,'内訳ﾘｽﾄ(4～3月)'!G$26:G$998)</f>
        <v>0</v>
      </c>
      <c r="E29" s="158">
        <f>SUMIF('内訳ﾘｽﾄ(4～3月)'!$D$26:$D$998,$B29,'内訳ﾘｽﾄ(4～3月)'!H$26:H$998)</f>
        <v>0</v>
      </c>
      <c r="F29" s="158">
        <f>SUMIF('内訳ﾘｽﾄ(4～3月)'!$D$26:$D$998,$B29,'内訳ﾘｽﾄ(4～3月)'!I$26:I$998)</f>
        <v>0</v>
      </c>
      <c r="G29" s="158">
        <f>SUMIF('内訳ﾘｽﾄ(4～3月)'!$D$26:$D$998,$B29,'内訳ﾘｽﾄ(4～3月)'!J$26:J$998)</f>
        <v>0</v>
      </c>
      <c r="H29" s="158">
        <f>SUMIF('内訳ﾘｽﾄ(4～3月)'!$D$26:$D$998,$B29,'内訳ﾘｽﾄ(4～3月)'!K$26:K$998)</f>
        <v>0</v>
      </c>
      <c r="I29" s="158">
        <f>SUMIF('内訳ﾘｽﾄ(4～3月)'!$D$26:$D$998,$B29,'内訳ﾘｽﾄ(4～3月)'!L$26:L$998)</f>
        <v>0</v>
      </c>
      <c r="J29" s="158">
        <f>SUMIF('内訳ﾘｽﾄ(4～3月)'!$D$26:$D$998,$B29,'内訳ﾘｽﾄ(4～3月)'!M$26:M$998)</f>
        <v>0</v>
      </c>
      <c r="K29" s="158">
        <f>SUMIF('内訳ﾘｽﾄ(4～3月)'!$D$26:$D$998,$B29,'内訳ﾘｽﾄ(4～3月)'!N$26:N$998)</f>
        <v>0</v>
      </c>
      <c r="L29" s="158">
        <f>SUMIF('内訳ﾘｽﾄ(4～3月)'!$D$26:$D$998,$B29,'内訳ﾘｽﾄ(4～3月)'!O$26:O$998)</f>
        <v>0</v>
      </c>
      <c r="M29" s="158">
        <f>SUMIF('内訳ﾘｽﾄ(4～3月)'!$D$26:$D$998,$B29,'内訳ﾘｽﾄ(4～3月)'!P$26:P$998)</f>
        <v>0</v>
      </c>
      <c r="N29" s="158">
        <f>SUMIF('内訳ﾘｽﾄ(4～3月)'!$D$26:$D$998,$B29,'内訳ﾘｽﾄ(4～3月)'!Q$26:Q$998)</f>
        <v>0</v>
      </c>
      <c r="O29" s="158">
        <f>SUMIF('内訳ﾘｽﾄ(4～3月)'!$D$26:$D$797,'採算表(VND)'!$B29,'内訳ﾘｽﾄ(4～3月)'!R$26:R$797)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SUMIF('内訳ﾘｽﾄ(4～3月)'!$D$26:$D$998,$B30,'内訳ﾘｽﾄ(4～3月)'!F$26:F$998)</f>
        <v>1740840</v>
      </c>
      <c r="D30" s="158">
        <f>SUMIF('内訳ﾘｽﾄ(4～3月)'!$D$26:$D$998,$B30,'内訳ﾘｽﾄ(4～3月)'!G$26:G$998)</f>
        <v>1786554</v>
      </c>
      <c r="E30" s="158">
        <f>SUMIF('内訳ﾘｽﾄ(4～3月)'!$D$26:$D$998,$B30,'内訳ﾘｽﾄ(4～3月)'!H$26:H$998)</f>
        <v>2144188</v>
      </c>
      <c r="F30" s="158">
        <f>SUMIF('内訳ﾘｽﾄ(4～3月)'!$D$26:$D$998,$B30,'内訳ﾘｽﾄ(4～3月)'!I$26:I$998)</f>
        <v>2445461</v>
      </c>
      <c r="G30" s="158">
        <f>SUMIF('内訳ﾘｽﾄ(4～3月)'!$D$26:$D$998,$B30,'内訳ﾘｽﾄ(4～3月)'!J$26:J$998)</f>
        <v>2370607</v>
      </c>
      <c r="H30" s="158">
        <f>SUMIF('内訳ﾘｽﾄ(4～3月)'!$D$26:$D$998,$B30,'内訳ﾘｽﾄ(4～3月)'!K$26:K$998)</f>
        <v>2135798</v>
      </c>
      <c r="I30" s="158">
        <f>SUMIF('内訳ﾘｽﾄ(4～3月)'!$D$26:$D$998,$B30,'内訳ﾘｽﾄ(4～3月)'!L$26:L$998)</f>
        <v>2058598</v>
      </c>
      <c r="J30" s="158">
        <f>SUMIF('内訳ﾘｽﾄ(4～3月)'!$D$26:$D$998,$B30,'内訳ﾘｽﾄ(4～3月)'!M$26:M$998)</f>
        <v>2028880</v>
      </c>
      <c r="K30" s="158">
        <f>SUMIF('内訳ﾘｽﾄ(4～3月)'!$D$26:$D$998,$B30,'内訳ﾘｽﾄ(4～3月)'!N$26:N$998)</f>
        <v>2019054</v>
      </c>
      <c r="L30" s="158">
        <f>SUMIF('内訳ﾘｽﾄ(4～3月)'!$D$26:$D$998,$B30,'内訳ﾘｽﾄ(4～3月)'!O$26:O$998)</f>
        <v>1761791</v>
      </c>
      <c r="M30" s="158">
        <f>SUMIF('内訳ﾘｽﾄ(4～3月)'!$D$26:$D$998,$B30,'内訳ﾘｽﾄ(4～3月)'!P$26:P$998)</f>
        <v>1563511</v>
      </c>
      <c r="N30" s="158">
        <f>SUMIF('内訳ﾘｽﾄ(4～3月)'!$D$26:$D$998,$B30,'内訳ﾘｽﾄ(4～3月)'!Q$26:Q$998)</f>
        <v>1498764</v>
      </c>
      <c r="O30" s="158">
        <f>SUMIF('内訳ﾘｽﾄ(4～3月)'!$D$26:$D$797,'採算表(VND)'!$B30,'内訳ﾘｽﾄ(4～3月)'!R$26:R$797)</f>
        <v>23554046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SUMIF('内訳ﾘｽﾄ(4～3月)'!$D$26:$D$998,$B31,'内訳ﾘｽﾄ(4～3月)'!F$26:F$998)</f>
        <v>0</v>
      </c>
      <c r="D31" s="158">
        <f>SUMIF('内訳ﾘｽﾄ(4～3月)'!$D$26:$D$998,$B31,'内訳ﾘｽﾄ(4～3月)'!G$26:G$998)</f>
        <v>0</v>
      </c>
      <c r="E31" s="158">
        <f>SUMIF('内訳ﾘｽﾄ(4～3月)'!$D$26:$D$998,$B31,'内訳ﾘｽﾄ(4～3月)'!H$26:H$998)</f>
        <v>0</v>
      </c>
      <c r="F31" s="158">
        <f>SUMIF('内訳ﾘｽﾄ(4～3月)'!$D$26:$D$998,$B31,'内訳ﾘｽﾄ(4～3月)'!I$26:I$998)</f>
        <v>0</v>
      </c>
      <c r="G31" s="158">
        <f>SUMIF('内訳ﾘｽﾄ(4～3月)'!$D$26:$D$998,$B31,'内訳ﾘｽﾄ(4～3月)'!J$26:J$998)</f>
        <v>0</v>
      </c>
      <c r="H31" s="158">
        <f>SUMIF('内訳ﾘｽﾄ(4～3月)'!$D$26:$D$998,$B31,'内訳ﾘｽﾄ(4～3月)'!K$26:K$998)</f>
        <v>0</v>
      </c>
      <c r="I31" s="158">
        <f>SUMIF('内訳ﾘｽﾄ(4～3月)'!$D$26:$D$998,$B31,'内訳ﾘｽﾄ(4～3月)'!L$26:L$998)</f>
        <v>0</v>
      </c>
      <c r="J31" s="158">
        <f>SUMIF('内訳ﾘｽﾄ(4～3月)'!$D$26:$D$998,$B31,'内訳ﾘｽﾄ(4～3月)'!M$26:M$998)</f>
        <v>107262500</v>
      </c>
      <c r="K31" s="158">
        <f>SUMIF('内訳ﾘｽﾄ(4～3月)'!$D$26:$D$998,$B31,'内訳ﾘｽﾄ(4～3月)'!N$26:N$998)</f>
        <v>0</v>
      </c>
      <c r="L31" s="158">
        <f>SUMIF('内訳ﾘｽﾄ(4～3月)'!$D$26:$D$998,$B31,'内訳ﾘｽﾄ(4～3月)'!O$26:O$998)</f>
        <v>0</v>
      </c>
      <c r="M31" s="158">
        <f>SUMIF('内訳ﾘｽﾄ(4～3月)'!$D$26:$D$998,$B31,'内訳ﾘｽﾄ(4～3月)'!P$26:P$998)</f>
        <v>0</v>
      </c>
      <c r="N31" s="158">
        <f>SUMIF('内訳ﾘｽﾄ(4～3月)'!$D$26:$D$998,$B31,'内訳ﾘｽﾄ(4～3月)'!Q$26:Q$998)</f>
        <v>0</v>
      </c>
      <c r="O31" s="158">
        <f>SUMIF('内訳ﾘｽﾄ(4～3月)'!$D$26:$D$797,'採算表(VND)'!$B31,'内訳ﾘｽﾄ(4～3月)'!R$26:R$797)</f>
        <v>107262500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SUMIF('内訳ﾘｽﾄ(4～3月)'!$D$26:$D$998,$B32,'内訳ﾘｽﾄ(4～3月)'!F$26:F$998)</f>
        <v>0</v>
      </c>
      <c r="D32" s="158">
        <f>SUMIF('内訳ﾘｽﾄ(4～3月)'!$D$26:$D$998,$B32,'内訳ﾘｽﾄ(4～3月)'!G$26:G$998)</f>
        <v>0</v>
      </c>
      <c r="E32" s="158">
        <f>SUMIF('内訳ﾘｽﾄ(4～3月)'!$D$26:$D$998,$B32,'内訳ﾘｽﾄ(4～3月)'!H$26:H$998)</f>
        <v>0</v>
      </c>
      <c r="F32" s="158">
        <f>SUMIF('内訳ﾘｽﾄ(4～3月)'!$D$26:$D$998,$B32,'内訳ﾘｽﾄ(4～3月)'!I$26:I$998)</f>
        <v>0</v>
      </c>
      <c r="G32" s="158">
        <f>SUMIF('内訳ﾘｽﾄ(4～3月)'!$D$26:$D$998,$B32,'内訳ﾘｽﾄ(4～3月)'!J$26:J$998)</f>
        <v>0</v>
      </c>
      <c r="H32" s="158">
        <f>SUMIF('内訳ﾘｽﾄ(4～3月)'!$D$26:$D$998,$B32,'内訳ﾘｽﾄ(4～3月)'!K$26:K$998)</f>
        <v>0</v>
      </c>
      <c r="I32" s="158">
        <f>SUMIF('内訳ﾘｽﾄ(4～3月)'!$D$26:$D$998,$B32,'内訳ﾘｽﾄ(4～3月)'!L$26:L$998)</f>
        <v>0</v>
      </c>
      <c r="J32" s="158">
        <f>SUMIF('内訳ﾘｽﾄ(4～3月)'!$D$26:$D$998,$B32,'内訳ﾘｽﾄ(4～3月)'!M$26:M$998)</f>
        <v>0</v>
      </c>
      <c r="K32" s="158">
        <f>SUMIF('内訳ﾘｽﾄ(4～3月)'!$D$26:$D$998,$B32,'内訳ﾘｽﾄ(4～3月)'!N$26:N$998)</f>
        <v>0</v>
      </c>
      <c r="L32" s="158">
        <f>SUMIF('内訳ﾘｽﾄ(4～3月)'!$D$26:$D$998,$B32,'内訳ﾘｽﾄ(4～3月)'!O$26:O$998)</f>
        <v>0</v>
      </c>
      <c r="M32" s="158">
        <f>SUMIF('内訳ﾘｽﾄ(4～3月)'!$D$26:$D$998,$B32,'内訳ﾘｽﾄ(4～3月)'!P$26:P$998)</f>
        <v>0</v>
      </c>
      <c r="N32" s="158">
        <f>SUMIF('内訳ﾘｽﾄ(4～3月)'!$D$26:$D$998,$B32,'内訳ﾘｽﾄ(4～3月)'!Q$26:Q$998)</f>
        <v>0</v>
      </c>
      <c r="O32" s="158">
        <f>SUMIF('内訳ﾘｽﾄ(4～3月)'!$D$26:$D$797,'採算表(VND)'!$B32,'内訳ﾘｽﾄ(4～3月)'!R$26:R$797)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SUMIF('内訳ﾘｽﾄ(4～3月)'!$D$26:$D$998,$B33,'内訳ﾘｽﾄ(4～3月)'!F$26:F$998)</f>
        <v>0</v>
      </c>
      <c r="D33" s="158">
        <f>SUMIF('内訳ﾘｽﾄ(4～3月)'!$D$26:$D$998,$B33,'内訳ﾘｽﾄ(4～3月)'!G$26:G$998)</f>
        <v>0</v>
      </c>
      <c r="E33" s="158">
        <f>SUMIF('内訳ﾘｽﾄ(4～3月)'!$D$26:$D$998,$B33,'内訳ﾘｽﾄ(4～3月)'!H$26:H$998)</f>
        <v>0</v>
      </c>
      <c r="F33" s="158">
        <f>SUMIF('内訳ﾘｽﾄ(4～3月)'!$D$26:$D$998,$B33,'内訳ﾘｽﾄ(4～3月)'!I$26:I$998)</f>
        <v>0</v>
      </c>
      <c r="G33" s="158">
        <f>SUMIF('内訳ﾘｽﾄ(4～3月)'!$D$26:$D$998,$B33,'内訳ﾘｽﾄ(4～3月)'!J$26:J$998)</f>
        <v>0</v>
      </c>
      <c r="H33" s="158">
        <f>SUMIF('内訳ﾘｽﾄ(4～3月)'!$D$26:$D$998,$B33,'内訳ﾘｽﾄ(4～3月)'!K$26:K$998)</f>
        <v>0</v>
      </c>
      <c r="I33" s="158">
        <f>SUMIF('内訳ﾘｽﾄ(4～3月)'!$D$26:$D$998,$B33,'内訳ﾘｽﾄ(4～3月)'!L$26:L$998)</f>
        <v>0</v>
      </c>
      <c r="J33" s="158">
        <f>SUMIF('内訳ﾘｽﾄ(4～3月)'!$D$26:$D$998,$B33,'内訳ﾘｽﾄ(4～3月)'!M$26:M$998)</f>
        <v>0</v>
      </c>
      <c r="K33" s="158">
        <f>SUMIF('内訳ﾘｽﾄ(4～3月)'!$D$26:$D$998,$B33,'内訳ﾘｽﾄ(4～3月)'!N$26:N$998)</f>
        <v>0</v>
      </c>
      <c r="L33" s="158">
        <f>SUMIF('内訳ﾘｽﾄ(4～3月)'!$D$26:$D$998,$B33,'内訳ﾘｽﾄ(4～3月)'!O$26:O$998)</f>
        <v>0</v>
      </c>
      <c r="M33" s="158">
        <f>SUMIF('内訳ﾘｽﾄ(4～3月)'!$D$26:$D$998,$B33,'内訳ﾘｽﾄ(4～3月)'!P$26:P$998)</f>
        <v>0</v>
      </c>
      <c r="N33" s="158">
        <f>SUMIF('内訳ﾘｽﾄ(4～3月)'!$D$26:$D$998,$B33,'内訳ﾘｽﾄ(4～3月)'!Q$26:Q$998)</f>
        <v>0</v>
      </c>
      <c r="O33" s="158">
        <f>SUMIF('内訳ﾘｽﾄ(4～3月)'!$D$26:$D$797,'採算表(VND)'!$B33,'内訳ﾘｽﾄ(4～3月)'!R$26:R$797)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SUMIF('内訳ﾘｽﾄ(4～3月)'!$D$26:$D$998,$B34,'内訳ﾘｽﾄ(4～3月)'!F$26:F$998)</f>
        <v>0</v>
      </c>
      <c r="D34" s="158">
        <f>SUMIF('内訳ﾘｽﾄ(4～3月)'!$D$26:$D$998,$B34,'内訳ﾘｽﾄ(4～3月)'!G$26:G$998)</f>
        <v>0</v>
      </c>
      <c r="E34" s="158">
        <f>SUMIF('内訳ﾘｽﾄ(4～3月)'!$D$26:$D$998,$B34,'内訳ﾘｽﾄ(4～3月)'!H$26:H$998)</f>
        <v>0</v>
      </c>
      <c r="F34" s="158">
        <f>SUMIF('内訳ﾘｽﾄ(4～3月)'!$D$26:$D$998,$B34,'内訳ﾘｽﾄ(4～3月)'!I$26:I$998)</f>
        <v>0</v>
      </c>
      <c r="G34" s="158">
        <f>SUMIF('内訳ﾘｽﾄ(4～3月)'!$D$26:$D$998,$B34,'内訳ﾘｽﾄ(4～3月)'!J$26:J$998)</f>
        <v>0</v>
      </c>
      <c r="H34" s="158">
        <f>SUMIF('内訳ﾘｽﾄ(4～3月)'!$D$26:$D$998,$B34,'内訳ﾘｽﾄ(4～3月)'!K$26:K$998)</f>
        <v>0</v>
      </c>
      <c r="I34" s="158">
        <f>SUMIF('内訳ﾘｽﾄ(4～3月)'!$D$26:$D$998,$B34,'内訳ﾘｽﾄ(4～3月)'!L$26:L$998)</f>
        <v>0</v>
      </c>
      <c r="J34" s="158">
        <f>SUMIF('内訳ﾘｽﾄ(4～3月)'!$D$26:$D$998,$B34,'内訳ﾘｽﾄ(4～3月)'!M$26:M$998)</f>
        <v>0</v>
      </c>
      <c r="K34" s="158">
        <f>SUMIF('内訳ﾘｽﾄ(4～3月)'!$D$26:$D$998,$B34,'内訳ﾘｽﾄ(4～3月)'!N$26:N$998)</f>
        <v>0</v>
      </c>
      <c r="L34" s="158">
        <f>SUMIF('内訳ﾘｽﾄ(4～3月)'!$D$26:$D$998,$B34,'内訳ﾘｽﾄ(4～3月)'!O$26:O$998)</f>
        <v>0</v>
      </c>
      <c r="M34" s="158">
        <f>SUMIF('内訳ﾘｽﾄ(4～3月)'!$D$26:$D$998,$B34,'内訳ﾘｽﾄ(4～3月)'!P$26:P$998)</f>
        <v>0</v>
      </c>
      <c r="N34" s="158">
        <f>SUMIF('内訳ﾘｽﾄ(4～3月)'!$D$26:$D$998,$B34,'内訳ﾘｽﾄ(4～3月)'!Q$26:Q$998)</f>
        <v>0</v>
      </c>
      <c r="O34" s="158">
        <f>SUMIF('内訳ﾘｽﾄ(4～3月)'!$D$26:$D$797,'採算表(VND)'!$B34,'内訳ﾘｽﾄ(4～3月)'!R$26:R$797)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SUMIF('内訳ﾘｽﾄ(4～3月)'!$D$26:$D$998,$B35,'内訳ﾘｽﾄ(4～3月)'!F$26:F$998)</f>
        <v>0</v>
      </c>
      <c r="D35" s="158">
        <f>SUMIF('内訳ﾘｽﾄ(4～3月)'!$D$26:$D$998,$B35,'内訳ﾘｽﾄ(4～3月)'!G$26:G$998)</f>
        <v>0</v>
      </c>
      <c r="E35" s="158">
        <f>SUMIF('内訳ﾘｽﾄ(4～3月)'!$D$26:$D$998,$B35,'内訳ﾘｽﾄ(4～3月)'!H$26:H$998)</f>
        <v>0</v>
      </c>
      <c r="F35" s="158">
        <f>SUMIF('内訳ﾘｽﾄ(4～3月)'!$D$26:$D$998,$B35,'内訳ﾘｽﾄ(4～3月)'!I$26:I$998)</f>
        <v>0</v>
      </c>
      <c r="G35" s="158">
        <f>SUMIF('内訳ﾘｽﾄ(4～3月)'!$D$26:$D$998,$B35,'内訳ﾘｽﾄ(4～3月)'!J$26:J$998)</f>
        <v>0</v>
      </c>
      <c r="H35" s="158">
        <f>SUMIF('内訳ﾘｽﾄ(4～3月)'!$D$26:$D$998,$B35,'内訳ﾘｽﾄ(4～3月)'!K$26:K$998)</f>
        <v>0</v>
      </c>
      <c r="I35" s="158">
        <f>SUMIF('内訳ﾘｽﾄ(4～3月)'!$D$26:$D$998,$B35,'内訳ﾘｽﾄ(4～3月)'!L$26:L$998)</f>
        <v>0</v>
      </c>
      <c r="J35" s="158">
        <f>SUMIF('内訳ﾘｽﾄ(4～3月)'!$D$26:$D$998,$B35,'内訳ﾘｽﾄ(4～3月)'!M$26:M$998)</f>
        <v>0</v>
      </c>
      <c r="K35" s="158">
        <f>SUMIF('内訳ﾘｽﾄ(4～3月)'!$D$26:$D$998,$B35,'内訳ﾘｽﾄ(4～3月)'!N$26:N$998)</f>
        <v>0</v>
      </c>
      <c r="L35" s="158">
        <f>SUMIF('内訳ﾘｽﾄ(4～3月)'!$D$26:$D$998,$B35,'内訳ﾘｽﾄ(4～3月)'!O$26:O$998)</f>
        <v>0</v>
      </c>
      <c r="M35" s="158">
        <f>SUMIF('内訳ﾘｽﾄ(4～3月)'!$D$26:$D$998,$B35,'内訳ﾘｽﾄ(4～3月)'!P$26:P$998)</f>
        <v>0</v>
      </c>
      <c r="N35" s="158">
        <f>SUMIF('内訳ﾘｽﾄ(4～3月)'!$D$26:$D$998,$B35,'内訳ﾘｽﾄ(4～3月)'!Q$26:Q$998)</f>
        <v>0</v>
      </c>
      <c r="O35" s="158">
        <f>SUMIF('内訳ﾘｽﾄ(4～3月)'!$D$26:$D$797,'採算表(VND)'!$B35,'内訳ﾘｽﾄ(4～3月)'!R$26:R$797)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SUMIF('内訳ﾘｽﾄ(4～3月)'!$D$26:$D$998,$B36,'内訳ﾘｽﾄ(4～3月)'!F$26:F$998)</f>
        <v>0</v>
      </c>
      <c r="D36" s="158">
        <f>SUMIF('内訳ﾘｽﾄ(4～3月)'!$D$26:$D$998,$B36,'内訳ﾘｽﾄ(4～3月)'!G$26:G$998)</f>
        <v>0</v>
      </c>
      <c r="E36" s="158">
        <f>SUMIF('内訳ﾘｽﾄ(4～3月)'!$D$26:$D$998,$B36,'内訳ﾘｽﾄ(4～3月)'!H$26:H$998)</f>
        <v>0</v>
      </c>
      <c r="F36" s="158">
        <f>SUMIF('内訳ﾘｽﾄ(4～3月)'!$D$26:$D$998,$B36,'内訳ﾘｽﾄ(4～3月)'!I$26:I$998)</f>
        <v>0</v>
      </c>
      <c r="G36" s="158">
        <f>SUMIF('内訳ﾘｽﾄ(4～3月)'!$D$26:$D$998,$B36,'内訳ﾘｽﾄ(4～3月)'!J$26:J$998)</f>
        <v>0</v>
      </c>
      <c r="H36" s="158">
        <f>SUMIF('内訳ﾘｽﾄ(4～3月)'!$D$26:$D$998,$B36,'内訳ﾘｽﾄ(4～3月)'!K$26:K$998)</f>
        <v>0</v>
      </c>
      <c r="I36" s="158">
        <f>SUMIF('内訳ﾘｽﾄ(4～3月)'!$D$26:$D$998,$B36,'内訳ﾘｽﾄ(4～3月)'!L$26:L$998)</f>
        <v>0</v>
      </c>
      <c r="J36" s="158">
        <f>SUMIF('内訳ﾘｽﾄ(4～3月)'!$D$26:$D$998,$B36,'内訳ﾘｽﾄ(4～3月)'!M$26:M$998)</f>
        <v>0</v>
      </c>
      <c r="K36" s="158">
        <f>SUMIF('内訳ﾘｽﾄ(4～3月)'!$D$26:$D$998,$B36,'内訳ﾘｽﾄ(4～3月)'!N$26:N$998)</f>
        <v>0</v>
      </c>
      <c r="L36" s="158">
        <f>SUMIF('内訳ﾘｽﾄ(4～3月)'!$D$26:$D$998,$B36,'内訳ﾘｽﾄ(4～3月)'!O$26:O$998)</f>
        <v>0</v>
      </c>
      <c r="M36" s="158">
        <f>SUMIF('内訳ﾘｽﾄ(4～3月)'!$D$26:$D$998,$B36,'内訳ﾘｽﾄ(4～3月)'!P$26:P$998)</f>
        <v>0</v>
      </c>
      <c r="N36" s="158">
        <f>SUMIF('内訳ﾘｽﾄ(4～3月)'!$D$26:$D$998,$B36,'内訳ﾘｽﾄ(4～3月)'!Q$26:Q$998)</f>
        <v>0</v>
      </c>
      <c r="O36" s="158">
        <f>SUMIF('内訳ﾘｽﾄ(4～3月)'!$D$26:$D$797,'採算表(VND)'!$B36,'内訳ﾘｽﾄ(4～3月)'!R$26:R$797)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SUMIF('内訳ﾘｽﾄ(4～3月)'!$D$26:$D$998,$B37,'内訳ﾘｽﾄ(4～3月)'!F$26:F$998)</f>
        <v>0</v>
      </c>
      <c r="D37" s="158">
        <f>SUMIF('内訳ﾘｽﾄ(4～3月)'!$D$26:$D$998,$B37,'内訳ﾘｽﾄ(4～3月)'!G$26:G$998)</f>
        <v>0</v>
      </c>
      <c r="E37" s="158">
        <f>SUMIF('内訳ﾘｽﾄ(4～3月)'!$D$26:$D$998,$B37,'内訳ﾘｽﾄ(4～3月)'!H$26:H$998)</f>
        <v>0</v>
      </c>
      <c r="F37" s="158">
        <f>SUMIF('内訳ﾘｽﾄ(4～3月)'!$D$26:$D$998,$B37,'内訳ﾘｽﾄ(4～3月)'!I$26:I$998)</f>
        <v>0</v>
      </c>
      <c r="G37" s="158">
        <f>SUMIF('内訳ﾘｽﾄ(4～3月)'!$D$26:$D$998,$B37,'内訳ﾘｽﾄ(4～3月)'!J$26:J$998)</f>
        <v>0</v>
      </c>
      <c r="H37" s="158">
        <f>SUMIF('内訳ﾘｽﾄ(4～3月)'!$D$26:$D$998,$B37,'内訳ﾘｽﾄ(4～3月)'!K$26:K$998)</f>
        <v>0</v>
      </c>
      <c r="I37" s="158">
        <f>SUMIF('内訳ﾘｽﾄ(4～3月)'!$D$26:$D$998,$B37,'内訳ﾘｽﾄ(4～3月)'!L$26:L$998)</f>
        <v>0</v>
      </c>
      <c r="J37" s="158">
        <f>SUMIF('内訳ﾘｽﾄ(4～3月)'!$D$26:$D$998,$B37,'内訳ﾘｽﾄ(4～3月)'!M$26:M$998)</f>
        <v>0</v>
      </c>
      <c r="K37" s="158">
        <f>SUMIF('内訳ﾘｽﾄ(4～3月)'!$D$26:$D$998,$B37,'内訳ﾘｽﾄ(4～3月)'!N$26:N$998)</f>
        <v>0</v>
      </c>
      <c r="L37" s="158">
        <f>SUMIF('内訳ﾘｽﾄ(4～3月)'!$D$26:$D$998,$B37,'内訳ﾘｽﾄ(4～3月)'!O$26:O$998)</f>
        <v>0</v>
      </c>
      <c r="M37" s="158">
        <f>SUMIF('内訳ﾘｽﾄ(4～3月)'!$D$26:$D$998,$B37,'内訳ﾘｽﾄ(4～3月)'!P$26:P$998)</f>
        <v>0</v>
      </c>
      <c r="N37" s="158">
        <f>SUMIF('内訳ﾘｽﾄ(4～3月)'!$D$26:$D$998,$B37,'内訳ﾘｽﾄ(4～3月)'!Q$26:Q$998)</f>
        <v>0</v>
      </c>
      <c r="O37" s="158">
        <f>SUMIF('内訳ﾘｽﾄ(4～3月)'!$D$26:$D$797,'採算表(VND)'!$B37,'内訳ﾘｽﾄ(4～3月)'!R$26:R$797)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SUMIF('内訳ﾘｽﾄ(4～3月)'!$D$26:$D$998,$B38,'内訳ﾘｽﾄ(4～3月)'!F$26:F$998)</f>
        <v>0</v>
      </c>
      <c r="D38" s="158">
        <f>SUMIF('内訳ﾘｽﾄ(4～3月)'!$D$26:$D$998,$B38,'内訳ﾘｽﾄ(4～3月)'!G$26:G$998)</f>
        <v>0</v>
      </c>
      <c r="E38" s="158">
        <f>SUMIF('内訳ﾘｽﾄ(4～3月)'!$D$26:$D$998,$B38,'内訳ﾘｽﾄ(4～3月)'!H$26:H$998)</f>
        <v>0</v>
      </c>
      <c r="F38" s="158">
        <f>SUMIF('内訳ﾘｽﾄ(4～3月)'!$D$26:$D$998,$B38,'内訳ﾘｽﾄ(4～3月)'!I$26:I$998)</f>
        <v>0</v>
      </c>
      <c r="G38" s="158">
        <f>SUMIF('内訳ﾘｽﾄ(4～3月)'!$D$26:$D$998,$B38,'内訳ﾘｽﾄ(4～3月)'!J$26:J$998)</f>
        <v>0</v>
      </c>
      <c r="H38" s="158">
        <f>SUMIF('内訳ﾘｽﾄ(4～3月)'!$D$26:$D$998,$B38,'内訳ﾘｽﾄ(4～3月)'!K$26:K$998)</f>
        <v>0</v>
      </c>
      <c r="I38" s="158">
        <f>SUMIF('内訳ﾘｽﾄ(4～3月)'!$D$26:$D$998,$B38,'内訳ﾘｽﾄ(4～3月)'!L$26:L$998)</f>
        <v>0</v>
      </c>
      <c r="J38" s="158">
        <f>SUMIF('内訳ﾘｽﾄ(4～3月)'!$D$26:$D$998,$B38,'内訳ﾘｽﾄ(4～3月)'!M$26:M$998)</f>
        <v>0</v>
      </c>
      <c r="K38" s="158">
        <f>SUMIF('内訳ﾘｽﾄ(4～3月)'!$D$26:$D$998,$B38,'内訳ﾘｽﾄ(4～3月)'!N$26:N$998)</f>
        <v>0</v>
      </c>
      <c r="L38" s="158">
        <f>SUMIF('内訳ﾘｽﾄ(4～3月)'!$D$26:$D$998,$B38,'内訳ﾘｽﾄ(4～3月)'!O$26:O$998)</f>
        <v>3000000</v>
      </c>
      <c r="M38" s="158">
        <f>SUMIF('内訳ﾘｽﾄ(4～3月)'!$D$26:$D$998,$B38,'内訳ﾘｽﾄ(4～3月)'!P$26:P$998)</f>
        <v>0</v>
      </c>
      <c r="N38" s="158">
        <f>SUMIF('内訳ﾘｽﾄ(4～3月)'!$D$26:$D$998,$B38,'内訳ﾘｽﾄ(4～3月)'!Q$26:Q$998)</f>
        <v>0</v>
      </c>
      <c r="O38" s="158">
        <f>SUMIF('内訳ﾘｽﾄ(4～3月)'!$D$26:$D$797,'採算表(VND)'!$B38,'内訳ﾘｽﾄ(4～3月)'!R$26:R$797)</f>
        <v>3000000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SUMIF('内訳ﾘｽﾄ(4～3月)'!$D$26:$D$998,$B39,'内訳ﾘｽﾄ(4～3月)'!F$26:F$998)</f>
        <v>3340914</v>
      </c>
      <c r="D39" s="158">
        <f>SUMIF('内訳ﾘｽﾄ(4～3月)'!$D$26:$D$998,$B39,'内訳ﾘｽﾄ(4～3月)'!G$26:G$998)</f>
        <v>3343494</v>
      </c>
      <c r="E39" s="158">
        <f>SUMIF('内訳ﾘｽﾄ(4～3月)'!$D$26:$D$998,$B39,'内訳ﾘｽﾄ(4～3月)'!H$26:H$998)</f>
        <v>3364362</v>
      </c>
      <c r="F39" s="158">
        <f>SUMIF('内訳ﾘｽﾄ(4～3月)'!$D$26:$D$998,$B39,'内訳ﾘｽﾄ(4～3月)'!I$26:I$998)</f>
        <v>3305622</v>
      </c>
      <c r="G39" s="158">
        <f>SUMIF('内訳ﾘｽﾄ(4～3月)'!$D$26:$D$998,$B39,'内訳ﾘｽﾄ(4～3月)'!J$26:J$998)</f>
        <v>3288642</v>
      </c>
      <c r="H39" s="158">
        <f>SUMIF('内訳ﾘｽﾄ(4～3月)'!$D$26:$D$998,$B39,'内訳ﾘｽﾄ(4～3月)'!K$26:K$998)</f>
        <v>3261030</v>
      </c>
      <c r="I39" s="158">
        <f>SUMIF('内訳ﾘｽﾄ(4～3月)'!$D$26:$D$998,$B39,'内訳ﾘｽﾄ(4～3月)'!L$26:L$998)</f>
        <v>3570134</v>
      </c>
      <c r="J39" s="158">
        <f>SUMIF('内訳ﾘｽﾄ(4～3月)'!$D$26:$D$998,$B39,'内訳ﾘｽﾄ(4～3月)'!M$26:M$998)</f>
        <v>3228078</v>
      </c>
      <c r="K39" s="158">
        <f>SUMIF('内訳ﾘｽﾄ(4～3月)'!$D$26:$D$998,$B39,'内訳ﾘｽﾄ(4～3月)'!N$26:N$998)</f>
        <v>3229674</v>
      </c>
      <c r="L39" s="158">
        <f>SUMIF('内訳ﾘｽﾄ(4～3月)'!$D$26:$D$998,$B39,'内訳ﾘｽﾄ(4～3月)'!O$26:O$998)</f>
        <v>3555566</v>
      </c>
      <c r="M39" s="158">
        <f>SUMIF('内訳ﾘｽﾄ(4～3月)'!$D$26:$D$998,$B39,'内訳ﾘｽﾄ(4～3月)'!P$26:P$998)</f>
        <v>3176694</v>
      </c>
      <c r="N39" s="158">
        <f>SUMIF('内訳ﾘｽﾄ(4～3月)'!$D$26:$D$998,$B39,'内訳ﾘｽﾄ(4～3月)'!Q$26:Q$998)</f>
        <v>3885430</v>
      </c>
      <c r="O39" s="158">
        <f>SUMIF('内訳ﾘｽﾄ(4～3月)'!$D$26:$D$797,'採算表(VND)'!$B39,'内訳ﾘｽﾄ(4～3月)'!R$26:R$797)</f>
        <v>40549640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SUMIF('内訳ﾘｽﾄ(4～3月)'!$D$26:$D$998,$B40,'内訳ﾘｽﾄ(4～3月)'!F$26:F$998)</f>
        <v>321979167</v>
      </c>
      <c r="D40" s="158">
        <f>SUMIF('内訳ﾘｽﾄ(4～3月)'!$D$26:$D$998,$B40,'内訳ﾘｽﾄ(4～3月)'!G$26:G$998)</f>
        <v>321979167</v>
      </c>
      <c r="E40" s="158">
        <f>SUMIF('内訳ﾘｽﾄ(4～3月)'!$D$26:$D$998,$B40,'内訳ﾘｽﾄ(4～3月)'!H$26:H$998)</f>
        <v>321979167</v>
      </c>
      <c r="F40" s="158">
        <f>SUMIF('内訳ﾘｽﾄ(4～3月)'!$D$26:$D$998,$B40,'内訳ﾘｽﾄ(4～3月)'!I$26:I$998)</f>
        <v>321979167</v>
      </c>
      <c r="G40" s="158">
        <f>SUMIF('内訳ﾘｽﾄ(4～3月)'!$D$26:$D$998,$B40,'内訳ﾘｽﾄ(4～3月)'!J$26:J$998)</f>
        <v>321979167</v>
      </c>
      <c r="H40" s="158">
        <f>SUMIF('内訳ﾘｽﾄ(4～3月)'!$D$26:$D$998,$B40,'内訳ﾘｽﾄ(4～3月)'!K$26:K$998)</f>
        <v>321979167</v>
      </c>
      <c r="I40" s="158">
        <f>SUMIF('内訳ﾘｽﾄ(4～3月)'!$D$26:$D$998,$B40,'内訳ﾘｽﾄ(4～3月)'!L$26:L$998)</f>
        <v>1210265167</v>
      </c>
      <c r="J40" s="158">
        <f>SUMIF('内訳ﾘｽﾄ(4～3月)'!$D$26:$D$998,$B40,'内訳ﾘｽﾄ(4～3月)'!M$26:M$998)</f>
        <v>321979167</v>
      </c>
      <c r="K40" s="158">
        <f>SUMIF('内訳ﾘｽﾄ(4～3月)'!$D$26:$D$998,$B40,'内訳ﾘｽﾄ(4～3月)'!N$26:N$998)</f>
        <v>321979167</v>
      </c>
      <c r="L40" s="158">
        <f>SUMIF('内訳ﾘｽﾄ(4～3月)'!$D$26:$D$998,$B40,'内訳ﾘｽﾄ(4～3月)'!O$26:O$998)</f>
        <v>321979167</v>
      </c>
      <c r="M40" s="158">
        <f>SUMIF('内訳ﾘｽﾄ(4～3月)'!$D$26:$D$998,$B40,'内訳ﾘｽﾄ(4～3月)'!P$26:P$998)</f>
        <v>321979167</v>
      </c>
      <c r="N40" s="158">
        <f>SUMIF('内訳ﾘｽﾄ(4～3月)'!$D$26:$D$998,$B40,'内訳ﾘｽﾄ(4～3月)'!Q$26:Q$998)</f>
        <v>321979167</v>
      </c>
      <c r="O40" s="158">
        <f>SUMIF('内訳ﾘｽﾄ(4～3月)'!$D$26:$D$797,'採算表(VND)'!$B40,'内訳ﾘｽﾄ(4～3月)'!R$26:R$797)</f>
        <v>4752036004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SUMIF('内訳ﾘｽﾄ(4～3月)'!$D$26:$D$998,$B41,'内訳ﾘｽﾄ(4～3月)'!F$26:F$998)</f>
        <v>690395</v>
      </c>
      <c r="D41" s="158">
        <f>SUMIF('内訳ﾘｽﾄ(4～3月)'!$D$26:$D$998,$B41,'内訳ﾘｽﾄ(4～3月)'!G$26:G$998)</f>
        <v>398591</v>
      </c>
      <c r="E41" s="158">
        <f>SUMIF('内訳ﾘｽﾄ(4～3月)'!$D$26:$D$998,$B41,'内訳ﾘｽﾄ(4～3月)'!H$26:H$998)</f>
        <v>481934</v>
      </c>
      <c r="F41" s="158">
        <f>SUMIF('内訳ﾘｽﾄ(4～3月)'!$D$26:$D$998,$B41,'内訳ﾘｽﾄ(4～3月)'!I$26:I$998)</f>
        <v>1327288</v>
      </c>
      <c r="G41" s="158">
        <f>SUMIF('内訳ﾘｽﾄ(4～3月)'!$D$26:$D$998,$B41,'内訳ﾘｽﾄ(4～3月)'!J$26:J$998)</f>
        <v>1159910</v>
      </c>
      <c r="H41" s="158">
        <f>SUMIF('内訳ﾘｽﾄ(4～3月)'!$D$26:$D$998,$B41,'内訳ﾘｽﾄ(4～3月)'!K$26:K$998)</f>
        <v>252290</v>
      </c>
      <c r="I41" s="158">
        <f>SUMIF('内訳ﾘｽﾄ(4～3月)'!$D$26:$D$998,$B41,'内訳ﾘｽﾄ(4～3月)'!L$26:L$998)</f>
        <v>258000</v>
      </c>
      <c r="J41" s="158">
        <f>SUMIF('内訳ﾘｽﾄ(4～3月)'!$D$26:$D$998,$B41,'内訳ﾘｽﾄ(4～3月)'!M$26:M$998)</f>
        <v>314479</v>
      </c>
      <c r="K41" s="158">
        <f>SUMIF('内訳ﾘｽﾄ(4～3月)'!$D$26:$D$998,$B41,'内訳ﾘｽﾄ(4～3月)'!N$26:N$998)</f>
        <v>258000</v>
      </c>
      <c r="L41" s="158">
        <f>SUMIF('内訳ﾘｽﾄ(4～3月)'!$D$26:$D$998,$B41,'内訳ﾘｽﾄ(4～3月)'!O$26:O$998)</f>
        <v>792644</v>
      </c>
      <c r="M41" s="158">
        <f>SUMIF('内訳ﾘｽﾄ(4～3月)'!$D$26:$D$998,$B41,'内訳ﾘｽﾄ(4～3月)'!P$26:P$998)</f>
        <v>375880</v>
      </c>
      <c r="N41" s="158">
        <f>SUMIF('内訳ﾘｽﾄ(4～3月)'!$D$26:$D$998,$B41,'内訳ﾘｽﾄ(4～3月)'!Q$26:Q$998)</f>
        <v>1155220</v>
      </c>
      <c r="O41" s="158">
        <f>SUMIF('内訳ﾘｽﾄ(4～3月)'!$D$26:$D$797,'採算表(VND)'!$B41,'内訳ﾘｽﾄ(4～3月)'!R$26:R$797)</f>
        <v>7464631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SUMIF('内訳ﾘｽﾄ(4～3月)'!$D$26:$D$998,$B42,'内訳ﾘｽﾄ(4～3月)'!F$26:F$998)</f>
        <v>28497736</v>
      </c>
      <c r="D42" s="158">
        <f>SUMIF('内訳ﾘｽﾄ(4～3月)'!$D$26:$D$998,$B42,'内訳ﾘｽﾄ(4～3月)'!G$26:G$998)</f>
        <v>40842136</v>
      </c>
      <c r="E42" s="158">
        <f>SUMIF('内訳ﾘｽﾄ(4～3月)'!$D$26:$D$998,$B42,'内訳ﾘｽﾄ(4～3月)'!H$26:H$998)</f>
        <v>28474136</v>
      </c>
      <c r="F42" s="158">
        <f>SUMIF('内訳ﾘｽﾄ(4～3月)'!$D$26:$D$998,$B42,'内訳ﾘｽﾄ(4～3月)'!I$26:I$998)</f>
        <v>28534436</v>
      </c>
      <c r="G42" s="158">
        <f>SUMIF('内訳ﾘｽﾄ(4～3月)'!$D$26:$D$998,$B42,'内訳ﾘｽﾄ(4～3月)'!J$26:J$998)</f>
        <v>28704036</v>
      </c>
      <c r="H42" s="158">
        <f>SUMIF('内訳ﾘｽﾄ(4～3月)'!$D$26:$D$998,$B42,'内訳ﾘｽﾄ(4～3月)'!K$26:K$998)</f>
        <v>30081769</v>
      </c>
      <c r="I42" s="158">
        <f>SUMIF('内訳ﾘｽﾄ(4～3月)'!$D$26:$D$998,$B42,'内訳ﾘｽﾄ(4～3月)'!L$26:L$998)</f>
        <v>28650636</v>
      </c>
      <c r="J42" s="158">
        <f>SUMIF('内訳ﾘｽﾄ(4～3月)'!$D$26:$D$998,$B42,'内訳ﾘｽﾄ(4～3月)'!M$26:M$998)</f>
        <v>28741136</v>
      </c>
      <c r="K42" s="158">
        <f>SUMIF('内訳ﾘｽﾄ(4～3月)'!$D$26:$D$998,$B42,'内訳ﾘｽﾄ(4～3月)'!N$26:N$998)</f>
        <v>28718736</v>
      </c>
      <c r="L42" s="158">
        <f>SUMIF('内訳ﾘｽﾄ(4～3月)'!$D$26:$D$998,$B42,'内訳ﾘｽﾄ(4～3月)'!O$26:O$998)</f>
        <v>28444136</v>
      </c>
      <c r="M42" s="158">
        <f>SUMIF('内訳ﾘｽﾄ(4～3月)'!$D$26:$D$998,$B42,'内訳ﾘｽﾄ(4～3月)'!P$26:P$998)</f>
        <v>72507869</v>
      </c>
      <c r="N42" s="158">
        <f>SUMIF('内訳ﾘｽﾄ(4～3月)'!$D$26:$D$998,$B42,'内訳ﾘｽﾄ(4～3月)'!Q$26:Q$998)</f>
        <v>71362136</v>
      </c>
      <c r="O42" s="158">
        <f>SUMIF('内訳ﾘｽﾄ(4～3月)'!$D$26:$D$797,'採算表(VND)'!$B42,'内訳ﾘｽﾄ(4～3月)'!R$26:R$797)</f>
        <v>443558898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SUMIF('内訳ﾘｽﾄ(4～3月)'!$D$26:$D$998,$B43,'内訳ﾘｽﾄ(4～3月)'!F$26:F$998)</f>
        <v>0</v>
      </c>
      <c r="D43" s="158">
        <f>SUMIF('内訳ﾘｽﾄ(4～3月)'!$D$26:$D$998,$B43,'内訳ﾘｽﾄ(4～3月)'!G$26:G$998)</f>
        <v>0</v>
      </c>
      <c r="E43" s="158">
        <f>SUMIF('内訳ﾘｽﾄ(4～3月)'!$D$26:$D$998,$B43,'内訳ﾘｽﾄ(4～3月)'!H$26:H$998)</f>
        <v>0</v>
      </c>
      <c r="F43" s="158">
        <f>SUMIF('内訳ﾘｽﾄ(4～3月)'!$D$26:$D$998,$B43,'内訳ﾘｽﾄ(4～3月)'!I$26:I$998)</f>
        <v>0</v>
      </c>
      <c r="G43" s="158">
        <f>SUMIF('内訳ﾘｽﾄ(4～3月)'!$D$26:$D$998,$B43,'内訳ﾘｽﾄ(4～3月)'!J$26:J$998)</f>
        <v>0</v>
      </c>
      <c r="H43" s="158">
        <f>SUMIF('内訳ﾘｽﾄ(4～3月)'!$D$26:$D$998,$B43,'内訳ﾘｽﾄ(4～3月)'!K$26:K$998)</f>
        <v>0</v>
      </c>
      <c r="I43" s="158">
        <f>SUMIF('内訳ﾘｽﾄ(4～3月)'!$D$26:$D$998,$B43,'内訳ﾘｽﾄ(4～3月)'!L$26:L$998)</f>
        <v>0</v>
      </c>
      <c r="J43" s="158">
        <f>SUMIF('内訳ﾘｽﾄ(4～3月)'!$D$26:$D$998,$B43,'内訳ﾘｽﾄ(4～3月)'!M$26:M$998)</f>
        <v>0</v>
      </c>
      <c r="K43" s="158">
        <f>SUMIF('内訳ﾘｽﾄ(4～3月)'!$D$26:$D$998,$B43,'内訳ﾘｽﾄ(4～3月)'!N$26:N$998)</f>
        <v>0</v>
      </c>
      <c r="L43" s="158">
        <f>SUMIF('内訳ﾘｽﾄ(4～3月)'!$D$26:$D$998,$B43,'内訳ﾘｽﾄ(4～3月)'!O$26:O$998)</f>
        <v>0</v>
      </c>
      <c r="M43" s="158">
        <f>SUMIF('内訳ﾘｽﾄ(4～3月)'!$D$26:$D$998,$B43,'内訳ﾘｽﾄ(4～3月)'!P$26:P$998)</f>
        <v>0</v>
      </c>
      <c r="N43" s="158">
        <f>SUMIF('内訳ﾘｽﾄ(4～3月)'!$D$26:$D$998,$B43,'内訳ﾘｽﾄ(4～3月)'!Q$26:Q$998)</f>
        <v>0</v>
      </c>
      <c r="O43" s="158">
        <f>SUMIF('内訳ﾘｽﾄ(4～3月)'!$D$26:$D$797,'採算表(VND)'!$B43,'内訳ﾘｽﾄ(4～3月)'!R$26:R$797)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SUMIF('内訳ﾘｽﾄ(4～3月)'!$D$26:$D$998,$B44,'内訳ﾘｽﾄ(4～3月)'!F$26:F$998)</f>
        <v>9348678</v>
      </c>
      <c r="D44" s="158">
        <f>SUMIF('内訳ﾘｽﾄ(4～3月)'!$D$26:$D$998,$B44,'内訳ﾘｽﾄ(4～3月)'!G$26:G$998)</f>
        <v>27295747</v>
      </c>
      <c r="E44" s="158">
        <f>SUMIF('内訳ﾘｽﾄ(4～3月)'!$D$26:$D$998,$B44,'内訳ﾘｽﾄ(4～3月)'!H$26:H$998)</f>
        <v>1534477</v>
      </c>
      <c r="F44" s="158">
        <f>SUMIF('内訳ﾘｽﾄ(4～3月)'!$D$26:$D$998,$B44,'内訳ﾘｽﾄ(4～3月)'!I$26:I$998)</f>
        <v>3129463</v>
      </c>
      <c r="G44" s="158">
        <f>SUMIF('内訳ﾘｽﾄ(4～3月)'!$D$26:$D$998,$B44,'内訳ﾘｽﾄ(4～3月)'!J$26:J$998)</f>
        <v>1751334</v>
      </c>
      <c r="H44" s="158">
        <f>SUMIF('内訳ﾘｽﾄ(4～3月)'!$D$26:$D$998,$B44,'内訳ﾘｽﾄ(4～3月)'!K$26:K$998)</f>
        <v>3187513</v>
      </c>
      <c r="I44" s="158">
        <f>SUMIF('内訳ﾘｽﾄ(4～3月)'!$D$26:$D$998,$B44,'内訳ﾘｽﾄ(4～3月)'!L$26:L$998)</f>
        <v>4354735</v>
      </c>
      <c r="J44" s="158">
        <f>SUMIF('内訳ﾘｽﾄ(4～3月)'!$D$26:$D$998,$B44,'内訳ﾘｽﾄ(4～3月)'!M$26:M$998)</f>
        <v>2899617</v>
      </c>
      <c r="K44" s="158">
        <f>SUMIF('内訳ﾘｽﾄ(4～3月)'!$D$26:$D$998,$B44,'内訳ﾘｽﾄ(4～3月)'!N$26:N$998)</f>
        <v>4376592</v>
      </c>
      <c r="L44" s="158">
        <f>SUMIF('内訳ﾘｽﾄ(4～3月)'!$D$26:$D$998,$B44,'内訳ﾘｽﾄ(4～3月)'!O$26:O$998)</f>
        <v>1657925</v>
      </c>
      <c r="M44" s="158">
        <f>SUMIF('内訳ﾘｽﾄ(4～3月)'!$D$26:$D$998,$B44,'内訳ﾘｽﾄ(4～3月)'!P$26:P$998)</f>
        <v>6842359</v>
      </c>
      <c r="N44" s="158">
        <f>SUMIF('内訳ﾘｽﾄ(4～3月)'!$D$26:$D$998,$B44,'内訳ﾘｽﾄ(4～3月)'!Q$26:Q$998)</f>
        <v>1596228</v>
      </c>
      <c r="O44" s="158">
        <f>SUMIF('内訳ﾘｽﾄ(4～3月)'!$D$26:$D$797,'採算表(VND)'!$B44,'内訳ﾘｽﾄ(4～3月)'!R$26:R$797)</f>
        <v>67974668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SUMIF('内訳ﾘｽﾄ(4～3月)'!$D$26:$D$998,$B45,'内訳ﾘｽﾄ(4～3月)'!F$26:F$998)</f>
        <v>0</v>
      </c>
      <c r="D45" s="158">
        <f>SUMIF('内訳ﾘｽﾄ(4～3月)'!$D$26:$D$998,$B45,'内訳ﾘｽﾄ(4～3月)'!G$26:G$998)</f>
        <v>0</v>
      </c>
      <c r="E45" s="158">
        <f>SUMIF('内訳ﾘｽﾄ(4～3月)'!$D$26:$D$998,$B45,'内訳ﾘｽﾄ(4～3月)'!H$26:H$998)</f>
        <v>0</v>
      </c>
      <c r="F45" s="158">
        <f>SUMIF('内訳ﾘｽﾄ(4～3月)'!$D$26:$D$998,$B45,'内訳ﾘｽﾄ(4～3月)'!I$26:I$998)</f>
        <v>0</v>
      </c>
      <c r="G45" s="158">
        <f>SUMIF('内訳ﾘｽﾄ(4～3月)'!$D$26:$D$998,$B45,'内訳ﾘｽﾄ(4～3月)'!J$26:J$998)</f>
        <v>0</v>
      </c>
      <c r="H45" s="158">
        <f>SUMIF('内訳ﾘｽﾄ(4～3月)'!$D$26:$D$998,$B45,'内訳ﾘｽﾄ(4～3月)'!K$26:K$998)</f>
        <v>0</v>
      </c>
      <c r="I45" s="158">
        <f>SUMIF('内訳ﾘｽﾄ(4～3月)'!$D$26:$D$998,$B45,'内訳ﾘｽﾄ(4～3月)'!L$26:L$998)</f>
        <v>620000</v>
      </c>
      <c r="J45" s="158">
        <f>SUMIF('内訳ﾘｽﾄ(4～3月)'!$D$26:$D$998,$B45,'内訳ﾘｽﾄ(4～3月)'!M$26:M$998)</f>
        <v>0</v>
      </c>
      <c r="K45" s="158">
        <f>SUMIF('内訳ﾘｽﾄ(4～3月)'!$D$26:$D$998,$B45,'内訳ﾘｽﾄ(4～3月)'!N$26:N$998)</f>
        <v>0</v>
      </c>
      <c r="L45" s="158">
        <f>SUMIF('内訳ﾘｽﾄ(4～3月)'!$D$26:$D$998,$B45,'内訳ﾘｽﾄ(4～3月)'!O$26:O$998)</f>
        <v>0</v>
      </c>
      <c r="M45" s="158">
        <f>SUMIF('内訳ﾘｽﾄ(4～3月)'!$D$26:$D$998,$B45,'内訳ﾘｽﾄ(4～3月)'!P$26:P$998)</f>
        <v>0</v>
      </c>
      <c r="N45" s="158">
        <f>SUMIF('内訳ﾘｽﾄ(4～3月)'!$D$26:$D$998,$B45,'内訳ﾘｽﾄ(4～3月)'!Q$26:Q$998)</f>
        <v>620000</v>
      </c>
      <c r="O45" s="158">
        <f>SUMIF('内訳ﾘｽﾄ(4～3月)'!$D$26:$D$797,'採算表(VND)'!$B45,'内訳ﾘｽﾄ(4～3月)'!R$26:R$797)</f>
        <v>1240000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SUMIF('内訳ﾘｽﾄ(4～3月)'!$D$26:$D$998,$B46,'内訳ﾘｽﾄ(4～3月)'!F$26:F$998)</f>
        <v>0</v>
      </c>
      <c r="D46" s="158">
        <f>SUMIF('内訳ﾘｽﾄ(4～3月)'!$D$26:$D$998,$B46,'内訳ﾘｽﾄ(4～3月)'!G$26:G$998)</f>
        <v>0</v>
      </c>
      <c r="E46" s="158">
        <f>SUMIF('内訳ﾘｽﾄ(4～3月)'!$D$26:$D$998,$B46,'内訳ﾘｽﾄ(4～3月)'!H$26:H$998)</f>
        <v>0</v>
      </c>
      <c r="F46" s="158">
        <f>SUMIF('内訳ﾘｽﾄ(4～3月)'!$D$26:$D$998,$B46,'内訳ﾘｽﾄ(4～3月)'!I$26:I$998)</f>
        <v>0</v>
      </c>
      <c r="G46" s="158">
        <f>SUMIF('内訳ﾘｽﾄ(4～3月)'!$D$26:$D$998,$B46,'内訳ﾘｽﾄ(4～3月)'!J$26:J$998)</f>
        <v>0</v>
      </c>
      <c r="H46" s="158">
        <f>SUMIF('内訳ﾘｽﾄ(4～3月)'!$D$26:$D$998,$B46,'内訳ﾘｽﾄ(4～3月)'!K$26:K$998)</f>
        <v>0</v>
      </c>
      <c r="I46" s="158">
        <f>SUMIF('内訳ﾘｽﾄ(4～3月)'!$D$26:$D$998,$B46,'内訳ﾘｽﾄ(4～3月)'!L$26:L$998)</f>
        <v>0</v>
      </c>
      <c r="J46" s="158">
        <f>SUMIF('内訳ﾘｽﾄ(4～3月)'!$D$26:$D$998,$B46,'内訳ﾘｽﾄ(4～3月)'!M$26:M$998)</f>
        <v>0</v>
      </c>
      <c r="K46" s="158">
        <f>SUMIF('内訳ﾘｽﾄ(4～3月)'!$D$26:$D$998,$B46,'内訳ﾘｽﾄ(4～3月)'!N$26:N$998)</f>
        <v>0</v>
      </c>
      <c r="L46" s="158">
        <f>SUMIF('内訳ﾘｽﾄ(4～3月)'!$D$26:$D$998,$B46,'内訳ﾘｽﾄ(4～3月)'!O$26:O$998)</f>
        <v>0</v>
      </c>
      <c r="M46" s="158">
        <f>SUMIF('内訳ﾘｽﾄ(4～3月)'!$D$26:$D$998,$B46,'内訳ﾘｽﾄ(4～3月)'!P$26:P$998)</f>
        <v>0</v>
      </c>
      <c r="N46" s="158">
        <f>SUMIF('内訳ﾘｽﾄ(4～3月)'!$D$26:$D$998,$B46,'内訳ﾘｽﾄ(4～3月)'!Q$26:Q$998)</f>
        <v>0</v>
      </c>
      <c r="O46" s="158">
        <f>SUMIF('内訳ﾘｽﾄ(4～3月)'!$D$26:$D$797,'採算表(VND)'!$B46,'内訳ﾘｽﾄ(4～3月)'!R$26:R$797)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SUMIF('内訳ﾘｽﾄ(4～3月)'!$D$26:$D$998,$B47,'内訳ﾘｽﾄ(4～3月)'!F$26:F$998)</f>
        <v>0</v>
      </c>
      <c r="D47" s="158">
        <f>SUMIF('内訳ﾘｽﾄ(4～3月)'!$D$26:$D$998,$B47,'内訳ﾘｽﾄ(4～3月)'!G$26:G$998)</f>
        <v>0</v>
      </c>
      <c r="E47" s="158">
        <f>SUMIF('内訳ﾘｽﾄ(4～3月)'!$D$26:$D$998,$B47,'内訳ﾘｽﾄ(4～3月)'!H$26:H$998)</f>
        <v>0</v>
      </c>
      <c r="F47" s="158">
        <f>SUMIF('内訳ﾘｽﾄ(4～3月)'!$D$26:$D$998,$B47,'内訳ﾘｽﾄ(4～3月)'!I$26:I$998)</f>
        <v>0</v>
      </c>
      <c r="G47" s="158">
        <f>SUMIF('内訳ﾘｽﾄ(4～3月)'!$D$26:$D$998,$B47,'内訳ﾘｽﾄ(4～3月)'!J$26:J$998)</f>
        <v>0</v>
      </c>
      <c r="H47" s="158">
        <f>SUMIF('内訳ﾘｽﾄ(4～3月)'!$D$26:$D$998,$B47,'内訳ﾘｽﾄ(4～3月)'!K$26:K$998)</f>
        <v>0</v>
      </c>
      <c r="I47" s="158">
        <f>SUMIF('内訳ﾘｽﾄ(4～3月)'!$D$26:$D$998,$B47,'内訳ﾘｽﾄ(4～3月)'!L$26:L$998)</f>
        <v>0</v>
      </c>
      <c r="J47" s="158">
        <f>SUMIF('内訳ﾘｽﾄ(4～3月)'!$D$26:$D$998,$B47,'内訳ﾘｽﾄ(4～3月)'!M$26:M$998)</f>
        <v>0</v>
      </c>
      <c r="K47" s="158">
        <f>SUMIF('内訳ﾘｽﾄ(4～3月)'!$D$26:$D$998,$B47,'内訳ﾘｽﾄ(4～3月)'!N$26:N$998)</f>
        <v>0</v>
      </c>
      <c r="L47" s="158">
        <f>SUMIF('内訳ﾘｽﾄ(4～3月)'!$D$26:$D$998,$B47,'内訳ﾘｽﾄ(4～3月)'!O$26:O$998)</f>
        <v>0</v>
      </c>
      <c r="M47" s="158">
        <f>SUMIF('内訳ﾘｽﾄ(4～3月)'!$D$26:$D$998,$B47,'内訳ﾘｽﾄ(4～3月)'!P$26:P$998)</f>
        <v>0</v>
      </c>
      <c r="N47" s="158">
        <f>SUMIF('内訳ﾘｽﾄ(4～3月)'!$D$26:$D$998,$B47,'内訳ﾘｽﾄ(4～3月)'!Q$26:Q$998)</f>
        <v>0</v>
      </c>
      <c r="O47" s="158">
        <f>SUMIF('内訳ﾘｽﾄ(4～3月)'!$D$26:$D$797,'採算表(VND)'!$B47,'内訳ﾘｽﾄ(4～3月)'!R$26:R$797)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SUMIF('内訳ﾘｽﾄ(4～3月)'!$D$26:$D$998,$B48,'内訳ﾘｽﾄ(4～3月)'!F$26:F$998)</f>
        <v>0</v>
      </c>
      <c r="D48" s="158">
        <f>SUMIF('内訳ﾘｽﾄ(4～3月)'!$D$26:$D$998,$B48,'内訳ﾘｽﾄ(4～3月)'!G$26:G$998)</f>
        <v>0</v>
      </c>
      <c r="E48" s="158">
        <f>SUMIF('内訳ﾘｽﾄ(4～3月)'!$D$26:$D$998,$B48,'内訳ﾘｽﾄ(4～3月)'!H$26:H$998)</f>
        <v>0</v>
      </c>
      <c r="F48" s="158">
        <f>SUMIF('内訳ﾘｽﾄ(4～3月)'!$D$26:$D$998,$B48,'内訳ﾘｽﾄ(4～3月)'!I$26:I$998)</f>
        <v>0</v>
      </c>
      <c r="G48" s="158">
        <f>SUMIF('内訳ﾘｽﾄ(4～3月)'!$D$26:$D$998,$B48,'内訳ﾘｽﾄ(4～3月)'!J$26:J$998)</f>
        <v>0</v>
      </c>
      <c r="H48" s="158">
        <f>SUMIF('内訳ﾘｽﾄ(4～3月)'!$D$26:$D$998,$B48,'内訳ﾘｽﾄ(4～3月)'!K$26:K$998)</f>
        <v>0</v>
      </c>
      <c r="I48" s="158">
        <f>SUMIF('内訳ﾘｽﾄ(4～3月)'!$D$26:$D$998,$B48,'内訳ﾘｽﾄ(4～3月)'!L$26:L$998)</f>
        <v>0</v>
      </c>
      <c r="J48" s="158">
        <f>SUMIF('内訳ﾘｽﾄ(4～3月)'!$D$26:$D$998,$B48,'内訳ﾘｽﾄ(4～3月)'!M$26:M$998)</f>
        <v>0</v>
      </c>
      <c r="K48" s="158">
        <f>SUMIF('内訳ﾘｽﾄ(4～3月)'!$D$26:$D$998,$B48,'内訳ﾘｽﾄ(4～3月)'!N$26:N$998)</f>
        <v>0</v>
      </c>
      <c r="L48" s="158">
        <f>SUMIF('内訳ﾘｽﾄ(4～3月)'!$D$26:$D$998,$B48,'内訳ﾘｽﾄ(4～3月)'!O$26:O$998)</f>
        <v>0</v>
      </c>
      <c r="M48" s="158">
        <f>SUMIF('内訳ﾘｽﾄ(4～3月)'!$D$26:$D$998,$B48,'内訳ﾘｽﾄ(4～3月)'!P$26:P$998)</f>
        <v>0</v>
      </c>
      <c r="N48" s="158">
        <f>SUMIF('内訳ﾘｽﾄ(4～3月)'!$D$26:$D$998,$B48,'内訳ﾘｽﾄ(4～3月)'!Q$26:Q$998)</f>
        <v>0</v>
      </c>
      <c r="O48" s="158">
        <f>SUMIF('内訳ﾘｽﾄ(4～3月)'!$D$26:$D$797,'採算表(VND)'!$B48,'内訳ﾘｽﾄ(4～3月)'!R$26:R$797)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SUMIF('内訳ﾘｽﾄ(4～3月)'!$D$26:$D$998,$B49,'内訳ﾘｽﾄ(4～3月)'!F$26:F$998)</f>
        <v>0</v>
      </c>
      <c r="D49" s="158">
        <f>SUMIF('内訳ﾘｽﾄ(4～3月)'!$D$26:$D$998,$B49,'内訳ﾘｽﾄ(4～3月)'!G$26:G$998)</f>
        <v>0</v>
      </c>
      <c r="E49" s="158">
        <f>SUMIF('内訳ﾘｽﾄ(4～3月)'!$D$26:$D$998,$B49,'内訳ﾘｽﾄ(4～3月)'!H$26:H$998)</f>
        <v>0</v>
      </c>
      <c r="F49" s="158">
        <f>SUMIF('内訳ﾘｽﾄ(4～3月)'!$D$26:$D$998,$B49,'内訳ﾘｽﾄ(4～3月)'!I$26:I$998)</f>
        <v>0</v>
      </c>
      <c r="G49" s="158">
        <f>SUMIF('内訳ﾘｽﾄ(4～3月)'!$D$26:$D$998,$B49,'内訳ﾘｽﾄ(4～3月)'!J$26:J$998)</f>
        <v>0</v>
      </c>
      <c r="H49" s="158">
        <f>SUMIF('内訳ﾘｽﾄ(4～3月)'!$D$26:$D$998,$B49,'内訳ﾘｽﾄ(4～3月)'!K$26:K$998)</f>
        <v>0</v>
      </c>
      <c r="I49" s="158">
        <f>SUMIF('内訳ﾘｽﾄ(4～3月)'!$D$26:$D$998,$B49,'内訳ﾘｽﾄ(4～3月)'!L$26:L$998)</f>
        <v>0</v>
      </c>
      <c r="J49" s="158">
        <f>SUMIF('内訳ﾘｽﾄ(4～3月)'!$D$26:$D$998,$B49,'内訳ﾘｽﾄ(4～3月)'!M$26:M$998)</f>
        <v>0</v>
      </c>
      <c r="K49" s="158">
        <f>SUMIF('内訳ﾘｽﾄ(4～3月)'!$D$26:$D$998,$B49,'内訳ﾘｽﾄ(4～3月)'!N$26:N$998)</f>
        <v>0</v>
      </c>
      <c r="L49" s="158">
        <f>SUMIF('内訳ﾘｽﾄ(4～3月)'!$D$26:$D$998,$B49,'内訳ﾘｽﾄ(4～3月)'!O$26:O$998)</f>
        <v>0</v>
      </c>
      <c r="M49" s="158">
        <f>SUMIF('内訳ﾘｽﾄ(4～3月)'!$D$26:$D$998,$B49,'内訳ﾘｽﾄ(4～3月)'!P$26:P$998)</f>
        <v>0</v>
      </c>
      <c r="N49" s="158">
        <f>SUMIF('内訳ﾘｽﾄ(4～3月)'!$D$26:$D$998,$B49,'内訳ﾘｽﾄ(4～3月)'!Q$26:Q$998)</f>
        <v>0</v>
      </c>
      <c r="O49" s="158">
        <f>SUMIF('内訳ﾘｽﾄ(4～3月)'!$D$26:$D$797,'採算表(VND)'!$B49,'内訳ﾘｽﾄ(4～3月)'!R$26:R$797)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SUMIF('内訳ﾘｽﾄ(4～3月)'!$D$26:$D$998,$B50,'内訳ﾘｽﾄ(4～3月)'!F$26:F$998)</f>
        <v>0</v>
      </c>
      <c r="D50" s="158">
        <f>SUMIF('内訳ﾘｽﾄ(4～3月)'!$D$26:$D$998,$B50,'内訳ﾘｽﾄ(4～3月)'!G$26:G$998)</f>
        <v>0</v>
      </c>
      <c r="E50" s="158">
        <f>SUMIF('内訳ﾘｽﾄ(4～3月)'!$D$26:$D$998,$B50,'内訳ﾘｽﾄ(4～3月)'!H$26:H$998)</f>
        <v>0</v>
      </c>
      <c r="F50" s="158">
        <f>SUMIF('内訳ﾘｽﾄ(4～3月)'!$D$26:$D$998,$B50,'内訳ﾘｽﾄ(4～3月)'!I$26:I$998)</f>
        <v>0</v>
      </c>
      <c r="G50" s="158">
        <f>SUMIF('内訳ﾘｽﾄ(4～3月)'!$D$26:$D$998,$B50,'内訳ﾘｽﾄ(4～3月)'!J$26:J$998)</f>
        <v>0</v>
      </c>
      <c r="H50" s="158">
        <f>SUMIF('内訳ﾘｽﾄ(4～3月)'!$D$26:$D$998,$B50,'内訳ﾘｽﾄ(4～3月)'!K$26:K$998)</f>
        <v>0</v>
      </c>
      <c r="I50" s="158">
        <f>SUMIF('内訳ﾘｽﾄ(4～3月)'!$D$26:$D$998,$B50,'内訳ﾘｽﾄ(4～3月)'!L$26:L$998)</f>
        <v>0</v>
      </c>
      <c r="J50" s="158">
        <f>SUMIF('内訳ﾘｽﾄ(4～3月)'!$D$26:$D$998,$B50,'内訳ﾘｽﾄ(4～3月)'!M$26:M$998)</f>
        <v>0</v>
      </c>
      <c r="K50" s="158">
        <f>SUMIF('内訳ﾘｽﾄ(4～3月)'!$D$26:$D$998,$B50,'内訳ﾘｽﾄ(4～3月)'!N$26:N$998)</f>
        <v>0</v>
      </c>
      <c r="L50" s="158">
        <f>SUMIF('内訳ﾘｽﾄ(4～3月)'!$D$26:$D$998,$B50,'内訳ﾘｽﾄ(4～3月)'!O$26:O$998)</f>
        <v>0</v>
      </c>
      <c r="M50" s="158">
        <f>SUMIF('内訳ﾘｽﾄ(4～3月)'!$D$26:$D$998,$B50,'内訳ﾘｽﾄ(4～3月)'!P$26:P$998)</f>
        <v>0</v>
      </c>
      <c r="N50" s="158">
        <f>SUMIF('内訳ﾘｽﾄ(4～3月)'!$D$26:$D$998,$B50,'内訳ﾘｽﾄ(4～3月)'!Q$26:Q$998)</f>
        <v>0</v>
      </c>
      <c r="O50" s="158">
        <f>SUMIF('内訳ﾘｽﾄ(4～3月)'!$D$26:$D$797,'採算表(VND)'!$B50,'内訳ﾘｽﾄ(4～3月)'!R$26:R$797)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SUMIF('内訳ﾘｽﾄ(4～3月)'!$D$26:$D$998,$B51,'内訳ﾘｽﾄ(4～3月)'!F$26:F$998)</f>
        <v>0</v>
      </c>
      <c r="D51" s="159">
        <f>SUMIF('内訳ﾘｽﾄ(4～3月)'!$D$26:$D$998,$B51,'内訳ﾘｽﾄ(4～3月)'!G$26:G$998)</f>
        <v>0</v>
      </c>
      <c r="E51" s="159">
        <f>SUMIF('内訳ﾘｽﾄ(4～3月)'!$D$26:$D$998,$B51,'内訳ﾘｽﾄ(4～3月)'!H$26:H$998)</f>
        <v>0</v>
      </c>
      <c r="F51" s="159">
        <f>SUMIF('内訳ﾘｽﾄ(4～3月)'!$D$26:$D$998,$B51,'内訳ﾘｽﾄ(4～3月)'!I$26:I$998)</f>
        <v>0</v>
      </c>
      <c r="G51" s="159">
        <f>SUMIF('内訳ﾘｽﾄ(4～3月)'!$D$26:$D$998,$B51,'内訳ﾘｽﾄ(4～3月)'!J$26:J$998)</f>
        <v>0</v>
      </c>
      <c r="H51" s="159">
        <f>SUMIF('内訳ﾘｽﾄ(4～3月)'!$D$26:$D$998,$B51,'内訳ﾘｽﾄ(4～3月)'!K$26:K$998)</f>
        <v>0</v>
      </c>
      <c r="I51" s="159">
        <f>SUMIF('内訳ﾘｽﾄ(4～3月)'!$D$26:$D$998,$B51,'内訳ﾘｽﾄ(4～3月)'!L$26:L$998)</f>
        <v>0</v>
      </c>
      <c r="J51" s="159">
        <f>SUMIF('内訳ﾘｽﾄ(4～3月)'!$D$26:$D$998,$B51,'内訳ﾘｽﾄ(4～3月)'!M$26:M$998)</f>
        <v>0</v>
      </c>
      <c r="K51" s="159">
        <f>SUMIF('内訳ﾘｽﾄ(4～3月)'!$D$26:$D$998,$B51,'内訳ﾘｽﾄ(4～3月)'!N$26:N$998)</f>
        <v>0</v>
      </c>
      <c r="L51" s="159">
        <f>SUMIF('内訳ﾘｽﾄ(4～3月)'!$D$26:$D$998,$B51,'内訳ﾘｽﾄ(4～3月)'!O$26:O$998)</f>
        <v>0</v>
      </c>
      <c r="M51" s="159">
        <f>SUMIF('内訳ﾘｽﾄ(4～3月)'!$D$26:$D$998,$B51,'内訳ﾘｽﾄ(4～3月)'!P$26:P$998)</f>
        <v>0</v>
      </c>
      <c r="N51" s="159">
        <f>SUMIF('内訳ﾘｽﾄ(4～3月)'!$D$26:$D$998,$B51,'内訳ﾘｽﾄ(4～3月)'!Q$26:Q$998)</f>
        <v>0</v>
      </c>
      <c r="O51" s="159">
        <f>SUMIF('内訳ﾘｽﾄ(4～3月)'!$D$26:$D$797,'採算表(VND)'!$B51,'内訳ﾘｽﾄ(4～3月)'!R$26:R$797)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SUMIF('内訳ﾘｽﾄ(4～3月)'!$D$26:$D$998,$B52,'内訳ﾘｽﾄ(4～3月)'!F$26:F$998)</f>
        <v>0</v>
      </c>
      <c r="D52" s="160">
        <f>SUMIF('内訳ﾘｽﾄ(4～3月)'!$D$26:$D$998,$B52,'内訳ﾘｽﾄ(4～3月)'!G$26:G$998)</f>
        <v>0</v>
      </c>
      <c r="E52" s="160">
        <f>SUMIF('内訳ﾘｽﾄ(4～3月)'!$D$26:$D$998,$B52,'内訳ﾘｽﾄ(4～3月)'!H$26:H$998)</f>
        <v>0</v>
      </c>
      <c r="F52" s="160">
        <f>SUMIF('内訳ﾘｽﾄ(4～3月)'!$D$26:$D$998,$B52,'内訳ﾘｽﾄ(4～3月)'!I$26:I$998)</f>
        <v>0</v>
      </c>
      <c r="G52" s="160">
        <f>SUMIF('内訳ﾘｽﾄ(4～3月)'!$D$26:$D$998,$B52,'内訳ﾘｽﾄ(4～3月)'!J$26:J$998)</f>
        <v>0</v>
      </c>
      <c r="H52" s="160">
        <f>SUMIF('内訳ﾘｽﾄ(4～3月)'!$D$26:$D$998,$B52,'内訳ﾘｽﾄ(4～3月)'!K$26:K$998)</f>
        <v>0</v>
      </c>
      <c r="I52" s="160">
        <f>SUMIF('内訳ﾘｽﾄ(4～3月)'!$D$26:$D$998,$B52,'内訳ﾘｽﾄ(4～3月)'!L$26:L$998)</f>
        <v>0</v>
      </c>
      <c r="J52" s="160">
        <f>SUMIF('内訳ﾘｽﾄ(4～3月)'!$D$26:$D$998,$B52,'内訳ﾘｽﾄ(4～3月)'!M$26:M$998)</f>
        <v>0</v>
      </c>
      <c r="K52" s="160">
        <f>SUMIF('内訳ﾘｽﾄ(4～3月)'!$D$26:$D$998,$B52,'内訳ﾘｽﾄ(4～3月)'!N$26:N$998)</f>
        <v>0</v>
      </c>
      <c r="L52" s="160">
        <f>SUMIF('内訳ﾘｽﾄ(4～3月)'!$D$26:$D$998,$B52,'内訳ﾘｽﾄ(4～3月)'!O$26:O$998)</f>
        <v>0</v>
      </c>
      <c r="M52" s="160">
        <f>SUMIF('内訳ﾘｽﾄ(4～3月)'!$D$26:$D$998,$B52,'内訳ﾘｽﾄ(4～3月)'!P$26:P$998)</f>
        <v>0</v>
      </c>
      <c r="N52" s="160">
        <f>SUMIF('内訳ﾘｽﾄ(4～3月)'!$D$26:$D$998,$B52,'内訳ﾘｽﾄ(4～3月)'!Q$26:Q$998)</f>
        <v>0</v>
      </c>
      <c r="O52" s="160">
        <f>SUMIF('内訳ﾘｽﾄ(4～3月)'!$D$26:$D$797,'採算表(VND)'!$B52,'内訳ﾘｽﾄ(4～3月)'!R$26:R$797)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SUMIF('内訳ﾘｽﾄ(4～3月)'!$D$26:$D$998,$B53,'内訳ﾘｽﾄ(4～3月)'!F$26:F$998)</f>
        <v>0</v>
      </c>
      <c r="D53" s="160">
        <f>SUMIF('内訳ﾘｽﾄ(4～3月)'!$D$26:$D$998,$B53,'内訳ﾘｽﾄ(4～3月)'!G$26:G$998)</f>
        <v>0</v>
      </c>
      <c r="E53" s="160">
        <f>SUMIF('内訳ﾘｽﾄ(4～3月)'!$D$26:$D$998,$B53,'内訳ﾘｽﾄ(4～3月)'!H$26:H$998)</f>
        <v>0</v>
      </c>
      <c r="F53" s="160">
        <f>SUMIF('内訳ﾘｽﾄ(4～3月)'!$D$26:$D$998,$B53,'内訳ﾘｽﾄ(4～3月)'!I$26:I$998)</f>
        <v>0</v>
      </c>
      <c r="G53" s="160">
        <f>SUMIF('内訳ﾘｽﾄ(4～3月)'!$D$26:$D$998,$B53,'内訳ﾘｽﾄ(4～3月)'!J$26:J$998)</f>
        <v>0</v>
      </c>
      <c r="H53" s="160">
        <f>SUMIF('内訳ﾘｽﾄ(4～3月)'!$D$26:$D$998,$B53,'内訳ﾘｽﾄ(4～3月)'!K$26:K$998)</f>
        <v>0</v>
      </c>
      <c r="I53" s="160">
        <f>SUMIF('内訳ﾘｽﾄ(4～3月)'!$D$26:$D$998,$B53,'内訳ﾘｽﾄ(4～3月)'!L$26:L$998)</f>
        <v>0</v>
      </c>
      <c r="J53" s="160">
        <f>SUMIF('内訳ﾘｽﾄ(4～3月)'!$D$26:$D$998,$B53,'内訳ﾘｽﾄ(4～3月)'!M$26:M$998)</f>
        <v>0</v>
      </c>
      <c r="K53" s="160">
        <f>SUMIF('内訳ﾘｽﾄ(4～3月)'!$D$26:$D$998,$B53,'内訳ﾘｽﾄ(4～3月)'!N$26:N$998)</f>
        <v>0</v>
      </c>
      <c r="L53" s="160">
        <f>SUMIF('内訳ﾘｽﾄ(4～3月)'!$D$26:$D$998,$B53,'内訳ﾘｽﾄ(4～3月)'!O$26:O$998)</f>
        <v>0</v>
      </c>
      <c r="M53" s="160">
        <f>SUMIF('内訳ﾘｽﾄ(4～3月)'!$D$26:$D$998,$B53,'内訳ﾘｽﾄ(4～3月)'!P$26:P$998)</f>
        <v>0</v>
      </c>
      <c r="N53" s="160">
        <f>SUMIF('内訳ﾘｽﾄ(4～3月)'!$D$26:$D$998,$B53,'内訳ﾘｽﾄ(4～3月)'!Q$26:Q$998)</f>
        <v>0</v>
      </c>
      <c r="O53" s="160">
        <f>SUMIF('内訳ﾘｽﾄ(4～3月)'!$D$26:$D$797,'採算表(VND)'!$B53,'内訳ﾘｽﾄ(4～3月)'!R$26:R$797)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SUMIF('内訳ﾘｽﾄ(4～3月)'!$D$26:$D$998,$B54,'内訳ﾘｽﾄ(4～3月)'!F$26:F$998)</f>
        <v>0</v>
      </c>
      <c r="D54" s="160">
        <f>SUMIF('内訳ﾘｽﾄ(4～3月)'!$D$26:$D$998,$B54,'内訳ﾘｽﾄ(4～3月)'!G$26:G$998)</f>
        <v>0</v>
      </c>
      <c r="E54" s="160">
        <f>SUMIF('内訳ﾘｽﾄ(4～3月)'!$D$26:$D$998,$B54,'内訳ﾘｽﾄ(4～3月)'!H$26:H$998)</f>
        <v>0</v>
      </c>
      <c r="F54" s="160">
        <f>SUMIF('内訳ﾘｽﾄ(4～3月)'!$D$26:$D$998,$B54,'内訳ﾘｽﾄ(4～3月)'!I$26:I$998)</f>
        <v>0</v>
      </c>
      <c r="G54" s="160">
        <f>SUMIF('内訳ﾘｽﾄ(4～3月)'!$D$26:$D$998,$B54,'内訳ﾘｽﾄ(4～3月)'!J$26:J$998)</f>
        <v>0</v>
      </c>
      <c r="H54" s="160">
        <f>SUMIF('内訳ﾘｽﾄ(4～3月)'!$D$26:$D$998,$B54,'内訳ﾘｽﾄ(4～3月)'!K$26:K$998)</f>
        <v>0</v>
      </c>
      <c r="I54" s="160">
        <f>SUMIF('内訳ﾘｽﾄ(4～3月)'!$D$26:$D$998,$B54,'内訳ﾘｽﾄ(4～3月)'!L$26:L$998)</f>
        <v>0</v>
      </c>
      <c r="J54" s="160">
        <f>SUMIF('内訳ﾘｽﾄ(4～3月)'!$D$26:$D$998,$B54,'内訳ﾘｽﾄ(4～3月)'!M$26:M$998)</f>
        <v>0</v>
      </c>
      <c r="K54" s="160">
        <f>SUMIF('内訳ﾘｽﾄ(4～3月)'!$D$26:$D$998,$B54,'内訳ﾘｽﾄ(4～3月)'!N$26:N$998)</f>
        <v>0</v>
      </c>
      <c r="L54" s="160">
        <f>SUMIF('内訳ﾘｽﾄ(4～3月)'!$D$26:$D$998,$B54,'内訳ﾘｽﾄ(4～3月)'!O$26:O$998)</f>
        <v>0</v>
      </c>
      <c r="M54" s="160">
        <f>SUMIF('内訳ﾘｽﾄ(4～3月)'!$D$26:$D$998,$B54,'内訳ﾘｽﾄ(4～3月)'!P$26:P$998)</f>
        <v>0</v>
      </c>
      <c r="N54" s="160">
        <f>SUMIF('内訳ﾘｽﾄ(4～3月)'!$D$26:$D$998,$B54,'内訳ﾘｽﾄ(4～3月)'!Q$26:Q$998)</f>
        <v>0</v>
      </c>
      <c r="O54" s="160">
        <f>SUMIF('内訳ﾘｽﾄ(4～3月)'!$D$26:$D$797,'採算表(VND)'!$B54,'内訳ﾘｽﾄ(4～3月)'!R$26:R$797)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SUMIF('内訳ﾘｽﾄ(4～3月)'!$D$26:$D$998,$B55,'内訳ﾘｽﾄ(4～3月)'!F$26:F$998)</f>
        <v>0</v>
      </c>
      <c r="D55" s="160">
        <f>SUMIF('内訳ﾘｽﾄ(4～3月)'!$D$26:$D$998,$B55,'内訳ﾘｽﾄ(4～3月)'!G$26:G$998)</f>
        <v>0</v>
      </c>
      <c r="E55" s="160">
        <f>SUMIF('内訳ﾘｽﾄ(4～3月)'!$D$26:$D$998,$B55,'内訳ﾘｽﾄ(4～3月)'!H$26:H$998)</f>
        <v>0</v>
      </c>
      <c r="F55" s="160">
        <f>SUMIF('内訳ﾘｽﾄ(4～3月)'!$D$26:$D$998,$B55,'内訳ﾘｽﾄ(4～3月)'!I$26:I$998)</f>
        <v>0</v>
      </c>
      <c r="G55" s="160">
        <f>SUMIF('内訳ﾘｽﾄ(4～3月)'!$D$26:$D$998,$B55,'内訳ﾘｽﾄ(4～3月)'!J$26:J$998)</f>
        <v>0</v>
      </c>
      <c r="H55" s="160">
        <f>SUMIF('内訳ﾘｽﾄ(4～3月)'!$D$26:$D$998,$B55,'内訳ﾘｽﾄ(4～3月)'!K$26:K$998)</f>
        <v>0</v>
      </c>
      <c r="I55" s="160">
        <f>SUMIF('内訳ﾘｽﾄ(4～3月)'!$D$26:$D$998,$B55,'内訳ﾘｽﾄ(4～3月)'!L$26:L$998)</f>
        <v>0</v>
      </c>
      <c r="J55" s="160">
        <f>SUMIF('内訳ﾘｽﾄ(4～3月)'!$D$26:$D$998,$B55,'内訳ﾘｽﾄ(4～3月)'!M$26:M$998)</f>
        <v>0</v>
      </c>
      <c r="K55" s="160">
        <f>SUMIF('内訳ﾘｽﾄ(4～3月)'!$D$26:$D$998,$B55,'内訳ﾘｽﾄ(4～3月)'!N$26:N$998)</f>
        <v>0</v>
      </c>
      <c r="L55" s="160">
        <f>SUMIF('内訳ﾘｽﾄ(4～3月)'!$D$26:$D$998,$B55,'内訳ﾘｽﾄ(4～3月)'!O$26:O$998)</f>
        <v>0</v>
      </c>
      <c r="M55" s="160">
        <f>SUMIF('内訳ﾘｽﾄ(4～3月)'!$D$26:$D$998,$B55,'内訳ﾘｽﾄ(4～3月)'!P$26:P$998)</f>
        <v>0</v>
      </c>
      <c r="N55" s="160">
        <f>SUMIF('内訳ﾘｽﾄ(4～3月)'!$D$26:$D$998,$B55,'内訳ﾘｽﾄ(4～3月)'!Q$26:Q$998)</f>
        <v>0</v>
      </c>
      <c r="O55" s="160">
        <f>SUMIF('内訳ﾘｽﾄ(4～3月)'!$D$26:$D$797,'採算表(VND)'!$B55,'内訳ﾘｽﾄ(4～3月)'!R$26:R$797)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SUMIF('内訳ﾘｽﾄ(4～3月)'!$D$26:$D$998,$B56,'内訳ﾘｽﾄ(4～3月)'!F$26:F$998)</f>
        <v>0</v>
      </c>
      <c r="D56" s="160">
        <f>SUMIF('内訳ﾘｽﾄ(4～3月)'!$D$26:$D$998,$B56,'内訳ﾘｽﾄ(4～3月)'!G$26:G$998)</f>
        <v>0</v>
      </c>
      <c r="E56" s="160">
        <f>SUMIF('内訳ﾘｽﾄ(4～3月)'!$D$26:$D$998,$B56,'内訳ﾘｽﾄ(4～3月)'!H$26:H$998)</f>
        <v>0</v>
      </c>
      <c r="F56" s="160">
        <f>SUMIF('内訳ﾘｽﾄ(4～3月)'!$D$26:$D$998,$B56,'内訳ﾘｽﾄ(4～3月)'!I$26:I$998)</f>
        <v>0</v>
      </c>
      <c r="G56" s="160">
        <f>SUMIF('内訳ﾘｽﾄ(4～3月)'!$D$26:$D$998,$B56,'内訳ﾘｽﾄ(4～3月)'!J$26:J$998)</f>
        <v>0</v>
      </c>
      <c r="H56" s="160">
        <f>SUMIF('内訳ﾘｽﾄ(4～3月)'!$D$26:$D$998,$B56,'内訳ﾘｽﾄ(4～3月)'!K$26:K$998)</f>
        <v>0</v>
      </c>
      <c r="I56" s="160">
        <f>SUMIF('内訳ﾘｽﾄ(4～3月)'!$D$26:$D$998,$B56,'内訳ﾘｽﾄ(4～3月)'!L$26:L$998)</f>
        <v>0</v>
      </c>
      <c r="J56" s="160">
        <f>SUMIF('内訳ﾘｽﾄ(4～3月)'!$D$26:$D$998,$B56,'内訳ﾘｽﾄ(4～3月)'!M$26:M$998)</f>
        <v>0</v>
      </c>
      <c r="K56" s="160">
        <f>SUMIF('内訳ﾘｽﾄ(4～3月)'!$D$26:$D$998,$B56,'内訳ﾘｽﾄ(4～3月)'!N$26:N$998)</f>
        <v>0</v>
      </c>
      <c r="L56" s="160">
        <f>SUMIF('内訳ﾘｽﾄ(4～3月)'!$D$26:$D$998,$B56,'内訳ﾘｽﾄ(4～3月)'!O$26:O$998)</f>
        <v>0</v>
      </c>
      <c r="M56" s="160">
        <f>SUMIF('内訳ﾘｽﾄ(4～3月)'!$D$26:$D$998,$B56,'内訳ﾘｽﾄ(4～3月)'!P$26:P$998)</f>
        <v>0</v>
      </c>
      <c r="N56" s="160">
        <f>SUMIF('内訳ﾘｽﾄ(4～3月)'!$D$26:$D$998,$B56,'内訳ﾘｽﾄ(4～3月)'!Q$26:Q$998)</f>
        <v>0</v>
      </c>
      <c r="O56" s="160">
        <f>SUMIF('内訳ﾘｽﾄ(4～3月)'!$D$26:$D$797,'採算表(VND)'!$B56,'内訳ﾘｽﾄ(4～3月)'!R$26:R$797)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SUMIF('内訳ﾘｽﾄ(4～3月)'!$D$26:$D$998,$B57,'内訳ﾘｽﾄ(4～3月)'!F$26:F$998)</f>
        <v>5327838</v>
      </c>
      <c r="D57" s="160">
        <f>SUMIF('内訳ﾘｽﾄ(4～3月)'!$D$26:$D$998,$B57,'内訳ﾘｽﾄ(4～3月)'!G$26:G$998)</f>
        <v>5036615</v>
      </c>
      <c r="E57" s="160">
        <f>SUMIF('内訳ﾘｽﾄ(4～3月)'!$D$26:$D$998,$B57,'内訳ﾘｽﾄ(4～3月)'!H$26:H$998)</f>
        <v>5037884</v>
      </c>
      <c r="F57" s="160">
        <f>SUMIF('内訳ﾘｽﾄ(4～3月)'!$D$26:$D$998,$B57,'内訳ﾘｽﾄ(4～3月)'!I$26:I$998)</f>
        <v>5033568</v>
      </c>
      <c r="G57" s="160">
        <f>SUMIF('内訳ﾘｽﾄ(4～3月)'!$D$26:$D$998,$B57,'内訳ﾘｽﾄ(4～3月)'!J$26:J$998)</f>
        <v>5032044</v>
      </c>
      <c r="H57" s="160">
        <f>SUMIF('内訳ﾘｽﾄ(4～3月)'!$D$26:$D$998,$B57,'内訳ﾘｽﾄ(4～3月)'!K$26:K$998)</f>
        <v>4968062</v>
      </c>
      <c r="I57" s="160">
        <f>SUMIF('内訳ﾘｽﾄ(4～3月)'!$D$26:$D$998,$B57,'内訳ﾘｽﾄ(4～3月)'!L$26:L$998)</f>
        <v>4949273</v>
      </c>
      <c r="J57" s="160">
        <f>SUMIF('内訳ﾘｽﾄ(4～3月)'!$D$26:$D$998,$B57,'内訳ﾘｽﾄ(4～3月)'!M$26:M$998)</f>
        <v>4948765</v>
      </c>
      <c r="K57" s="160">
        <f>SUMIF('内訳ﾘｽﾄ(4～3月)'!$D$26:$D$998,$B57,'内訳ﾘｽﾄ(4～3月)'!N$26:N$998)</f>
        <v>4949019</v>
      </c>
      <c r="L57" s="160">
        <f>SUMIF('内訳ﾘｽﾄ(4～3月)'!$D$26:$D$998,$B57,'内訳ﾘｽﾄ(4～3月)'!O$26:O$998)</f>
        <v>4947496</v>
      </c>
      <c r="M57" s="160">
        <f>SUMIF('内訳ﾘｽﾄ(4～3月)'!$D$26:$D$998,$B57,'内訳ﾘｽﾄ(4～3月)'!P$26:P$998)</f>
        <v>4945211</v>
      </c>
      <c r="N57" s="160">
        <f>SUMIF('内訳ﾘｽﾄ(4～3月)'!$D$26:$D$998,$B57,'内訳ﾘｽﾄ(4～3月)'!Q$26:Q$998)</f>
        <v>7109910</v>
      </c>
      <c r="O57" s="160">
        <f>SUMIF('内訳ﾘｽﾄ(4～3月)'!$D$26:$D$797,'採算表(VND)'!$B57,'内訳ﾘｽﾄ(4～3月)'!R$26:R$797)</f>
        <v>62285685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SUMIF('内訳ﾘｽﾄ(4～3月)'!$D$26:$D$998,$B58,'内訳ﾘｽﾄ(4～3月)'!F$26:F$998)</f>
        <v>0</v>
      </c>
      <c r="D58" s="160">
        <f>SUMIF('内訳ﾘｽﾄ(4～3月)'!$D$26:$D$998,$B58,'内訳ﾘｽﾄ(4～3月)'!G$26:G$998)</f>
        <v>0</v>
      </c>
      <c r="E58" s="160">
        <f>SUMIF('内訳ﾘｽﾄ(4～3月)'!$D$26:$D$998,$B58,'内訳ﾘｽﾄ(4～3月)'!H$26:H$998)</f>
        <v>0</v>
      </c>
      <c r="F58" s="160">
        <f>SUMIF('内訳ﾘｽﾄ(4～3月)'!$D$26:$D$998,$B58,'内訳ﾘｽﾄ(4～3月)'!I$26:I$998)</f>
        <v>0</v>
      </c>
      <c r="G58" s="160">
        <f>SUMIF('内訳ﾘｽﾄ(4～3月)'!$D$26:$D$998,$B58,'内訳ﾘｽﾄ(4～3月)'!J$26:J$998)</f>
        <v>0</v>
      </c>
      <c r="H58" s="160">
        <f>SUMIF('内訳ﾘｽﾄ(4～3月)'!$D$26:$D$998,$B58,'内訳ﾘｽﾄ(4～3月)'!K$26:K$998)</f>
        <v>0</v>
      </c>
      <c r="I58" s="160">
        <f>SUMIF('内訳ﾘｽﾄ(4～3月)'!$D$26:$D$998,$B58,'内訳ﾘｽﾄ(4～3月)'!L$26:L$998)</f>
        <v>0</v>
      </c>
      <c r="J58" s="160">
        <f>SUMIF('内訳ﾘｽﾄ(4～3月)'!$D$26:$D$998,$B58,'内訳ﾘｽﾄ(4～3月)'!M$26:M$998)</f>
        <v>0</v>
      </c>
      <c r="K58" s="160">
        <f>SUMIF('内訳ﾘｽﾄ(4～3月)'!$D$26:$D$998,$B58,'内訳ﾘｽﾄ(4～3月)'!N$26:N$998)</f>
        <v>0</v>
      </c>
      <c r="L58" s="160">
        <f>SUMIF('内訳ﾘｽﾄ(4～3月)'!$D$26:$D$998,$B58,'内訳ﾘｽﾄ(4～3月)'!O$26:O$998)</f>
        <v>0</v>
      </c>
      <c r="M58" s="160">
        <f>SUMIF('内訳ﾘｽﾄ(4～3月)'!$D$26:$D$998,$B58,'内訳ﾘｽﾄ(4～3月)'!P$26:P$998)</f>
        <v>0</v>
      </c>
      <c r="N58" s="160">
        <f>SUMIF('内訳ﾘｽﾄ(4～3月)'!$D$26:$D$998,$B58,'内訳ﾘｽﾄ(4～3月)'!Q$26:Q$998)</f>
        <v>0</v>
      </c>
      <c r="O58" s="160">
        <f>SUMIF('内訳ﾘｽﾄ(4～3月)'!$D$26:$D$797,'採算表(VND)'!$B58,'内訳ﾘｽﾄ(4～3月)'!R$26:R$797)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SUMIF('内訳ﾘｽﾄ(4～3月)'!$D$26:$D$998,$B59,'内訳ﾘｽﾄ(4～3月)'!F$26:F$998)</f>
        <v>0</v>
      </c>
      <c r="D59" s="160">
        <f>SUMIF('内訳ﾘｽﾄ(4～3月)'!$D$26:$D$998,$B59,'内訳ﾘｽﾄ(4～3月)'!G$26:G$998)</f>
        <v>0</v>
      </c>
      <c r="E59" s="160">
        <f>SUMIF('内訳ﾘｽﾄ(4～3月)'!$D$26:$D$998,$B59,'内訳ﾘｽﾄ(4～3月)'!H$26:H$998)</f>
        <v>0</v>
      </c>
      <c r="F59" s="160">
        <f>SUMIF('内訳ﾘｽﾄ(4～3月)'!$D$26:$D$998,$B59,'内訳ﾘｽﾄ(4～3月)'!I$26:I$998)</f>
        <v>0</v>
      </c>
      <c r="G59" s="160">
        <f>SUMIF('内訳ﾘｽﾄ(4～3月)'!$D$26:$D$998,$B59,'内訳ﾘｽﾄ(4～3月)'!J$26:J$998)</f>
        <v>0</v>
      </c>
      <c r="H59" s="160">
        <f>SUMIF('内訳ﾘｽﾄ(4～3月)'!$D$26:$D$998,$B59,'内訳ﾘｽﾄ(4～3月)'!K$26:K$998)</f>
        <v>0</v>
      </c>
      <c r="I59" s="160">
        <f>SUMIF('内訳ﾘｽﾄ(4～3月)'!$D$26:$D$998,$B59,'内訳ﾘｽﾄ(4～3月)'!L$26:L$998)</f>
        <v>0</v>
      </c>
      <c r="J59" s="160">
        <f>SUMIF('内訳ﾘｽﾄ(4～3月)'!$D$26:$D$998,$B59,'内訳ﾘｽﾄ(4～3月)'!M$26:M$998)</f>
        <v>0</v>
      </c>
      <c r="K59" s="160">
        <f>SUMIF('内訳ﾘｽﾄ(4～3月)'!$D$26:$D$998,$B59,'内訳ﾘｽﾄ(4～3月)'!N$26:N$998)</f>
        <v>0</v>
      </c>
      <c r="L59" s="160">
        <f>SUMIF('内訳ﾘｽﾄ(4～3月)'!$D$26:$D$998,$B59,'内訳ﾘｽﾄ(4～3月)'!O$26:O$998)</f>
        <v>0</v>
      </c>
      <c r="M59" s="160">
        <f>SUMIF('内訳ﾘｽﾄ(4～3月)'!$D$26:$D$998,$B59,'内訳ﾘｽﾄ(4～3月)'!P$26:P$998)</f>
        <v>0</v>
      </c>
      <c r="N59" s="160">
        <f>SUMIF('内訳ﾘｽﾄ(4～3月)'!$D$26:$D$998,$B59,'内訳ﾘｽﾄ(4～3月)'!Q$26:Q$998)</f>
        <v>0</v>
      </c>
      <c r="O59" s="160">
        <f>SUMIF('内訳ﾘｽﾄ(4～3月)'!$D$26:$D$797,'採算表(VND)'!$B59,'内訳ﾘｽﾄ(4～3月)'!R$26:R$797)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SUMIF('内訳ﾘｽﾄ(4～3月)'!$D$26:$D$998,$B60,'内訳ﾘｽﾄ(4～3月)'!F$26:F$998)</f>
        <v>0</v>
      </c>
      <c r="D60" s="160">
        <f>SUMIF('内訳ﾘｽﾄ(4～3月)'!$D$26:$D$998,$B60,'内訳ﾘｽﾄ(4～3月)'!G$26:G$998)</f>
        <v>0</v>
      </c>
      <c r="E60" s="160">
        <f>SUMIF('内訳ﾘｽﾄ(4～3月)'!$D$26:$D$998,$B60,'内訳ﾘｽﾄ(4～3月)'!H$26:H$998)</f>
        <v>0</v>
      </c>
      <c r="F60" s="160">
        <f>SUMIF('内訳ﾘｽﾄ(4～3月)'!$D$26:$D$998,$B60,'内訳ﾘｽﾄ(4～3月)'!I$26:I$998)</f>
        <v>0</v>
      </c>
      <c r="G60" s="160">
        <f>SUMIF('内訳ﾘｽﾄ(4～3月)'!$D$26:$D$998,$B60,'内訳ﾘｽﾄ(4～3月)'!J$26:J$998)</f>
        <v>0</v>
      </c>
      <c r="H60" s="160">
        <f>SUMIF('内訳ﾘｽﾄ(4～3月)'!$D$26:$D$998,$B60,'内訳ﾘｽﾄ(4～3月)'!K$26:K$998)</f>
        <v>0</v>
      </c>
      <c r="I60" s="160">
        <f>SUMIF('内訳ﾘｽﾄ(4～3月)'!$D$26:$D$998,$B60,'内訳ﾘｽﾄ(4～3月)'!L$26:L$998)</f>
        <v>0</v>
      </c>
      <c r="J60" s="160">
        <f>SUMIF('内訳ﾘｽﾄ(4～3月)'!$D$26:$D$998,$B60,'内訳ﾘｽﾄ(4～3月)'!M$26:M$998)</f>
        <v>0</v>
      </c>
      <c r="K60" s="160">
        <f>SUMIF('内訳ﾘｽﾄ(4～3月)'!$D$26:$D$998,$B60,'内訳ﾘｽﾄ(4～3月)'!N$26:N$998)</f>
        <v>0</v>
      </c>
      <c r="L60" s="160">
        <f>SUMIF('内訳ﾘｽﾄ(4～3月)'!$D$26:$D$998,$B60,'内訳ﾘｽﾄ(4～3月)'!O$26:O$998)</f>
        <v>0</v>
      </c>
      <c r="M60" s="160">
        <f>SUMIF('内訳ﾘｽﾄ(4～3月)'!$D$26:$D$998,$B60,'内訳ﾘｽﾄ(4～3月)'!P$26:P$998)</f>
        <v>0</v>
      </c>
      <c r="N60" s="160">
        <f>SUMIF('内訳ﾘｽﾄ(4～3月)'!$D$26:$D$998,$B60,'内訳ﾘｽﾄ(4～3月)'!Q$26:Q$998)</f>
        <v>0</v>
      </c>
      <c r="O60" s="160">
        <f>SUMIF('内訳ﾘｽﾄ(4～3月)'!$D$26:$D$797,'採算表(VND)'!$B60,'内訳ﾘｽﾄ(4～3月)'!R$26:R$797)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IF('内訳ﾘｽﾄ(4～3月)'!$D$5="製造",SUMIF('内訳ﾘｽﾄ(4～3月)'!$D$26:$D$998,$B61,'内訳ﾘｽﾄ(4～3月)'!F$26:F$998),IF('内訳ﾘｽﾄ(4～3月)'!$D$5="部内間接",-SUM(C$14:C$60,C$65),0))</f>
        <v>0</v>
      </c>
      <c r="D61" s="160">
        <f>IF('内訳ﾘｽﾄ(4～3月)'!$D$5="製造",SUMIF('内訳ﾘｽﾄ(4～3月)'!$D$26:$D$998,$B61,'内訳ﾘｽﾄ(4～3月)'!G$26:G$998),IF('内訳ﾘｽﾄ(4～3月)'!$D$5="部内間接",-SUM(D$14:D$60,D$65),0))</f>
        <v>0</v>
      </c>
      <c r="E61" s="160">
        <f>IF('内訳ﾘｽﾄ(4～3月)'!$D$5="製造",SUMIF('内訳ﾘｽﾄ(4～3月)'!$D$26:$D$998,$B61,'内訳ﾘｽﾄ(4～3月)'!H$26:H$998),IF('内訳ﾘｽﾄ(4～3月)'!$D$5="部内間接",-SUM(E$14:E$60,E$65),0))</f>
        <v>0</v>
      </c>
      <c r="F61" s="160">
        <f>IF('内訳ﾘｽﾄ(4～3月)'!$D$5="製造",SUMIF('内訳ﾘｽﾄ(4～3月)'!$D$26:$D$998,$B61,'内訳ﾘｽﾄ(4～3月)'!I$26:I$998),IF('内訳ﾘｽﾄ(4～3月)'!$D$5="部内間接",-SUM(F$14:F$60,F$65),0))</f>
        <v>0</v>
      </c>
      <c r="G61" s="160">
        <f>IF('内訳ﾘｽﾄ(4～3月)'!$D$5="製造",SUMIF('内訳ﾘｽﾄ(4～3月)'!$D$26:$D$998,$B61,'内訳ﾘｽﾄ(4～3月)'!J$26:J$998),IF('内訳ﾘｽﾄ(4～3月)'!$D$5="部内間接",-SUM(G$14:G$60,G$65),0))</f>
        <v>0</v>
      </c>
      <c r="H61" s="160">
        <f>IF('内訳ﾘｽﾄ(4～3月)'!$D$5="製造",SUMIF('内訳ﾘｽﾄ(4～3月)'!$D$26:$D$998,$B61,'内訳ﾘｽﾄ(4～3月)'!K$26:K$998),IF('内訳ﾘｽﾄ(4～3月)'!$D$5="部内間接",-SUM(H$14:H$60,H$65),0))</f>
        <v>0</v>
      </c>
      <c r="I61" s="160">
        <f>IF('内訳ﾘｽﾄ(4～3月)'!$D$5="製造",SUMIF('内訳ﾘｽﾄ(4～3月)'!$D$26:$D$998,$B61,'内訳ﾘｽﾄ(4～3月)'!L$26:L$998),IF('内訳ﾘｽﾄ(4～3月)'!$D$5="部内間接",-SUM(I$14:I$60,I$65),0))</f>
        <v>0</v>
      </c>
      <c r="J61" s="160">
        <f>IF('内訳ﾘｽﾄ(4～3月)'!$D$5="製造",SUMIF('内訳ﾘｽﾄ(4～3月)'!$D$26:$D$998,$B61,'内訳ﾘｽﾄ(4～3月)'!M$26:M$998),IF('内訳ﾘｽﾄ(4～3月)'!$D$5="部内間接",-SUM(J$14:J$60,J$65),0))</f>
        <v>0</v>
      </c>
      <c r="K61" s="160">
        <f>IF('内訳ﾘｽﾄ(4～3月)'!$D$5="製造",SUMIF('内訳ﾘｽﾄ(4～3月)'!$D$26:$D$998,$B61,'内訳ﾘｽﾄ(4～3月)'!N$26:N$998),IF('内訳ﾘｽﾄ(4～3月)'!$D$5="部内間接",-SUM(K$14:K$60,K$65),0))</f>
        <v>0</v>
      </c>
      <c r="L61" s="160">
        <f>IF('内訳ﾘｽﾄ(4～3月)'!$D$5="製造",SUMIF('内訳ﾘｽﾄ(4～3月)'!$D$26:$D$998,$B61,'内訳ﾘｽﾄ(4～3月)'!O$26:O$998),IF('内訳ﾘｽﾄ(4～3月)'!$D$5="部内間接",-SUM(L$14:L$60,L$65),0))</f>
        <v>0</v>
      </c>
      <c r="M61" s="160">
        <f>IF('内訳ﾘｽﾄ(4～3月)'!$D$5="製造",SUMIF('内訳ﾘｽﾄ(4～3月)'!$D$26:$D$998,$B61,'内訳ﾘｽﾄ(4～3月)'!P$26:P$998),IF('内訳ﾘｽﾄ(4～3月)'!$D$5="部内間接",-SUM(M$14:M$60,M$65),0))</f>
        <v>0</v>
      </c>
      <c r="N61" s="160">
        <f>IF('内訳ﾘｽﾄ(4～3月)'!$D$5="製造",SUMIF('内訳ﾘｽﾄ(4～3月)'!$D$26:$D$998,$B61,'内訳ﾘｽﾄ(4～3月)'!Q$26:Q$998),IF('内訳ﾘｽﾄ(4～3月)'!$D$5="部内間接",-SUM(N$14:N$60,N$65),0))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IF('内訳ﾘｽﾄ(4～3月)'!$D$5="部内間接",-SUM(O$65,O$14:O$60),IF('内訳ﾘｽﾄ(4～3月)'!$D$5="製造",SUMIF('内訳ﾘｽﾄ(4～3月)'!$D$26:$D$797,'採算表(VND)'!$B61,'内訳ﾘｽﾄ(4～3月)'!R$26:R$797),0))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IF('内訳ﾘｽﾄ(4～3月)'!$D$5="製造",SUMIF('内訳ﾘｽﾄ(4～3月)'!$D$26:$D$998,$B62,'内訳ﾘｽﾄ(4～3月)'!F$26:F$998),IF('内訳ﾘｽﾄ(4～3月)'!$D$5="部外間接1",-SUM(C$14:C$60,C$65),0))</f>
        <v>0</v>
      </c>
      <c r="D62" s="160">
        <f>IF('内訳ﾘｽﾄ(4～3月)'!$D$5="製造",SUMIF('内訳ﾘｽﾄ(4～3月)'!$D$26:$D$998,$B62,'内訳ﾘｽﾄ(4～3月)'!G$26:G$998),IF('内訳ﾘｽﾄ(4～3月)'!$D$5="部外間接1",-SUM(D$14:D$60,D$65),0))</f>
        <v>0</v>
      </c>
      <c r="E62" s="160">
        <f>IF('内訳ﾘｽﾄ(4～3月)'!$D$5="製造",SUMIF('内訳ﾘｽﾄ(4～3月)'!$D$26:$D$998,$B62,'内訳ﾘｽﾄ(4～3月)'!H$26:H$998),IF('内訳ﾘｽﾄ(4～3月)'!$D$5="部外間接1",-SUM(E$14:E$60,E$65),0))</f>
        <v>0</v>
      </c>
      <c r="F62" s="160">
        <f>IF('内訳ﾘｽﾄ(4～3月)'!$D$5="製造",SUMIF('内訳ﾘｽﾄ(4～3月)'!$D$26:$D$998,$B62,'内訳ﾘｽﾄ(4～3月)'!I$26:I$998),IF('内訳ﾘｽﾄ(4～3月)'!$D$5="部外間接1",-SUM(F$14:F$60,F$65),0))</f>
        <v>0</v>
      </c>
      <c r="G62" s="160">
        <f>IF('内訳ﾘｽﾄ(4～3月)'!$D$5="製造",SUMIF('内訳ﾘｽﾄ(4～3月)'!$D$26:$D$998,$B62,'内訳ﾘｽﾄ(4～3月)'!J$26:J$998),IF('内訳ﾘｽﾄ(4～3月)'!$D$5="部外間接1",-SUM(G$14:G$60,G$65),0))</f>
        <v>0</v>
      </c>
      <c r="H62" s="160">
        <f>IF('内訳ﾘｽﾄ(4～3月)'!$D$5="製造",SUMIF('内訳ﾘｽﾄ(4～3月)'!$D$26:$D$998,$B62,'内訳ﾘｽﾄ(4～3月)'!K$26:K$998),IF('内訳ﾘｽﾄ(4～3月)'!$D$5="部外間接1",-SUM(H$14:H$60,H$65),0))</f>
        <v>0</v>
      </c>
      <c r="I62" s="160">
        <f>IF('内訳ﾘｽﾄ(4～3月)'!$D$5="製造",SUMIF('内訳ﾘｽﾄ(4～3月)'!$D$26:$D$998,$B62,'内訳ﾘｽﾄ(4～3月)'!L$26:L$998),IF('内訳ﾘｽﾄ(4～3月)'!$D$5="部外間接1",-SUM(I$14:I$60,I$65),0))</f>
        <v>0</v>
      </c>
      <c r="J62" s="160">
        <f>IF('内訳ﾘｽﾄ(4～3月)'!$D$5="製造",SUMIF('内訳ﾘｽﾄ(4～3月)'!$D$26:$D$998,$B62,'内訳ﾘｽﾄ(4～3月)'!M$26:M$998),IF('内訳ﾘｽﾄ(4～3月)'!$D$5="部外間接1",-SUM(J$14:J$60,J$65),0))</f>
        <v>0</v>
      </c>
      <c r="K62" s="160">
        <f>IF('内訳ﾘｽﾄ(4～3月)'!$D$5="製造",SUMIF('内訳ﾘｽﾄ(4～3月)'!$D$26:$D$998,$B62,'内訳ﾘｽﾄ(4～3月)'!N$26:N$998),IF('内訳ﾘｽﾄ(4～3月)'!$D$5="部外間接1",-SUM(K$14:K$60,K$65),0))</f>
        <v>0</v>
      </c>
      <c r="L62" s="160">
        <f>IF('内訳ﾘｽﾄ(4～3月)'!$D$5="製造",SUMIF('内訳ﾘｽﾄ(4～3月)'!$D$26:$D$998,$B62,'内訳ﾘｽﾄ(4～3月)'!O$26:O$998),IF('内訳ﾘｽﾄ(4～3月)'!$D$5="部外間接1",-SUM(L$14:L$60,L$65),0))</f>
        <v>0</v>
      </c>
      <c r="M62" s="160">
        <f>IF('内訳ﾘｽﾄ(4～3月)'!$D$5="製造",SUMIF('内訳ﾘｽﾄ(4～3月)'!$D$26:$D$998,$B62,'内訳ﾘｽﾄ(4～3月)'!P$26:P$998),IF('内訳ﾘｽﾄ(4～3月)'!$D$5="部外間接1",-SUM(M$14:M$60,M$65),0))</f>
        <v>0</v>
      </c>
      <c r="N62" s="160">
        <f>IF('内訳ﾘｽﾄ(4～3月)'!$D$5="製造",SUMIF('内訳ﾘｽﾄ(4～3月)'!$D$26:$D$998,$B62,'内訳ﾘｽﾄ(4～3月)'!Q$26:Q$998),IF('内訳ﾘｽﾄ(4～3月)'!$D$5="部外間接1",-SUM(N$14:N$60,N$65),0))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IF('内訳ﾘｽﾄ(4～3月)'!$D$5="部外間接1",-SUM(O$65,O$14:O$60),IF('内訳ﾘｽﾄ(4～3月)'!$D$5="製造",SUMIF('内訳ﾘｽﾄ(4～3月)'!$D$26:$D$797,'採算表(VND)'!$B62,'内訳ﾘｽﾄ(4～3月)'!R$26:R$797),0))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IF('内訳ﾘｽﾄ(4～3月)'!$D$5="製造",SUMIF('内訳ﾘｽﾄ(4～3月)'!$D$26:$D$998,$B63,'内訳ﾘｽﾄ(4～3月)'!F$26:F$998),IF('内訳ﾘｽﾄ(4～3月)'!$D$5="部外間接2",-SUM(C$14:C$60,C$65),0))</f>
        <v>0</v>
      </c>
      <c r="D63" s="160">
        <f>IF('内訳ﾘｽﾄ(4～3月)'!$D$5="製造",SUMIF('内訳ﾘｽﾄ(4～3月)'!$D$26:$D$998,$B63,'内訳ﾘｽﾄ(4～3月)'!G$26:G$998),IF('内訳ﾘｽﾄ(4～3月)'!$D$5="部外間接2",-SUM(D$14:D$60,D$65),0))</f>
        <v>0</v>
      </c>
      <c r="E63" s="160">
        <f>IF('内訳ﾘｽﾄ(4～3月)'!$D$5="製造",SUMIF('内訳ﾘｽﾄ(4～3月)'!$D$26:$D$998,$B63,'内訳ﾘｽﾄ(4～3月)'!H$26:H$998),IF('内訳ﾘｽﾄ(4～3月)'!$D$5="部外間接2",-SUM(E$14:E$60,E$65),0))</f>
        <v>0</v>
      </c>
      <c r="F63" s="160">
        <f>IF('内訳ﾘｽﾄ(4～3月)'!$D$5="製造",SUMIF('内訳ﾘｽﾄ(4～3月)'!$D$26:$D$998,$B63,'内訳ﾘｽﾄ(4～3月)'!I$26:I$998),IF('内訳ﾘｽﾄ(4～3月)'!$D$5="部外間接2",-SUM(F$14:F$60,F$65),0))</f>
        <v>0</v>
      </c>
      <c r="G63" s="160">
        <f>IF('内訳ﾘｽﾄ(4～3月)'!$D$5="製造",SUMIF('内訳ﾘｽﾄ(4～3月)'!$D$26:$D$998,$B63,'内訳ﾘｽﾄ(4～3月)'!J$26:J$998),IF('内訳ﾘｽﾄ(4～3月)'!$D$5="部外間接2",-SUM(G$14:G$60,G$65),0))</f>
        <v>0</v>
      </c>
      <c r="H63" s="160">
        <f>IF('内訳ﾘｽﾄ(4～3月)'!$D$5="製造",SUMIF('内訳ﾘｽﾄ(4～3月)'!$D$26:$D$998,$B63,'内訳ﾘｽﾄ(4～3月)'!K$26:K$998),IF('内訳ﾘｽﾄ(4～3月)'!$D$5="部外間接2",-SUM(H$14:H$60,H$65),0))</f>
        <v>0</v>
      </c>
      <c r="I63" s="160">
        <f>IF('内訳ﾘｽﾄ(4～3月)'!$D$5="製造",SUMIF('内訳ﾘｽﾄ(4～3月)'!$D$26:$D$998,$B63,'内訳ﾘｽﾄ(4～3月)'!L$26:L$998),IF('内訳ﾘｽﾄ(4～3月)'!$D$5="部外間接2",-SUM(I$14:I$60,I$65),0))</f>
        <v>0</v>
      </c>
      <c r="J63" s="160">
        <f>IF('内訳ﾘｽﾄ(4～3月)'!$D$5="製造",SUMIF('内訳ﾘｽﾄ(4～3月)'!$D$26:$D$998,$B63,'内訳ﾘｽﾄ(4～3月)'!M$26:M$998),IF('内訳ﾘｽﾄ(4～3月)'!$D$5="部外間接2",-SUM(J$14:J$60,J$65),0))</f>
        <v>0</v>
      </c>
      <c r="K63" s="160">
        <f>IF('内訳ﾘｽﾄ(4～3月)'!$D$5="製造",SUMIF('内訳ﾘｽﾄ(4～3月)'!$D$26:$D$998,$B63,'内訳ﾘｽﾄ(4～3月)'!N$26:N$998),IF('内訳ﾘｽﾄ(4～3月)'!$D$5="部外間接2",-SUM(K$14:K$60,K$65),0))</f>
        <v>0</v>
      </c>
      <c r="L63" s="160">
        <f>IF('内訳ﾘｽﾄ(4～3月)'!$D$5="製造",SUMIF('内訳ﾘｽﾄ(4～3月)'!$D$26:$D$998,$B63,'内訳ﾘｽﾄ(4～3月)'!O$26:O$998),IF('内訳ﾘｽﾄ(4～3月)'!$D$5="部外間接2",-SUM(L$14:L$60,L$65),0))</f>
        <v>0</v>
      </c>
      <c r="M63" s="160">
        <f>IF('内訳ﾘｽﾄ(4～3月)'!$D$5="製造",SUMIF('内訳ﾘｽﾄ(4～3月)'!$D$26:$D$998,$B63,'内訳ﾘｽﾄ(4～3月)'!P$26:P$998),IF('内訳ﾘｽﾄ(4～3月)'!$D$5="部外間接2",-SUM(M$14:M$60,M$65),0))</f>
        <v>0</v>
      </c>
      <c r="N63" s="160">
        <f>IF('内訳ﾘｽﾄ(4～3月)'!$D$5="製造",SUMIF('内訳ﾘｽﾄ(4～3月)'!$D$26:$D$998,$B63,'内訳ﾘｽﾄ(4～3月)'!Q$26:Q$998),IF('内訳ﾘｽﾄ(4～3月)'!$D$5="部外間接2",-SUM(N$14:N$60,N$65),0))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IF('内訳ﾘｽﾄ(4～3月)'!$D$5="部外間接2",-SUM(O$65,O$14:O$60),IF('内訳ﾘｽﾄ(4～3月)'!$D$5="製造",SUMIF('内訳ﾘｽﾄ(4～3月)'!$D$26:$D$797,'採算表(VND)'!$B63,'内訳ﾘｽﾄ(4～3月)'!R$26:R$797),0))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IF('内訳ﾘｽﾄ(4～3月)'!$D$5="製造",SUMIF('内訳ﾘｽﾄ(4～3月)'!$D$26:$D$998,$B64,'内訳ﾘｽﾄ(4～3月)'!F$26:F$998),IF('内訳ﾘｽﾄ(4～3月)'!$D$5="工場間接",-SUM(C$14:C$60,C$65),0))</f>
        <v>-395557259</v>
      </c>
      <c r="D64" s="160">
        <f>IF('内訳ﾘｽﾄ(4～3月)'!$D$5="製造",SUMIF('内訳ﾘｽﾄ(4～3月)'!$D$26:$D$998,$B64,'内訳ﾘｽﾄ(4～3月)'!G$26:G$998),IF('内訳ﾘｽﾄ(4～3月)'!$D$5="工場間接",-SUM(D$14:D$60,D$65),0))</f>
        <v>-428793570</v>
      </c>
      <c r="E64" s="160">
        <f>IF('内訳ﾘｽﾄ(4～3月)'!$D$5="製造",SUMIF('内訳ﾘｽﾄ(4～3月)'!$D$26:$D$998,$B64,'内訳ﾘｽﾄ(4～3月)'!H$26:H$998),IF('内訳ﾘｽﾄ(4～3月)'!$D$5="工場間接",-SUM(E$14:E$60,E$65),0))</f>
        <v>-392237076</v>
      </c>
      <c r="F64" s="160">
        <f>IF('内訳ﾘｽﾄ(4～3月)'!$D$5="製造",SUMIF('内訳ﾘｽﾄ(4～3月)'!$D$26:$D$998,$B64,'内訳ﾘｽﾄ(4～3月)'!I$26:I$998),IF('内訳ﾘｽﾄ(4～3月)'!$D$5="工場間接",-SUM(F$14:F$60,F$65),0))</f>
        <v>-390651667</v>
      </c>
      <c r="G64" s="160">
        <f>IF('内訳ﾘｽﾄ(4～3月)'!$D$5="製造",SUMIF('内訳ﾘｽﾄ(4～3月)'!$D$26:$D$998,$B64,'内訳ﾘｽﾄ(4～3月)'!J$26:J$998),IF('内訳ﾘｽﾄ(4～3月)'!$D$5="工場間接",-SUM(G$14:G$60,G$65),0))</f>
        <v>-375377967</v>
      </c>
      <c r="H64" s="160">
        <f>IF('内訳ﾘｽﾄ(4～3月)'!$D$5="製造",SUMIF('内訳ﾘｽﾄ(4～3月)'!$D$26:$D$998,$B64,'内訳ﾘｽﾄ(4～3月)'!K$26:K$998),IF('内訳ﾘｽﾄ(4～3月)'!$D$5="工場間接",-SUM(H$14:H$60,H$65),0))</f>
        <v>-374363114</v>
      </c>
      <c r="I64" s="160">
        <f>IF('内訳ﾘｽﾄ(4～3月)'!$D$5="製造",SUMIF('内訳ﾘｽﾄ(4～3月)'!$D$26:$D$998,$B64,'内訳ﾘｽﾄ(4～3月)'!L$26:L$998),IF('内訳ﾘｽﾄ(4～3月)'!$D$5="工場間接",-SUM(I$14:I$60,I$65),0))</f>
        <v>-1266340676</v>
      </c>
      <c r="J64" s="160">
        <f>IF('内訳ﾘｽﾄ(4～3月)'!$D$5="製造",SUMIF('内訳ﾘｽﾄ(4～3月)'!$D$26:$D$998,$B64,'内訳ﾘｽﾄ(4～3月)'!M$26:M$998),IF('内訳ﾘｽﾄ(4～3月)'!$D$5="工場間接",-SUM(J$14:J$60,J$65),0))</f>
        <v>-479495273</v>
      </c>
      <c r="K64" s="160">
        <f>IF('内訳ﾘｽﾄ(4～3月)'!$D$5="製造",SUMIF('内訳ﾘｽﾄ(4～3月)'!$D$26:$D$998,$B64,'内訳ﾘｽﾄ(4～3月)'!N$26:N$998),IF('内訳ﾘｽﾄ(4～3月)'!$D$5="工場間接",-SUM(K$14:K$60,K$65),0))</f>
        <v>-376423817</v>
      </c>
      <c r="L64" s="160">
        <f>IF('内訳ﾘｽﾄ(4～3月)'!$D$5="製造",SUMIF('内訳ﾘｽﾄ(4～3月)'!$D$26:$D$998,$B64,'内訳ﾘｽﾄ(4～3月)'!O$26:O$998),IF('内訳ﾘｽﾄ(4～3月)'!$D$5="工場間接",-SUM(L$14:L$60,L$65),0))</f>
        <v>-377450057</v>
      </c>
      <c r="M64" s="160">
        <f>IF('内訳ﾘｽﾄ(4～3月)'!$D$5="製造",SUMIF('内訳ﾘｽﾄ(4～3月)'!$D$26:$D$998,$B64,'内訳ﾘｽﾄ(4～3月)'!P$26:P$998),IF('内訳ﾘｽﾄ(4～3月)'!$D$5="工場間接",-SUM(M$14:M$60,M$65),0))</f>
        <v>-442347253</v>
      </c>
      <c r="N64" s="160">
        <f>IF('内訳ﾘｽﾄ(4～3月)'!$D$5="製造",SUMIF('内訳ﾘｽﾄ(4～3月)'!$D$26:$D$998,$B64,'内訳ﾘｽﾄ(4～3月)'!Q$26:Q$998),IF('内訳ﾘｽﾄ(4～3月)'!$D$5="工場間接",-SUM(N$14:N$60,N$65),0))</f>
        <v>-437668357</v>
      </c>
      <c r="O64" s="160">
        <f>IF('内訳ﾘｽﾄ(4～3月)'!$D$5="工場間接",-SUM(O$65,O$14:O$60),IF('内訳ﾘｽﾄ(4～3月)'!$D$5="製造",SUMIF('内訳ﾘｽﾄ(4～3月)'!$D$26:$D$797,'採算表(VND)'!$B64,'内訳ﾘｽﾄ(4～3月)'!R$26:R$797),0))</f>
        <v>-5736706086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SUMIF('内訳ﾘｽﾄ(4～3月)'!$D$26:$D$998,$B65,'内訳ﾘｽﾄ(4～3月)'!F$26:F$998)</f>
        <v>0</v>
      </c>
      <c r="D65" s="158">
        <f>SUMIF('内訳ﾘｽﾄ(4～3月)'!$D$26:$D$998,$B65,'内訳ﾘｽﾄ(4～3月)'!G$26:G$998)</f>
        <v>0</v>
      </c>
      <c r="E65" s="158">
        <f>SUMIF('内訳ﾘｽﾄ(4～3月)'!$D$26:$D$998,$B65,'内訳ﾘｽﾄ(4～3月)'!H$26:H$998)</f>
        <v>0</v>
      </c>
      <c r="F65" s="158">
        <f>SUMIF('内訳ﾘｽﾄ(4～3月)'!$D$26:$D$998,$B65,'内訳ﾘｽﾄ(4～3月)'!I$26:I$998)</f>
        <v>0</v>
      </c>
      <c r="G65" s="158">
        <f>SUMIF('内訳ﾘｽﾄ(4～3月)'!$D$26:$D$998,$B65,'内訳ﾘｽﾄ(4～3月)'!J$26:J$998)</f>
        <v>0</v>
      </c>
      <c r="H65" s="158">
        <f>SUMIF('内訳ﾘｽﾄ(4～3月)'!$D$26:$D$998,$B65,'内訳ﾘｽﾄ(4～3月)'!K$26:K$998)</f>
        <v>0</v>
      </c>
      <c r="I65" s="158">
        <f>SUMIF('内訳ﾘｽﾄ(4～3月)'!$D$26:$D$998,$B65,'内訳ﾘｽﾄ(4～3月)'!L$26:L$998)</f>
        <v>0</v>
      </c>
      <c r="J65" s="158">
        <f>SUMIF('内訳ﾘｽﾄ(4～3月)'!$D$26:$D$998,$B65,'内訳ﾘｽﾄ(4～3月)'!M$26:M$998)</f>
        <v>0</v>
      </c>
      <c r="K65" s="158">
        <f>SUMIF('内訳ﾘｽﾄ(4～3月)'!$D$26:$D$998,$B65,'内訳ﾘｽﾄ(4～3月)'!N$26:N$998)</f>
        <v>0</v>
      </c>
      <c r="L65" s="158">
        <f>SUMIF('内訳ﾘｽﾄ(4～3月)'!$D$26:$D$998,$B65,'内訳ﾘｽﾄ(4～3月)'!O$26:O$998)</f>
        <v>0</v>
      </c>
      <c r="M65" s="158">
        <f>SUMIF('内訳ﾘｽﾄ(4～3月)'!$D$26:$D$998,$B65,'内訳ﾘｽﾄ(4～3月)'!P$26:P$998)</f>
        <v>0</v>
      </c>
      <c r="N65" s="158">
        <f>SUMIF('内訳ﾘｽﾄ(4～3月)'!$D$26:$D$998,$B65,'内訳ﾘｽﾄ(4～3月)'!Q$26:Q$998)</f>
        <v>0</v>
      </c>
      <c r="O65" s="158">
        <f>SUMIF('内訳ﾘｽﾄ(4～3月)'!$D$26:$D$797,'採算表(VND)'!$B65,'内訳ﾘｽﾄ(4～3月)'!R$26:R$797)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1785</v>
      </c>
      <c r="D68" s="162">
        <f>SUMIF('内訳ﾘｽﾄ(4～3月)'!$D$8:$D$15,'採算表(VND)'!$B68,'内訳ﾘｽﾄ(4～3月)'!G$8:G$15)</f>
        <v>1810.5</v>
      </c>
      <c r="E68" s="162">
        <f>SUMIF('内訳ﾘｽﾄ(4～3月)'!$D$8:$D$15,'採算表(VND)'!$B68,'内訳ﾘｽﾄ(4～3月)'!H$8:H$15)</f>
        <v>2040</v>
      </c>
      <c r="F68" s="162">
        <f>SUMIF('内訳ﾘｽﾄ(4～3月)'!$D$8:$D$15,'採算表(VND)'!$B68,'内訳ﾘｽﾄ(4～3月)'!I$8:I$15)</f>
        <v>2244</v>
      </c>
      <c r="G68" s="162">
        <f>SUMIF('内訳ﾘｽﾄ(4～3月)'!$D$8:$D$15,'採算表(VND)'!$B68,'内訳ﾘｽﾄ(4～3月)'!J$8:J$15)</f>
        <v>1997.5</v>
      </c>
      <c r="H68" s="162">
        <f>SUMIF('内訳ﾘｽﾄ(4～3月)'!$D$8:$D$15,'採算表(VND)'!$B68,'内訳ﾘｽﾄ(4～3月)'!K$8:K$15)</f>
        <v>1776.5</v>
      </c>
      <c r="I68" s="162">
        <f>SUMIF('内訳ﾘｽﾄ(4～3月)'!$D$8:$D$15,'採算表(VND)'!$B68,'内訳ﾘｽﾄ(4～3月)'!L$8:L$15)</f>
        <v>2244</v>
      </c>
      <c r="J68" s="162">
        <f>SUMIF('内訳ﾘｽﾄ(4～3月)'!$D$8:$D$15,'採算表(VND)'!$B68,'内訳ﾘｽﾄ(4～3月)'!M$8:M$15)</f>
        <v>1938</v>
      </c>
      <c r="K68" s="162">
        <f>SUMIF('内訳ﾘｽﾄ(4～3月)'!$D$8:$D$15,'採算表(VND)'!$B68,'内訳ﾘｽﾄ(4～3月)'!N$8:N$15)</f>
        <v>2142</v>
      </c>
      <c r="L68" s="162">
        <f>SUMIF('内訳ﾘｽﾄ(4～3月)'!$D$8:$D$15,'採算表(VND)'!$B68,'内訳ﾘｽﾄ(4～3月)'!O$8:O$15)</f>
        <v>1921</v>
      </c>
      <c r="M68" s="162">
        <f>SUMIF('内訳ﾘｽﾄ(4～3月)'!$D$8:$D$15,'採算表(VND)'!$B68,'内訳ﾘｽﾄ(4～3月)'!P$8:P$15)</f>
        <v>1487.5</v>
      </c>
      <c r="N68" s="162">
        <f>SUMIF('内訳ﾘｽﾄ(4～3月)'!$D$8:$D$15,'採算表(VND)'!$B68,'内訳ﾘｽﾄ(4～3月)'!Q$8:Q$15)</f>
        <v>1997.5</v>
      </c>
      <c r="O68" s="162">
        <f>SUMIF('内訳ﾘｽﾄ(4～3月)'!$D$8:$D$15,'採算表(VND)'!$B68,'内訳ﾘｽﾄ(4～3月)'!$R$8:$R$15)</f>
        <v>23383.5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-1785</v>
      </c>
      <c r="D72" s="165">
        <f>IF('内訳ﾘｽﾄ(4～3月)'!$D$5="製造",SUMIF('内訳ﾘｽﾄ(4～3月)'!$D$8:$D$15,$B72,'内訳ﾘｽﾄ(4～3月)'!G$8:G$15),IF('内訳ﾘｽﾄ(4～3月)'!$D$5="工場間接",-D$68,0))</f>
        <v>-1810.5</v>
      </c>
      <c r="E72" s="165">
        <f>IF('内訳ﾘｽﾄ(4～3月)'!$D$5="製造",SUMIF('内訳ﾘｽﾄ(4～3月)'!$D$8:$D$15,$B72,'内訳ﾘｽﾄ(4～3月)'!H$8:H$15),IF('内訳ﾘｽﾄ(4～3月)'!$D$5="工場間接",-E$68,0))</f>
        <v>-2040</v>
      </c>
      <c r="F72" s="165">
        <f>IF('内訳ﾘｽﾄ(4～3月)'!$D$5="製造",SUMIF('内訳ﾘｽﾄ(4～3月)'!$D$8:$D$15,$B72,'内訳ﾘｽﾄ(4～3月)'!I$8:I$15),IF('内訳ﾘｽﾄ(4～3月)'!$D$5="工場間接",-F$68,0))</f>
        <v>-2244</v>
      </c>
      <c r="G72" s="165">
        <f>IF('内訳ﾘｽﾄ(4～3月)'!$D$5="製造",SUMIF('内訳ﾘｽﾄ(4～3月)'!$D$8:$D$15,$B72,'内訳ﾘｽﾄ(4～3月)'!J$8:J$15),IF('内訳ﾘｽﾄ(4～3月)'!$D$5="工場間接",-G$68,0))</f>
        <v>-1997.5</v>
      </c>
      <c r="H72" s="165">
        <f>IF('内訳ﾘｽﾄ(4～3月)'!$D$5="製造",SUMIF('内訳ﾘｽﾄ(4～3月)'!$D$8:$D$15,$B72,'内訳ﾘｽﾄ(4～3月)'!K$8:K$15),IF('内訳ﾘｽﾄ(4～3月)'!$D$5="工場間接",-H$68,0))</f>
        <v>-1776.5</v>
      </c>
      <c r="I72" s="165">
        <f>IF('内訳ﾘｽﾄ(4～3月)'!$D$5="製造",SUMIF('内訳ﾘｽﾄ(4～3月)'!$D$8:$D$15,$B72,'内訳ﾘｽﾄ(4～3月)'!L$8:L$15),IF('内訳ﾘｽﾄ(4～3月)'!$D$5="工場間接",-I$68,0))</f>
        <v>-2244</v>
      </c>
      <c r="J72" s="165">
        <f>IF('内訳ﾘｽﾄ(4～3月)'!$D$5="製造",SUMIF('内訳ﾘｽﾄ(4～3月)'!$D$8:$D$15,$B72,'内訳ﾘｽﾄ(4～3月)'!M$8:M$15),IF('内訳ﾘｽﾄ(4～3月)'!$D$5="工場間接",-J$68,0))</f>
        <v>-1938</v>
      </c>
      <c r="K72" s="165">
        <f>IF('内訳ﾘｽﾄ(4～3月)'!$D$5="製造",SUMIF('内訳ﾘｽﾄ(4～3月)'!$D$8:$D$15,$B72,'内訳ﾘｽﾄ(4～3月)'!N$8:N$15),IF('内訳ﾘｽﾄ(4～3月)'!$D$5="工場間接",-K$68,0))</f>
        <v>-2142</v>
      </c>
      <c r="L72" s="165">
        <f>IF('内訳ﾘｽﾄ(4～3月)'!$D$5="製造",SUMIF('内訳ﾘｽﾄ(4～3月)'!$D$8:$D$15,$B72,'内訳ﾘｽﾄ(4～3月)'!O$8:O$15),IF('内訳ﾘｽﾄ(4～3月)'!$D$5="工場間接",-L$68,0))</f>
        <v>-1921</v>
      </c>
      <c r="M72" s="165">
        <f>IF('内訳ﾘｽﾄ(4～3月)'!$D$5="製造",SUMIF('内訳ﾘｽﾄ(4～3月)'!$D$8:$D$15,$B72,'内訳ﾘｽﾄ(4～3月)'!P$8:P$15),IF('内訳ﾘｽﾄ(4～3月)'!$D$5="工場間接",-M$68,0))</f>
        <v>-1487.5</v>
      </c>
      <c r="N72" s="165">
        <f>IF('内訳ﾘｽﾄ(4～3月)'!$D$5="製造",SUMIF('内訳ﾘｽﾄ(4～3月)'!$D$8:$D$15,$B72,'内訳ﾘｽﾄ(4～3月)'!Q$8:Q$15),IF('内訳ﾘｽﾄ(4～3月)'!$D$5="工場間接",-N$68,0))</f>
        <v>-1997.5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-23383.5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46</v>
      </c>
      <c r="D74" s="162">
        <f>SUMIF('内訳ﾘｽﾄ(4～3月)'!$D$16:$D$23,'採算表(VND)'!$B74,'内訳ﾘｽﾄ(4～3月)'!G$16:G$23)</f>
        <v>66</v>
      </c>
      <c r="E74" s="162">
        <f>SUMIF('内訳ﾘｽﾄ(4～3月)'!$D$16:$D$23,'採算表(VND)'!$B74,'内訳ﾘｽﾄ(4～3月)'!H$16:H$23)</f>
        <v>80</v>
      </c>
      <c r="F74" s="162">
        <f>SUMIF('内訳ﾘｽﾄ(4～3月)'!$D$16:$D$23,'採算表(VND)'!$B74,'内訳ﾘｽﾄ(4～3月)'!I$16:I$23)</f>
        <v>88</v>
      </c>
      <c r="G74" s="162">
        <f>SUMIF('内訳ﾘｽﾄ(4～3月)'!$D$16:$D$23,'採算表(VND)'!$B74,'内訳ﾘｽﾄ(4～3月)'!J$16:J$23)</f>
        <v>122.5</v>
      </c>
      <c r="H74" s="162">
        <f>SUMIF('内訳ﾘｽﾄ(4～3月)'!$D$16:$D$23,'採算表(VND)'!$B74,'内訳ﾘｽﾄ(4～3月)'!K$16:K$23)</f>
        <v>68</v>
      </c>
      <c r="I74" s="162">
        <f>SUMIF('内訳ﾘｽﾄ(4～3月)'!$D$16:$D$23,'採算表(VND)'!$B74,'内訳ﾘｽﾄ(4～3月)'!L$16:L$23)</f>
        <v>88</v>
      </c>
      <c r="J74" s="162">
        <f>SUMIF('内訳ﾘｽﾄ(4～3月)'!$D$16:$D$23,'採算表(VND)'!$B74,'内訳ﾘｽﾄ(4～3月)'!M$16:M$23)</f>
        <v>76</v>
      </c>
      <c r="K74" s="162">
        <f>SUMIF('内訳ﾘｽﾄ(4～3月)'!$D$16:$D$23,'採算表(VND)'!$B74,'内訳ﾘｽﾄ(4～3月)'!N$16:N$23)</f>
        <v>84</v>
      </c>
      <c r="L74" s="162">
        <f>SUMIF('内訳ﾘｽﾄ(4～3月)'!$D$16:$D$23,'採算表(VND)'!$B74,'内訳ﾘｽﾄ(4～3月)'!O$16:O$23)</f>
        <v>72</v>
      </c>
      <c r="M74" s="162">
        <f>SUMIF('内訳ﾘｽﾄ(4～3月)'!$D$16:$D$23,'採算表(VND)'!$B74,'内訳ﾘｽﾄ(4～3月)'!P$16:P$23)</f>
        <v>60</v>
      </c>
      <c r="N74" s="162">
        <f>SUMIF('内訳ﾘｽﾄ(4～3月)'!$D$16:$D$23,'採算表(VND)'!$B74,'内訳ﾘｽﾄ(4～3月)'!Q$16:Q$23)</f>
        <v>122.5</v>
      </c>
      <c r="O74" s="162">
        <f>SUMIF('内訳ﾘｽﾄ(4～3月)'!$D$16:$D$23,'採算表(VND)'!$B74,'内訳ﾘｽﾄ(4～3月)'!$R$16:$R$23)</f>
        <v>973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-46</v>
      </c>
      <c r="D78" s="165">
        <f>IF('内訳ﾘｽﾄ(4～3月)'!$D$5="製造",SUMIF('内訳ﾘｽﾄ(4～3月)'!$D$16:$D$23,$B78,'内訳ﾘｽﾄ(4～3月)'!G$16:G$23),IF('内訳ﾘｽﾄ(4～3月)'!$D$5="工場間接",-D$74,0))</f>
        <v>-66</v>
      </c>
      <c r="E78" s="165">
        <f>IF('内訳ﾘｽﾄ(4～3月)'!$D$5="製造",SUMIF('内訳ﾘｽﾄ(4～3月)'!$D$16:$D$23,$B78,'内訳ﾘｽﾄ(4～3月)'!H$16:H$23),IF('内訳ﾘｽﾄ(4～3月)'!$D$5="工場間接",-E$74,0))</f>
        <v>-80</v>
      </c>
      <c r="F78" s="165">
        <f>IF('内訳ﾘｽﾄ(4～3月)'!$D$5="製造",SUMIF('内訳ﾘｽﾄ(4～3月)'!$D$16:$D$23,$B78,'内訳ﾘｽﾄ(4～3月)'!I$16:I$23),IF('内訳ﾘｽﾄ(4～3月)'!$D$5="工場間接",-F$74,0))</f>
        <v>-88</v>
      </c>
      <c r="G78" s="165">
        <f>IF('内訳ﾘｽﾄ(4～3月)'!$D$5="製造",SUMIF('内訳ﾘｽﾄ(4～3月)'!$D$16:$D$23,$B78,'内訳ﾘｽﾄ(4～3月)'!J$16:J$23),IF('内訳ﾘｽﾄ(4～3月)'!$D$5="工場間接",-G$74,0))</f>
        <v>-122.5</v>
      </c>
      <c r="H78" s="165">
        <f>IF('内訳ﾘｽﾄ(4～3月)'!$D$5="製造",SUMIF('内訳ﾘｽﾄ(4～3月)'!$D$16:$D$23,$B78,'内訳ﾘｽﾄ(4～3月)'!K$16:K$23),IF('内訳ﾘｽﾄ(4～3月)'!$D$5="工場間接",-H$74,0))</f>
        <v>-68</v>
      </c>
      <c r="I78" s="165">
        <f>IF('内訳ﾘｽﾄ(4～3月)'!$D$5="製造",SUMIF('内訳ﾘｽﾄ(4～3月)'!$D$16:$D$23,$B78,'内訳ﾘｽﾄ(4～3月)'!L$16:L$23),IF('内訳ﾘｽﾄ(4～3月)'!$D$5="工場間接",-I$74,0))</f>
        <v>-88</v>
      </c>
      <c r="J78" s="165">
        <f>IF('内訳ﾘｽﾄ(4～3月)'!$D$5="製造",SUMIF('内訳ﾘｽﾄ(4～3月)'!$D$16:$D$23,$B78,'内訳ﾘｽﾄ(4～3月)'!M$16:M$23),IF('内訳ﾘｽﾄ(4～3月)'!$D$5="工場間接",-J$74,0))</f>
        <v>-76</v>
      </c>
      <c r="K78" s="165">
        <f>IF('内訳ﾘｽﾄ(4～3月)'!$D$5="製造",SUMIF('内訳ﾘｽﾄ(4～3月)'!$D$16:$D$23,$B78,'内訳ﾘｽﾄ(4～3月)'!N$16:N$23),IF('内訳ﾘｽﾄ(4～3月)'!$D$5="工場間接",-K$74,0))</f>
        <v>-84</v>
      </c>
      <c r="L78" s="165">
        <f>IF('内訳ﾘｽﾄ(4～3月)'!$D$5="製造",SUMIF('内訳ﾘｽﾄ(4～3月)'!$D$16:$D$23,$B78,'内訳ﾘｽﾄ(4～3月)'!O$16:O$23),IF('内訳ﾘｽﾄ(4～3月)'!$D$5="工場間接",-L$74,0))</f>
        <v>-72</v>
      </c>
      <c r="M78" s="165">
        <f>IF('内訳ﾘｽﾄ(4～3月)'!$D$5="製造",SUMIF('内訳ﾘｽﾄ(4～3月)'!$D$16:$D$23,$B78,'内訳ﾘｽﾄ(4～3月)'!P$16:P$23),IF('内訳ﾘｽﾄ(4～3月)'!$D$5="工場間接",-M$74,0))</f>
        <v>-60</v>
      </c>
      <c r="N78" s="165">
        <f>IF('内訳ﾘｽﾄ(4～3月)'!$D$5="製造",SUMIF('内訳ﾘｽﾄ(4～3月)'!$D$16:$D$23,$B78,'内訳ﾘｽﾄ(4～3月)'!Q$16:Q$23),IF('内訳ﾘｽﾄ(4～3月)'!$D$5="工場間接",-N$74,0))</f>
        <v>-122.5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-973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12</v>
      </c>
      <c r="D88" s="150">
        <f>SUMIF('内訳ﾘｽﾄ(4～3月)'!$D$24:$D$25,'採算表(VND)'!$B88,'内訳ﾘｽﾄ(4～3月)'!G$24:G$25)</f>
        <v>12</v>
      </c>
      <c r="E88" s="150">
        <f>SUMIF('内訳ﾘｽﾄ(4～3月)'!$D$24:$D$25,'採算表(VND)'!$B88,'内訳ﾘｽﾄ(4～3月)'!H$24:H$25)</f>
        <v>12</v>
      </c>
      <c r="F88" s="150">
        <f>SUMIF('内訳ﾘｽﾄ(4～3月)'!$D$24:$D$25,'採算表(VND)'!$B88,'内訳ﾘｽﾄ(4～3月)'!I$24:I$25)</f>
        <v>12</v>
      </c>
      <c r="G88" s="150">
        <f>SUMIF('内訳ﾘｽﾄ(4～3月)'!$D$24:$D$25,'採算表(VND)'!$B88,'内訳ﾘｽﾄ(4～3月)'!J$24:J$25)</f>
        <v>12</v>
      </c>
      <c r="H88" s="150">
        <f>SUMIF('内訳ﾘｽﾄ(4～3月)'!$D$24:$D$25,'採算表(VND)'!$B88,'内訳ﾘｽﾄ(4～3月)'!K$24:K$25)</f>
        <v>12</v>
      </c>
      <c r="I88" s="150">
        <f>SUMIF('内訳ﾘｽﾄ(4～3月)'!$D$24:$D$25,'採算表(VND)'!$B88,'内訳ﾘｽﾄ(4～3月)'!L$24:L$25)</f>
        <v>12</v>
      </c>
      <c r="J88" s="150">
        <f>SUMIF('内訳ﾘｽﾄ(4～3月)'!$D$24:$D$25,'採算表(VND)'!$B88,'内訳ﾘｽﾄ(4～3月)'!M$24:M$25)</f>
        <v>12</v>
      </c>
      <c r="K88" s="150">
        <f>SUMIF('内訳ﾘｽﾄ(4～3月)'!$D$24:$D$25,'採算表(VND)'!$B88,'内訳ﾘｽﾄ(4～3月)'!N$24:N$25)</f>
        <v>12</v>
      </c>
      <c r="L88" s="150">
        <f>SUMIF('内訳ﾘｽﾄ(4～3月)'!$D$24:$D$25,'採算表(VND)'!$B88,'内訳ﾘｽﾄ(4～3月)'!O$24:O$25)</f>
        <v>12</v>
      </c>
      <c r="M88" s="150">
        <f>SUMIF('内訳ﾘｽﾄ(4～3月)'!$D$24:$D$25,'採算表(VND)'!$B88,'内訳ﾘｽﾄ(4～3月)'!P$24:P$25)</f>
        <v>12</v>
      </c>
      <c r="N88" s="150">
        <f>SUMIF('内訳ﾘｽﾄ(4～3月)'!$D$24:$D$25,'採算表(VND)'!$B88,'内訳ﾘｽﾄ(4～3月)'!Q$24:Q$25)</f>
        <v>12</v>
      </c>
      <c r="O88" s="150">
        <f>SUMIF('内訳ﾘｽﾄ(4～3月)'!$D$24:$D$25,'採算表(VND)'!$B88,'内訳ﾘｽﾄ(4～3月)'!R$24:R$25)</f>
        <v>12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12</v>
      </c>
      <c r="D89" s="151">
        <f t="shared" si="10"/>
        <v>12</v>
      </c>
      <c r="E89" s="151">
        <f t="shared" si="10"/>
        <v>12</v>
      </c>
      <c r="F89" s="151">
        <f t="shared" si="10"/>
        <v>12</v>
      </c>
      <c r="G89" s="151">
        <f t="shared" si="10"/>
        <v>12</v>
      </c>
      <c r="H89" s="151">
        <f t="shared" si="10"/>
        <v>12</v>
      </c>
      <c r="I89" s="151">
        <f t="shared" si="10"/>
        <v>12</v>
      </c>
      <c r="J89" s="151">
        <f t="shared" si="10"/>
        <v>12</v>
      </c>
      <c r="K89" s="151">
        <f t="shared" si="10"/>
        <v>12</v>
      </c>
      <c r="L89" s="151">
        <f t="shared" si="10"/>
        <v>12</v>
      </c>
      <c r="M89" s="151">
        <f t="shared" si="10"/>
        <v>12</v>
      </c>
      <c r="N89" s="151">
        <f t="shared" si="10"/>
        <v>12</v>
      </c>
      <c r="O89" s="151">
        <f>O87+O88</f>
        <v>12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1785</v>
      </c>
      <c r="D93" s="161">
        <f>SUMIF('内訳ﾘｽﾄ(4～3月)'!$B$8:$B$15,$B93,'内訳ﾘｽﾄ(4～3月)'!G$8:G$15)</f>
        <v>1810.5</v>
      </c>
      <c r="E93" s="161">
        <f>SUMIF('内訳ﾘｽﾄ(4～3月)'!$B$8:$B$15,$B93,'内訳ﾘｽﾄ(4～3月)'!H$8:H$15)</f>
        <v>2040</v>
      </c>
      <c r="F93" s="161">
        <f>SUMIF('内訳ﾘｽﾄ(4～3月)'!$B$8:$B$15,$B93,'内訳ﾘｽﾄ(4～3月)'!I$8:I$15)</f>
        <v>2244</v>
      </c>
      <c r="G93" s="161">
        <f>SUMIF('内訳ﾘｽﾄ(4～3月)'!$B$8:$B$15,$B93,'内訳ﾘｽﾄ(4～3月)'!J$8:J$15)</f>
        <v>1997.5</v>
      </c>
      <c r="H93" s="161">
        <f>SUMIF('内訳ﾘｽﾄ(4～3月)'!$B$8:$B$15,$B93,'内訳ﾘｽﾄ(4～3月)'!K$8:K$15)</f>
        <v>1776.5</v>
      </c>
      <c r="I93" s="161">
        <f>SUMIF('内訳ﾘｽﾄ(4～3月)'!$B$8:$B$15,$B93,'内訳ﾘｽﾄ(4～3月)'!L$8:L$15)</f>
        <v>2244</v>
      </c>
      <c r="J93" s="161">
        <f>SUMIF('内訳ﾘｽﾄ(4～3月)'!$B$8:$B$15,$B93,'内訳ﾘｽﾄ(4～3月)'!M$8:M$15)</f>
        <v>1938</v>
      </c>
      <c r="K93" s="161">
        <f>SUMIF('内訳ﾘｽﾄ(4～3月)'!$B$8:$B$15,$B93,'内訳ﾘｽﾄ(4～3月)'!N$8:N$15)</f>
        <v>2142</v>
      </c>
      <c r="L93" s="161">
        <f>SUMIF('内訳ﾘｽﾄ(4～3月)'!$B$8:$B$15,$B93,'内訳ﾘｽﾄ(4～3月)'!O$8:O$15)</f>
        <v>1921</v>
      </c>
      <c r="M93" s="161">
        <f>SUMIF('内訳ﾘｽﾄ(4～3月)'!$B$8:$B$15,$B93,'内訳ﾘｽﾄ(4～3月)'!P$8:P$15)</f>
        <v>1487.5</v>
      </c>
      <c r="N93" s="161">
        <f>SUMIF('内訳ﾘｽﾄ(4～3月)'!$B$8:$B$15,$B93,'内訳ﾘｽﾄ(4～3月)'!Q$8:Q$15)</f>
        <v>1997.5</v>
      </c>
      <c r="O93" s="161">
        <f>SUMIF('内訳ﾘｽﾄ(4～3月)'!$B$8:$B$15,$B93,'内訳ﾘｽﾄ(4～3月)'!R$8:R$15)</f>
        <v>23383.5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1785</v>
      </c>
      <c r="D94" s="169">
        <f t="shared" si="11"/>
        <v>1810.5</v>
      </c>
      <c r="E94" s="169">
        <f t="shared" si="11"/>
        <v>2040</v>
      </c>
      <c r="F94" s="169">
        <f t="shared" si="11"/>
        <v>2244</v>
      </c>
      <c r="G94" s="169">
        <f t="shared" si="11"/>
        <v>1997.5</v>
      </c>
      <c r="H94" s="169">
        <f t="shared" si="11"/>
        <v>1776.5</v>
      </c>
      <c r="I94" s="169">
        <f t="shared" si="11"/>
        <v>2244</v>
      </c>
      <c r="J94" s="169">
        <f t="shared" si="11"/>
        <v>1938</v>
      </c>
      <c r="K94" s="169">
        <f t="shared" si="11"/>
        <v>2142</v>
      </c>
      <c r="L94" s="169">
        <f t="shared" si="11"/>
        <v>1921</v>
      </c>
      <c r="M94" s="169">
        <f t="shared" si="11"/>
        <v>1487.5</v>
      </c>
      <c r="N94" s="169">
        <f t="shared" si="11"/>
        <v>1997.5</v>
      </c>
      <c r="O94" s="169">
        <f>O92+O93</f>
        <v>23383.5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46</v>
      </c>
      <c r="D98" s="161">
        <f>SUMIF('内訳ﾘｽﾄ(4～3月)'!$B$16:$B$23,$B98,'内訳ﾘｽﾄ(4～3月)'!G$16:G$23)</f>
        <v>66</v>
      </c>
      <c r="E98" s="161">
        <f>SUMIF('内訳ﾘｽﾄ(4～3月)'!$B$16:$B$23,$B98,'内訳ﾘｽﾄ(4～3月)'!H$16:H$23)</f>
        <v>80</v>
      </c>
      <c r="F98" s="161">
        <f>SUMIF('内訳ﾘｽﾄ(4～3月)'!$B$16:$B$23,$B98,'内訳ﾘｽﾄ(4～3月)'!I$16:I$23)</f>
        <v>88</v>
      </c>
      <c r="G98" s="161">
        <f>SUMIF('内訳ﾘｽﾄ(4～3月)'!$B$16:$B$23,$B98,'内訳ﾘｽﾄ(4～3月)'!J$16:J$23)</f>
        <v>122.5</v>
      </c>
      <c r="H98" s="161">
        <f>SUMIF('内訳ﾘｽﾄ(4～3月)'!$B$16:$B$23,$B98,'内訳ﾘｽﾄ(4～3月)'!K$16:K$23)</f>
        <v>68</v>
      </c>
      <c r="I98" s="161">
        <f>SUMIF('内訳ﾘｽﾄ(4～3月)'!$B$16:$B$23,$B98,'内訳ﾘｽﾄ(4～3月)'!L$16:L$23)</f>
        <v>88</v>
      </c>
      <c r="J98" s="161">
        <f>SUMIF('内訳ﾘｽﾄ(4～3月)'!$B$16:$B$23,$B98,'内訳ﾘｽﾄ(4～3月)'!M$16:M$23)</f>
        <v>76</v>
      </c>
      <c r="K98" s="161">
        <f>SUMIF('内訳ﾘｽﾄ(4～3月)'!$B$16:$B$23,$B98,'内訳ﾘｽﾄ(4～3月)'!N$16:N$23)</f>
        <v>84</v>
      </c>
      <c r="L98" s="161">
        <f>SUMIF('内訳ﾘｽﾄ(4～3月)'!$B$16:$B$23,$B98,'内訳ﾘｽﾄ(4～3月)'!O$16:O$23)</f>
        <v>72</v>
      </c>
      <c r="M98" s="161">
        <f>SUMIF('内訳ﾘｽﾄ(4～3月)'!$B$16:$B$23,$B98,'内訳ﾘｽﾄ(4～3月)'!P$16:P$23)</f>
        <v>60</v>
      </c>
      <c r="N98" s="161">
        <f>SUMIF('内訳ﾘｽﾄ(4～3月)'!$B$16:$B$23,$B98,'内訳ﾘｽﾄ(4～3月)'!Q$16:Q$23)</f>
        <v>122.5</v>
      </c>
      <c r="O98" s="161">
        <f>SUMIF('内訳ﾘｽﾄ(4～3月)'!$B$16:$B$23,$B98,'内訳ﾘｽﾄ(4～3月)'!R$16:R$23)</f>
        <v>973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46</v>
      </c>
      <c r="D99" s="169">
        <f t="shared" si="12"/>
        <v>66</v>
      </c>
      <c r="E99" s="169">
        <f t="shared" si="12"/>
        <v>80</v>
      </c>
      <c r="F99" s="169">
        <f t="shared" si="12"/>
        <v>88</v>
      </c>
      <c r="G99" s="169">
        <f t="shared" si="12"/>
        <v>122.5</v>
      </c>
      <c r="H99" s="169">
        <f t="shared" si="12"/>
        <v>68</v>
      </c>
      <c r="I99" s="169">
        <f t="shared" si="12"/>
        <v>88</v>
      </c>
      <c r="J99" s="169">
        <f t="shared" si="12"/>
        <v>76</v>
      </c>
      <c r="K99" s="169">
        <f t="shared" si="12"/>
        <v>84</v>
      </c>
      <c r="L99" s="169">
        <f t="shared" si="12"/>
        <v>72</v>
      </c>
      <c r="M99" s="169">
        <f t="shared" si="12"/>
        <v>60</v>
      </c>
      <c r="N99" s="169">
        <f t="shared" si="12"/>
        <v>122.5</v>
      </c>
      <c r="O99" s="169">
        <f>O97+O98</f>
        <v>973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N998"/>
  <sheetViews>
    <sheetView tabSelected="1" zoomScale="90" zoomScaleNormal="90" workbookViewId="0">
      <pane xSplit="4" ySplit="7" topLeftCell="E34" activePane="bottomRight" state="frozen"/>
      <selection pane="topRight" activeCell="E1" sqref="E1"/>
      <selection pane="bottomLeft" activeCell="A8" sqref="A8"/>
      <selection pane="bottomRight" activeCell="F44" sqref="F44:I44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3" style="124" bestFit="1" customWidth="1"/>
    <col min="7" max="11" width="11.6328125" style="125" customWidth="1"/>
    <col min="12" max="12" width="17.453125" style="125" customWidth="1"/>
    <col min="13" max="17" width="11.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1" width="9" style="4" customWidth="1"/>
    <col min="22" max="22" width="12.26953125" style="4" customWidth="1"/>
    <col min="23" max="23" width="15.1796875" style="4" customWidth="1"/>
    <col min="24" max="24" width="11.453125" style="4" customWidth="1"/>
    <col min="25" max="25" width="10.36328125" style="4" customWidth="1"/>
    <col min="26" max="26" width="12.08984375" style="4" customWidth="1"/>
    <col min="27" max="27" width="13.81640625" style="4" customWidth="1"/>
    <col min="28" max="28" width="10.08984375" style="4" customWidth="1"/>
    <col min="29" max="33" width="10.54296875" style="4" customWidth="1"/>
    <col min="34" max="16384" width="9" style="4"/>
  </cols>
  <sheetData>
    <row r="1" spans="1:66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6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6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998),0)-ROUND((F26:F998)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998),0)-ROUND((G26:G998)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998),0)-ROUND((H26:H998)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998),0)-ROUND((I26:I998)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998),0)-ROUND((J26:J998)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998),0)-ROUND((K26:K998)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998),0)-ROUND((L26:L998)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998),0)-ROUND((M26:M998)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998),0)-ROUND((N26:N998)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998),0)-ROUND((O26:O998)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998),0)-ROUND((P26:P998)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998),0)-ROUND((Q26:Q998)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6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66" ht="13.5" thickBot="1">
      <c r="B5" s="174">
        <v>1412000028</v>
      </c>
      <c r="C5" s="7" t="str">
        <f>VLOOKUP($B$5,原価センタ!$A:$E,2,0)</f>
        <v>会計課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52">
        <f t="shared" ref="F5:R5" si="0">SUM(F29:F998)</f>
        <v>395557259</v>
      </c>
      <c r="G5" s="252">
        <f t="shared" si="0"/>
        <v>428793570</v>
      </c>
      <c r="H5" s="252">
        <f t="shared" si="0"/>
        <v>392237076</v>
      </c>
      <c r="I5" s="252">
        <f t="shared" si="0"/>
        <v>390651667</v>
      </c>
      <c r="J5" s="252">
        <f t="shared" si="0"/>
        <v>375377967</v>
      </c>
      <c r="K5" s="252">
        <f t="shared" si="0"/>
        <v>374363114</v>
      </c>
      <c r="L5" s="252">
        <f t="shared" si="0"/>
        <v>1266340676</v>
      </c>
      <c r="M5" s="252">
        <f t="shared" si="0"/>
        <v>479495273</v>
      </c>
      <c r="N5" s="252">
        <f t="shared" si="0"/>
        <v>376423817</v>
      </c>
      <c r="O5" s="252">
        <f t="shared" si="0"/>
        <v>377450057</v>
      </c>
      <c r="P5" s="252">
        <f t="shared" si="0"/>
        <v>442347253</v>
      </c>
      <c r="Q5" s="252">
        <f t="shared" si="0"/>
        <v>437668357</v>
      </c>
      <c r="R5" s="253">
        <f t="shared" si="0"/>
        <v>5736706086</v>
      </c>
      <c r="S5" s="251"/>
      <c r="T5" s="103"/>
      <c r="BA5"/>
      <c r="BB5"/>
    </row>
    <row r="6" spans="1:66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6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 t="s">
        <v>769</v>
      </c>
      <c r="V7" s="246" t="s">
        <v>780</v>
      </c>
      <c r="W7" s="246" t="s">
        <v>782</v>
      </c>
      <c r="X7" s="191" t="s">
        <v>781</v>
      </c>
      <c r="Y7" s="191" t="s">
        <v>783</v>
      </c>
      <c r="Z7" s="191" t="s">
        <v>784</v>
      </c>
      <c r="AA7" s="191" t="s">
        <v>785</v>
      </c>
      <c r="AB7" s="191" t="s">
        <v>786</v>
      </c>
      <c r="AC7" s="191" t="s">
        <v>787</v>
      </c>
      <c r="AD7" s="191" t="s">
        <v>694</v>
      </c>
      <c r="AE7" s="191" t="s">
        <v>695</v>
      </c>
      <c r="AF7" s="191" t="s">
        <v>696</v>
      </c>
      <c r="AG7" s="191" t="s">
        <v>788</v>
      </c>
      <c r="BA7"/>
      <c r="BB7"/>
      <c r="BC7" s="10" t="s">
        <v>417</v>
      </c>
      <c r="BE7" s="10" t="s">
        <v>692</v>
      </c>
      <c r="BG7" s="10" t="s">
        <v>693</v>
      </c>
      <c r="BK7" s="10" t="s">
        <v>694</v>
      </c>
      <c r="BM7" s="10" t="s">
        <v>695</v>
      </c>
      <c r="BN7" s="10" t="s">
        <v>696</v>
      </c>
    </row>
    <row r="8" spans="1:66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 t="s">
        <v>697</v>
      </c>
      <c r="T8" s="189"/>
      <c r="U8" s="190"/>
      <c r="V8" s="190"/>
      <c r="W8" s="190"/>
      <c r="BA8"/>
      <c r="BB8"/>
      <c r="BE8" s="191" t="e">
        <v>#REF!</v>
      </c>
      <c r="BG8" s="191" t="e">
        <v>#REF!</v>
      </c>
    </row>
    <row r="9" spans="1:66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1785</v>
      </c>
      <c r="G9" s="194">
        <v>1810.5</v>
      </c>
      <c r="H9" s="194">
        <v>2040</v>
      </c>
      <c r="I9" s="194">
        <v>2244</v>
      </c>
      <c r="J9" s="194">
        <v>1997.5</v>
      </c>
      <c r="K9" s="194">
        <v>1776.5</v>
      </c>
      <c r="L9" s="194">
        <v>2244</v>
      </c>
      <c r="M9" s="194">
        <v>1938</v>
      </c>
      <c r="N9" s="194">
        <v>2142</v>
      </c>
      <c r="O9" s="194">
        <v>1921</v>
      </c>
      <c r="P9" s="194">
        <v>1487.5</v>
      </c>
      <c r="Q9" s="194">
        <v>1997.5</v>
      </c>
      <c r="R9" s="195">
        <f t="shared" ref="R9:R23" si="1">SUM(F9:Q9)</f>
        <v>23383.5</v>
      </c>
      <c r="S9" s="196" t="s">
        <v>698</v>
      </c>
      <c r="T9" s="197"/>
      <c r="U9" s="190"/>
      <c r="V9" s="190"/>
      <c r="W9" s="190"/>
      <c r="BA9"/>
      <c r="BB9"/>
      <c r="BE9" s="191" t="e">
        <v>#REF!</v>
      </c>
      <c r="BG9" s="191" t="e">
        <v>#REF!</v>
      </c>
    </row>
    <row r="10" spans="1:66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  <c r="BE10" s="191" t="e">
        <v>#REF!</v>
      </c>
      <c r="BG10" s="191" t="e">
        <v>#REF!</v>
      </c>
    </row>
    <row r="11" spans="1:66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 t="s">
        <v>699</v>
      </c>
      <c r="T11" s="207"/>
      <c r="U11" s="190"/>
      <c r="V11" s="190"/>
      <c r="W11" s="190"/>
      <c r="BA11"/>
      <c r="BB11"/>
      <c r="BE11" s="208" t="e">
        <v>#REF!</v>
      </c>
      <c r="BG11" s="208" t="e">
        <v>#REF!</v>
      </c>
    </row>
    <row r="12" spans="1:66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700</v>
      </c>
      <c r="T12" s="207"/>
      <c r="U12" s="190"/>
      <c r="V12" s="190"/>
      <c r="W12" s="190"/>
      <c r="BA12"/>
      <c r="BB12"/>
      <c r="BE12" s="208" t="e">
        <v>#REF!</v>
      </c>
      <c r="BG12" s="208" t="e">
        <v>#REF!</v>
      </c>
    </row>
    <row r="13" spans="1:66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700</v>
      </c>
      <c r="T13" s="207"/>
      <c r="U13" s="190"/>
      <c r="V13" s="190"/>
      <c r="W13" s="190"/>
      <c r="BA13"/>
      <c r="BB13"/>
      <c r="BE13" s="208" t="e">
        <v>#REF!</v>
      </c>
      <c r="BG13" s="208" t="e">
        <v>#REF!</v>
      </c>
    </row>
    <row r="14" spans="1:66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700</v>
      </c>
      <c r="T14" s="207"/>
      <c r="U14" s="190"/>
      <c r="V14" s="190"/>
      <c r="W14" s="190"/>
      <c r="BA14"/>
      <c r="BB14"/>
      <c r="BE14" s="208" t="e">
        <v>#REF!</v>
      </c>
      <c r="BG14" s="208" t="e">
        <v>#REF!</v>
      </c>
    </row>
    <row r="15" spans="1:66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700</v>
      </c>
      <c r="T15" s="207"/>
      <c r="U15" s="190"/>
      <c r="V15" s="190"/>
      <c r="W15" s="190"/>
      <c r="BA15"/>
      <c r="BB15"/>
      <c r="BE15" s="208" t="e">
        <v>#REF!</v>
      </c>
      <c r="BG15" s="208" t="e">
        <v>#REF!</v>
      </c>
    </row>
    <row r="16" spans="1:66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 t="s">
        <v>701</v>
      </c>
      <c r="T16" s="207"/>
      <c r="U16" s="190"/>
      <c r="V16" s="190"/>
      <c r="W16" s="190"/>
      <c r="BA16"/>
      <c r="BB16"/>
      <c r="BE16" s="208" t="e">
        <v>#REF!</v>
      </c>
      <c r="BG16" s="208" t="e">
        <v>#REF!</v>
      </c>
    </row>
    <row r="17" spans="1:59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46</v>
      </c>
      <c r="G17" s="194">
        <v>66</v>
      </c>
      <c r="H17" s="194">
        <v>80</v>
      </c>
      <c r="I17" s="194">
        <v>88</v>
      </c>
      <c r="J17" s="194">
        <v>122.5</v>
      </c>
      <c r="K17" s="194">
        <v>68</v>
      </c>
      <c r="L17" s="194">
        <v>88</v>
      </c>
      <c r="M17" s="194">
        <v>76</v>
      </c>
      <c r="N17" s="194">
        <v>84</v>
      </c>
      <c r="O17" s="194">
        <v>72</v>
      </c>
      <c r="P17" s="194">
        <v>60</v>
      </c>
      <c r="Q17" s="194">
        <v>122.5</v>
      </c>
      <c r="R17" s="205">
        <f t="shared" si="1"/>
        <v>973</v>
      </c>
      <c r="S17" s="206" t="s">
        <v>702</v>
      </c>
      <c r="T17" s="207"/>
      <c r="U17" s="190"/>
      <c r="V17" s="190"/>
      <c r="W17" s="190"/>
      <c r="BA17"/>
      <c r="BB17"/>
      <c r="BE17" s="191" t="e">
        <v>#REF!</v>
      </c>
      <c r="BG17" s="191" t="e">
        <v>#REF!</v>
      </c>
    </row>
    <row r="18" spans="1:59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  <c r="BE18" s="191" t="e">
        <v>#REF!</v>
      </c>
      <c r="BG18" s="191" t="e">
        <v>#REF!</v>
      </c>
    </row>
    <row r="19" spans="1:59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  <c r="BE19" s="208" t="e">
        <v>#REF!</v>
      </c>
      <c r="BG19" s="208" t="e">
        <v>#REF!</v>
      </c>
    </row>
    <row r="20" spans="1:59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700</v>
      </c>
      <c r="T20" s="207"/>
      <c r="U20" s="190"/>
      <c r="V20" s="190"/>
      <c r="W20" s="190"/>
      <c r="BA20"/>
      <c r="BB20"/>
      <c r="BE20" s="208" t="e">
        <v>#REF!</v>
      </c>
      <c r="BG20" s="208" t="e">
        <v>#REF!</v>
      </c>
    </row>
    <row r="21" spans="1:59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700</v>
      </c>
      <c r="T21" s="207"/>
      <c r="U21" s="190"/>
      <c r="V21" s="190"/>
      <c r="W21" s="190"/>
      <c r="BA21"/>
      <c r="BB21"/>
      <c r="BE21" s="208" t="e">
        <v>#REF!</v>
      </c>
      <c r="BG21" s="208" t="e">
        <v>#REF!</v>
      </c>
    </row>
    <row r="22" spans="1:59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700</v>
      </c>
      <c r="T22" s="207"/>
      <c r="U22" s="190"/>
      <c r="V22" s="190"/>
      <c r="W22" s="190"/>
      <c r="BA22"/>
      <c r="BB22"/>
      <c r="BE22" s="208" t="e">
        <v>#REF!</v>
      </c>
      <c r="BG22" s="208" t="e">
        <v>#REF!</v>
      </c>
    </row>
    <row r="23" spans="1:59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700</v>
      </c>
      <c r="T23" s="207"/>
      <c r="U23" s="190"/>
      <c r="V23" s="190"/>
      <c r="W23" s="190"/>
      <c r="BA23"/>
      <c r="BB23"/>
      <c r="BE23" s="208" t="e">
        <v>#REF!</v>
      </c>
      <c r="BG23" s="208" t="e">
        <v>#REF!</v>
      </c>
    </row>
    <row r="24" spans="1:59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 t="s">
        <v>703</v>
      </c>
      <c r="T24" s="202"/>
      <c r="U24" s="268"/>
      <c r="V24" s="190"/>
      <c r="W24" s="190"/>
      <c r="BA24"/>
      <c r="BB24"/>
      <c r="BE24" s="208" t="e">
        <v>#REF!</v>
      </c>
      <c r="BG24" s="208" t="e">
        <v>#REF!</v>
      </c>
    </row>
    <row r="25" spans="1:59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12</v>
      </c>
      <c r="G25" s="271">
        <v>12</v>
      </c>
      <c r="H25" s="271">
        <v>12</v>
      </c>
      <c r="I25" s="271">
        <v>12</v>
      </c>
      <c r="J25" s="271">
        <v>12</v>
      </c>
      <c r="K25" s="271">
        <v>12</v>
      </c>
      <c r="L25" s="271">
        <v>12</v>
      </c>
      <c r="M25" s="271">
        <v>12</v>
      </c>
      <c r="N25" s="271">
        <v>12</v>
      </c>
      <c r="O25" s="271">
        <v>12</v>
      </c>
      <c r="P25" s="271">
        <v>12</v>
      </c>
      <c r="Q25" s="271">
        <v>12</v>
      </c>
      <c r="R25" s="272">
        <f>Q25</f>
        <v>12</v>
      </c>
      <c r="S25" s="273" t="s">
        <v>704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  <c r="BE25" s="191" t="e">
        <v>#REF!</v>
      </c>
      <c r="BG25" s="191" t="e">
        <v>#REF!</v>
      </c>
    </row>
    <row r="26" spans="1:59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6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  <c r="BE26" s="191" t="e">
        <v>#REF!</v>
      </c>
      <c r="BG26" s="191" t="e">
        <v>#REF!</v>
      </c>
    </row>
    <row r="27" spans="1:59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  <c r="BE27" s="191" t="e">
        <v>#REF!</v>
      </c>
      <c r="BG27" s="191" t="e">
        <v>#REF!</v>
      </c>
    </row>
    <row r="28" spans="1:59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  <c r="BE28" s="191" t="e">
        <v>#REF!</v>
      </c>
      <c r="BG28" s="191" t="e">
        <v>#REF!</v>
      </c>
    </row>
    <row r="29" spans="1:59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  <c r="BE29" s="191" t="e">
        <v>#REF!</v>
      </c>
      <c r="BG29" s="191" t="e">
        <v>#REF!</v>
      </c>
    </row>
    <row r="30" spans="1:59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  <c r="BE30" s="208" t="e">
        <v>#REF!</v>
      </c>
      <c r="BG30" s="208" t="e">
        <v>#REF!</v>
      </c>
    </row>
    <row r="31" spans="1:59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700</v>
      </c>
      <c r="T31" s="202"/>
      <c r="U31" s="190"/>
      <c r="V31" s="190"/>
      <c r="W31" s="190"/>
      <c r="BA31"/>
      <c r="BB31"/>
      <c r="BE31" s="208" t="e">
        <v>#REF!</v>
      </c>
      <c r="BG31" s="208" t="e">
        <v>#REF!</v>
      </c>
    </row>
    <row r="32" spans="1:59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700</v>
      </c>
      <c r="T32" s="202"/>
      <c r="U32" s="190"/>
      <c r="V32" s="190"/>
      <c r="W32" s="190"/>
      <c r="BA32"/>
      <c r="BB32"/>
      <c r="BE32" s="208" t="e">
        <v>#REF!</v>
      </c>
      <c r="BG32" s="208" t="e">
        <v>#REF!</v>
      </c>
    </row>
    <row r="33" spans="1:59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700</v>
      </c>
      <c r="T33" s="202"/>
      <c r="U33" s="190"/>
      <c r="V33" s="190"/>
      <c r="W33" s="190"/>
      <c r="BA33"/>
      <c r="BB33"/>
      <c r="BE33" s="208" t="e">
        <v>#REF!</v>
      </c>
      <c r="BG33" s="208" t="e">
        <v>#REF!</v>
      </c>
    </row>
    <row r="34" spans="1:59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700</v>
      </c>
      <c r="T34" s="202"/>
      <c r="U34" s="190"/>
      <c r="V34" s="190"/>
      <c r="W34" s="190"/>
      <c r="BA34"/>
      <c r="BB34"/>
      <c r="BE34" s="208" t="e">
        <v>#REF!</v>
      </c>
      <c r="BG34" s="208" t="e">
        <v>#REF!</v>
      </c>
    </row>
    <row r="35" spans="1:59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  <c r="BE35" s="208" t="e">
        <v>#REF!</v>
      </c>
      <c r="BG35" s="208" t="e">
        <v>#REF!</v>
      </c>
    </row>
    <row r="36" spans="1:59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  <c r="BE36" s="191" t="e">
        <v>#REF!</v>
      </c>
      <c r="BG36" s="191" t="e">
        <v>#REF!</v>
      </c>
    </row>
    <row r="37" spans="1:59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  <c r="BE37" s="191" t="e">
        <v>#REF!</v>
      </c>
      <c r="BG37" s="191" t="e">
        <v>#REF!</v>
      </c>
    </row>
    <row r="38" spans="1:59" s="191" customFormat="1" ht="13">
      <c r="A38" s="226"/>
      <c r="B38" s="180">
        <v>9114120009</v>
      </c>
      <c r="C38" s="183" t="str">
        <f>IFERROR(IF(VLOOKUP($B38,勘定科目!$A:$H,HLOOKUP($E$5,勘定科目!$F$1:$H$2,2,0),0)="","",VLOOKUP($B38,勘定科目!$A:$E,2,0)),"")</f>
        <v>社内金利（在庫）</v>
      </c>
      <c r="D38" s="239" t="str">
        <f>IF(C38="","",VLOOKUP($B38,勘定科目!$A:$E,4,0))</f>
        <v>在庫金利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300" t="s">
        <v>705</v>
      </c>
      <c r="T38" s="202"/>
      <c r="U38" s="246"/>
      <c r="V38" s="246"/>
      <c r="W38" s="246"/>
      <c r="BA38"/>
      <c r="BB38"/>
      <c r="BE38" s="191" t="e">
        <v>#REF!</v>
      </c>
      <c r="BG38" s="191" t="e">
        <v>#REF!</v>
      </c>
    </row>
    <row r="39" spans="1:59" s="191" customFormat="1" ht="13">
      <c r="A39" s="226"/>
      <c r="B39" s="180">
        <v>6005136626</v>
      </c>
      <c r="C39" s="183" t="str">
        <f>IFERROR(IF(VLOOKUP($B39,勘定科目!$A:$H,HLOOKUP($E$5,勘定科目!$F$1:$H$2,2,0),0)="","",VLOOKUP($B39,勘定科目!$A:$E,2,0)),"")</f>
        <v>通信費（一般）</v>
      </c>
      <c r="D39" s="239" t="str">
        <f>IF(C39="","",VLOOKUP($B39,勘定科目!$A:$E,4,0))</f>
        <v>通信費</v>
      </c>
      <c r="E39" s="245"/>
      <c r="F39" s="194">
        <f>99000*2</f>
        <v>198000</v>
      </c>
      <c r="G39" s="194">
        <f t="shared" ref="G39:Q39" si="5">99000*2</f>
        <v>198000</v>
      </c>
      <c r="H39" s="194">
        <f t="shared" si="5"/>
        <v>198000</v>
      </c>
      <c r="I39" s="194">
        <f t="shared" si="5"/>
        <v>198000</v>
      </c>
      <c r="J39" s="194">
        <f t="shared" si="5"/>
        <v>198000</v>
      </c>
      <c r="K39" s="194">
        <f t="shared" si="5"/>
        <v>198000</v>
      </c>
      <c r="L39" s="194">
        <f t="shared" si="5"/>
        <v>198000</v>
      </c>
      <c r="M39" s="194">
        <f t="shared" si="5"/>
        <v>198000</v>
      </c>
      <c r="N39" s="194">
        <f t="shared" si="5"/>
        <v>198000</v>
      </c>
      <c r="O39" s="194">
        <f t="shared" si="5"/>
        <v>198000</v>
      </c>
      <c r="P39" s="194">
        <f t="shared" si="5"/>
        <v>198000</v>
      </c>
      <c r="Q39" s="194">
        <f t="shared" si="5"/>
        <v>198000</v>
      </c>
      <c r="R39" s="200">
        <f t="shared" si="3"/>
        <v>2376000</v>
      </c>
      <c r="S39" s="300" t="s">
        <v>706</v>
      </c>
      <c r="T39" s="202"/>
      <c r="U39" s="246"/>
      <c r="V39" s="246"/>
      <c r="W39" s="246"/>
      <c r="BA39"/>
      <c r="BB39"/>
      <c r="BE39" s="191" t="e">
        <v>#REF!</v>
      </c>
      <c r="BG39" s="191" t="e">
        <v>#REF!</v>
      </c>
    </row>
    <row r="40" spans="1:59" s="191" customFormat="1" ht="13">
      <c r="A40" s="226"/>
      <c r="B40" s="180">
        <v>6005126423</v>
      </c>
      <c r="C40" s="183" t="str">
        <f>IFERROR(IF(VLOOKUP($B40,勘定科目!$A:$H,HLOOKUP($E$5,勘定科目!$F$1:$H$2,2,0),0)="","",VLOOKUP($B40,勘定科目!$A:$E,2,0)),"")</f>
        <v>事務用品費（一般）</v>
      </c>
      <c r="D40" s="239" t="str">
        <f>IF(C40="","",VLOOKUP($B40,勘定科目!$A:$E,4,0))</f>
        <v>図書及び事務費</v>
      </c>
      <c r="E40" s="245"/>
      <c r="F40" s="194">
        <v>397100</v>
      </c>
      <c r="G40" s="247">
        <v>691500</v>
      </c>
      <c r="H40" s="247">
        <v>373500</v>
      </c>
      <c r="I40" s="247">
        <v>433800</v>
      </c>
      <c r="J40" s="247">
        <v>603400</v>
      </c>
      <c r="K40" s="247">
        <v>423000</v>
      </c>
      <c r="L40" s="247">
        <v>550000</v>
      </c>
      <c r="M40" s="247">
        <v>481100</v>
      </c>
      <c r="N40" s="247">
        <v>618100</v>
      </c>
      <c r="O40" s="247">
        <v>343500</v>
      </c>
      <c r="P40" s="247">
        <v>561600</v>
      </c>
      <c r="Q40" s="247">
        <v>674000</v>
      </c>
      <c r="R40" s="200">
        <f t="shared" si="3"/>
        <v>6150600</v>
      </c>
      <c r="S40" s="300" t="s">
        <v>707</v>
      </c>
      <c r="T40" s="202"/>
      <c r="U40" s="246"/>
      <c r="V40" s="246"/>
      <c r="W40" s="246"/>
      <c r="BA40"/>
      <c r="BB40"/>
      <c r="BD40" s="191" t="s">
        <v>708</v>
      </c>
      <c r="BE40" s="191" t="e">
        <v>#REF!</v>
      </c>
      <c r="BG40" s="191" t="e">
        <v>#REF!</v>
      </c>
    </row>
    <row r="41" spans="1:59" s="191" customFormat="1" ht="13">
      <c r="A41" s="226"/>
      <c r="B41" s="180">
        <v>6005146627</v>
      </c>
      <c r="C41" s="183" t="str">
        <f>IFERROR(IF(VLOOKUP($B41,勘定科目!$A:$H,HLOOKUP($E$5,勘定科目!$F$1:$H$2,2,0),0)="","",VLOOKUP($B41,勘定科目!$A:$E,2,0)),"")</f>
        <v>図書印刷費（一般）</v>
      </c>
      <c r="D41" s="239" t="str">
        <f>IF(C41="","",VLOOKUP($B41,勘定科目!$A:$E,4,0))</f>
        <v>図書及び事務費</v>
      </c>
      <c r="E41" s="245"/>
      <c r="F41" s="194"/>
      <c r="G41" s="247"/>
      <c r="H41" s="247"/>
      <c r="I41" s="247"/>
      <c r="J41" s="247"/>
      <c r="K41" s="247"/>
      <c r="L41" s="247"/>
      <c r="M41" s="247">
        <v>145800</v>
      </c>
      <c r="N41" s="247"/>
      <c r="O41" s="247"/>
      <c r="P41" s="247"/>
      <c r="Q41" s="247"/>
      <c r="R41" s="200">
        <f t="shared" si="3"/>
        <v>145800</v>
      </c>
      <c r="S41" s="300" t="s">
        <v>709</v>
      </c>
      <c r="T41" s="202"/>
      <c r="U41" s="246"/>
      <c r="V41" s="246"/>
      <c r="W41" s="246"/>
      <c r="BA41"/>
      <c r="BB41"/>
      <c r="BD41" s="191" t="s">
        <v>708</v>
      </c>
      <c r="BE41" s="191" t="e">
        <v>#REF!</v>
      </c>
      <c r="BG41" s="191" t="e">
        <v>#REF!</v>
      </c>
    </row>
    <row r="42" spans="1:59" s="191" customFormat="1" ht="13">
      <c r="A42" s="226"/>
      <c r="B42" s="180">
        <v>6005016423</v>
      </c>
      <c r="C42" s="183" t="str">
        <f>IFERROR(IF(VLOOKUP($B42,勘定科目!$A:$H,HLOOKUP($E$5,勘定科目!$F$1:$H$2,2,0),0)="","",VLOOKUP($B42,勘定科目!$A:$E,2,0)),"")</f>
        <v>消耗備品費（一般）</v>
      </c>
      <c r="D42" s="239" t="str">
        <f>IF(C42="","",VLOOKUP($B42,勘定科目!$A:$E,4,0))</f>
        <v>消耗工具器具備品費</v>
      </c>
      <c r="E42" s="245"/>
      <c r="F42" s="194">
        <v>550000</v>
      </c>
      <c r="G42" s="247"/>
      <c r="H42" s="247"/>
      <c r="I42" s="247"/>
      <c r="J42" s="247"/>
      <c r="K42" s="247">
        <v>550000</v>
      </c>
      <c r="L42" s="247"/>
      <c r="M42" s="247">
        <v>270000</v>
      </c>
      <c r="N42" s="247"/>
      <c r="O42" s="247">
        <v>270000</v>
      </c>
      <c r="P42" s="247"/>
      <c r="Q42" s="247"/>
      <c r="R42" s="200">
        <f t="shared" si="3"/>
        <v>1640000</v>
      </c>
      <c r="S42" s="300" t="s">
        <v>710</v>
      </c>
      <c r="T42" s="202"/>
      <c r="U42" s="246"/>
      <c r="V42" s="246"/>
      <c r="W42" s="246"/>
      <c r="BA42"/>
      <c r="BB42"/>
      <c r="BD42" s="191" t="s">
        <v>708</v>
      </c>
      <c r="BE42" s="191" t="e">
        <v>#REF!</v>
      </c>
      <c r="BG42" s="191" t="e">
        <v>#REF!</v>
      </c>
    </row>
    <row r="43" spans="1:59" s="191" customFormat="1" ht="13">
      <c r="A43" s="226"/>
      <c r="B43" s="180">
        <v>6005016423</v>
      </c>
      <c r="C43" s="183" t="str">
        <f>IFERROR(IF(VLOOKUP($B43,勘定科目!$A:$H,HLOOKUP($E$5,勘定科目!$F$1:$H$2,2,0),0)="","",VLOOKUP($B43,勘定科目!$A:$E,2,0)),"")</f>
        <v>消耗備品費（一般）</v>
      </c>
      <c r="D43" s="239" t="str">
        <f>IF(C43="","",VLOOKUP($B43,勘定科目!$A:$E,4,0))</f>
        <v>消耗工具器具備品費</v>
      </c>
      <c r="E43" s="245"/>
      <c r="F43" s="247">
        <v>2983000</v>
      </c>
      <c r="G43" s="247"/>
      <c r="H43" s="247">
        <v>2983000</v>
      </c>
      <c r="I43" s="247"/>
      <c r="J43" s="247">
        <v>2983000</v>
      </c>
      <c r="K43" s="247"/>
      <c r="L43" s="247">
        <v>2983000</v>
      </c>
      <c r="M43" s="247"/>
      <c r="N43" s="247">
        <v>2983000</v>
      </c>
      <c r="O43" s="247"/>
      <c r="P43" s="247">
        <v>2983000</v>
      </c>
      <c r="Q43" s="247"/>
      <c r="R43" s="200">
        <f t="shared" si="3"/>
        <v>17898000</v>
      </c>
      <c r="S43" s="300" t="s">
        <v>711</v>
      </c>
      <c r="T43" s="202"/>
      <c r="U43" s="246"/>
      <c r="V43" s="246"/>
      <c r="W43" s="246"/>
      <c r="BA43"/>
      <c r="BB43"/>
      <c r="BD43" s="191" t="s">
        <v>708</v>
      </c>
      <c r="BE43" s="191" t="e">
        <v>#REF!</v>
      </c>
      <c r="BG43" s="191" t="e">
        <v>#REF!</v>
      </c>
    </row>
    <row r="44" spans="1:59" s="191" customFormat="1" ht="13">
      <c r="A44" s="226"/>
      <c r="B44" s="180">
        <v>6005016423</v>
      </c>
      <c r="C44" s="183" t="str">
        <f>IFERROR(IF(VLOOKUP($B44,勘定科目!$A:$H,HLOOKUP($E$5,勘定科目!$F$1:$H$2,2,0),0)="","",VLOOKUP($B44,勘定科目!$A:$E,2,0)),"")</f>
        <v>消耗備品費（一般）</v>
      </c>
      <c r="D44" s="239" t="str">
        <f>IF(C44="","",VLOOKUP($B44,勘定科目!$A:$E,4,0))</f>
        <v>消耗工具器具備品費</v>
      </c>
      <c r="E44" s="245"/>
      <c r="F44" s="247">
        <v>12150000</v>
      </c>
      <c r="G44" s="247">
        <v>16750000</v>
      </c>
      <c r="H44" s="247">
        <v>16750000</v>
      </c>
      <c r="I44" s="194">
        <v>16750000</v>
      </c>
      <c r="J44" s="194"/>
      <c r="K44" s="247"/>
      <c r="L44" s="247"/>
      <c r="M44" s="247"/>
      <c r="N44" s="247"/>
      <c r="O44" s="247"/>
      <c r="P44" s="247"/>
      <c r="Q44" s="247"/>
      <c r="R44" s="200">
        <f t="shared" si="3"/>
        <v>62400000</v>
      </c>
      <c r="S44" s="201" t="s">
        <v>772</v>
      </c>
      <c r="T44" s="202"/>
      <c r="U44" s="246"/>
      <c r="V44" s="246"/>
      <c r="W44" s="246"/>
      <c r="BA44"/>
      <c r="BB44"/>
      <c r="BD44" s="191" t="s">
        <v>708</v>
      </c>
      <c r="BE44" s="191" t="e">
        <v>#REF!</v>
      </c>
      <c r="BG44" s="191" t="e">
        <v>#REF!</v>
      </c>
    </row>
    <row r="45" spans="1:59" s="191" customFormat="1" ht="13">
      <c r="A45" s="226"/>
      <c r="B45" s="180">
        <v>6005146627</v>
      </c>
      <c r="C45" s="183" t="str">
        <f>IFERROR(IF(VLOOKUP($B45,勘定科目!$A:$H,HLOOKUP($E$5,勘定科目!$F$1:$H$2,2,0),0)="","",VLOOKUP($B45,勘定科目!$A:$E,2,0)),"")</f>
        <v>図書印刷費（一般）</v>
      </c>
      <c r="D45" s="239" t="str">
        <f>IF(C45="","",VLOOKUP($B45,勘定科目!$A:$E,4,0))</f>
        <v>図書及び事務費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300" t="s">
        <v>794</v>
      </c>
      <c r="T45" s="202"/>
      <c r="U45" s="246"/>
      <c r="V45" s="246"/>
      <c r="W45" s="246"/>
      <c r="BA45"/>
      <c r="BB45"/>
      <c r="BE45" s="191" t="e">
        <v>#REF!</v>
      </c>
      <c r="BG45" s="191" t="e">
        <v>#REF!</v>
      </c>
    </row>
    <row r="46" spans="1:59" s="191" customFormat="1" ht="13">
      <c r="A46" s="226"/>
      <c r="B46" s="180">
        <v>6005126423</v>
      </c>
      <c r="C46" s="183" t="str">
        <f>IFERROR(IF(VLOOKUP($B46,勘定科目!$A:$H,HLOOKUP($E$5,勘定科目!$F$1:$H$2,2,0),0)="","",VLOOKUP($B46,勘定科目!$A:$E,2,0)),"")</f>
        <v>事務用品費（一般）</v>
      </c>
      <c r="D46" s="239" t="str">
        <f>IF(C46="","",VLOOKUP($B46,勘定科目!$A:$E,4,0))</f>
        <v>図書及び事務費</v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3"/>
        <v>0</v>
      </c>
      <c r="S46" s="300" t="s">
        <v>793</v>
      </c>
      <c r="T46" s="202"/>
      <c r="U46" s="246"/>
      <c r="V46" s="246"/>
      <c r="W46" s="246"/>
      <c r="BA46"/>
      <c r="BB46"/>
      <c r="BE46" s="191" t="e">
        <v>#REF!</v>
      </c>
      <c r="BG46" s="191" t="e">
        <v>#REF!</v>
      </c>
    </row>
    <row r="47" spans="1:59" s="191" customFormat="1" ht="13">
      <c r="A47" s="226"/>
      <c r="B47" s="180">
        <v>6005146627</v>
      </c>
      <c r="C47" s="183" t="str">
        <f>IFERROR(IF(VLOOKUP($B47,勘定科目!$A:$H,HLOOKUP($E$5,勘定科目!$F$1:$H$2,2,0),0)="","",VLOOKUP($B47,勘定科目!$A:$E,2,0)),"")</f>
        <v>図書印刷費（一般）</v>
      </c>
      <c r="D47" s="239" t="str">
        <f>IF(C47="","",VLOOKUP($B47,勘定科目!$A:$E,4,0))</f>
        <v>図書及び事務費</v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3"/>
        <v>0</v>
      </c>
      <c r="S47" s="300" t="s">
        <v>712</v>
      </c>
      <c r="T47" s="202"/>
      <c r="U47" s="246"/>
      <c r="V47" s="246"/>
      <c r="W47" s="246"/>
      <c r="BA47"/>
      <c r="BB47"/>
      <c r="BE47" s="191" t="e">
        <v>#REF!</v>
      </c>
      <c r="BG47" s="191" t="e">
        <v>#REF!</v>
      </c>
    </row>
    <row r="48" spans="1:59" s="191" customFormat="1" ht="13">
      <c r="A48" s="226"/>
      <c r="B48" s="180">
        <v>6005146627</v>
      </c>
      <c r="C48" s="183" t="str">
        <f>IFERROR(IF(VLOOKUP($B48,勘定科目!$A:$H,HLOOKUP($E$5,勘定科目!$F$1:$H$2,2,0),0)="","",VLOOKUP($B48,勘定科目!$A:$E,2,0)),"")</f>
        <v>図書印刷費（一般）</v>
      </c>
      <c r="D48" s="239" t="str">
        <f>IF(C48="","",VLOOKUP($B48,勘定科目!$A:$E,4,0))</f>
        <v>図書及び事務費</v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3"/>
        <v>0</v>
      </c>
      <c r="S48" s="300" t="s">
        <v>713</v>
      </c>
      <c r="T48" s="202"/>
      <c r="U48" s="246"/>
      <c r="V48" s="246"/>
      <c r="W48" s="246"/>
      <c r="BA48"/>
      <c r="BB48"/>
      <c r="BE48" s="191" t="e">
        <v>#REF!</v>
      </c>
      <c r="BG48" s="191" t="e">
        <v>#REF!</v>
      </c>
    </row>
    <row r="49" spans="1:66" s="191" customFormat="1" ht="13">
      <c r="A49" s="226"/>
      <c r="B49" s="180">
        <v>6004086651</v>
      </c>
      <c r="C49" s="183" t="str">
        <f>IFERROR(IF(VLOOKUP($B49,勘定科目!$A:$H,HLOOKUP($E$5,勘定科目!$F$1:$H$2,2,0),0)="","",VLOOKUP($B49,勘定科目!$A:$E,2,0)),"")</f>
        <v>福利厚生費（一般）</v>
      </c>
      <c r="D49" s="239" t="str">
        <f>IF(C49="","",VLOOKUP($B49,勘定科目!$A:$E,4,0))</f>
        <v>福利厚生費</v>
      </c>
      <c r="E49" s="245"/>
      <c r="F49" s="194">
        <f>82000*2</f>
        <v>164000</v>
      </c>
      <c r="G49" s="247">
        <f>116000*1</f>
        <v>116000</v>
      </c>
      <c r="H49" s="247">
        <f>116000*1</f>
        <v>116000</v>
      </c>
      <c r="I49" s="247">
        <f>116000*1</f>
        <v>116000</v>
      </c>
      <c r="J49" s="247"/>
      <c r="K49" s="247">
        <f>82000*1</f>
        <v>82000</v>
      </c>
      <c r="L49" s="247"/>
      <c r="M49" s="247"/>
      <c r="N49" s="247"/>
      <c r="O49" s="247">
        <f>116000*1</f>
        <v>116000</v>
      </c>
      <c r="P49" s="247"/>
      <c r="Q49" s="247"/>
      <c r="R49" s="200">
        <f t="shared" si="3"/>
        <v>710000</v>
      </c>
      <c r="S49" s="300" t="s">
        <v>771</v>
      </c>
      <c r="T49" s="202"/>
      <c r="U49" s="246"/>
      <c r="V49" s="246"/>
      <c r="W49" s="246"/>
      <c r="BA49"/>
      <c r="BB49"/>
      <c r="BE49" s="191" t="e">
        <v>#REF!</v>
      </c>
      <c r="BG49" s="191" t="e">
        <v>#REF!</v>
      </c>
    </row>
    <row r="50" spans="1:66" s="191" customFormat="1" ht="13">
      <c r="A50" s="226"/>
      <c r="B50" s="180">
        <v>6004086651</v>
      </c>
      <c r="C50" s="183" t="str">
        <f>IFERROR(IF(VLOOKUP($B50,勘定科目!$A:$H,HLOOKUP($E$5,勘定科目!$F$1:$H$2,2,0),0)="","",VLOOKUP($B50,勘定科目!$A:$E,2,0)),"")</f>
        <v>福利厚生費（一般）</v>
      </c>
      <c r="D50" s="239" t="str">
        <f>IF(C50="","",VLOOKUP($B50,勘定科目!$A:$E,4,0))</f>
        <v>福利厚生費</v>
      </c>
      <c r="E50" s="245"/>
      <c r="F50" s="194">
        <f>165000*2*12+175000*2*11</f>
        <v>7810000</v>
      </c>
      <c r="G50" s="247">
        <f>175000*2*1</f>
        <v>350000</v>
      </c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3"/>
        <v>8160000</v>
      </c>
      <c r="S50" s="300" t="s">
        <v>798</v>
      </c>
      <c r="T50" s="202"/>
      <c r="U50" s="246"/>
      <c r="V50" s="246"/>
      <c r="W50" s="246"/>
      <c r="BA50"/>
      <c r="BB50"/>
      <c r="BE50" s="191" t="e">
        <v>#REF!</v>
      </c>
      <c r="BG50" s="191" t="e">
        <v>#REF!</v>
      </c>
    </row>
    <row r="51" spans="1:66" s="191" customFormat="1" ht="13">
      <c r="A51" s="226"/>
      <c r="B51" s="180">
        <v>6004086651</v>
      </c>
      <c r="C51" s="183" t="str">
        <f>IFERROR(IF(VLOOKUP($B51,勘定科目!$A:$H,HLOOKUP($E$5,勘定科目!$F$1:$H$2,2,0),0)="","",VLOOKUP($B51,勘定科目!$A:$E,2,0)),"")</f>
        <v>福利厚生費（一般）</v>
      </c>
      <c r="D51" s="239" t="str">
        <f>IF(C51="","",VLOOKUP($B51,勘定科目!$A:$E,4,0))</f>
        <v>福利厚生費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3"/>
        <v>0</v>
      </c>
      <c r="S51" s="300" t="s">
        <v>799</v>
      </c>
      <c r="T51" s="202"/>
      <c r="U51" s="246"/>
      <c r="V51" s="246"/>
      <c r="W51" s="246"/>
      <c r="BA51"/>
      <c r="BB51"/>
      <c r="BE51" s="191" t="e">
        <v>#REF!</v>
      </c>
      <c r="BG51" s="191" t="e">
        <v>#REF!</v>
      </c>
    </row>
    <row r="52" spans="1:66" s="191" customFormat="1" ht="13">
      <c r="A52" s="226"/>
      <c r="B52" s="180">
        <v>6005056625</v>
      </c>
      <c r="C52" s="183" t="str">
        <f>IFERROR(IF(VLOOKUP($B52,勘定科目!$A:$H,HLOOKUP($E$5,勘定科目!$F$1:$H$2,2,0),0)="","",VLOOKUP($B52,勘定科目!$A:$E,2,0)),"")</f>
        <v>ガス代（一般）</v>
      </c>
      <c r="D52" s="239" t="str">
        <f>IF(C52="","",VLOOKUP($B52,勘定科目!$A:$E,4,0))</f>
        <v>水道光熱費</v>
      </c>
      <c r="E52" s="245"/>
      <c r="F52" s="194">
        <f>ROUND(V52*12,0)</f>
        <v>484392</v>
      </c>
      <c r="G52" s="194">
        <f t="shared" ref="G52:Q55" si="6">ROUND(W52*12,0)</f>
        <v>469332</v>
      </c>
      <c r="H52" s="194">
        <f t="shared" si="6"/>
        <v>538272</v>
      </c>
      <c r="I52" s="194">
        <f t="shared" si="6"/>
        <v>563148</v>
      </c>
      <c r="J52" s="194">
        <f t="shared" si="6"/>
        <v>512256</v>
      </c>
      <c r="K52" s="194">
        <f t="shared" si="6"/>
        <v>461892</v>
      </c>
      <c r="L52" s="194">
        <f t="shared" si="6"/>
        <v>563724</v>
      </c>
      <c r="M52" s="194">
        <f t="shared" si="6"/>
        <v>493512</v>
      </c>
      <c r="N52" s="194">
        <f t="shared" si="6"/>
        <v>529032</v>
      </c>
      <c r="O52" s="194">
        <f t="shared" si="6"/>
        <v>509508</v>
      </c>
      <c r="P52" s="194">
        <f t="shared" si="6"/>
        <v>394728</v>
      </c>
      <c r="Q52" s="194">
        <f t="shared" si="6"/>
        <v>510504</v>
      </c>
      <c r="R52" s="200">
        <f t="shared" si="3"/>
        <v>6030300</v>
      </c>
      <c r="S52" s="201" t="s">
        <v>714</v>
      </c>
      <c r="T52" s="202"/>
      <c r="U52" s="246"/>
      <c r="V52" s="246">
        <v>40366</v>
      </c>
      <c r="W52" s="246">
        <v>39111</v>
      </c>
      <c r="X52" s="191">
        <v>44856</v>
      </c>
      <c r="Y52" s="191">
        <v>46929</v>
      </c>
      <c r="Z52" s="191">
        <v>42688</v>
      </c>
      <c r="AA52" s="191">
        <v>38491</v>
      </c>
      <c r="AB52" s="191">
        <v>46977</v>
      </c>
      <c r="AC52" s="191">
        <v>41126</v>
      </c>
      <c r="AD52" s="191">
        <v>44086</v>
      </c>
      <c r="AE52" s="191">
        <v>42459</v>
      </c>
      <c r="AF52" s="191">
        <v>32894</v>
      </c>
      <c r="AG52" s="191">
        <v>42542</v>
      </c>
      <c r="BA52"/>
      <c r="BB52"/>
      <c r="BD52" s="191" t="s">
        <v>708</v>
      </c>
      <c r="BE52" s="191" t="e">
        <v>#REF!</v>
      </c>
      <c r="BF52" s="191" t="s">
        <v>714</v>
      </c>
      <c r="BG52" s="191" t="e">
        <v>#REF!</v>
      </c>
      <c r="BH52" s="191" t="s">
        <v>715</v>
      </c>
      <c r="BK52" s="191">
        <v>39585</v>
      </c>
      <c r="BL52" s="191">
        <v>39585</v>
      </c>
      <c r="BM52" s="191">
        <v>35606</v>
      </c>
      <c r="BN52" s="191">
        <v>38435</v>
      </c>
    </row>
    <row r="53" spans="1:66" s="191" customFormat="1" ht="13">
      <c r="A53" s="226"/>
      <c r="B53" s="180">
        <v>6005016422</v>
      </c>
      <c r="C53" s="183" t="str">
        <f>IFERROR(IF(VLOOKUP($B53,勘定科目!$A:$H,HLOOKUP($E$5,勘定科目!$F$1:$H$2,2,0),0)="","",VLOOKUP($B53,勘定科目!$A:$E,2,0)),"")</f>
        <v>消耗品費（一般）</v>
      </c>
      <c r="D53" s="239" t="str">
        <f>IF(C53="","",VLOOKUP($B53,勘定科目!$A:$E,4,0))</f>
        <v>消耗品費</v>
      </c>
      <c r="E53" s="245"/>
      <c r="F53" s="194">
        <f t="shared" ref="F53:F55" si="7">ROUND(V53*12,0)</f>
        <v>13464</v>
      </c>
      <c r="G53" s="194">
        <f t="shared" si="6"/>
        <v>13560</v>
      </c>
      <c r="H53" s="194">
        <f t="shared" si="6"/>
        <v>13884</v>
      </c>
      <c r="I53" s="194">
        <f t="shared" si="6"/>
        <v>13356</v>
      </c>
      <c r="J53" s="194">
        <f t="shared" si="6"/>
        <v>12960</v>
      </c>
      <c r="K53" s="194">
        <f t="shared" si="6"/>
        <v>13116</v>
      </c>
      <c r="L53" s="194">
        <f t="shared" si="6"/>
        <v>13572</v>
      </c>
      <c r="M53" s="194">
        <f t="shared" si="6"/>
        <v>13368</v>
      </c>
      <c r="N53" s="194">
        <f t="shared" si="6"/>
        <v>13488</v>
      </c>
      <c r="O53" s="194">
        <f t="shared" si="6"/>
        <v>13536</v>
      </c>
      <c r="P53" s="194">
        <f t="shared" si="6"/>
        <v>13752</v>
      </c>
      <c r="Q53" s="194">
        <f t="shared" si="6"/>
        <v>13020</v>
      </c>
      <c r="R53" s="200">
        <f t="shared" si="3"/>
        <v>161076</v>
      </c>
      <c r="S53" s="201" t="s">
        <v>716</v>
      </c>
      <c r="T53" s="202"/>
      <c r="U53" s="246"/>
      <c r="V53" s="246">
        <v>1122</v>
      </c>
      <c r="W53" s="246">
        <v>1130</v>
      </c>
      <c r="X53" s="191">
        <v>1157</v>
      </c>
      <c r="Y53" s="191">
        <v>1113</v>
      </c>
      <c r="Z53" s="191">
        <v>1080</v>
      </c>
      <c r="AA53" s="191">
        <v>1093</v>
      </c>
      <c r="AB53" s="191">
        <v>1131</v>
      </c>
      <c r="AC53" s="191">
        <v>1114</v>
      </c>
      <c r="AD53" s="191">
        <v>1124</v>
      </c>
      <c r="AE53" s="191">
        <v>1128</v>
      </c>
      <c r="AF53" s="191">
        <v>1146</v>
      </c>
      <c r="AG53" s="191">
        <v>1085</v>
      </c>
      <c r="BA53"/>
      <c r="BB53"/>
      <c r="BD53" s="191" t="s">
        <v>708</v>
      </c>
      <c r="BE53" s="191" t="e">
        <v>#REF!</v>
      </c>
      <c r="BF53" s="191" t="s">
        <v>717</v>
      </c>
      <c r="BG53" s="191" t="e">
        <v>#REF!</v>
      </c>
      <c r="BH53" s="191" t="s">
        <v>717</v>
      </c>
      <c r="BK53" s="191">
        <v>1079</v>
      </c>
      <c r="BL53" s="191">
        <v>1079</v>
      </c>
      <c r="BM53" s="191">
        <v>1028</v>
      </c>
      <c r="BN53" s="191">
        <v>1126</v>
      </c>
    </row>
    <row r="54" spans="1:66" s="191" customFormat="1" ht="13">
      <c r="A54" s="226"/>
      <c r="B54" s="180">
        <v>6005016422</v>
      </c>
      <c r="C54" s="183" t="str">
        <f>IFERROR(IF(VLOOKUP($B54,勘定科目!$A:$H,HLOOKUP($E$5,勘定科目!$F$1:$H$2,2,0),0)="","",VLOOKUP($B54,勘定科目!$A:$E,2,0)),"")</f>
        <v>消耗品費（一般）</v>
      </c>
      <c r="D54" s="239" t="str">
        <f>IF(C54="","",VLOOKUP($B54,勘定科目!$A:$E,4,0))</f>
        <v>消耗品費</v>
      </c>
      <c r="E54" s="245"/>
      <c r="F54" s="194">
        <f t="shared" si="7"/>
        <v>221088</v>
      </c>
      <c r="G54" s="194">
        <f t="shared" si="6"/>
        <v>212832</v>
      </c>
      <c r="H54" s="194">
        <f t="shared" si="6"/>
        <v>232812</v>
      </c>
      <c r="I54" s="194">
        <f t="shared" si="6"/>
        <v>253656</v>
      </c>
      <c r="J54" s="194">
        <f t="shared" si="6"/>
        <v>220848</v>
      </c>
      <c r="K54" s="194">
        <f t="shared" si="6"/>
        <v>210000</v>
      </c>
      <c r="L54" s="194">
        <f t="shared" si="6"/>
        <v>253320</v>
      </c>
      <c r="M54" s="194">
        <f t="shared" si="6"/>
        <v>221052</v>
      </c>
      <c r="N54" s="194">
        <f t="shared" si="6"/>
        <v>243048</v>
      </c>
      <c r="O54" s="194">
        <f t="shared" si="6"/>
        <v>220788</v>
      </c>
      <c r="P54" s="194">
        <f t="shared" si="6"/>
        <v>166356</v>
      </c>
      <c r="Q54" s="194">
        <f t="shared" si="6"/>
        <v>221220</v>
      </c>
      <c r="R54" s="200">
        <f t="shared" si="3"/>
        <v>2677020</v>
      </c>
      <c r="S54" s="201" t="s">
        <v>718</v>
      </c>
      <c r="T54" s="202"/>
      <c r="U54" s="246"/>
      <c r="V54" s="246">
        <v>18424</v>
      </c>
      <c r="W54" s="246">
        <v>17736</v>
      </c>
      <c r="X54" s="191">
        <v>19401</v>
      </c>
      <c r="Y54" s="191">
        <v>21138</v>
      </c>
      <c r="Z54" s="191">
        <v>18404</v>
      </c>
      <c r="AA54" s="191">
        <v>17500</v>
      </c>
      <c r="AB54" s="191">
        <v>21110</v>
      </c>
      <c r="AC54" s="191">
        <v>18421</v>
      </c>
      <c r="AD54" s="191">
        <v>20254</v>
      </c>
      <c r="AE54" s="191">
        <v>18399</v>
      </c>
      <c r="AF54" s="191">
        <v>13863</v>
      </c>
      <c r="AG54" s="191">
        <v>18435</v>
      </c>
      <c r="BA54"/>
      <c r="BB54"/>
      <c r="BD54" s="191" t="s">
        <v>708</v>
      </c>
      <c r="BE54" s="191" t="e">
        <v>#REF!</v>
      </c>
      <c r="BF54" s="191" t="s">
        <v>719</v>
      </c>
      <c r="BG54" s="191" t="e">
        <v>#REF!</v>
      </c>
      <c r="BH54" s="191" t="s">
        <v>719</v>
      </c>
      <c r="BK54" s="191">
        <v>17105</v>
      </c>
      <c r="BL54" s="191">
        <v>17105</v>
      </c>
      <c r="BM54" s="191">
        <v>15443</v>
      </c>
      <c r="BN54" s="191">
        <v>16391</v>
      </c>
    </row>
    <row r="55" spans="1:66" s="191" customFormat="1" ht="13">
      <c r="A55" s="226"/>
      <c r="B55" s="180">
        <v>6005246673</v>
      </c>
      <c r="C55" s="183" t="str">
        <f>IFERROR(IF(VLOOKUP($B55,勘定科目!$A:$H,HLOOKUP($E$5,勘定科目!$F$1:$H$2,2,0),0)="","",VLOOKUP($B55,勘定科目!$A:$E,2,0)),"")</f>
        <v>その他手数料（一般）</v>
      </c>
      <c r="D55" s="239" t="str">
        <f>IF(C55="","",VLOOKUP($B55,勘定科目!$A:$E,4,0))</f>
        <v>手数料</v>
      </c>
      <c r="E55" s="245"/>
      <c r="F55" s="194">
        <f t="shared" si="7"/>
        <v>674964</v>
      </c>
      <c r="G55" s="194">
        <f t="shared" si="6"/>
        <v>677544</v>
      </c>
      <c r="H55" s="194">
        <f t="shared" si="6"/>
        <v>698412</v>
      </c>
      <c r="I55" s="194">
        <f t="shared" si="6"/>
        <v>639672</v>
      </c>
      <c r="J55" s="194">
        <f t="shared" si="6"/>
        <v>622692</v>
      </c>
      <c r="K55" s="194">
        <f t="shared" si="6"/>
        <v>595080</v>
      </c>
      <c r="L55" s="194">
        <f t="shared" si="6"/>
        <v>569184</v>
      </c>
      <c r="M55" s="194">
        <f t="shared" si="6"/>
        <v>562128</v>
      </c>
      <c r="N55" s="194">
        <f t="shared" si="6"/>
        <v>563724</v>
      </c>
      <c r="O55" s="194">
        <f t="shared" si="6"/>
        <v>539616</v>
      </c>
      <c r="P55" s="194">
        <f t="shared" si="6"/>
        <v>510744</v>
      </c>
      <c r="Q55" s="194">
        <f t="shared" si="6"/>
        <v>534480</v>
      </c>
      <c r="R55" s="200">
        <f t="shared" si="3"/>
        <v>7188240</v>
      </c>
      <c r="S55" s="201" t="s">
        <v>720</v>
      </c>
      <c r="T55" s="202"/>
      <c r="U55" s="246"/>
      <c r="V55" s="246">
        <v>56247</v>
      </c>
      <c r="W55" s="246">
        <v>56462</v>
      </c>
      <c r="X55" s="191">
        <v>58201</v>
      </c>
      <c r="Y55" s="191">
        <v>53306</v>
      </c>
      <c r="Z55" s="191">
        <v>51891</v>
      </c>
      <c r="AA55" s="191">
        <v>49590</v>
      </c>
      <c r="AB55" s="191">
        <v>47432</v>
      </c>
      <c r="AC55" s="191">
        <v>46844</v>
      </c>
      <c r="AD55" s="191">
        <v>46977</v>
      </c>
      <c r="AE55" s="191">
        <v>44968</v>
      </c>
      <c r="AF55" s="191">
        <v>42562</v>
      </c>
      <c r="AG55" s="191">
        <v>44540</v>
      </c>
      <c r="BA55"/>
      <c r="BB55"/>
      <c r="BD55" s="191" t="s">
        <v>708</v>
      </c>
      <c r="BE55" s="191" t="e">
        <v>#REF!</v>
      </c>
      <c r="BF55" s="191" t="s">
        <v>721</v>
      </c>
      <c r="BG55" s="191" t="e">
        <v>#REF!</v>
      </c>
      <c r="BH55" s="191" t="s">
        <v>721</v>
      </c>
      <c r="BK55" s="191">
        <v>49155</v>
      </c>
      <c r="BL55" s="191">
        <v>49155</v>
      </c>
      <c r="BM55" s="191">
        <v>49027</v>
      </c>
      <c r="BN55" s="191">
        <v>48431</v>
      </c>
    </row>
    <row r="56" spans="1:66" s="191" customFormat="1" ht="13">
      <c r="A56" s="226"/>
      <c r="B56" s="180">
        <v>6004086651</v>
      </c>
      <c r="C56" s="183" t="str">
        <f>IFERROR(IF(VLOOKUP($B56,勘定科目!$A:$H,HLOOKUP($E$5,勘定科目!$F$1:$H$2,2,0),0)="","",VLOOKUP($B56,勘定科目!$A:$E,2,0)),"")</f>
        <v>福利厚生費（一般）</v>
      </c>
      <c r="D56" s="239" t="str">
        <f>IF(C56="","",VLOOKUP($B56,勘定科目!$A:$E,4,0))</f>
        <v>福利厚生費</v>
      </c>
      <c r="E56" s="245"/>
      <c r="F56" s="194">
        <f>ROUND(V56,0)</f>
        <v>1374678</v>
      </c>
      <c r="G56" s="194">
        <f t="shared" ref="G56:Q56" si="8">ROUND(W56,0)</f>
        <v>1586747</v>
      </c>
      <c r="H56" s="194">
        <f t="shared" si="8"/>
        <v>1418477</v>
      </c>
      <c r="I56" s="194">
        <f t="shared" si="8"/>
        <v>1487463</v>
      </c>
      <c r="J56" s="194">
        <f t="shared" si="8"/>
        <v>1588334</v>
      </c>
      <c r="K56" s="194">
        <f t="shared" si="8"/>
        <v>1593513</v>
      </c>
      <c r="L56" s="194">
        <f t="shared" si="8"/>
        <v>1194735</v>
      </c>
      <c r="M56" s="194">
        <f t="shared" si="8"/>
        <v>1452617</v>
      </c>
      <c r="N56" s="194">
        <f t="shared" si="8"/>
        <v>1465592</v>
      </c>
      <c r="O56" s="194">
        <f t="shared" si="8"/>
        <v>1378925</v>
      </c>
      <c r="P56" s="194">
        <f t="shared" si="8"/>
        <v>1253359</v>
      </c>
      <c r="Q56" s="194">
        <f t="shared" si="8"/>
        <v>1296228</v>
      </c>
      <c r="R56" s="200">
        <f t="shared" si="3"/>
        <v>17090668</v>
      </c>
      <c r="S56" s="201" t="s">
        <v>722</v>
      </c>
      <c r="T56" s="202"/>
      <c r="U56" s="246"/>
      <c r="V56" s="246">
        <v>1374678</v>
      </c>
      <c r="W56" s="246">
        <v>1586747</v>
      </c>
      <c r="X56" s="191">
        <v>1418477</v>
      </c>
      <c r="Y56" s="191">
        <v>1487463</v>
      </c>
      <c r="Z56" s="191">
        <v>1588334</v>
      </c>
      <c r="AA56" s="191">
        <v>1593513</v>
      </c>
      <c r="AB56" s="191">
        <v>1194735</v>
      </c>
      <c r="AC56" s="191">
        <v>1452617</v>
      </c>
      <c r="AD56" s="191">
        <v>1465592</v>
      </c>
      <c r="AE56" s="191">
        <v>1378925</v>
      </c>
      <c r="AF56" s="191">
        <v>1253359</v>
      </c>
      <c r="AG56" s="191">
        <v>1296228</v>
      </c>
      <c r="BA56"/>
      <c r="BB56"/>
      <c r="BD56" s="191" t="s">
        <v>708</v>
      </c>
      <c r="BE56" s="191" t="e">
        <v>#REF!</v>
      </c>
      <c r="BF56" s="191" t="s">
        <v>723</v>
      </c>
      <c r="BG56" s="191" t="e">
        <v>#REF!</v>
      </c>
      <c r="BH56" s="191" t="s">
        <v>723</v>
      </c>
      <c r="BK56" s="191">
        <v>1620318</v>
      </c>
      <c r="BL56" s="191">
        <v>1620318</v>
      </c>
      <c r="BM56" s="191">
        <v>1505412</v>
      </c>
      <c r="BN56" s="191">
        <v>1488121</v>
      </c>
    </row>
    <row r="57" spans="1:66" s="191" customFormat="1" ht="13">
      <c r="A57" s="226"/>
      <c r="B57" s="180">
        <v>6004086651</v>
      </c>
      <c r="C57" s="183" t="str">
        <f>IFERROR(IF(VLOOKUP($B57,勘定科目!$A:$H,HLOOKUP($E$5,勘定科目!$F$1:$H$2,2,0),0)="","",VLOOKUP($B57,勘定科目!$A:$E,2,0)),"")</f>
        <v>福利厚生費（一般）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300" t="s">
        <v>724</v>
      </c>
      <c r="T57" s="202"/>
      <c r="U57" s="246"/>
      <c r="V57" s="246">
        <v>1374678</v>
      </c>
      <c r="W57" s="246">
        <v>1586747</v>
      </c>
      <c r="X57" s="191">
        <v>1418477</v>
      </c>
      <c r="Y57" s="191">
        <v>1487463</v>
      </c>
      <c r="Z57" s="191">
        <v>1588334</v>
      </c>
      <c r="AA57" s="191">
        <v>1593513</v>
      </c>
      <c r="AB57" s="191">
        <v>1194735</v>
      </c>
      <c r="AC57" s="191">
        <v>1452617</v>
      </c>
      <c r="AD57" s="191">
        <v>1465592</v>
      </c>
      <c r="AE57" s="191">
        <v>1378925</v>
      </c>
      <c r="AF57" s="191">
        <v>1253359</v>
      </c>
      <c r="AG57" s="191">
        <v>1296228</v>
      </c>
      <c r="BA57"/>
      <c r="BB57"/>
      <c r="BE57" s="191" t="e">
        <v>#REF!</v>
      </c>
      <c r="BG57" s="191" t="e">
        <v>#REF!</v>
      </c>
    </row>
    <row r="58" spans="1:66" s="191" customFormat="1" ht="13">
      <c r="A58" s="226"/>
      <c r="B58" s="180">
        <v>6004086651</v>
      </c>
      <c r="C58" s="183" t="str">
        <f>IFERROR(IF(VLOOKUP($B58,勘定科目!$A:$H,HLOOKUP($E$5,勘定科目!$F$1:$H$2,2,0),0)="","",VLOOKUP($B58,勘定科目!$A:$E,2,0)),"")</f>
        <v>福利厚生費（一般）</v>
      </c>
      <c r="D58" s="239" t="str">
        <f>IF(C58="","",VLOOKUP($B58,勘定科目!$A:$E,4,0))</f>
        <v>福利厚生費</v>
      </c>
      <c r="E58" s="245"/>
      <c r="F58" s="194"/>
      <c r="G58" s="247">
        <f>163000*1</f>
        <v>163000</v>
      </c>
      <c r="H58" s="247"/>
      <c r="I58" s="247">
        <f>163000*2</f>
        <v>326000</v>
      </c>
      <c r="J58" s="247">
        <f>163000*1</f>
        <v>163000</v>
      </c>
      <c r="K58" s="247"/>
      <c r="L58" s="247">
        <f>163000*2</f>
        <v>326000</v>
      </c>
      <c r="M58" s="247">
        <f>163000*1</f>
        <v>163000</v>
      </c>
      <c r="N58" s="247">
        <f>163000*1</f>
        <v>163000</v>
      </c>
      <c r="O58" s="247">
        <f>163000*1</f>
        <v>163000</v>
      </c>
      <c r="P58" s="247">
        <f>163000*3</f>
        <v>489000</v>
      </c>
      <c r="Q58" s="247"/>
      <c r="R58" s="200">
        <f t="shared" si="3"/>
        <v>1956000</v>
      </c>
      <c r="S58" s="300" t="s">
        <v>806</v>
      </c>
      <c r="T58" s="202"/>
      <c r="U58" s="246"/>
      <c r="V58" s="246"/>
      <c r="W58" s="246"/>
      <c r="BA58"/>
      <c r="BB58"/>
      <c r="BE58" s="191" t="e">
        <v>#REF!</v>
      </c>
      <c r="BG58" s="191" t="e">
        <v>#REF!</v>
      </c>
    </row>
    <row r="59" spans="1:66" s="191" customFormat="1" ht="13">
      <c r="A59" s="226"/>
      <c r="B59" s="180">
        <v>6006016628</v>
      </c>
      <c r="C59" s="183" t="str">
        <f>IFERROR(IF(VLOOKUP($B59,勘定科目!$A:$H,HLOOKUP($E$5,勘定科目!$F$1:$H$2,2,0),0)="","",VLOOKUP($B59,勘定科目!$A:$E,2,0)),"")</f>
        <v>減価償却費配賦（一般）　建物</v>
      </c>
      <c r="D59" s="239" t="str">
        <f>IF(C59="","",VLOOKUP($B59,勘定科目!$A:$E,4,0))</f>
        <v>減価償却費</v>
      </c>
      <c r="E59" s="245"/>
      <c r="F59" s="194">
        <f>ROUND(V59*$B$2,0)</f>
        <v>6985297</v>
      </c>
      <c r="G59" s="194">
        <f t="shared" ref="G59:Q62" si="9">ROUND(W59*$B$2,0)</f>
        <v>6953813</v>
      </c>
      <c r="H59" s="194">
        <f t="shared" si="9"/>
        <v>6955591</v>
      </c>
      <c r="I59" s="194">
        <f t="shared" si="9"/>
        <v>6949497</v>
      </c>
      <c r="J59" s="194">
        <f t="shared" si="9"/>
        <v>6947466</v>
      </c>
      <c r="K59" s="194">
        <f t="shared" si="9"/>
        <v>6859109</v>
      </c>
      <c r="L59" s="194">
        <f t="shared" si="9"/>
        <v>6833465</v>
      </c>
      <c r="M59" s="194">
        <f t="shared" si="9"/>
        <v>6832449</v>
      </c>
      <c r="N59" s="194">
        <f t="shared" si="9"/>
        <v>6832957</v>
      </c>
      <c r="O59" s="194">
        <f t="shared" si="9"/>
        <v>6830926</v>
      </c>
      <c r="P59" s="194">
        <f t="shared" si="9"/>
        <v>6827625</v>
      </c>
      <c r="Q59" s="194">
        <f t="shared" si="9"/>
        <v>6831180</v>
      </c>
      <c r="R59" s="200">
        <f t="shared" si="3"/>
        <v>82639375</v>
      </c>
      <c r="S59" s="201" t="s">
        <v>725</v>
      </c>
      <c r="T59" s="202"/>
      <c r="U59" s="246"/>
      <c r="V59" s="246">
        <v>275.12</v>
      </c>
      <c r="W59" s="246">
        <v>273.88</v>
      </c>
      <c r="X59" s="191">
        <v>273.95</v>
      </c>
      <c r="Y59" s="191">
        <v>273.70999999999998</v>
      </c>
      <c r="Z59" s="191">
        <v>273.63</v>
      </c>
      <c r="AA59" s="191">
        <v>270.14999999999998</v>
      </c>
      <c r="AB59" s="191">
        <v>269.14</v>
      </c>
      <c r="AC59" s="191">
        <v>269.10000000000002</v>
      </c>
      <c r="AD59" s="191">
        <v>269.12</v>
      </c>
      <c r="AE59" s="191">
        <v>269.04000000000002</v>
      </c>
      <c r="AF59" s="191">
        <v>268.91000000000003</v>
      </c>
      <c r="AG59" s="191">
        <v>269.05</v>
      </c>
      <c r="BA59"/>
      <c r="BB59"/>
      <c r="BD59" s="191" t="s">
        <v>708</v>
      </c>
      <c r="BE59" s="191" t="e">
        <v>#REF!</v>
      </c>
      <c r="BF59" s="191" t="s">
        <v>725</v>
      </c>
      <c r="BG59" s="191" t="e">
        <v>#REF!</v>
      </c>
      <c r="BH59" s="191" t="s">
        <v>725</v>
      </c>
      <c r="BK59" s="191">
        <v>274.82</v>
      </c>
      <c r="BL59" s="191">
        <v>274.82</v>
      </c>
      <c r="BM59" s="191">
        <v>274.77</v>
      </c>
      <c r="BN59" s="191">
        <v>274.77</v>
      </c>
    </row>
    <row r="60" spans="1:66" s="191" customFormat="1" ht="13">
      <c r="A60" s="226"/>
      <c r="B60" s="180">
        <v>6006016629</v>
      </c>
      <c r="C60" s="183" t="str">
        <f>IFERROR(IF(VLOOKUP($B60,勘定科目!$A:$H,HLOOKUP($E$5,勘定科目!$F$1:$H$2,2,0),0)="","",VLOOKUP($B60,勘定科目!$A:$E,2,0)),"")</f>
        <v>減価償却費配賦（一般）　土地使用権</v>
      </c>
      <c r="D60" s="239" t="str">
        <f>IF(C60="","",VLOOKUP($B60,勘定科目!$A:$E,4,0))</f>
        <v>減価償却費</v>
      </c>
      <c r="E60" s="245"/>
      <c r="F60" s="194">
        <f>ROUND(V60*$B$2,0)</f>
        <v>471492</v>
      </c>
      <c r="G60" s="194">
        <f t="shared" si="9"/>
        <v>469461</v>
      </c>
      <c r="H60" s="194">
        <f t="shared" si="9"/>
        <v>469461</v>
      </c>
      <c r="I60" s="194">
        <f t="shared" si="9"/>
        <v>468953</v>
      </c>
      <c r="J60" s="194">
        <f t="shared" si="9"/>
        <v>468953</v>
      </c>
      <c r="K60" s="194">
        <f t="shared" si="9"/>
        <v>462860</v>
      </c>
      <c r="L60" s="194">
        <f t="shared" si="9"/>
        <v>461336</v>
      </c>
      <c r="M60" s="194">
        <f t="shared" si="9"/>
        <v>461082</v>
      </c>
      <c r="N60" s="194">
        <f t="shared" si="9"/>
        <v>461082</v>
      </c>
      <c r="O60" s="194">
        <f t="shared" si="9"/>
        <v>461082</v>
      </c>
      <c r="P60" s="194">
        <f t="shared" si="9"/>
        <v>460829</v>
      </c>
      <c r="Q60" s="194">
        <f t="shared" si="9"/>
        <v>461082</v>
      </c>
      <c r="R60" s="200">
        <f t="shared" si="3"/>
        <v>5577673</v>
      </c>
      <c r="S60" s="201" t="s">
        <v>726</v>
      </c>
      <c r="T60" s="202"/>
      <c r="U60" s="246"/>
      <c r="V60" s="246">
        <v>18.57</v>
      </c>
      <c r="W60" s="246">
        <v>18.489999999999998</v>
      </c>
      <c r="X60" s="191">
        <v>18.489999999999998</v>
      </c>
      <c r="Y60" s="191">
        <v>18.47</v>
      </c>
      <c r="Z60" s="191">
        <v>18.47</v>
      </c>
      <c r="AA60" s="191">
        <v>18.23</v>
      </c>
      <c r="AB60" s="191">
        <v>18.170000000000002</v>
      </c>
      <c r="AC60" s="191">
        <v>18.16</v>
      </c>
      <c r="AD60" s="191">
        <v>18.16</v>
      </c>
      <c r="AE60" s="191">
        <v>18.16</v>
      </c>
      <c r="AF60" s="191">
        <v>18.149999999999999</v>
      </c>
      <c r="AG60" s="191">
        <v>18.16</v>
      </c>
      <c r="BA60"/>
      <c r="BB60"/>
      <c r="BD60" s="191" t="s">
        <v>708</v>
      </c>
      <c r="BE60" s="191" t="e">
        <v>#REF!</v>
      </c>
      <c r="BF60" s="191" t="s">
        <v>726</v>
      </c>
      <c r="BG60" s="191" t="e">
        <v>#REF!</v>
      </c>
      <c r="BH60" s="191" t="s">
        <v>726</v>
      </c>
      <c r="BK60" s="191">
        <v>18.55</v>
      </c>
      <c r="BL60" s="191">
        <v>18.55</v>
      </c>
      <c r="BM60" s="191">
        <v>18.55</v>
      </c>
      <c r="BN60" s="191">
        <v>18.55</v>
      </c>
    </row>
    <row r="61" spans="1:66" s="191" customFormat="1" ht="13">
      <c r="A61" s="226"/>
      <c r="B61" s="180">
        <v>9114120007</v>
      </c>
      <c r="C61" s="183" t="str">
        <f>IFERROR(IF(VLOOKUP($B61,勘定科目!$A:$H,HLOOKUP($E$5,勘定科目!$F$1:$H$2,2,0),0)="","",VLOOKUP($B61,勘定科目!$A:$E,2,0)),"")</f>
        <v>社内金利（固定資産）</v>
      </c>
      <c r="D61" s="239" t="str">
        <f>IF(C61="","",VLOOKUP($B61,勘定科目!$A:$E,4,0))</f>
        <v>固定資産金利</v>
      </c>
      <c r="E61" s="245"/>
      <c r="F61" s="194">
        <f t="shared" ref="F61:F62" si="10">ROUND(V61*$B$2,0)</f>
        <v>4741583</v>
      </c>
      <c r="G61" s="194">
        <f t="shared" si="9"/>
        <v>4469910</v>
      </c>
      <c r="H61" s="194">
        <f t="shared" si="9"/>
        <v>4470925</v>
      </c>
      <c r="I61" s="194">
        <f t="shared" si="9"/>
        <v>4467117</v>
      </c>
      <c r="J61" s="194">
        <f t="shared" si="9"/>
        <v>4465847</v>
      </c>
      <c r="K61" s="194">
        <f t="shared" si="9"/>
        <v>4408974</v>
      </c>
      <c r="L61" s="194">
        <f t="shared" si="9"/>
        <v>4392470</v>
      </c>
      <c r="M61" s="194">
        <f t="shared" si="9"/>
        <v>4391962</v>
      </c>
      <c r="N61" s="194">
        <f t="shared" si="9"/>
        <v>4392216</v>
      </c>
      <c r="O61" s="194">
        <f t="shared" si="9"/>
        <v>4390693</v>
      </c>
      <c r="P61" s="194">
        <f t="shared" si="9"/>
        <v>4388662</v>
      </c>
      <c r="Q61" s="194">
        <f t="shared" si="9"/>
        <v>4390947</v>
      </c>
      <c r="R61" s="200">
        <f t="shared" si="3"/>
        <v>53371306</v>
      </c>
      <c r="S61" s="201" t="s">
        <v>727</v>
      </c>
      <c r="T61" s="202"/>
      <c r="U61" s="246"/>
      <c r="V61" s="246">
        <v>186.75</v>
      </c>
      <c r="W61" s="246">
        <v>176.05</v>
      </c>
      <c r="X61" s="191">
        <v>176.09</v>
      </c>
      <c r="Y61" s="191">
        <v>175.94</v>
      </c>
      <c r="Z61" s="191">
        <v>175.89</v>
      </c>
      <c r="AA61" s="191">
        <v>173.65</v>
      </c>
      <c r="AB61" s="191">
        <v>173</v>
      </c>
      <c r="AC61" s="191">
        <v>172.98</v>
      </c>
      <c r="AD61" s="191">
        <v>172.99</v>
      </c>
      <c r="AE61" s="191">
        <v>172.93</v>
      </c>
      <c r="AF61" s="191">
        <v>172.85</v>
      </c>
      <c r="AG61" s="191">
        <v>172.94</v>
      </c>
      <c r="BA61"/>
      <c r="BB61"/>
      <c r="BD61" s="191" t="s">
        <v>708</v>
      </c>
      <c r="BE61" s="191" t="e">
        <v>#REF!</v>
      </c>
      <c r="BF61" s="191" t="s">
        <v>727</v>
      </c>
      <c r="BG61" s="191" t="e">
        <v>#REF!</v>
      </c>
      <c r="BH61" s="191" t="s">
        <v>727</v>
      </c>
      <c r="BK61" s="191">
        <v>186.55</v>
      </c>
      <c r="BL61" s="191">
        <v>186.55</v>
      </c>
      <c r="BM61" s="191">
        <v>186.51</v>
      </c>
      <c r="BN61" s="191">
        <v>186.51</v>
      </c>
    </row>
    <row r="62" spans="1:66" s="191" customFormat="1" ht="13">
      <c r="A62" s="226"/>
      <c r="B62" s="180">
        <v>9114120007</v>
      </c>
      <c r="C62" s="183" t="str">
        <f>IFERROR(IF(VLOOKUP($B62,勘定科目!$A:$H,HLOOKUP($E$5,勘定科目!$F$1:$H$2,2,0),0)="","",VLOOKUP($B62,勘定科目!$A:$E,2,0)),"")</f>
        <v>社内金利（固定資産）</v>
      </c>
      <c r="D62" s="239" t="str">
        <f>IF(C62="","",VLOOKUP($B62,勘定科目!$A:$E,4,0))</f>
        <v>固定資産金利</v>
      </c>
      <c r="E62" s="245"/>
      <c r="F62" s="194">
        <f t="shared" si="10"/>
        <v>586255</v>
      </c>
      <c r="G62" s="194">
        <f t="shared" si="9"/>
        <v>566705</v>
      </c>
      <c r="H62" s="194">
        <f t="shared" si="9"/>
        <v>566959</v>
      </c>
      <c r="I62" s="194">
        <f t="shared" si="9"/>
        <v>566451</v>
      </c>
      <c r="J62" s="194">
        <f t="shared" si="9"/>
        <v>566197</v>
      </c>
      <c r="K62" s="194">
        <f t="shared" si="9"/>
        <v>559088</v>
      </c>
      <c r="L62" s="194">
        <f t="shared" si="9"/>
        <v>556803</v>
      </c>
      <c r="M62" s="194">
        <f t="shared" si="9"/>
        <v>556803</v>
      </c>
      <c r="N62" s="194">
        <f t="shared" si="9"/>
        <v>556803</v>
      </c>
      <c r="O62" s="194">
        <f t="shared" si="9"/>
        <v>556803</v>
      </c>
      <c r="P62" s="194">
        <f t="shared" si="9"/>
        <v>556549</v>
      </c>
      <c r="Q62" s="194">
        <f t="shared" si="9"/>
        <v>556803</v>
      </c>
      <c r="R62" s="200">
        <f t="shared" si="3"/>
        <v>6752219</v>
      </c>
      <c r="S62" s="201" t="s">
        <v>728</v>
      </c>
      <c r="T62" s="202"/>
      <c r="U62" s="246"/>
      <c r="V62" s="246">
        <v>23.09</v>
      </c>
      <c r="W62" s="246">
        <v>22.32</v>
      </c>
      <c r="X62" s="191">
        <v>22.33</v>
      </c>
      <c r="Y62" s="191">
        <v>22.31</v>
      </c>
      <c r="Z62" s="191">
        <v>22.3</v>
      </c>
      <c r="AA62" s="191">
        <v>22.02</v>
      </c>
      <c r="AB62" s="191">
        <v>21.93</v>
      </c>
      <c r="AC62" s="191">
        <v>21.93</v>
      </c>
      <c r="AD62" s="191">
        <v>21.93</v>
      </c>
      <c r="AE62" s="191">
        <v>21.93</v>
      </c>
      <c r="AF62" s="191">
        <v>21.92</v>
      </c>
      <c r="AG62" s="191">
        <v>21.93</v>
      </c>
      <c r="BA62"/>
      <c r="BB62"/>
      <c r="BD62" s="191" t="s">
        <v>708</v>
      </c>
      <c r="BE62" s="191" t="e">
        <v>#REF!</v>
      </c>
      <c r="BF62" s="191" t="s">
        <v>728</v>
      </c>
      <c r="BG62" s="191" t="e">
        <v>#REF!</v>
      </c>
      <c r="BH62" s="191" t="s">
        <v>728</v>
      </c>
      <c r="BK62" s="191">
        <v>23.07</v>
      </c>
      <c r="BL62" s="191">
        <v>23.07</v>
      </c>
      <c r="BM62" s="191">
        <v>23.06</v>
      </c>
      <c r="BN62" s="191">
        <v>23.06</v>
      </c>
    </row>
    <row r="63" spans="1:66" s="191" customFormat="1" ht="13">
      <c r="A63" s="226"/>
      <c r="B63" s="180">
        <v>6006016624</v>
      </c>
      <c r="C63" s="183" t="str">
        <f>IFERROR(IF(VLOOKUP($B63,勘定科目!$A:$H,HLOOKUP($E$5,勘定科目!$F$1:$H$2,2,0),0)="","",VLOOKUP($B63,勘定科目!$A:$E,2,0)),"")</f>
        <v>減価償却費（一般）　ソフトウェア</v>
      </c>
      <c r="D63" s="239" t="str">
        <f>IF(C63="","",VLOOKUP($B63,勘定科目!$A:$E,4,0))</f>
        <v>減価償却費</v>
      </c>
      <c r="E63" s="245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>
        <f t="shared" ref="P63:Q63" si="11">ROUND(720720000/36,0)</f>
        <v>20020000</v>
      </c>
      <c r="Q63" s="194">
        <f t="shared" si="11"/>
        <v>20020000</v>
      </c>
      <c r="R63" s="200">
        <f t="shared" si="3"/>
        <v>40040000</v>
      </c>
      <c r="S63" s="201" t="s">
        <v>729</v>
      </c>
      <c r="T63" s="202"/>
      <c r="U63" s="246"/>
      <c r="V63" s="246"/>
      <c r="W63" s="246"/>
      <c r="BA63"/>
      <c r="BB63"/>
      <c r="BE63" s="191" t="e">
        <v>#REF!</v>
      </c>
      <c r="BF63" s="191" t="s">
        <v>728</v>
      </c>
      <c r="BG63" s="191" t="e">
        <v>#REF!</v>
      </c>
    </row>
    <row r="64" spans="1:66" s="191" customFormat="1" ht="13">
      <c r="A64" s="226"/>
      <c r="B64" s="180">
        <v>9114120007</v>
      </c>
      <c r="C64" s="183" t="str">
        <f>IFERROR(IF(VLOOKUP($B64,勘定科目!$A:$H,HLOOKUP($E$5,勘定科目!$F$1:$H$2,2,0),0)="","",VLOOKUP($B64,勘定科目!$A:$E,2,0)),"")</f>
        <v>社内金利（固定資産）</v>
      </c>
      <c r="D64" s="239" t="str">
        <f>IF(C64="","",VLOOKUP($B64,勘定科目!$A:$E,4,0))</f>
        <v>固定資産金利</v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>
        <f>ROUND(720720000*0.3%,0)</f>
        <v>2162160</v>
      </c>
      <c r="R64" s="200">
        <f t="shared" si="3"/>
        <v>2162160</v>
      </c>
      <c r="S64" s="201" t="s">
        <v>730</v>
      </c>
      <c r="T64" s="202"/>
      <c r="U64" s="246"/>
      <c r="V64" s="246"/>
      <c r="W64" s="246"/>
      <c r="BA64"/>
      <c r="BB64"/>
      <c r="BE64" s="191" t="e">
        <v>#REF!</v>
      </c>
      <c r="BF64" s="191" t="s">
        <v>728</v>
      </c>
      <c r="BG64" s="191" t="e">
        <v>#REF!</v>
      </c>
    </row>
    <row r="65" spans="1:66" s="191" customFormat="1" ht="13">
      <c r="A65" s="226"/>
      <c r="B65" s="180">
        <v>6005146629</v>
      </c>
      <c r="C65" s="183" t="str">
        <f>IFERROR(IF(VLOOKUP($B65,勘定科目!$A:$H,HLOOKUP($E$5,勘定科目!$F$1:$H$2,2,0),0)="","",VLOOKUP($B65,勘定科目!$A:$E,2,0)),"")</f>
        <v>ライセンス料（一般）</v>
      </c>
      <c r="D65" s="239" t="str">
        <f>IF(C65="","",VLOOKUP($B65,勘定科目!$A:$E,4,0))</f>
        <v>図書及び事務費</v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>
        <f>ROUND(5970000*85/12,0)</f>
        <v>42287500</v>
      </c>
      <c r="Q65" s="247">
        <f>ROUND(5970000*85/12,0)</f>
        <v>42287500</v>
      </c>
      <c r="R65" s="200">
        <f t="shared" si="3"/>
        <v>84575000</v>
      </c>
      <c r="S65" s="201" t="s">
        <v>802</v>
      </c>
      <c r="T65" s="202"/>
      <c r="U65" s="246"/>
      <c r="V65" s="246"/>
      <c r="W65" s="246"/>
      <c r="BA65"/>
      <c r="BB65"/>
      <c r="BE65" s="191" t="e">
        <v>#REF!</v>
      </c>
      <c r="BF65" s="191" t="s">
        <v>728</v>
      </c>
      <c r="BG65" s="191" t="e">
        <v>#REF!</v>
      </c>
    </row>
    <row r="66" spans="1:66" s="191" customFormat="1" ht="13">
      <c r="A66" s="226"/>
      <c r="B66" s="180">
        <v>6005056623</v>
      </c>
      <c r="C66" s="183" t="str">
        <f>IFERROR(IF(VLOOKUP($B66,勘定科目!$A:$H,HLOOKUP($E$5,勘定科目!$F$1:$H$2,2,0),0)="","",VLOOKUP($B66,勘定科目!$A:$E,2,0)),"")</f>
        <v>電気代（一般）</v>
      </c>
      <c r="D66" s="239" t="str">
        <f>IF(C66="","",VLOOKUP($B66,勘定科目!$A:$E,4,0))</f>
        <v>水道光熱費</v>
      </c>
      <c r="E66" s="245"/>
      <c r="F66" s="194">
        <f>ROUND(V66,0)</f>
        <v>907691</v>
      </c>
      <c r="G66" s="194">
        <f t="shared" ref="G66:Q67" si="12">ROUND(W66,0)</f>
        <v>931789</v>
      </c>
      <c r="H66" s="194">
        <f t="shared" si="12"/>
        <v>1170590</v>
      </c>
      <c r="I66" s="194">
        <f t="shared" si="12"/>
        <v>1260636</v>
      </c>
      <c r="J66" s="194">
        <f t="shared" si="12"/>
        <v>1301553</v>
      </c>
      <c r="K66" s="194">
        <f t="shared" si="12"/>
        <v>1190776</v>
      </c>
      <c r="L66" s="194">
        <f t="shared" si="12"/>
        <v>1163916</v>
      </c>
      <c r="M66" s="194">
        <f t="shared" si="12"/>
        <v>1074384</v>
      </c>
      <c r="N66" s="194">
        <f t="shared" si="12"/>
        <v>1029618</v>
      </c>
      <c r="O66" s="194">
        <f t="shared" si="12"/>
        <v>940086</v>
      </c>
      <c r="P66" s="194">
        <f t="shared" si="12"/>
        <v>934677</v>
      </c>
      <c r="Q66" s="194">
        <f t="shared" si="12"/>
        <v>716256</v>
      </c>
      <c r="R66" s="200">
        <f t="shared" si="3"/>
        <v>12621972</v>
      </c>
      <c r="S66" s="201" t="s">
        <v>731</v>
      </c>
      <c r="T66" s="202"/>
      <c r="U66" s="246"/>
      <c r="V66" s="246">
        <v>907691</v>
      </c>
      <c r="W66" s="246">
        <v>931789</v>
      </c>
      <c r="X66" s="191">
        <v>1170590</v>
      </c>
      <c r="Y66" s="191">
        <v>1260636</v>
      </c>
      <c r="Z66" s="191">
        <v>1301553</v>
      </c>
      <c r="AA66" s="191">
        <v>1190776</v>
      </c>
      <c r="AB66" s="191">
        <v>1163916</v>
      </c>
      <c r="AC66" s="191">
        <v>1074384</v>
      </c>
      <c r="AD66" s="191">
        <v>1029618</v>
      </c>
      <c r="AE66" s="191">
        <v>940086</v>
      </c>
      <c r="AF66" s="191">
        <v>934677</v>
      </c>
      <c r="AG66" s="191">
        <v>716256</v>
      </c>
      <c r="BA66"/>
      <c r="BB66"/>
      <c r="BD66" s="191" t="s">
        <v>708</v>
      </c>
      <c r="BE66" s="191" t="e">
        <v>#REF!</v>
      </c>
      <c r="BF66" s="191" t="s">
        <v>731</v>
      </c>
      <c r="BG66" s="191" t="e">
        <v>#REF!</v>
      </c>
      <c r="BH66" s="191" t="s">
        <v>731</v>
      </c>
    </row>
    <row r="67" spans="1:66" s="191" customFormat="1" ht="13">
      <c r="A67" s="226"/>
      <c r="B67" s="180">
        <v>6005056624</v>
      </c>
      <c r="C67" s="183" t="str">
        <f>IFERROR(IF(VLOOKUP($B67,勘定科目!$A:$H,HLOOKUP($E$5,勘定科目!$F$1:$H$2,2,0),0)="","",VLOOKUP($B67,勘定科目!$A:$E,2,0)),"")</f>
        <v>水道代（一般）</v>
      </c>
      <c r="D67" s="239" t="str">
        <f>IF(C67="","",VLOOKUP($B67,勘定科目!$A:$E,4,0))</f>
        <v>水道光熱費</v>
      </c>
      <c r="E67" s="245"/>
      <c r="F67" s="194">
        <f>ROUND(V67,0)</f>
        <v>348757</v>
      </c>
      <c r="G67" s="194">
        <f t="shared" si="12"/>
        <v>385433</v>
      </c>
      <c r="H67" s="194">
        <f t="shared" si="12"/>
        <v>435326</v>
      </c>
      <c r="I67" s="194">
        <f t="shared" si="12"/>
        <v>621677</v>
      </c>
      <c r="J67" s="194">
        <f t="shared" si="12"/>
        <v>556798</v>
      </c>
      <c r="K67" s="194">
        <f t="shared" si="12"/>
        <v>483130</v>
      </c>
      <c r="L67" s="194">
        <f t="shared" si="12"/>
        <v>330958</v>
      </c>
      <c r="M67" s="194">
        <f t="shared" si="12"/>
        <v>460984</v>
      </c>
      <c r="N67" s="194">
        <f t="shared" si="12"/>
        <v>460404</v>
      </c>
      <c r="O67" s="194">
        <f t="shared" si="12"/>
        <v>312197</v>
      </c>
      <c r="P67" s="194">
        <f t="shared" si="12"/>
        <v>234106</v>
      </c>
      <c r="Q67" s="194">
        <f t="shared" si="12"/>
        <v>272004</v>
      </c>
      <c r="R67" s="200">
        <f t="shared" si="3"/>
        <v>4901774</v>
      </c>
      <c r="S67" s="201" t="s">
        <v>732</v>
      </c>
      <c r="T67" s="202"/>
      <c r="U67" s="246"/>
      <c r="V67" s="246">
        <v>348757</v>
      </c>
      <c r="W67" s="246">
        <v>385433</v>
      </c>
      <c r="X67" s="191">
        <v>435326</v>
      </c>
      <c r="Y67" s="191">
        <v>621677</v>
      </c>
      <c r="Z67" s="191">
        <v>556798</v>
      </c>
      <c r="AA67" s="191">
        <v>483130</v>
      </c>
      <c r="AB67" s="191">
        <v>330958</v>
      </c>
      <c r="AC67" s="191">
        <v>460984</v>
      </c>
      <c r="AD67" s="191">
        <v>460404</v>
      </c>
      <c r="AE67" s="191">
        <v>312197</v>
      </c>
      <c r="AF67" s="191">
        <v>234106</v>
      </c>
      <c r="AG67" s="191">
        <v>272004</v>
      </c>
      <c r="BA67"/>
      <c r="BB67"/>
      <c r="BD67" s="191" t="s">
        <v>708</v>
      </c>
      <c r="BE67" s="191" t="e">
        <v>#REF!</v>
      </c>
      <c r="BF67" s="191" t="s">
        <v>732</v>
      </c>
      <c r="BG67" s="191" t="e">
        <v>#REF!</v>
      </c>
      <c r="BH67" s="191" t="s">
        <v>732</v>
      </c>
    </row>
    <row r="68" spans="1:66" s="191" customFormat="1" ht="13">
      <c r="A68" s="226"/>
      <c r="B68" s="180">
        <v>6005146628</v>
      </c>
      <c r="C68" s="183" t="str">
        <f>IFERROR(IF(VLOOKUP($B68,勘定科目!$A:$H,HLOOKUP($E$5,勘定科目!$F$1:$H$2,2,0),0)="","",VLOOKUP($B68,勘定科目!$A:$E,2,0)),"")</f>
        <v>ＫＤＣシステム使用料（一般）</v>
      </c>
      <c r="D68" s="239" t="str">
        <f>IF(C68="","",VLOOKUP($B68,勘定科目!$A:$E,4,0))</f>
        <v>図書及び事務費</v>
      </c>
      <c r="E68" s="245"/>
      <c r="F68" s="194">
        <f>ROUND((80.77+11.46)*$B$2*12,0)</f>
        <v>28100636</v>
      </c>
      <c r="G68" s="194">
        <f t="shared" ref="G68:Q68" si="13">ROUND((80.77+11.46)*$B$2*12,0)</f>
        <v>28100636</v>
      </c>
      <c r="H68" s="194">
        <f t="shared" si="13"/>
        <v>28100636</v>
      </c>
      <c r="I68" s="194">
        <f t="shared" si="13"/>
        <v>28100636</v>
      </c>
      <c r="J68" s="194">
        <f t="shared" si="13"/>
        <v>28100636</v>
      </c>
      <c r="K68" s="194">
        <f t="shared" si="13"/>
        <v>28100636</v>
      </c>
      <c r="L68" s="194">
        <f t="shared" si="13"/>
        <v>28100636</v>
      </c>
      <c r="M68" s="194">
        <f t="shared" si="13"/>
        <v>28100636</v>
      </c>
      <c r="N68" s="194">
        <f t="shared" si="13"/>
        <v>28100636</v>
      </c>
      <c r="O68" s="194">
        <f t="shared" si="13"/>
        <v>28100636</v>
      </c>
      <c r="P68" s="194">
        <f t="shared" si="13"/>
        <v>28100636</v>
      </c>
      <c r="Q68" s="194">
        <f t="shared" si="13"/>
        <v>28100636</v>
      </c>
      <c r="R68" s="200">
        <f t="shared" si="3"/>
        <v>337207632</v>
      </c>
      <c r="S68" s="201" t="s">
        <v>808</v>
      </c>
      <c r="T68" s="202"/>
      <c r="U68" s="246"/>
      <c r="V68" s="246"/>
      <c r="W68" s="246"/>
      <c r="BA68"/>
      <c r="BB68"/>
      <c r="BD68" s="191" t="s">
        <v>708</v>
      </c>
      <c r="BE68" s="191" t="e">
        <v>#REF!</v>
      </c>
      <c r="BG68" s="191" t="e">
        <v>#REF!</v>
      </c>
    </row>
    <row r="69" spans="1:66" s="191" customFormat="1" ht="13">
      <c r="A69" s="226"/>
      <c r="B69" s="180">
        <v>6005246672</v>
      </c>
      <c r="C69" s="183" t="str">
        <f>IFERROR(IF(VLOOKUP($B69,勘定科目!$A:$H,HLOOKUP($E$5,勘定科目!$F$1:$H$2,2,0),0)="","",VLOOKUP($B69,勘定科目!$A:$E,2,0)),"")</f>
        <v>銀行手数料（一般）</v>
      </c>
      <c r="D69" s="239" t="str">
        <f>IF(C69="","",VLOOKUP($B69,勘定科目!$A:$E,4,0))</f>
        <v>手数料</v>
      </c>
      <c r="E69" s="245"/>
      <c r="F69" s="194">
        <f>ROUND(21*5*$B$2,0)</f>
        <v>2665950</v>
      </c>
      <c r="G69" s="194">
        <f t="shared" ref="G69:Q69" si="14">ROUND(21*5*$B$2,0)</f>
        <v>2665950</v>
      </c>
      <c r="H69" s="194">
        <f t="shared" si="14"/>
        <v>2665950</v>
      </c>
      <c r="I69" s="194">
        <f t="shared" si="14"/>
        <v>2665950</v>
      </c>
      <c r="J69" s="194">
        <f t="shared" si="14"/>
        <v>2665950</v>
      </c>
      <c r="K69" s="194">
        <f t="shared" si="14"/>
        <v>2665950</v>
      </c>
      <c r="L69" s="194">
        <f t="shared" si="14"/>
        <v>2665950</v>
      </c>
      <c r="M69" s="194">
        <f t="shared" si="14"/>
        <v>2665950</v>
      </c>
      <c r="N69" s="194">
        <f t="shared" si="14"/>
        <v>2665950</v>
      </c>
      <c r="O69" s="194">
        <f t="shared" si="14"/>
        <v>2665950</v>
      </c>
      <c r="P69" s="194">
        <f t="shared" si="14"/>
        <v>2665950</v>
      </c>
      <c r="Q69" s="194">
        <f t="shared" si="14"/>
        <v>2665950</v>
      </c>
      <c r="R69" s="200">
        <f t="shared" si="3"/>
        <v>31991400</v>
      </c>
      <c r="S69" s="300" t="s">
        <v>733</v>
      </c>
      <c r="T69" s="202"/>
      <c r="U69" s="246"/>
      <c r="V69" s="246"/>
      <c r="W69" s="246"/>
      <c r="BA69"/>
      <c r="BB69"/>
      <c r="BE69" s="191" t="e">
        <v>#REF!</v>
      </c>
      <c r="BG69" s="191" t="e">
        <v>#REF!</v>
      </c>
      <c r="BH69" s="191" t="s">
        <v>734</v>
      </c>
    </row>
    <row r="70" spans="1:66" s="191" customFormat="1" ht="13">
      <c r="A70" s="226"/>
      <c r="B70" s="180">
        <v>6005116654</v>
      </c>
      <c r="C70" s="183" t="str">
        <f>IFERROR(IF(VLOOKUP($B70,勘定科目!$A:$H,HLOOKUP($E$5,勘定科目!$F$1:$H$2,2,0),0)="","",VLOOKUP($B70,勘定科目!$A:$E,2,0)),"")</f>
        <v>ベトナム国内交通費（一般）</v>
      </c>
      <c r="D70" s="239" t="str">
        <f>IF(C70="","",VLOOKUP($B70,勘定科目!$A:$E,4,0))</f>
        <v>旅費交通費</v>
      </c>
      <c r="E70" s="245"/>
      <c r="F70" s="194">
        <v>1257350</v>
      </c>
      <c r="G70" s="247">
        <v>3711600</v>
      </c>
      <c r="H70" s="247">
        <v>1816180</v>
      </c>
      <c r="I70" s="247">
        <v>461200</v>
      </c>
      <c r="J70" s="247">
        <v>459000</v>
      </c>
      <c r="K70" s="247">
        <v>402400</v>
      </c>
      <c r="L70" s="247">
        <v>569440</v>
      </c>
      <c r="M70" s="247">
        <v>294700</v>
      </c>
      <c r="N70" s="247">
        <v>360000</v>
      </c>
      <c r="O70" s="247">
        <v>3515000</v>
      </c>
      <c r="P70" s="247">
        <v>485000</v>
      </c>
      <c r="Q70" s="247">
        <v>415000</v>
      </c>
      <c r="R70" s="200">
        <f t="shared" si="3"/>
        <v>13746870</v>
      </c>
      <c r="S70" s="201" t="s">
        <v>735</v>
      </c>
      <c r="T70" s="202"/>
      <c r="U70" s="246"/>
      <c r="V70" s="246" t="s">
        <v>773</v>
      </c>
      <c r="W70" s="246" t="s">
        <v>774</v>
      </c>
      <c r="X70" s="191" t="s">
        <v>775</v>
      </c>
      <c r="BA70"/>
      <c r="BB70"/>
      <c r="BD70" s="191" t="s">
        <v>708</v>
      </c>
      <c r="BE70" s="191" t="e">
        <v>#REF!</v>
      </c>
      <c r="BG70" s="191" t="e">
        <v>#REF!</v>
      </c>
    </row>
    <row r="71" spans="1:66" s="191" customFormat="1" ht="13">
      <c r="A71" s="226"/>
      <c r="B71" s="180">
        <v>6005136657</v>
      </c>
      <c r="C71" s="183" t="str">
        <f>IFERROR(IF(VLOOKUP($B71,勘定科目!$A:$H,HLOOKUP($E$5,勘定科目!$F$1:$H$2,2,0),0)="","",VLOOKUP($B71,勘定科目!$A:$E,2,0)),"")</f>
        <v>郵送代（一般）</v>
      </c>
      <c r="D71" s="239" t="str">
        <f>IF(C71="","",VLOOKUP($B71,勘定科目!$A:$E,4,0))</f>
        <v>通信費</v>
      </c>
      <c r="E71" s="245"/>
      <c r="F71" s="194"/>
      <c r="G71" s="247"/>
      <c r="H71" s="247"/>
      <c r="I71" s="247">
        <f>534644*2</f>
        <v>1069288</v>
      </c>
      <c r="J71" s="247">
        <v>534644</v>
      </c>
      <c r="K71" s="247"/>
      <c r="L71" s="247"/>
      <c r="M71" s="247"/>
      <c r="N71" s="247"/>
      <c r="O71" s="247">
        <v>534644</v>
      </c>
      <c r="P71" s="247"/>
      <c r="Q71" s="247">
        <v>534644</v>
      </c>
      <c r="R71" s="200">
        <f t="shared" si="3"/>
        <v>2673220</v>
      </c>
      <c r="S71" s="201" t="s">
        <v>803</v>
      </c>
      <c r="T71" s="202"/>
      <c r="U71" s="246"/>
      <c r="V71" s="246"/>
      <c r="W71" s="246" t="s">
        <v>776</v>
      </c>
      <c r="X71" s="191" t="s">
        <v>777</v>
      </c>
      <c r="BA71"/>
      <c r="BB71"/>
      <c r="BD71" s="191" t="s">
        <v>708</v>
      </c>
      <c r="BE71" s="191" t="e">
        <v>#REF!</v>
      </c>
      <c r="BG71" s="191" t="e">
        <v>#REF!</v>
      </c>
    </row>
    <row r="72" spans="1:66" s="191" customFormat="1" ht="13">
      <c r="A72" s="226"/>
      <c r="B72" s="180">
        <v>6005136657</v>
      </c>
      <c r="C72" s="183" t="str">
        <f>IFERROR(IF(VLOOKUP($B72,勘定科目!$A:$H,HLOOKUP($E$5,勘定科目!$F$1:$H$2,2,0),0)="","",VLOOKUP($B72,勘定科目!$A:$E,2,0)),"")</f>
        <v>郵送代（一般）</v>
      </c>
      <c r="D72" s="239" t="str">
        <f>IF(C72="","",VLOOKUP($B72,勘定科目!$A:$E,4,0))</f>
        <v>通信費</v>
      </c>
      <c r="E72" s="245"/>
      <c r="F72" s="194">
        <v>492395</v>
      </c>
      <c r="G72" s="247">
        <v>200591</v>
      </c>
      <c r="H72" s="247">
        <v>283934</v>
      </c>
      <c r="I72" s="247">
        <v>60000</v>
      </c>
      <c r="J72" s="247">
        <v>427266</v>
      </c>
      <c r="K72" s="247">
        <v>54290</v>
      </c>
      <c r="L72" s="247">
        <v>60000</v>
      </c>
      <c r="M72" s="247">
        <v>116479</v>
      </c>
      <c r="N72" s="247">
        <v>60000</v>
      </c>
      <c r="O72" s="247">
        <v>60000</v>
      </c>
      <c r="P72" s="247">
        <v>177880</v>
      </c>
      <c r="Q72" s="247">
        <v>422576</v>
      </c>
      <c r="R72" s="200">
        <f t="shared" si="3"/>
        <v>2415411</v>
      </c>
      <c r="S72" s="201" t="s">
        <v>736</v>
      </c>
      <c r="T72" s="202"/>
      <c r="U72" s="246"/>
      <c r="V72" s="246"/>
      <c r="W72" s="246"/>
      <c r="BA72"/>
      <c r="BB72"/>
      <c r="BD72" s="191" t="s">
        <v>708</v>
      </c>
      <c r="BE72" s="191" t="e">
        <v>#REF!</v>
      </c>
      <c r="BG72" s="191" t="e">
        <v>#REF!</v>
      </c>
    </row>
    <row r="73" spans="1:66" s="191" customFormat="1" ht="13">
      <c r="A73" s="226"/>
      <c r="B73" s="180">
        <v>6005216632</v>
      </c>
      <c r="C73" s="183" t="str">
        <f>IFERROR(IF(VLOOKUP($B73,勘定科目!$A:$H,HLOOKUP($E$5,勘定科目!$F$1:$H$2,2,0),0)="","",VLOOKUP($B73,勘定科目!$A:$E,2,0)),"")</f>
        <v>委嘱報酬・設計委託費（一般）</v>
      </c>
      <c r="D73" s="239" t="str">
        <f>IF(C73="","",VLOOKUP($B73,勘定科目!$A:$E,4,0))</f>
        <v>委嘱報酬</v>
      </c>
      <c r="E73" s="245"/>
      <c r="F73" s="194">
        <f>ROUND(3057000000*1.05/12,0)</f>
        <v>267487500</v>
      </c>
      <c r="G73" s="194">
        <f t="shared" ref="G73:Q73" si="15">ROUND(3057000000*1.05/12,0)</f>
        <v>267487500</v>
      </c>
      <c r="H73" s="194">
        <f t="shared" si="15"/>
        <v>267487500</v>
      </c>
      <c r="I73" s="194">
        <f t="shared" si="15"/>
        <v>267487500</v>
      </c>
      <c r="J73" s="194">
        <f t="shared" si="15"/>
        <v>267487500</v>
      </c>
      <c r="K73" s="194">
        <f t="shared" si="15"/>
        <v>267487500</v>
      </c>
      <c r="L73" s="194">
        <f t="shared" si="15"/>
        <v>267487500</v>
      </c>
      <c r="M73" s="194">
        <f t="shared" si="15"/>
        <v>267487500</v>
      </c>
      <c r="N73" s="194">
        <f t="shared" si="15"/>
        <v>267487500</v>
      </c>
      <c r="O73" s="194">
        <f t="shared" si="15"/>
        <v>267487500</v>
      </c>
      <c r="P73" s="194">
        <f t="shared" si="15"/>
        <v>267487500</v>
      </c>
      <c r="Q73" s="194">
        <f t="shared" si="15"/>
        <v>267487500</v>
      </c>
      <c r="R73" s="200">
        <f t="shared" si="3"/>
        <v>3209850000</v>
      </c>
      <c r="S73" s="300" t="s">
        <v>737</v>
      </c>
      <c r="T73" s="202"/>
      <c r="U73" s="246"/>
      <c r="V73" s="246"/>
      <c r="W73" s="246"/>
      <c r="BA73"/>
      <c r="BB73"/>
      <c r="BE73" s="191" t="e">
        <v>#REF!</v>
      </c>
      <c r="BF73" s="191" t="s">
        <v>738</v>
      </c>
      <c r="BG73" s="191" t="e">
        <v>#REF!</v>
      </c>
      <c r="BH73" s="191" t="s">
        <v>738</v>
      </c>
    </row>
    <row r="74" spans="1:66" s="191" customFormat="1" ht="13">
      <c r="A74" s="226"/>
      <c r="B74" s="180">
        <v>6005216632</v>
      </c>
      <c r="C74" s="183" t="str">
        <f>IFERROR(IF(VLOOKUP($B74,勘定科目!$A:$H,HLOOKUP($E$5,勘定科目!$F$1:$H$2,2,0),0)="","",VLOOKUP($B74,勘定科目!$A:$E,2,0)),"")</f>
        <v>委嘱報酬・設計委託費（一般）</v>
      </c>
      <c r="D74" s="239" t="str">
        <f>IF(C74="","",VLOOKUP($B74,勘定科目!$A:$E,4,0))</f>
        <v>委嘱報酬</v>
      </c>
      <c r="E74" s="245"/>
      <c r="F74" s="194">
        <f>ROUND(8000/12*$B$2,0)</f>
        <v>16926667</v>
      </c>
      <c r="G74" s="194">
        <f t="shared" ref="G74:Q74" si="16">ROUND(8000/12*$B$2,0)</f>
        <v>16926667</v>
      </c>
      <c r="H74" s="194">
        <f t="shared" si="16"/>
        <v>16926667</v>
      </c>
      <c r="I74" s="194">
        <f t="shared" si="16"/>
        <v>16926667</v>
      </c>
      <c r="J74" s="194">
        <f t="shared" si="16"/>
        <v>16926667</v>
      </c>
      <c r="K74" s="194">
        <f t="shared" si="16"/>
        <v>16926667</v>
      </c>
      <c r="L74" s="194">
        <f t="shared" si="16"/>
        <v>16926667</v>
      </c>
      <c r="M74" s="194">
        <f t="shared" si="16"/>
        <v>16926667</v>
      </c>
      <c r="N74" s="194">
        <f t="shared" si="16"/>
        <v>16926667</v>
      </c>
      <c r="O74" s="194">
        <f t="shared" si="16"/>
        <v>16926667</v>
      </c>
      <c r="P74" s="194">
        <f t="shared" si="16"/>
        <v>16926667</v>
      </c>
      <c r="Q74" s="194">
        <f t="shared" si="16"/>
        <v>16926667</v>
      </c>
      <c r="R74" s="200">
        <f t="shared" si="3"/>
        <v>203120004</v>
      </c>
      <c r="S74" s="201" t="s">
        <v>739</v>
      </c>
      <c r="T74" s="202"/>
      <c r="U74" s="246"/>
      <c r="V74" s="246"/>
      <c r="W74" s="246"/>
      <c r="BA74"/>
      <c r="BB74"/>
      <c r="BE74" s="191" t="e">
        <v>#REF!</v>
      </c>
      <c r="BF74" s="191" t="s">
        <v>740</v>
      </c>
      <c r="BG74" s="191" t="e">
        <v>#REF!</v>
      </c>
      <c r="BH74" s="191" t="s">
        <v>740</v>
      </c>
      <c r="BK74" s="191">
        <v>666.67</v>
      </c>
      <c r="BL74" s="191">
        <v>666.67</v>
      </c>
      <c r="BM74" s="191">
        <v>666.67</v>
      </c>
      <c r="BN74" s="191">
        <v>666.67</v>
      </c>
    </row>
    <row r="75" spans="1:66" s="191" customFormat="1" ht="13">
      <c r="A75" s="226"/>
      <c r="B75" s="180">
        <v>6005216632</v>
      </c>
      <c r="C75" s="183" t="str">
        <f>IFERROR(IF(VLOOKUP($B75,勘定科目!$A:$H,HLOOKUP($E$5,勘定科目!$F$1:$H$2,2,0),0)="","",VLOOKUP($B75,勘定科目!$A:$E,2,0)),"")</f>
        <v>委嘱報酬・設計委託費（一般）</v>
      </c>
      <c r="D75" s="239" t="str">
        <f>IF(C75="","",VLOOKUP($B75,勘定科目!$A:$E,4,0))</f>
        <v>委嘱報酬</v>
      </c>
      <c r="E75" s="245"/>
      <c r="F75" s="194">
        <f>ROUND(190000000/12,0)</f>
        <v>15833333</v>
      </c>
      <c r="G75" s="194">
        <f t="shared" ref="G75:Q75" si="17">ROUND(190000000/12,0)</f>
        <v>15833333</v>
      </c>
      <c r="H75" s="194">
        <f t="shared" si="17"/>
        <v>15833333</v>
      </c>
      <c r="I75" s="194">
        <f t="shared" si="17"/>
        <v>15833333</v>
      </c>
      <c r="J75" s="194">
        <f t="shared" si="17"/>
        <v>15833333</v>
      </c>
      <c r="K75" s="194">
        <f t="shared" si="17"/>
        <v>15833333</v>
      </c>
      <c r="L75" s="194">
        <f t="shared" si="17"/>
        <v>15833333</v>
      </c>
      <c r="M75" s="194">
        <f t="shared" si="17"/>
        <v>15833333</v>
      </c>
      <c r="N75" s="194">
        <f t="shared" si="17"/>
        <v>15833333</v>
      </c>
      <c r="O75" s="194">
        <f t="shared" si="17"/>
        <v>15833333</v>
      </c>
      <c r="P75" s="194">
        <f t="shared" si="17"/>
        <v>15833333</v>
      </c>
      <c r="Q75" s="194">
        <f t="shared" si="17"/>
        <v>15833333</v>
      </c>
      <c r="R75" s="200">
        <f t="shared" si="3"/>
        <v>189999996</v>
      </c>
      <c r="S75" s="300" t="s">
        <v>741</v>
      </c>
      <c r="T75" s="202"/>
      <c r="U75" s="246"/>
      <c r="V75" s="246"/>
      <c r="W75" s="246"/>
      <c r="BA75"/>
      <c r="BB75"/>
      <c r="BE75" s="191" t="e">
        <v>#REF!</v>
      </c>
      <c r="BF75" s="191" t="s">
        <v>742</v>
      </c>
      <c r="BG75" s="191" t="e">
        <v>#REF!</v>
      </c>
      <c r="BH75" s="191" t="s">
        <v>742</v>
      </c>
    </row>
    <row r="76" spans="1:66" s="191" customFormat="1" ht="13">
      <c r="A76" s="226"/>
      <c r="B76" s="180">
        <v>6005216632</v>
      </c>
      <c r="C76" s="183" t="str">
        <f>IFERROR(IF(VLOOKUP($B76,勘定科目!$A:$H,HLOOKUP($E$5,勘定科目!$F$1:$H$2,2,0),0)="","",VLOOKUP($B76,勘定科目!$A:$E,2,0)),"")</f>
        <v>委嘱報酬・設計委託費（一般）</v>
      </c>
      <c r="D76" s="239" t="str">
        <f>IF(C76="","",VLOOKUP($B76,勘定科目!$A:$E,4,0))</f>
        <v>委嘱報酬</v>
      </c>
      <c r="E76" s="245"/>
      <c r="F76" s="194">
        <f>ROUND(2000/12*$B$2,0)</f>
        <v>4231667</v>
      </c>
      <c r="G76" s="194">
        <f t="shared" ref="G76:Q76" si="18">ROUND(2000/12*$B$2,0)</f>
        <v>4231667</v>
      </c>
      <c r="H76" s="194">
        <f t="shared" si="18"/>
        <v>4231667</v>
      </c>
      <c r="I76" s="194">
        <f t="shared" si="18"/>
        <v>4231667</v>
      </c>
      <c r="J76" s="194">
        <f t="shared" si="18"/>
        <v>4231667</v>
      </c>
      <c r="K76" s="194">
        <f t="shared" si="18"/>
        <v>4231667</v>
      </c>
      <c r="L76" s="194">
        <f t="shared" si="18"/>
        <v>4231667</v>
      </c>
      <c r="M76" s="194">
        <f t="shared" si="18"/>
        <v>4231667</v>
      </c>
      <c r="N76" s="194">
        <f t="shared" si="18"/>
        <v>4231667</v>
      </c>
      <c r="O76" s="194">
        <f t="shared" si="18"/>
        <v>4231667</v>
      </c>
      <c r="P76" s="194">
        <f t="shared" si="18"/>
        <v>4231667</v>
      </c>
      <c r="Q76" s="194">
        <f t="shared" si="18"/>
        <v>4231667</v>
      </c>
      <c r="R76" s="200">
        <f t="shared" si="3"/>
        <v>50780004</v>
      </c>
      <c r="S76" s="201" t="s">
        <v>743</v>
      </c>
      <c r="T76" s="202"/>
      <c r="U76" s="246"/>
      <c r="V76" s="246"/>
      <c r="W76" s="246"/>
      <c r="BA76"/>
      <c r="BB76"/>
      <c r="BE76" s="191" t="e">
        <v>#REF!</v>
      </c>
      <c r="BF76" s="191" t="s">
        <v>744</v>
      </c>
      <c r="BG76" s="191" t="e">
        <v>#REF!</v>
      </c>
      <c r="BH76" s="191" t="s">
        <v>744</v>
      </c>
      <c r="BK76" s="191">
        <v>166.67</v>
      </c>
      <c r="BL76" s="191">
        <v>166.67</v>
      </c>
      <c r="BM76" s="191">
        <v>166.67</v>
      </c>
      <c r="BN76" s="191">
        <v>166.67</v>
      </c>
    </row>
    <row r="77" spans="1:66" s="191" customFormat="1" ht="13">
      <c r="A77" s="226"/>
      <c r="B77" s="180">
        <v>6005216632</v>
      </c>
      <c r="C77" s="183" t="str">
        <f>IFERROR(IF(VLOOKUP($B77,勘定科目!$A:$H,HLOOKUP($E$5,勘定科目!$F$1:$H$2,2,0),0)="","",VLOOKUP($B77,勘定科目!$A:$E,2,0)),"")</f>
        <v>委嘱報酬・設計委託費（一般）</v>
      </c>
      <c r="D77" s="239" t="str">
        <f>IF(C77="","",VLOOKUP($B77,勘定科目!$A:$E,4,0))</f>
        <v>委嘱報酬</v>
      </c>
      <c r="E77" s="245"/>
      <c r="F77" s="194">
        <f>ROUND(190000000/12,0)</f>
        <v>15833333</v>
      </c>
      <c r="G77" s="194">
        <f t="shared" ref="G77:Q77" si="19">ROUND(190000000/12,0)</f>
        <v>15833333</v>
      </c>
      <c r="H77" s="194">
        <f t="shared" si="19"/>
        <v>15833333</v>
      </c>
      <c r="I77" s="194">
        <f t="shared" si="19"/>
        <v>15833333</v>
      </c>
      <c r="J77" s="194">
        <f t="shared" si="19"/>
        <v>15833333</v>
      </c>
      <c r="K77" s="194">
        <f t="shared" si="19"/>
        <v>15833333</v>
      </c>
      <c r="L77" s="194">
        <f t="shared" si="19"/>
        <v>15833333</v>
      </c>
      <c r="M77" s="194">
        <f t="shared" si="19"/>
        <v>15833333</v>
      </c>
      <c r="N77" s="194">
        <f t="shared" si="19"/>
        <v>15833333</v>
      </c>
      <c r="O77" s="194">
        <f t="shared" si="19"/>
        <v>15833333</v>
      </c>
      <c r="P77" s="194">
        <f t="shared" si="19"/>
        <v>15833333</v>
      </c>
      <c r="Q77" s="194">
        <f t="shared" si="19"/>
        <v>15833333</v>
      </c>
      <c r="R77" s="200">
        <f t="shared" si="3"/>
        <v>189999996</v>
      </c>
      <c r="S77" s="300" t="s">
        <v>745</v>
      </c>
      <c r="T77" s="202"/>
      <c r="U77" s="246"/>
      <c r="V77" s="246"/>
      <c r="W77" s="246"/>
      <c r="BA77"/>
      <c r="BB77"/>
      <c r="BE77" s="191" t="e">
        <v>#REF!</v>
      </c>
      <c r="BF77" s="191" t="s">
        <v>746</v>
      </c>
      <c r="BG77" s="191" t="e">
        <v>#REF!</v>
      </c>
      <c r="BH77" s="191" t="s">
        <v>746</v>
      </c>
    </row>
    <row r="78" spans="1:66" s="191" customFormat="1" ht="13">
      <c r="A78" s="226"/>
      <c r="B78" s="180">
        <v>6005216632</v>
      </c>
      <c r="C78" s="183" t="str">
        <f>IFERROR(IF(VLOOKUP($B78,勘定科目!$A:$H,HLOOKUP($E$5,勘定科目!$F$1:$H$2,2,0),0)="","",VLOOKUP($B78,勘定科目!$A:$E,2,0)),"")</f>
        <v>委嘱報酬・設計委託費（一般）</v>
      </c>
      <c r="D78" s="239" t="str">
        <f>IF(C78="","",VLOOKUP($B78,勘定科目!$A:$E,4,0))</f>
        <v>委嘱報酬</v>
      </c>
      <c r="E78" s="245"/>
      <c r="F78" s="194">
        <f>ROUND(20000000/12,0)</f>
        <v>1666667</v>
      </c>
      <c r="G78" s="194">
        <f t="shared" ref="G78:Q78" si="20">ROUND(20000000/12,0)</f>
        <v>1666667</v>
      </c>
      <c r="H78" s="194">
        <f t="shared" si="20"/>
        <v>1666667</v>
      </c>
      <c r="I78" s="194">
        <f t="shared" si="20"/>
        <v>1666667</v>
      </c>
      <c r="J78" s="194">
        <f t="shared" si="20"/>
        <v>1666667</v>
      </c>
      <c r="K78" s="194">
        <f t="shared" si="20"/>
        <v>1666667</v>
      </c>
      <c r="L78" s="194">
        <f t="shared" si="20"/>
        <v>1666667</v>
      </c>
      <c r="M78" s="194">
        <f t="shared" si="20"/>
        <v>1666667</v>
      </c>
      <c r="N78" s="194">
        <f t="shared" si="20"/>
        <v>1666667</v>
      </c>
      <c r="O78" s="194">
        <f t="shared" si="20"/>
        <v>1666667</v>
      </c>
      <c r="P78" s="194">
        <f t="shared" si="20"/>
        <v>1666667</v>
      </c>
      <c r="Q78" s="194">
        <f t="shared" si="20"/>
        <v>1666667</v>
      </c>
      <c r="R78" s="200">
        <f t="shared" si="3"/>
        <v>20000004</v>
      </c>
      <c r="S78" s="201" t="s">
        <v>747</v>
      </c>
      <c r="T78" s="202"/>
      <c r="U78" s="246"/>
      <c r="V78" s="246"/>
      <c r="W78" s="246"/>
      <c r="BA78"/>
      <c r="BB78"/>
      <c r="BE78" s="191" t="e">
        <v>#REF!</v>
      </c>
      <c r="BF78" s="191" t="s">
        <v>748</v>
      </c>
      <c r="BG78" s="191" t="e">
        <v>#REF!</v>
      </c>
      <c r="BH78" s="191" t="s">
        <v>748</v>
      </c>
    </row>
    <row r="79" spans="1:66" s="191" customFormat="1" ht="13">
      <c r="A79" s="226"/>
      <c r="B79" s="180">
        <v>6005216632</v>
      </c>
      <c r="C79" s="183" t="str">
        <f>IFERROR(IF(VLOOKUP($B79,勘定科目!$A:$H,HLOOKUP($E$5,勘定科目!$F$1:$H$2,2,0),0)="","",VLOOKUP($B79,勘定科目!$A:$E,2,0)),"")</f>
        <v>委嘱報酬・設計委託費（一般）</v>
      </c>
      <c r="D79" s="239" t="str">
        <f>IF(C79="","",VLOOKUP($B79,勘定科目!$A:$E,4,0))</f>
        <v>委嘱報酬</v>
      </c>
      <c r="E79" s="245"/>
      <c r="F79" s="194"/>
      <c r="G79" s="247"/>
      <c r="H79" s="247"/>
      <c r="I79" s="247"/>
      <c r="J79" s="247"/>
      <c r="K79" s="247"/>
      <c r="L79" s="247">
        <v>888286000</v>
      </c>
      <c r="M79" s="247"/>
      <c r="N79" s="247"/>
      <c r="O79" s="247"/>
      <c r="P79" s="247"/>
      <c r="Q79" s="247"/>
      <c r="R79" s="200">
        <f t="shared" si="3"/>
        <v>888286000</v>
      </c>
      <c r="S79" s="300" t="s">
        <v>811</v>
      </c>
      <c r="T79" s="202"/>
      <c r="U79" s="246"/>
      <c r="V79" s="246"/>
      <c r="W79" s="246"/>
      <c r="BA79"/>
      <c r="BB79"/>
      <c r="BE79" s="191" t="e">
        <v>#REF!</v>
      </c>
      <c r="BF79" s="191" t="s">
        <v>748</v>
      </c>
      <c r="BG79" s="191" t="e">
        <v>#REF!</v>
      </c>
      <c r="BH79" s="191" t="s">
        <v>748</v>
      </c>
    </row>
    <row r="80" spans="1:66" s="191" customFormat="1" ht="13">
      <c r="A80" s="226"/>
      <c r="B80" s="180">
        <v>6005216632</v>
      </c>
      <c r="C80" s="183" t="str">
        <f>IFERROR(IF(VLOOKUP($B80,勘定科目!$A:$H,HLOOKUP($E$5,勘定科目!$F$1:$H$2,2,0),0)="","",VLOOKUP($B80,勘定科目!$A:$E,2,0)),"")</f>
        <v>委嘱報酬・設計委託費（一般）</v>
      </c>
      <c r="D80" s="239" t="str">
        <f>IF(C80="","",VLOOKUP($B80,勘定科目!$A:$E,4,0))</f>
        <v>委嘱報酬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300" t="s">
        <v>809</v>
      </c>
      <c r="T80" s="202"/>
      <c r="U80" s="246"/>
      <c r="V80" s="246"/>
      <c r="W80" s="246"/>
      <c r="BA80"/>
      <c r="BB80"/>
      <c r="BE80" s="191" t="e">
        <v>#REF!</v>
      </c>
      <c r="BG80" s="191" t="e">
        <v>#REF!</v>
      </c>
    </row>
    <row r="81" spans="1:63" s="191" customFormat="1" ht="13">
      <c r="A81" s="226"/>
      <c r="B81" s="180">
        <v>6005216632</v>
      </c>
      <c r="C81" s="183" t="str">
        <f>IFERROR(IF(VLOOKUP($B81,勘定科目!$A:$H,HLOOKUP($E$5,勘定科目!$F$1:$H$2,2,0),0)="","",VLOOKUP($B81,勘定科目!$A:$E,2,0)),"")</f>
        <v>委嘱報酬・設計委託費（一般）</v>
      </c>
      <c r="D81" s="239" t="str">
        <f>IF(C81="","",VLOOKUP($B81,勘定科目!$A:$E,4,0))</f>
        <v>委嘱報酬</v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0</v>
      </c>
      <c r="S81" s="300" t="s">
        <v>810</v>
      </c>
      <c r="T81" s="202"/>
      <c r="U81" s="246"/>
      <c r="V81" s="246"/>
      <c r="W81" s="246"/>
      <c r="BA81"/>
      <c r="BB81"/>
      <c r="BE81" s="191" t="e">
        <v>#REF!</v>
      </c>
      <c r="BG81" s="191" t="e">
        <v>#REF!</v>
      </c>
    </row>
    <row r="82" spans="1:63" s="191" customFormat="1" ht="13">
      <c r="A82" s="226"/>
      <c r="B82" s="180">
        <v>6005126423</v>
      </c>
      <c r="C82" s="183" t="str">
        <f>IFERROR(IF(VLOOKUP($B82,勘定科目!$A:$H,HLOOKUP($E$5,勘定科目!$F$1:$H$2,2,0),0)="","",VLOOKUP($B82,勘定科目!$A:$E,2,0)),"")</f>
        <v>事務用品費（一般）</v>
      </c>
      <c r="D82" s="239" t="str">
        <f>IF(C82="","",VLOOKUP($B82,勘定科目!$A:$E,4,0))</f>
        <v>図書及び事務費</v>
      </c>
      <c r="E82" s="245"/>
      <c r="F82" s="194"/>
      <c r="G82" s="247"/>
      <c r="H82" s="247"/>
      <c r="I82" s="247"/>
      <c r="J82" s="247"/>
      <c r="K82" s="247">
        <f>ROUND(V82*5*$B$2,0)</f>
        <v>393469</v>
      </c>
      <c r="L82" s="247"/>
      <c r="M82" s="247"/>
      <c r="N82" s="247"/>
      <c r="O82" s="247"/>
      <c r="P82" s="247">
        <f>ROUND(V82*5*$B$2,0)</f>
        <v>393469</v>
      </c>
      <c r="Q82" s="247"/>
      <c r="R82" s="200">
        <f t="shared" si="3"/>
        <v>786938</v>
      </c>
      <c r="S82" s="201" t="s">
        <v>749</v>
      </c>
      <c r="T82" s="202"/>
      <c r="U82" s="246"/>
      <c r="V82" s="246">
        <v>3.0994000000000002</v>
      </c>
      <c r="W82" s="246"/>
      <c r="BA82"/>
      <c r="BB82"/>
      <c r="BE82" s="191" t="e">
        <v>#REF!</v>
      </c>
      <c r="BG82" s="191" t="e">
        <v>#REF!</v>
      </c>
      <c r="BH82" s="191" t="e">
        <v>#REF!</v>
      </c>
      <c r="BK82" s="191">
        <v>9.8366999999999987</v>
      </c>
    </row>
    <row r="83" spans="1:63" s="191" customFormat="1" ht="13">
      <c r="A83" s="226"/>
      <c r="B83" s="180">
        <v>6005126423</v>
      </c>
      <c r="C83" s="183" t="str">
        <f>IFERROR(IF(VLOOKUP($B83,勘定科目!$A:$H,HLOOKUP($E$5,勘定科目!$F$1:$H$2,2,0),0)="","",VLOOKUP($B83,勘定科目!$A:$E,2,0)),"")</f>
        <v>事務用品費（一般）</v>
      </c>
      <c r="D83" s="239" t="str">
        <f>IF(C83="","",VLOOKUP($B83,勘定科目!$A:$E,4,0))</f>
        <v>図書及び事務費</v>
      </c>
      <c r="E83" s="245"/>
      <c r="F83" s="194"/>
      <c r="G83" s="247"/>
      <c r="H83" s="247"/>
      <c r="I83" s="247"/>
      <c r="J83" s="247"/>
      <c r="K83" s="247">
        <f t="shared" ref="K83:K85" si="21">ROUND(V83*5*$B$2,0)</f>
        <v>377295</v>
      </c>
      <c r="L83" s="247"/>
      <c r="M83" s="247"/>
      <c r="N83" s="247"/>
      <c r="O83" s="247"/>
      <c r="P83" s="247">
        <f t="shared" ref="P83:P85" si="22">ROUND(V83*5*$B$2,0)</f>
        <v>377295</v>
      </c>
      <c r="Q83" s="247"/>
      <c r="R83" s="200">
        <f t="shared" si="3"/>
        <v>754590</v>
      </c>
      <c r="S83" s="201" t="s">
        <v>750</v>
      </c>
      <c r="T83" s="202"/>
      <c r="U83" s="246"/>
      <c r="V83" s="246">
        <v>2.972</v>
      </c>
      <c r="W83" s="246"/>
      <c r="X83" s="191" t="s">
        <v>778</v>
      </c>
      <c r="BA83"/>
      <c r="BB83"/>
      <c r="BE83" s="191" t="e">
        <v>#REF!</v>
      </c>
      <c r="BG83" s="191" t="e">
        <v>#REF!</v>
      </c>
      <c r="BK83" s="191">
        <v>6.1017999999999999</v>
      </c>
    </row>
    <row r="84" spans="1:63" s="191" customFormat="1" ht="13">
      <c r="A84" s="226"/>
      <c r="B84" s="180">
        <v>6005126423</v>
      </c>
      <c r="C84" s="183" t="str">
        <f>IFERROR(IF(VLOOKUP($B84,勘定科目!$A:$H,HLOOKUP($E$5,勘定科目!$F$1:$H$2,2,0),0)="","",VLOOKUP($B84,勘定科目!$A:$E,2,0)),"")</f>
        <v>事務用品費（一般）</v>
      </c>
      <c r="D84" s="239" t="str">
        <f>IF(C84="","",VLOOKUP($B84,勘定科目!$A:$E,4,0))</f>
        <v>図書及び事務費</v>
      </c>
      <c r="E84" s="245"/>
      <c r="F84" s="194"/>
      <c r="G84" s="247"/>
      <c r="H84" s="247"/>
      <c r="I84" s="247"/>
      <c r="J84" s="247"/>
      <c r="K84" s="247">
        <f t="shared" si="21"/>
        <v>390257</v>
      </c>
      <c r="L84" s="247"/>
      <c r="M84" s="247"/>
      <c r="N84" s="247"/>
      <c r="O84" s="247"/>
      <c r="P84" s="247">
        <f t="shared" si="22"/>
        <v>390257</v>
      </c>
      <c r="Q84" s="247"/>
      <c r="R84" s="200">
        <f t="shared" si="3"/>
        <v>780514</v>
      </c>
      <c r="S84" s="201" t="s">
        <v>751</v>
      </c>
      <c r="T84" s="202"/>
      <c r="U84" s="246"/>
      <c r="V84" s="246">
        <v>3.0741000000000001</v>
      </c>
      <c r="W84" s="246"/>
      <c r="X84" s="191" t="s">
        <v>779</v>
      </c>
      <c r="BA84"/>
      <c r="BB84"/>
      <c r="BE84" s="191" t="e">
        <v>#REF!</v>
      </c>
      <c r="BG84" s="191" t="e">
        <v>#REF!</v>
      </c>
      <c r="BK84" s="191">
        <v>6.2948000000000004</v>
      </c>
    </row>
    <row r="85" spans="1:63" s="191" customFormat="1" ht="13">
      <c r="A85" s="226"/>
      <c r="B85" s="180">
        <v>6005126423</v>
      </c>
      <c r="C85" s="183" t="str">
        <f>IFERROR(IF(VLOOKUP($B85,勘定科目!$A:$H,HLOOKUP($E$5,勘定科目!$F$1:$H$2,2,0),0)="","",VLOOKUP($B85,勘定科目!$A:$E,2,0)),"")</f>
        <v>事務用品費（一般）</v>
      </c>
      <c r="D85" s="239" t="str">
        <f>IF(C85="","",VLOOKUP($B85,勘定科目!$A:$E,4,0))</f>
        <v>図書及び事務費</v>
      </c>
      <c r="E85" s="245"/>
      <c r="F85" s="194"/>
      <c r="G85" s="247"/>
      <c r="H85" s="247"/>
      <c r="I85" s="247"/>
      <c r="J85" s="247"/>
      <c r="K85" s="247">
        <f t="shared" si="21"/>
        <v>397112</v>
      </c>
      <c r="L85" s="247"/>
      <c r="M85" s="247"/>
      <c r="N85" s="247"/>
      <c r="O85" s="247"/>
      <c r="P85" s="247">
        <f t="shared" si="22"/>
        <v>397112</v>
      </c>
      <c r="Q85" s="247"/>
      <c r="R85" s="200">
        <f t="shared" si="3"/>
        <v>794224</v>
      </c>
      <c r="S85" s="201" t="s">
        <v>752</v>
      </c>
      <c r="T85" s="202"/>
      <c r="U85" s="246"/>
      <c r="V85" s="246">
        <v>3.1280999999999999</v>
      </c>
      <c r="W85" s="246"/>
      <c r="BA85"/>
      <c r="BB85"/>
      <c r="BE85" s="191" t="e">
        <v>#REF!</v>
      </c>
      <c r="BG85" s="191" t="e">
        <v>#REF!</v>
      </c>
      <c r="BK85" s="191">
        <v>6.3874000000000004</v>
      </c>
    </row>
    <row r="86" spans="1:63" s="191" customFormat="1" ht="13">
      <c r="A86" s="226"/>
      <c r="B86" s="180">
        <v>6005246673</v>
      </c>
      <c r="C86" s="183" t="str">
        <f>IFERROR(IF(VLOOKUP($B86,勘定科目!$A:$H,HLOOKUP($E$5,勘定科目!$F$1:$H$2,2,0),0)="","",VLOOKUP($B86,勘定科目!$A:$E,2,0)),"")</f>
        <v>その他手数料（一般）</v>
      </c>
      <c r="D86" s="239" t="str">
        <f>IF(C86="","",VLOOKUP($B86,勘定科目!$A:$E,4,0))</f>
        <v>手数料</v>
      </c>
      <c r="E86" s="245"/>
      <c r="F86" s="194"/>
      <c r="G86" s="247"/>
      <c r="H86" s="247"/>
      <c r="I86" s="247"/>
      <c r="J86" s="247"/>
      <c r="K86" s="247"/>
      <c r="L86" s="247">
        <v>335000</v>
      </c>
      <c r="M86" s="247"/>
      <c r="N86" s="247"/>
      <c r="O86" s="247"/>
      <c r="P86" s="247"/>
      <c r="Q86" s="247">
        <v>335000</v>
      </c>
      <c r="R86" s="200">
        <f t="shared" si="3"/>
        <v>670000</v>
      </c>
      <c r="S86" s="201" t="s">
        <v>753</v>
      </c>
      <c r="T86" s="202"/>
      <c r="U86" s="246"/>
      <c r="V86" s="246">
        <v>4.6772</v>
      </c>
      <c r="W86" s="246"/>
      <c r="BA86"/>
      <c r="BB86"/>
      <c r="BE86" s="191" t="e">
        <v>#REF!</v>
      </c>
      <c r="BG86" s="191" t="e">
        <v>#REF!</v>
      </c>
    </row>
    <row r="87" spans="1:63" s="191" customFormat="1" ht="13">
      <c r="A87" s="226"/>
      <c r="B87" s="180">
        <v>6005246673</v>
      </c>
      <c r="C87" s="183" t="str">
        <f>IFERROR(IF(VLOOKUP($B87,勘定科目!$A:$H,HLOOKUP($E$5,勘定科目!$F$1:$H$2,2,0),0)="","",VLOOKUP($B87,勘定科目!$A:$E,2,0)),"")</f>
        <v>その他手数料（一般）</v>
      </c>
      <c r="D87" s="239" t="str">
        <f>IF(C87="","",VLOOKUP($B87,勘定科目!$A:$E,4,0))</f>
        <v>手数料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>
        <v>350000</v>
      </c>
      <c r="P87" s="247"/>
      <c r="Q87" s="247">
        <v>350000</v>
      </c>
      <c r="R87" s="200">
        <f t="shared" si="3"/>
        <v>700000</v>
      </c>
      <c r="S87" s="201" t="s">
        <v>754</v>
      </c>
      <c r="T87" s="202"/>
      <c r="U87" s="246"/>
      <c r="V87" s="246"/>
      <c r="W87" s="246"/>
      <c r="BA87"/>
      <c r="BB87"/>
      <c r="BE87" s="191" t="e">
        <v>#REF!</v>
      </c>
      <c r="BG87" s="191" t="e">
        <v>#REF!</v>
      </c>
    </row>
    <row r="88" spans="1:63" s="191" customFormat="1" ht="13">
      <c r="A88" s="226"/>
      <c r="B88" s="180">
        <v>6004086651</v>
      </c>
      <c r="C88" s="183" t="str">
        <f>IFERROR(IF(VLOOKUP($B88,勘定科目!$A:$H,HLOOKUP($E$5,勘定科目!$F$1:$H$2,2,0),0)="","",VLOOKUP($B88,勘定科目!$A:$E,2,0)),"")</f>
        <v>福利厚生費（一般）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>
        <f>204000*12</f>
        <v>2448000</v>
      </c>
      <c r="O88" s="247"/>
      <c r="P88" s="247"/>
      <c r="Q88" s="247"/>
      <c r="R88" s="200">
        <f t="shared" si="3"/>
        <v>2448000</v>
      </c>
      <c r="S88" s="300" t="s">
        <v>792</v>
      </c>
      <c r="T88" s="202"/>
      <c r="U88" s="246"/>
      <c r="V88" s="246"/>
      <c r="W88" s="246"/>
      <c r="BA88"/>
      <c r="BB88"/>
      <c r="BE88" s="191" t="e">
        <v>#REF!</v>
      </c>
      <c r="BG88" s="191" t="e">
        <v>#REF!</v>
      </c>
    </row>
    <row r="89" spans="1:63" s="191" customFormat="1" ht="13">
      <c r="A89" s="226"/>
      <c r="B89" s="180">
        <v>6004086653</v>
      </c>
      <c r="C89" s="183" t="str">
        <f>IFERROR(IF(VLOOKUP($B89,勘定科目!$A:$H,HLOOKUP($E$5,勘定科目!$F$1:$H$2,2,0),0)="","",VLOOKUP($B89,勘定科目!$A:$E,2,0)),"")</f>
        <v>教育訓練費（一般）</v>
      </c>
      <c r="D89" s="239" t="str">
        <f>IF(C89="","",VLOOKUP($B89,勘定科目!$A:$E,4,0))</f>
        <v>募集教育費</v>
      </c>
      <c r="E89" s="245"/>
      <c r="F89" s="194"/>
      <c r="G89" s="247"/>
      <c r="H89" s="247"/>
      <c r="I89" s="247"/>
      <c r="J89" s="247"/>
      <c r="K89" s="247"/>
      <c r="L89" s="247">
        <f>620000*1</f>
        <v>620000</v>
      </c>
      <c r="M89" s="247"/>
      <c r="N89" s="247"/>
      <c r="O89" s="247"/>
      <c r="P89" s="247"/>
      <c r="Q89" s="247">
        <f>620000*1</f>
        <v>620000</v>
      </c>
      <c r="R89" s="200">
        <f t="shared" si="3"/>
        <v>1240000</v>
      </c>
      <c r="S89" s="300" t="s">
        <v>755</v>
      </c>
      <c r="T89" s="202"/>
      <c r="U89" s="246"/>
      <c r="V89" s="246"/>
      <c r="W89" s="246"/>
      <c r="BA89"/>
      <c r="BB89"/>
      <c r="BE89" s="191" t="e">
        <v>#REF!</v>
      </c>
      <c r="BG89" s="191" t="e">
        <v>#REF!</v>
      </c>
    </row>
    <row r="90" spans="1:63" s="191" customFormat="1" ht="13">
      <c r="A90" s="226"/>
      <c r="B90" s="180">
        <v>6005116654</v>
      </c>
      <c r="C90" s="183" t="str">
        <f>IFERROR(IF(VLOOKUP($B90,勘定科目!$A:$H,HLOOKUP($E$5,勘定科目!$F$1:$H$2,2,0),0)="","",VLOOKUP($B90,勘定科目!$A:$E,2,0)),"")</f>
        <v>ベトナム国内交通費（一般）</v>
      </c>
      <c r="D90" s="239" t="str">
        <f>IF(C90="","",VLOOKUP($B90,勘定科目!$A:$E,4,0))</f>
        <v>旅費交通費</v>
      </c>
      <c r="E90" s="245"/>
      <c r="F90" s="194"/>
      <c r="G90" s="247"/>
      <c r="H90" s="247"/>
      <c r="I90" s="247"/>
      <c r="J90" s="247"/>
      <c r="K90" s="247"/>
      <c r="L90" s="247">
        <v>500000</v>
      </c>
      <c r="M90" s="247"/>
      <c r="N90" s="247"/>
      <c r="O90" s="247"/>
      <c r="P90" s="247"/>
      <c r="Q90" s="247">
        <v>500000</v>
      </c>
      <c r="R90" s="200">
        <f t="shared" si="3"/>
        <v>1000000</v>
      </c>
      <c r="S90" s="300" t="s">
        <v>756</v>
      </c>
      <c r="T90" s="202"/>
      <c r="U90" s="246"/>
      <c r="V90" s="246"/>
      <c r="W90" s="246"/>
      <c r="BA90"/>
      <c r="BB90"/>
      <c r="BE90" s="191" t="e">
        <v>#REF!</v>
      </c>
      <c r="BG90" s="191" t="e">
        <v>#REF!</v>
      </c>
    </row>
    <row r="91" spans="1:63" s="191" customFormat="1" ht="13">
      <c r="A91" s="226"/>
      <c r="B91" s="180">
        <v>6005146629</v>
      </c>
      <c r="C91" s="183" t="str">
        <f>IFERROR(IF(VLOOKUP($B91,勘定科目!$A:$H,HLOOKUP($E$5,勘定科目!$F$1:$H$2,2,0),0)="","",VLOOKUP($B91,勘定科目!$A:$E,2,0)),"")</f>
        <v>ライセンス料（一般）</v>
      </c>
      <c r="D91" s="239" t="str">
        <f>IF(C91="","",VLOOKUP($B91,勘定科目!$A:$E,4,0))</f>
        <v>図書及び事務費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300" t="s">
        <v>812</v>
      </c>
      <c r="T91" s="202"/>
      <c r="U91" s="246"/>
      <c r="V91" s="246"/>
      <c r="W91" s="246"/>
      <c r="BA91"/>
      <c r="BB91"/>
      <c r="BE91" s="191" t="e">
        <v>#REF!</v>
      </c>
      <c r="BG91" s="191" t="e">
        <v>#REF!</v>
      </c>
    </row>
    <row r="92" spans="1:63" s="191" customFormat="1" ht="13">
      <c r="A92" s="226"/>
      <c r="B92" s="180">
        <v>6005146627</v>
      </c>
      <c r="C92" s="183" t="str">
        <f>IFERROR(IF(VLOOKUP($B92,勘定科目!$A:$H,HLOOKUP($E$5,勘定科目!$F$1:$H$2,2,0),0)="","",VLOOKUP($B92,勘定科目!$A:$E,2,0)),"")</f>
        <v>図書印刷費（一般）</v>
      </c>
      <c r="D92" s="239" t="str">
        <f>IF(C92="","",VLOOKUP($B92,勘定科目!$A:$E,4,0))</f>
        <v>図書及び事務費</v>
      </c>
      <c r="E92" s="245"/>
      <c r="F92" s="194"/>
      <c r="G92" s="247"/>
      <c r="H92" s="247"/>
      <c r="I92" s="247"/>
      <c r="J92" s="247"/>
      <c r="K92" s="247"/>
      <c r="L92" s="247"/>
      <c r="M92" s="247">
        <f>800*17</f>
        <v>13600</v>
      </c>
      <c r="N92" s="247"/>
      <c r="O92" s="247"/>
      <c r="P92" s="247"/>
      <c r="Q92" s="247"/>
      <c r="R92" s="200">
        <f t="shared" si="3"/>
        <v>13600</v>
      </c>
      <c r="S92" s="201" t="s">
        <v>757</v>
      </c>
      <c r="T92" s="202"/>
      <c r="U92" s="246"/>
      <c r="V92" s="246"/>
      <c r="W92" s="246"/>
      <c r="BA92"/>
      <c r="BB92"/>
      <c r="BE92" s="191" t="e">
        <v>#REF!</v>
      </c>
      <c r="BG92" s="191" t="e">
        <v>#REF!</v>
      </c>
    </row>
    <row r="93" spans="1:63" s="191" customFormat="1" ht="13">
      <c r="A93" s="226"/>
      <c r="B93" s="180">
        <v>6005146629</v>
      </c>
      <c r="C93" s="183" t="str">
        <f>IFERROR(IF(VLOOKUP($B93,勘定科目!$A:$H,HLOOKUP($E$5,勘定科目!$F$1:$H$2,2,0),0)="","",VLOOKUP($B93,勘定科目!$A:$E,2,0)),"")</f>
        <v>ライセンス料（一般）</v>
      </c>
      <c r="D93" s="239" t="str">
        <f>IF(C93="","",VLOOKUP($B93,勘定科目!$A:$E,4,0))</f>
        <v>図書及び事務費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>
        <v>300000</v>
      </c>
      <c r="R93" s="200">
        <f t="shared" si="3"/>
        <v>300000</v>
      </c>
      <c r="S93" s="300" t="s">
        <v>758</v>
      </c>
      <c r="T93" s="202"/>
      <c r="U93" s="246"/>
      <c r="V93" s="246"/>
      <c r="W93" s="246"/>
      <c r="BA93"/>
      <c r="BB93"/>
      <c r="BE93" s="191" t="e">
        <v>#REF!</v>
      </c>
      <c r="BG93" s="191" t="e">
        <v>#REF!</v>
      </c>
    </row>
    <row r="94" spans="1:63" s="191" customFormat="1" ht="13">
      <c r="A94" s="226"/>
      <c r="B94" s="180">
        <v>6005146629</v>
      </c>
      <c r="C94" s="183" t="str">
        <f>IFERROR(IF(VLOOKUP($B94,勘定科目!$A:$H,HLOOKUP($E$5,勘定科目!$F$1:$H$2,2,0),0)="","",VLOOKUP($B94,勘定科目!$A:$E,2,0)),"")</f>
        <v>ライセンス料（一般）</v>
      </c>
      <c r="D94" s="239" t="str">
        <f>IF(C94="","",VLOOKUP($B94,勘定科目!$A:$E,4,0))</f>
        <v>図書及び事務費</v>
      </c>
      <c r="E94" s="245"/>
      <c r="F94" s="194"/>
      <c r="G94" s="247">
        <v>300000</v>
      </c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300000</v>
      </c>
      <c r="S94" s="300" t="s">
        <v>807</v>
      </c>
      <c r="T94" s="202"/>
      <c r="U94" s="246"/>
      <c r="V94" s="246"/>
      <c r="W94" s="246"/>
      <c r="BA94"/>
      <c r="BB94"/>
      <c r="BE94" s="191" t="e">
        <v>#REF!</v>
      </c>
      <c r="BG94" s="191" t="e">
        <v>#REF!</v>
      </c>
    </row>
    <row r="95" spans="1:63" s="191" customFormat="1" ht="13">
      <c r="A95" s="226"/>
      <c r="B95" s="180">
        <v>6004086651</v>
      </c>
      <c r="C95" s="183" t="str">
        <f>IFERROR(IF(VLOOKUP($B95,勘定科目!$A:$H,HLOOKUP($E$5,勘定科目!$F$1:$H$2,2,0),0)="","",VLOOKUP($B95,勘定科目!$A:$E,2,0)),"")</f>
        <v>福利厚生費（一般）</v>
      </c>
      <c r="D95" s="239" t="str">
        <f>IF(C95="","",VLOOKUP($B95,勘定科目!$A:$E,4,0))</f>
        <v>福利厚生費</v>
      </c>
      <c r="E95" s="245"/>
      <c r="F95" s="194"/>
      <c r="G95" s="247">
        <f>1890000*12</f>
        <v>22680000</v>
      </c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22680000</v>
      </c>
      <c r="S95" s="300" t="s">
        <v>795</v>
      </c>
      <c r="T95" s="202"/>
      <c r="U95" s="246"/>
      <c r="V95" s="246"/>
      <c r="W95" s="246"/>
      <c r="BA95"/>
      <c r="BB95"/>
      <c r="BE95" s="191" t="e">
        <v>#REF!</v>
      </c>
      <c r="BG95" s="191" t="e">
        <v>#REF!</v>
      </c>
    </row>
    <row r="96" spans="1:63" s="191" customFormat="1" ht="13">
      <c r="A96" s="226"/>
      <c r="B96" s="180">
        <v>6004086651</v>
      </c>
      <c r="C96" s="183" t="str">
        <f>IFERROR(IF(VLOOKUP($B96,勘定科目!$A:$H,HLOOKUP($E$5,勘定科目!$F$1:$H$2,2,0),0)="","",VLOOKUP($B96,勘定科目!$A:$E,2,0)),"")</f>
        <v>福利厚生費（一般）</v>
      </c>
      <c r="D96" s="239" t="str">
        <f>IF(C96="","",VLOOKUP($B96,勘定科目!$A:$E,4,0))</f>
        <v>福利厚生費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300" t="s">
        <v>759</v>
      </c>
      <c r="T96" s="202"/>
      <c r="U96" s="246"/>
      <c r="V96" s="246"/>
      <c r="W96" s="246"/>
      <c r="BA96"/>
      <c r="BB96"/>
      <c r="BE96" s="191" t="e">
        <v>#REF!</v>
      </c>
      <c r="BG96" s="191" t="e">
        <v>#REF!</v>
      </c>
    </row>
    <row r="97" spans="1:59" s="191" customFormat="1" ht="13">
      <c r="A97" s="226"/>
      <c r="B97" s="180">
        <v>6004086651</v>
      </c>
      <c r="C97" s="183" t="str">
        <f>IFERROR(IF(VLOOKUP($B97,勘定科目!$A:$H,HLOOKUP($E$5,勘定科目!$F$1:$H$2,2,0),0)="","",VLOOKUP($B97,勘定科目!$A:$E,2,0)),"")</f>
        <v>福利厚生費（一般）</v>
      </c>
      <c r="D97" s="239" t="str">
        <f>IF(C97="","",VLOOKUP($B97,勘定科目!$A:$E,4,0))</f>
        <v>福利厚生費</v>
      </c>
      <c r="E97" s="245"/>
      <c r="F97" s="194"/>
      <c r="G97" s="247"/>
      <c r="H97" s="247"/>
      <c r="I97" s="247"/>
      <c r="J97" s="247"/>
      <c r="K97" s="247"/>
      <c r="L97" s="247">
        <v>300000</v>
      </c>
      <c r="M97" s="247"/>
      <c r="N97" s="247">
        <v>300000</v>
      </c>
      <c r="O97" s="247"/>
      <c r="P97" s="247">
        <v>300000</v>
      </c>
      <c r="Q97" s="247">
        <v>300000</v>
      </c>
      <c r="R97" s="200">
        <f t="shared" si="3"/>
        <v>1200000</v>
      </c>
      <c r="S97" s="300" t="s">
        <v>760</v>
      </c>
      <c r="T97" s="202"/>
      <c r="U97" s="246"/>
      <c r="V97" s="246"/>
      <c r="W97" s="246"/>
      <c r="BA97"/>
      <c r="BB97"/>
      <c r="BE97" s="191" t="e">
        <v>#REF!</v>
      </c>
      <c r="BG97" s="191" t="e">
        <v>#REF!</v>
      </c>
    </row>
    <row r="98" spans="1:59" s="191" customFormat="1" ht="13">
      <c r="A98" s="226"/>
      <c r="B98" s="180">
        <v>6004086651</v>
      </c>
      <c r="C98" s="183" t="str">
        <f>IFERROR(IF(VLOOKUP($B98,勘定科目!$A:$H,HLOOKUP($E$5,勘定科目!$F$1:$H$2,2,0),0)="","",VLOOKUP($B98,勘定科目!$A:$E,2,0)),"")</f>
        <v>福利厚生費（一般）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>
        <f>126000*12</f>
        <v>1512000</v>
      </c>
      <c r="L98" s="247"/>
      <c r="M98" s="247"/>
      <c r="N98" s="247"/>
      <c r="O98" s="247"/>
      <c r="P98" s="247"/>
      <c r="Q98" s="247"/>
      <c r="R98" s="200">
        <f t="shared" si="3"/>
        <v>1512000</v>
      </c>
      <c r="S98" s="201" t="s">
        <v>789</v>
      </c>
      <c r="T98" s="202"/>
      <c r="U98" s="246"/>
      <c r="V98" s="246"/>
      <c r="W98" s="246"/>
      <c r="BA98"/>
      <c r="BB98"/>
      <c r="BE98" s="191" t="e">
        <v>#REF!</v>
      </c>
      <c r="BG98" s="191" t="e">
        <v>#REF!</v>
      </c>
    </row>
    <row r="99" spans="1:59" s="191" customFormat="1" ht="13">
      <c r="A99" s="226"/>
      <c r="B99" s="180">
        <v>6005046635</v>
      </c>
      <c r="C99" s="183" t="str">
        <f>IFERROR(IF(VLOOKUP($B99,勘定科目!$A:$H,HLOOKUP($E$5,勘定科目!$F$1:$H$2,2,0),0)="","",VLOOKUP($B99,勘定科目!$A:$E,2,0)),"")</f>
        <v>保守料（一般）</v>
      </c>
      <c r="D99" s="239" t="str">
        <f>IF(C99="","",VLOOKUP($B99,勘定科目!$A:$E,4,0))</f>
        <v>修繕費</v>
      </c>
      <c r="E99" s="245"/>
      <c r="F99" s="194"/>
      <c r="G99" s="247"/>
      <c r="H99" s="247"/>
      <c r="I99" s="247"/>
      <c r="J99" s="247"/>
      <c r="K99" s="247"/>
      <c r="L99" s="247"/>
      <c r="M99" s="247">
        <v>107262500</v>
      </c>
      <c r="N99" s="247"/>
      <c r="O99" s="247"/>
      <c r="P99" s="247"/>
      <c r="Q99" s="247"/>
      <c r="R99" s="200">
        <f t="shared" si="3"/>
        <v>107262500</v>
      </c>
      <c r="S99" s="300" t="s">
        <v>761</v>
      </c>
      <c r="T99" s="202"/>
      <c r="U99" s="246"/>
      <c r="V99" s="246"/>
      <c r="W99" s="246"/>
      <c r="BA99"/>
      <c r="BB99"/>
      <c r="BE99" s="191" t="e">
        <v>#REF!</v>
      </c>
      <c r="BG99" s="191" t="e">
        <v>#REF!</v>
      </c>
    </row>
    <row r="100" spans="1:59" s="191" customFormat="1" ht="13">
      <c r="A100" s="226"/>
      <c r="B100" s="180">
        <v>6005186429</v>
      </c>
      <c r="C100" s="183" t="str">
        <f>IFERROR(IF(VLOOKUP($B100,勘定科目!$A:$H,HLOOKUP($E$5,勘定科目!$F$1:$H$2,2,0),0)="","",VLOOKUP($B100,勘定科目!$A:$E,2,0)),"")</f>
        <v>その他税金（一般）</v>
      </c>
      <c r="D100" s="239" t="str">
        <f>IF(C100="","",VLOOKUP($B100,勘定科目!$A:$E,4,0))</f>
        <v>公租公課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>
        <v>3000000</v>
      </c>
      <c r="P100" s="247"/>
      <c r="Q100" s="247"/>
      <c r="R100" s="200">
        <f t="shared" si="3"/>
        <v>3000000</v>
      </c>
      <c r="S100" s="300" t="s">
        <v>770</v>
      </c>
      <c r="T100" s="202"/>
      <c r="U100" s="246"/>
      <c r="V100" s="246"/>
      <c r="W100" s="246"/>
      <c r="BA100"/>
      <c r="BB100"/>
      <c r="BE100" s="191" t="e">
        <v>#REF!</v>
      </c>
      <c r="BG100" s="191" t="e">
        <v>#REF!</v>
      </c>
    </row>
    <row r="101" spans="1:59" s="191" customFormat="1" ht="13">
      <c r="A101" s="226"/>
      <c r="B101" s="180">
        <v>6004086651</v>
      </c>
      <c r="C101" s="183" t="str">
        <f>IFERROR(IF(VLOOKUP($B101,勘定科目!$A:$H,HLOOKUP($E$5,勘定科目!$F$1:$H$2,2,0),0)="","",VLOOKUP($B101,勘定科目!$A:$E,2,0)),"")</f>
        <v>福利厚生費（一般）</v>
      </c>
      <c r="D101" s="239" t="str">
        <f>IF(C101="","",VLOOKUP($B101,勘定科目!$A:$E,4,0))</f>
        <v>福利厚生費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>
        <f>100000*12</f>
        <v>1200000</v>
      </c>
      <c r="Q101" s="247"/>
      <c r="R101" s="200">
        <f t="shared" si="3"/>
        <v>1200000</v>
      </c>
      <c r="S101" s="300" t="s">
        <v>762</v>
      </c>
      <c r="T101" s="202"/>
      <c r="U101" s="246"/>
      <c r="V101" s="246"/>
      <c r="W101" s="246"/>
      <c r="BA101"/>
      <c r="BB101"/>
      <c r="BE101" s="191" t="e">
        <v>#REF!</v>
      </c>
      <c r="BG101" s="191" t="e">
        <v>#REF!</v>
      </c>
    </row>
    <row r="102" spans="1:59" s="191" customFormat="1" ht="13">
      <c r="A102" s="226"/>
      <c r="B102" s="180">
        <v>6004086651</v>
      </c>
      <c r="C102" s="183" t="str">
        <f>IFERROR(IF(VLOOKUP($B102,勘定科目!$A:$H,HLOOKUP($E$5,勘定科目!$F$1:$H$2,2,0),0)="","",VLOOKUP($B102,勘定科目!$A:$E,2,0)),"")</f>
        <v>福利厚生費（一般）</v>
      </c>
      <c r="D102" s="239" t="str">
        <f>IF(C102="","",VLOOKUP($B102,勘定科目!$A:$E,4,0))</f>
        <v>福利厚生費</v>
      </c>
      <c r="E102" s="245"/>
      <c r="F102" s="194"/>
      <c r="G102" s="247"/>
      <c r="H102" s="247"/>
      <c r="I102" s="247">
        <f>100000*12</f>
        <v>1200000</v>
      </c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1200000</v>
      </c>
      <c r="S102" s="300" t="s">
        <v>763</v>
      </c>
      <c r="T102" s="202"/>
      <c r="U102" s="246"/>
      <c r="V102" s="246"/>
      <c r="W102" s="246"/>
      <c r="BA102"/>
      <c r="BB102"/>
      <c r="BE102" s="191" t="e">
        <v>#REF!</v>
      </c>
      <c r="BG102" s="191" t="e">
        <v>#REF!</v>
      </c>
    </row>
    <row r="103" spans="1:59" s="191" customFormat="1" ht="13">
      <c r="A103" s="226"/>
      <c r="B103" s="180">
        <v>6004086651</v>
      </c>
      <c r="C103" s="183" t="str">
        <f>IFERROR(IF(VLOOKUP($B103,勘定科目!$A:$H,HLOOKUP($E$5,勘定科目!$F$1:$H$2,2,0),0)="","",VLOOKUP($B103,勘定科目!$A:$E,2,0)),"")</f>
        <v>福利厚生費（一般）</v>
      </c>
      <c r="D103" s="239" t="str">
        <f>IF(C103="","",VLOOKUP($B103,勘定科目!$A:$E,4,0))</f>
        <v>福利厚生費</v>
      </c>
      <c r="E103" s="245"/>
      <c r="F103" s="194"/>
      <c r="G103" s="247">
        <f>200000*12</f>
        <v>2400000</v>
      </c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2400000</v>
      </c>
      <c r="S103" s="300" t="s">
        <v>764</v>
      </c>
      <c r="T103" s="202"/>
      <c r="U103" s="246"/>
      <c r="V103" s="246"/>
      <c r="W103" s="246"/>
      <c r="BA103"/>
      <c r="BB103"/>
      <c r="BE103" s="191" t="e">
        <v>#REF!</v>
      </c>
      <c r="BG103" s="191" t="e">
        <v>#REF!</v>
      </c>
    </row>
    <row r="104" spans="1:59" s="191" customFormat="1" ht="13">
      <c r="A104" s="226"/>
      <c r="B104" s="180">
        <v>6004086651</v>
      </c>
      <c r="C104" s="183" t="str">
        <f>IFERROR(IF(VLOOKUP($B104,勘定科目!$A:$H,HLOOKUP($E$5,勘定科目!$F$1:$H$2,2,0),0)="","",VLOOKUP($B104,勘定科目!$A:$E,2,0)),"")</f>
        <v>福利厚生費（一般）</v>
      </c>
      <c r="D104" s="239" t="str">
        <f>IF(C104="","",VLOOKUP($B104,勘定科目!$A:$E,4,0))</f>
        <v>福利厚生費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>
        <f>300000*12</f>
        <v>3600000</v>
      </c>
      <c r="Q104" s="247"/>
      <c r="R104" s="200">
        <f t="shared" si="3"/>
        <v>3600000</v>
      </c>
      <c r="S104" s="201" t="s">
        <v>790</v>
      </c>
      <c r="T104" s="202"/>
      <c r="U104" s="246"/>
      <c r="V104" s="246"/>
      <c r="W104" s="246"/>
      <c r="BA104"/>
      <c r="BB104"/>
      <c r="BE104" s="191" t="e">
        <v>#REF!</v>
      </c>
      <c r="BG104" s="191" t="e">
        <v>#REF!</v>
      </c>
    </row>
    <row r="105" spans="1:59" s="191" customFormat="1" ht="13">
      <c r="A105" s="226"/>
      <c r="B105" s="180">
        <v>6004086651</v>
      </c>
      <c r="C105" s="183" t="str">
        <f>IFERROR(IF(VLOOKUP($B105,勘定科目!$A:$H,HLOOKUP($E$5,勘定科目!$F$1:$H$2,2,0),0)="","",VLOOKUP($B105,勘定科目!$A:$E,2,0)),"")</f>
        <v>福利厚生費（一般）</v>
      </c>
      <c r="D105" s="239" t="str">
        <f>IF(C105="","",VLOOKUP($B105,勘定科目!$A:$E,4,0))</f>
        <v>福利厚生費</v>
      </c>
      <c r="E105" s="245"/>
      <c r="F105" s="194"/>
      <c r="G105" s="247"/>
      <c r="H105" s="247"/>
      <c r="I105" s="247"/>
      <c r="J105" s="247"/>
      <c r="K105" s="247"/>
      <c r="L105" s="247">
        <f>56000*12</f>
        <v>672000</v>
      </c>
      <c r="M105" s="247"/>
      <c r="N105" s="247"/>
      <c r="O105" s="247"/>
      <c r="P105" s="247"/>
      <c r="Q105" s="247"/>
      <c r="R105" s="200">
        <f t="shared" si="3"/>
        <v>672000</v>
      </c>
      <c r="S105" s="300" t="s">
        <v>796</v>
      </c>
      <c r="T105" s="202"/>
      <c r="U105" s="246"/>
      <c r="V105" s="246"/>
      <c r="W105" s="246"/>
      <c r="BA105"/>
      <c r="BB105"/>
      <c r="BE105" s="191" t="e">
        <v>#REF!</v>
      </c>
      <c r="BG105" s="191" t="e">
        <v>#REF!</v>
      </c>
    </row>
    <row r="106" spans="1:59" s="191" customFormat="1" ht="13">
      <c r="A106" s="226"/>
      <c r="B106" s="180">
        <v>6005116654</v>
      </c>
      <c r="C106" s="183" t="str">
        <f>IFERROR(IF(VLOOKUP($B106,勘定科目!$A:$H,HLOOKUP($E$5,勘定科目!$F$1:$H$2,2,0),0)="","",VLOOKUP($B106,勘定科目!$A:$E,2,0)),"")</f>
        <v>ベトナム国内交通費（一般）</v>
      </c>
      <c r="D106" s="239" t="str">
        <f>IF(C106="","",VLOOKUP($B106,勘定科目!$A:$E,4,0))</f>
        <v>旅費交通費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300" t="s">
        <v>765</v>
      </c>
      <c r="T106" s="202"/>
      <c r="U106" s="246"/>
      <c r="V106" s="246"/>
      <c r="W106" s="246"/>
      <c r="BA106"/>
      <c r="BB106"/>
      <c r="BE106" s="191" t="e">
        <v>#REF!</v>
      </c>
      <c r="BG106" s="191" t="e">
        <v>#REF!</v>
      </c>
    </row>
    <row r="107" spans="1:59" s="191" customFormat="1" ht="13">
      <c r="A107" s="226"/>
      <c r="B107" s="180">
        <v>6004086651</v>
      </c>
      <c r="C107" s="183" t="str">
        <f>IFERROR(IF(VLOOKUP($B107,勘定科目!$A:$H,HLOOKUP($E$5,勘定科目!$F$1:$H$2,2,0),0)="","",VLOOKUP($B107,勘定科目!$A:$E,2,0)),"")</f>
        <v>福利厚生費（一般）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/>
      <c r="L107" s="247">
        <f>931000*2</f>
        <v>1862000</v>
      </c>
      <c r="M107" s="247"/>
      <c r="N107" s="247"/>
      <c r="O107" s="247"/>
      <c r="P107" s="247"/>
      <c r="Q107" s="247"/>
      <c r="R107" s="200">
        <f t="shared" si="3"/>
        <v>1862000</v>
      </c>
      <c r="S107" s="300" t="s">
        <v>797</v>
      </c>
      <c r="T107" s="202"/>
      <c r="U107" s="246"/>
      <c r="V107" s="246"/>
      <c r="W107" s="246"/>
      <c r="BA107"/>
      <c r="BB107"/>
      <c r="BE107" s="191" t="e">
        <v>#REF!</v>
      </c>
      <c r="BG107" s="191" t="e">
        <v>#REF!</v>
      </c>
    </row>
    <row r="108" spans="1:59" s="191" customFormat="1" ht="13">
      <c r="A108" s="226"/>
      <c r="B108" s="180">
        <v>6005146629</v>
      </c>
      <c r="C108" s="183" t="str">
        <f>IFERROR(IF(VLOOKUP($B108,勘定科目!$A:$H,HLOOKUP($E$5,勘定科目!$F$1:$H$2,2,0),0)="","",VLOOKUP($B108,勘定科目!$A:$E,2,0)),"")</f>
        <v>ライセンス料（一般）</v>
      </c>
      <c r="D108" s="239" t="str">
        <f>IF(C108="","",VLOOKUP($B108,勘定科目!$A:$E,4,0))</f>
        <v>図書及び事務費</v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300" t="s">
        <v>766</v>
      </c>
      <c r="T108" s="202"/>
      <c r="U108" s="246"/>
      <c r="V108" s="246"/>
      <c r="W108" s="246"/>
      <c r="BA108"/>
      <c r="BB108"/>
      <c r="BE108" s="191" t="e">
        <v>#REF!</v>
      </c>
      <c r="BG108" s="191" t="e">
        <v>#REF!</v>
      </c>
    </row>
    <row r="109" spans="1:59" s="191" customFormat="1" ht="13">
      <c r="A109" s="226"/>
      <c r="B109" s="180">
        <v>6004086651</v>
      </c>
      <c r="C109" s="183" t="str">
        <f>IFERROR(IF(VLOOKUP($B109,勘定科目!$A:$H,HLOOKUP($E$5,勘定科目!$F$1:$H$2,2,0),0)="","",VLOOKUP($B109,勘定科目!$A:$E,2,0)),"")</f>
        <v>福利厚生費（一般）</v>
      </c>
      <c r="D109" s="239" t="str">
        <f>IF(C109="","",VLOOKUP($B109,勘定科目!$A:$E,4,0))</f>
        <v>福利厚生費</v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300" t="s">
        <v>767</v>
      </c>
      <c r="T109" s="202"/>
      <c r="U109" s="246"/>
      <c r="V109" s="246"/>
      <c r="W109" s="246"/>
      <c r="BA109"/>
      <c r="BB109"/>
      <c r="BE109" s="191" t="e">
        <v>#REF!</v>
      </c>
      <c r="BG109" s="191" t="e">
        <v>#REF!</v>
      </c>
    </row>
    <row r="110" spans="1:59" s="191" customFormat="1" ht="13">
      <c r="A110" s="226"/>
      <c r="B110" s="180">
        <v>6004086651</v>
      </c>
      <c r="C110" s="183" t="str">
        <f>IFERROR(IF(VLOOKUP($B110,勘定科目!$A:$H,HLOOKUP($E$5,勘定科目!$F$1:$H$2,2,0),0)="","",VLOOKUP($B110,勘定科目!$A:$E,2,0)),"")</f>
        <v>福利厚生費（一般）</v>
      </c>
      <c r="D110" s="239" t="str">
        <f>IF(C110="","",VLOOKUP($B110,勘定科目!$A:$E,4,0))</f>
        <v>福利厚生費</v>
      </c>
      <c r="E110" s="245"/>
      <c r="F110" s="194"/>
      <c r="G110" s="247"/>
      <c r="H110" s="247"/>
      <c r="I110" s="247"/>
      <c r="J110" s="247"/>
      <c r="K110" s="247"/>
      <c r="L110" s="247"/>
      <c r="M110" s="247">
        <f>107000*12</f>
        <v>1284000</v>
      </c>
      <c r="N110" s="247"/>
      <c r="O110" s="247"/>
      <c r="P110" s="247"/>
      <c r="Q110" s="247"/>
      <c r="R110" s="200">
        <f t="shared" si="3"/>
        <v>1284000</v>
      </c>
      <c r="S110" s="201" t="s">
        <v>791</v>
      </c>
      <c r="T110" s="202"/>
      <c r="U110" s="246"/>
      <c r="V110" s="246"/>
      <c r="W110" s="246"/>
      <c r="BA110"/>
      <c r="BB110"/>
      <c r="BE110" s="191" t="e">
        <v>#REF!</v>
      </c>
      <c r="BG110" s="191" t="e">
        <v>#REF!</v>
      </c>
    </row>
    <row r="111" spans="1:59" s="191" customFormat="1" ht="13">
      <c r="A111" s="226"/>
      <c r="B111" s="180">
        <v>6005146629</v>
      </c>
      <c r="C111" s="183" t="str">
        <f>IFERROR(IF(VLOOKUP($B111,勘定科目!$A:$H,HLOOKUP($E$5,勘定科目!$F$1:$H$2,2,0),0)="","",VLOOKUP($B111,勘定科目!$A:$E,2,0)),"")</f>
        <v>ライセンス料（一般）</v>
      </c>
      <c r="D111" s="239" t="str">
        <f>IF(C111="","",VLOOKUP($B111,勘定科目!$A:$E,4,0))</f>
        <v>図書及び事務費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300" t="s">
        <v>800</v>
      </c>
      <c r="T111" s="202"/>
      <c r="U111" s="246"/>
      <c r="V111" s="246"/>
      <c r="W111" s="246"/>
      <c r="BA111"/>
      <c r="BB111"/>
      <c r="BE111" s="191" t="e">
        <v>#REF!</v>
      </c>
      <c r="BG111" s="191" t="e">
        <v>#REF!</v>
      </c>
    </row>
    <row r="112" spans="1:59" s="191" customFormat="1" ht="13">
      <c r="A112" s="226"/>
      <c r="B112" s="180">
        <v>6005146629</v>
      </c>
      <c r="C112" s="183" t="str">
        <f>IFERROR(IF(VLOOKUP($B112,勘定科目!$A:$H,HLOOKUP($E$5,勘定科目!$F$1:$H$2,2,0),0)="","",VLOOKUP($B112,勘定科目!$A:$E,2,0)),"")</f>
        <v>ライセンス料（一般）</v>
      </c>
      <c r="D112" s="239" t="str">
        <f>IF(C112="","",VLOOKUP($B112,勘定科目!$A:$E,4,0))</f>
        <v>図書及び事務費</v>
      </c>
      <c r="E112" s="245"/>
      <c r="F112" s="194"/>
      <c r="G112" s="247">
        <v>11750000</v>
      </c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ref="R112" si="23">SUM(F112:Q112)</f>
        <v>11750000</v>
      </c>
      <c r="S112" s="300" t="s">
        <v>801</v>
      </c>
      <c r="T112" s="202"/>
      <c r="U112" s="246"/>
      <c r="V112" s="246"/>
      <c r="W112" s="246"/>
      <c r="BA112"/>
      <c r="BB112"/>
      <c r="BE112" s="191" t="e">
        <v>#REF!</v>
      </c>
      <c r="BG112" s="191" t="e">
        <v>#REF!</v>
      </c>
    </row>
    <row r="113" spans="1:59" s="191" customFormat="1" ht="13">
      <c r="A113" s="226"/>
      <c r="B113" s="180">
        <v>6004086651</v>
      </c>
      <c r="C113" s="183" t="str">
        <f>IFERROR(IF(VLOOKUP($B113,勘定科目!$A:$H,HLOOKUP($E$5,勘定科目!$F$1:$H$2,2,0),0)="","",VLOOKUP($B113,勘定科目!$A:$E,2,0)),"")</f>
        <v>福利厚生費（一般）</v>
      </c>
      <c r="D113" s="239" t="str">
        <f>IF(C113="","",VLOOKUP($B113,勘定科目!$A:$E,4,0))</f>
        <v>福利厚生費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300" t="s">
        <v>768</v>
      </c>
      <c r="T113" s="202"/>
      <c r="U113" s="246"/>
      <c r="V113" s="246"/>
      <c r="W113" s="246"/>
      <c r="BA113"/>
      <c r="BB113"/>
      <c r="BE113" s="191" t="e">
        <v>#REF!</v>
      </c>
      <c r="BG113" s="191" t="e">
        <v>#REF!</v>
      </c>
    </row>
    <row r="114" spans="1:59" s="191" customFormat="1" ht="13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/>
      <c r="T114" s="202"/>
      <c r="U114" s="246"/>
      <c r="V114" s="246"/>
      <c r="W114" s="246"/>
      <c r="BA114"/>
      <c r="BB114"/>
    </row>
    <row r="115" spans="1:59" s="191" customFormat="1" ht="13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/>
      <c r="T115" s="202"/>
      <c r="U115" s="246"/>
      <c r="V115" s="246"/>
      <c r="W115" s="246"/>
      <c r="BA115"/>
      <c r="BB115"/>
    </row>
    <row r="116" spans="1:59" s="191" customFormat="1" ht="13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9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ref="R117:R180" si="24">SUM(F117:Q117)</f>
        <v>0</v>
      </c>
      <c r="S117" s="201"/>
      <c r="T117" s="202"/>
      <c r="U117" s="246"/>
      <c r="V117" s="246"/>
      <c r="W117" s="246"/>
      <c r="BA117"/>
      <c r="BB117"/>
    </row>
    <row r="118" spans="1:59" s="191" customFormat="1" ht="13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24"/>
        <v>0</v>
      </c>
      <c r="S118" s="201"/>
      <c r="T118" s="202"/>
      <c r="U118" s="246"/>
      <c r="V118" s="246"/>
      <c r="W118" s="246"/>
      <c r="BA118"/>
      <c r="BB118"/>
    </row>
    <row r="119" spans="1:59" s="191" customFormat="1" ht="13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24"/>
        <v>0</v>
      </c>
      <c r="S119" s="201"/>
      <c r="T119" s="202"/>
      <c r="U119" s="246"/>
      <c r="V119" s="246"/>
      <c r="W119" s="246"/>
      <c r="BA119"/>
      <c r="BB119"/>
    </row>
    <row r="120" spans="1:59" s="191" customFormat="1" ht="13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24"/>
        <v>0</v>
      </c>
      <c r="S120" s="201"/>
      <c r="T120" s="202"/>
      <c r="U120" s="246"/>
      <c r="V120" s="246"/>
      <c r="W120" s="246"/>
      <c r="BA120"/>
      <c r="BB120"/>
    </row>
    <row r="121" spans="1:59" s="191" customFormat="1" ht="13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24"/>
        <v>0</v>
      </c>
      <c r="S121" s="201"/>
      <c r="T121" s="202"/>
      <c r="U121" s="246"/>
      <c r="V121" s="246"/>
      <c r="W121" s="246"/>
      <c r="BA121"/>
      <c r="BB121"/>
    </row>
    <row r="122" spans="1:59" s="191" customFormat="1" ht="13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24"/>
        <v>0</v>
      </c>
      <c r="S122" s="201"/>
      <c r="T122" s="202"/>
      <c r="U122" s="246"/>
      <c r="V122" s="246"/>
      <c r="W122" s="246"/>
      <c r="BA122"/>
      <c r="BB122"/>
    </row>
    <row r="123" spans="1:59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24"/>
        <v>0</v>
      </c>
      <c r="S123" s="201"/>
      <c r="T123" s="202"/>
      <c r="U123" s="246"/>
      <c r="V123" s="246"/>
      <c r="W123" s="246"/>
      <c r="BA123"/>
      <c r="BB123"/>
    </row>
    <row r="124" spans="1:59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24"/>
        <v>0</v>
      </c>
      <c r="S124" s="201"/>
      <c r="T124" s="202"/>
      <c r="U124" s="246"/>
      <c r="V124" s="246"/>
      <c r="W124" s="246"/>
      <c r="BA124"/>
      <c r="BB124"/>
    </row>
    <row r="125" spans="1:59" s="191" customFormat="1" ht="13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24"/>
        <v>0</v>
      </c>
      <c r="S125" s="201"/>
      <c r="T125" s="202"/>
      <c r="U125" s="246"/>
      <c r="V125" s="246"/>
      <c r="W125" s="246"/>
      <c r="BA125"/>
      <c r="BB125"/>
    </row>
    <row r="126" spans="1:59" s="191" customFormat="1" ht="13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24"/>
        <v>0</v>
      </c>
      <c r="S126" s="201"/>
      <c r="T126" s="202"/>
      <c r="U126" s="246"/>
      <c r="V126" s="246"/>
      <c r="W126" s="246"/>
      <c r="BA126"/>
      <c r="BB126"/>
    </row>
    <row r="127" spans="1:59" s="191" customFormat="1" ht="13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24"/>
        <v>0</v>
      </c>
      <c r="S127" s="201"/>
      <c r="T127" s="202"/>
      <c r="U127" s="246"/>
      <c r="V127" s="246"/>
      <c r="W127" s="246"/>
      <c r="BA127"/>
      <c r="BB127"/>
    </row>
    <row r="128" spans="1:59" s="191" customFormat="1" ht="13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24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24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24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24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24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24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24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24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24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24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24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24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24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24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24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24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24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24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24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24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24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24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24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24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24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24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24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24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24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24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24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24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24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24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24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24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24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24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24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24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24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24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24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24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24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24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24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24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24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24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24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24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24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ref="R181:R244" si="25">SUM(F181:Q181)</f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2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25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25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25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25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25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25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25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25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25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25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25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25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25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25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25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25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25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25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25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25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25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25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25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25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25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25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25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25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25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25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25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25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25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25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25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25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25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25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25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25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25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25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25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25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25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25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25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25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25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25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25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25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25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25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25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25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25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25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25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25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25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25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ref="R245:R308" si="26">SUM(F245:Q245)</f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2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26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26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26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26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26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26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26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26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26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26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26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26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26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26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26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26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26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26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26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26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26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26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26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26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26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26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26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26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26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26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26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26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26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26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26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26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26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26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26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26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26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26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26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26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26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26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26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26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26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26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26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26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26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26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26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26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26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26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26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26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26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26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ref="R309:R372" si="27">SUM(F309:Q309)</f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2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27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27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27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27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27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240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00">
        <f t="shared" si="27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240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00">
        <f t="shared" si="27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27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27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27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27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27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27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27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27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27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27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27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27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27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27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27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27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27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27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27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27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27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27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27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27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27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27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27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27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27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27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27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27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27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27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27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27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27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27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27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27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27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27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27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27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27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27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27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27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27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27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27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27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27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27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27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ref="R373:R436" si="28">SUM(F373:Q373)</f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2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28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8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28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8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8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8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8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8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8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8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8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8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8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8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8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8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8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8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8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8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8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8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8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8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8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8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8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8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8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28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8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8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8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8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8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28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8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8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8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8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8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8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8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8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8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8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8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8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8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8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8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8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8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8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8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8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8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8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8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8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8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8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ref="R437:R500" si="29">SUM(F437:Q437)</f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29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9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9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9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9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9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9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9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9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9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9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9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9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9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9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9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9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9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9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9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9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9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9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9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9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9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9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9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9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9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9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9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9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9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9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9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9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9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9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9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9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9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9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9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9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9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9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9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9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9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9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9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9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9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9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9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9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9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9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9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9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9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ref="R501:R564" si="30">SUM(F501:Q501)</f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3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30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30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30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30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30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30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30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30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30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30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30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30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30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30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30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30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30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30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30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30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30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30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30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30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30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30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30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30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30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30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30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30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30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30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30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30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30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30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30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30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30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30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30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30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30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30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30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30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30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30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30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30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30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30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30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30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30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30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30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30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30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30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ref="R565:R628" si="31">SUM(F565:Q565)</f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3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31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31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31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31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31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31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31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31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31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31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31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31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31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31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31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31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31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31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31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31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31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31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31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31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31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31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31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31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31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31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31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31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31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31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31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31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31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31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31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31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31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31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31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31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31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31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31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31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31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31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31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31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31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31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31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31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31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31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31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31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31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31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ref="R629:R692" si="32">SUM(F629:Q629)</f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3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32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32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32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32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32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32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32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32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32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32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32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32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32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32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32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32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32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32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32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32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32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32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32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32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32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32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32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32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32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32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32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32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32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32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32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32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32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32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32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32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32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32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32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32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32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32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32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32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32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32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32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32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32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32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32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32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32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32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32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32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32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32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ref="R693:R756" si="33">SUM(F693:Q693)</f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3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33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33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33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33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33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33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33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33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33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33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33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33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33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33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33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33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33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33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33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33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33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33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33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33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33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33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33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33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33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33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33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33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33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33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33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33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33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33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33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33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33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33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33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33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33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33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33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33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33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33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33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33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33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33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33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33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33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33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33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33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33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33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ref="R757:R797" si="34">SUM(F757:Q757)</f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3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34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34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34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34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34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34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34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34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34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34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34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34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34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34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34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34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34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34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34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34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34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34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34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34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34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34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34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34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34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34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34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34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34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34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34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34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34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34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34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</sheetData>
  <autoFilter ref="B7:AG998" xr:uid="{FE6623DA-3E1A-4270-AF61-C1BA1795356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7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5" sqref="D5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会計課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>
        <v>1412000028</v>
      </c>
      <c r="C4" s="278" t="s">
        <v>804</v>
      </c>
      <c r="D4" s="301" t="s">
        <v>805</v>
      </c>
      <c r="E4" s="280"/>
      <c r="F4" s="280"/>
      <c r="G4" s="280"/>
      <c r="H4" s="280"/>
      <c r="I4" s="280"/>
      <c r="J4" s="280"/>
      <c r="K4" s="280"/>
      <c r="L4" s="280">
        <f>28000*25390</f>
        <v>710920000</v>
      </c>
      <c r="M4" s="280"/>
      <c r="N4" s="280"/>
      <c r="O4" s="280"/>
      <c r="P4" s="280"/>
      <c r="Q4" s="283">
        <v>36</v>
      </c>
      <c r="R4" s="283">
        <f>SUM(E4:P4)</f>
        <v>710920000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Gái(Nguyen Thi Gai)</cp:lastModifiedBy>
  <cp:lastPrinted>2017-10-06T02:39:42Z</cp:lastPrinted>
  <dcterms:created xsi:type="dcterms:W3CDTF">2002-04-10T08:05:47Z</dcterms:created>
  <dcterms:modified xsi:type="dcterms:W3CDTF">2025-01-07T09:06:30Z</dcterms:modified>
</cp:coreProperties>
</file>