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ISAN\MASTER PLAN FY2026\TÁCH PHÒNG\SỬA\"/>
    </mc:Choice>
  </mc:AlternateContent>
  <xr:revisionPtr revIDLastSave="0" documentId="13_ncr:1_{C1CEDCAB-2A68-44C4-A14D-0354D5889CBE}" xr6:coauthVersionLast="47" xr6:coauthVersionMax="47" xr10:uidLastSave="{00000000-0000-0000-0000-000000000000}"/>
  <bookViews>
    <workbookView xWindow="-120" yWindow="-120" windowWidth="20730" windowHeight="11040" tabRatio="702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'内訳ﾘｽﾄ(4～3月)'!$A$7:$T$803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0" l="1"/>
  <c r="M42" i="10"/>
  <c r="O42" i="10"/>
  <c r="Q41" i="10"/>
  <c r="N41" i="10"/>
  <c r="M41" i="10"/>
  <c r="L41" i="10"/>
  <c r="K41" i="10"/>
  <c r="Q76" i="10" l="1"/>
  <c r="O76" i="10"/>
  <c r="P50" i="10"/>
  <c r="N51" i="10"/>
  <c r="N50" i="10"/>
  <c r="L50" i="10"/>
  <c r="K50" i="10"/>
  <c r="J50" i="10"/>
  <c r="R32" i="10" l="1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0" i="10"/>
  <c r="R131" i="10"/>
  <c r="R132" i="10"/>
  <c r="R133" i="10"/>
  <c r="R134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5" i="10"/>
  <c r="R24" i="10"/>
  <c r="R17" i="10"/>
  <c r="R16" i="10"/>
  <c r="R8" i="10"/>
  <c r="R9" i="10"/>
  <c r="J76" i="10" l="1"/>
  <c r="J51" i="10"/>
  <c r="P76" i="10"/>
  <c r="N76" i="10"/>
  <c r="M76" i="10"/>
  <c r="L76" i="10"/>
  <c r="K76" i="10"/>
  <c r="J55" i="10"/>
  <c r="Q51" i="10"/>
  <c r="Q50" i="10"/>
  <c r="P51" i="10"/>
  <c r="O51" i="10"/>
  <c r="O50" i="10"/>
  <c r="M51" i="10"/>
  <c r="M50" i="10"/>
  <c r="L51" i="10"/>
  <c r="K51" i="10"/>
  <c r="Q42" i="10"/>
  <c r="P42" i="10"/>
  <c r="P41" i="10"/>
  <c r="O41" i="10"/>
  <c r="L42" i="10"/>
  <c r="K42" i="10"/>
  <c r="J42" i="10"/>
  <c r="J41" i="10"/>
  <c r="L149" i="10" l="1"/>
  <c r="L148" i="10"/>
  <c r="Q142" i="10"/>
  <c r="P142" i="10"/>
  <c r="O142" i="10"/>
  <c r="N142" i="10"/>
  <c r="M142" i="10"/>
  <c r="L142" i="10"/>
  <c r="K142" i="10"/>
  <c r="M141" i="10"/>
  <c r="N140" i="10"/>
  <c r="I134" i="10"/>
  <c r="P133" i="10"/>
  <c r="K133" i="10"/>
  <c r="Q131" i="10"/>
  <c r="P131" i="10"/>
  <c r="O131" i="10"/>
  <c r="M131" i="10"/>
  <c r="L131" i="10"/>
  <c r="K131" i="10"/>
  <c r="J131" i="10"/>
  <c r="I131" i="10"/>
  <c r="M116" i="10"/>
  <c r="Q104" i="10"/>
  <c r="P104" i="10"/>
  <c r="O104" i="10"/>
  <c r="N104" i="10"/>
  <c r="M104" i="10"/>
  <c r="L104" i="10"/>
  <c r="K104" i="10"/>
  <c r="J104" i="10"/>
  <c r="Q101" i="10"/>
  <c r="P101" i="10"/>
  <c r="O101" i="10"/>
  <c r="N101" i="10"/>
  <c r="M101" i="10"/>
  <c r="L101" i="10"/>
  <c r="K101" i="10"/>
  <c r="J101" i="10"/>
  <c r="Q74" i="10"/>
  <c r="J74" i="10"/>
  <c r="J72" i="10"/>
  <c r="N63" i="10"/>
  <c r="K63" i="10"/>
  <c r="N62" i="10"/>
  <c r="K62" i="10"/>
  <c r="L55" i="10"/>
  <c r="K55" i="10"/>
  <c r="J56" i="10"/>
  <c r="Q54" i="10"/>
  <c r="P54" i="10"/>
  <c r="O54" i="10"/>
  <c r="N54" i="10"/>
  <c r="M54" i="10"/>
  <c r="L54" i="10"/>
  <c r="K54" i="10"/>
  <c r="J54" i="10"/>
  <c r="Q53" i="10"/>
  <c r="P53" i="10"/>
  <c r="O53" i="10"/>
  <c r="N53" i="10"/>
  <c r="M53" i="10"/>
  <c r="L53" i="10"/>
  <c r="K53" i="10"/>
  <c r="J53" i="10"/>
  <c r="Q44" i="10"/>
  <c r="P44" i="10"/>
  <c r="O44" i="10"/>
  <c r="N44" i="10"/>
  <c r="M44" i="10"/>
  <c r="L44" i="10"/>
  <c r="K44" i="10"/>
  <c r="J44" i="10"/>
  <c r="R30" i="10" l="1"/>
  <c r="H130" i="10"/>
  <c r="G129" i="10"/>
  <c r="R129" i="10" s="1"/>
  <c r="I54" i="10" l="1"/>
  <c r="H54" i="10"/>
  <c r="G54" i="10"/>
  <c r="F54" i="10"/>
  <c r="I53" i="10" l="1"/>
  <c r="H53" i="10"/>
  <c r="G53" i="10"/>
  <c r="F53" i="10"/>
  <c r="F128" i="10" l="1"/>
  <c r="H131" i="10" l="1"/>
  <c r="G131" i="10"/>
  <c r="F131" i="10"/>
  <c r="P136" i="10"/>
  <c r="R136" i="10" s="1"/>
  <c r="P135" i="10"/>
  <c r="R135" i="10" s="1"/>
  <c r="L138" i="10"/>
  <c r="R138" i="10" s="1"/>
  <c r="K139" i="10"/>
  <c r="R139" i="10" s="1"/>
  <c r="G137" i="10"/>
  <c r="R137" i="10" s="1"/>
  <c r="J142" i="10" l="1"/>
  <c r="I142" i="10"/>
  <c r="H142" i="10"/>
  <c r="G142" i="10"/>
  <c r="F142" i="10"/>
  <c r="Q143" i="10" l="1"/>
  <c r="P143" i="10"/>
  <c r="O143" i="10"/>
  <c r="N143" i="10"/>
  <c r="M143" i="10"/>
  <c r="L143" i="10"/>
  <c r="K143" i="10"/>
  <c r="J143" i="10"/>
  <c r="I143" i="10"/>
  <c r="H143" i="10"/>
  <c r="G143" i="10"/>
  <c r="F143" i="10"/>
  <c r="I104" i="10"/>
  <c r="H104" i="10"/>
  <c r="G104" i="10"/>
  <c r="F104" i="10"/>
  <c r="R104" i="10" l="1"/>
  <c r="Q55" i="10"/>
  <c r="P55" i="10"/>
  <c r="O55" i="10"/>
  <c r="N55" i="10"/>
  <c r="M55" i="10"/>
  <c r="I55" i="10"/>
  <c r="H55" i="10"/>
  <c r="G55" i="10"/>
  <c r="F55" i="10"/>
  <c r="Q56" i="10"/>
  <c r="P56" i="10"/>
  <c r="O56" i="10"/>
  <c r="N56" i="10"/>
  <c r="M56" i="10"/>
  <c r="L56" i="10"/>
  <c r="K56" i="10"/>
  <c r="I56" i="10"/>
  <c r="H56" i="10"/>
  <c r="G56" i="10"/>
  <c r="F56" i="10"/>
  <c r="P74" i="10"/>
  <c r="O74" i="10"/>
  <c r="N74" i="10"/>
  <c r="M74" i="10"/>
  <c r="L74" i="10"/>
  <c r="K74" i="10"/>
  <c r="I74" i="10"/>
  <c r="H74" i="10"/>
  <c r="G74" i="10"/>
  <c r="F74" i="10"/>
  <c r="R55" i="10" l="1"/>
  <c r="R74" i="10"/>
  <c r="R56" i="10"/>
  <c r="I44" i="10"/>
  <c r="H44" i="10"/>
  <c r="G44" i="10"/>
  <c r="F44" i="10"/>
  <c r="I42" i="10"/>
  <c r="H42" i="10"/>
  <c r="G42" i="10"/>
  <c r="F42" i="10"/>
  <c r="I41" i="10"/>
  <c r="H41" i="10"/>
  <c r="G41" i="10"/>
  <c r="F41" i="10"/>
  <c r="I51" i="10"/>
  <c r="H51" i="10"/>
  <c r="G51" i="10"/>
  <c r="F51" i="10"/>
  <c r="I50" i="10" l="1"/>
  <c r="H50" i="10"/>
  <c r="G50" i="10"/>
  <c r="F50" i="10" l="1"/>
  <c r="I101" i="10" l="1"/>
  <c r="H101" i="10"/>
  <c r="G101" i="10"/>
  <c r="F101" i="10"/>
  <c r="L102" i="10"/>
  <c r="H102" i="10"/>
  <c r="H67" i="10"/>
  <c r="N68" i="10"/>
  <c r="L68" i="10"/>
  <c r="I62" i="10"/>
  <c r="H62" i="10"/>
  <c r="G62" i="10"/>
  <c r="F62" i="10"/>
  <c r="F95" i="10" l="1"/>
  <c r="G97" i="10"/>
  <c r="F92" i="10" l="1"/>
  <c r="M68" i="10"/>
  <c r="G144" i="10" l="1"/>
  <c r="F144" i="10"/>
  <c r="H144" i="10"/>
  <c r="F151" i="10"/>
  <c r="H158" i="10" l="1"/>
  <c r="G158" i="10"/>
  <c r="F96" i="10" l="1"/>
  <c r="F94" i="10"/>
  <c r="F93" i="10" l="1"/>
  <c r="F67" i="10" l="1"/>
  <c r="P67" i="10" l="1"/>
  <c r="F102" i="10" l="1"/>
  <c r="F65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1" i="10"/>
  <c r="E5" i="10"/>
  <c r="D5" i="10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N97" i="32" s="1"/>
  <c r="M97" i="5"/>
  <c r="M97" i="32" s="1"/>
  <c r="L97" i="5"/>
  <c r="L97" i="32" s="1"/>
  <c r="K97" i="5"/>
  <c r="K97" i="32" s="1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N93" i="5"/>
  <c r="N93" i="32" s="1"/>
  <c r="M93" i="5"/>
  <c r="M93" i="32" s="1"/>
  <c r="L93" i="5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D93" i="5"/>
  <c r="D93" i="32" s="1"/>
  <c r="C93" i="5"/>
  <c r="C93" i="32" s="1"/>
  <c r="N92" i="5"/>
  <c r="M92" i="5"/>
  <c r="L92" i="5"/>
  <c r="L92" i="32" s="1"/>
  <c r="K92" i="5"/>
  <c r="K92" i="32" s="1"/>
  <c r="J92" i="5"/>
  <c r="J92" i="32" s="1"/>
  <c r="I92" i="5"/>
  <c r="I92" i="32" s="1"/>
  <c r="H92" i="5"/>
  <c r="H92" i="32" s="1"/>
  <c r="G92" i="5"/>
  <c r="G92" i="32" s="1"/>
  <c r="F92" i="5"/>
  <c r="E92" i="5"/>
  <c r="E92" i="32" s="1"/>
  <c r="D92" i="5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F88" i="5"/>
  <c r="F88" i="32" s="1"/>
  <c r="E88" i="5"/>
  <c r="E88" i="32" s="1"/>
  <c r="D88" i="5"/>
  <c r="D88" i="32" s="1"/>
  <c r="C88" i="5"/>
  <c r="C88" i="32" s="1"/>
  <c r="N87" i="5"/>
  <c r="M87" i="5"/>
  <c r="L87" i="5"/>
  <c r="L87" i="32" s="1"/>
  <c r="K87" i="5"/>
  <c r="K87" i="32" s="1"/>
  <c r="J87" i="5"/>
  <c r="J87" i="32" s="1"/>
  <c r="I87" i="5"/>
  <c r="H87" i="5"/>
  <c r="G87" i="5"/>
  <c r="G87" i="32" s="1"/>
  <c r="F87" i="5"/>
  <c r="F87" i="32" s="1"/>
  <c r="E87" i="5"/>
  <c r="E87" i="32" s="1"/>
  <c r="D87" i="5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Q29" i="10"/>
  <c r="Q5" i="10" s="1"/>
  <c r="P29" i="10"/>
  <c r="O29" i="10"/>
  <c r="N29" i="10"/>
  <c r="N5" i="10" s="1"/>
  <c r="M29" i="10"/>
  <c r="L29" i="10"/>
  <c r="K29" i="10"/>
  <c r="J29" i="10"/>
  <c r="I29" i="10"/>
  <c r="H29" i="10"/>
  <c r="G29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F29" i="10"/>
  <c r="F28" i="10"/>
  <c r="F27" i="10"/>
  <c r="F26" i="10"/>
  <c r="C1" i="5"/>
  <c r="C1" i="32" s="1"/>
  <c r="O88" i="5"/>
  <c r="O87" i="5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987" i="10"/>
  <c r="D987" i="10" s="1"/>
  <c r="C878" i="10"/>
  <c r="D878" i="10" s="1"/>
  <c r="C738" i="10"/>
  <c r="D738" i="10" s="1"/>
  <c r="C172" i="10"/>
  <c r="D172" i="10" s="1"/>
  <c r="C445" i="10"/>
  <c r="D445" i="10" s="1"/>
  <c r="C659" i="10"/>
  <c r="D659" i="10" s="1"/>
  <c r="C997" i="10"/>
  <c r="D997" i="10" s="1"/>
  <c r="C539" i="10"/>
  <c r="D539" i="10" s="1"/>
  <c r="C131" i="10"/>
  <c r="D131" i="10" s="1"/>
  <c r="C778" i="10"/>
  <c r="D778" i="10" s="1"/>
  <c r="C459" i="10"/>
  <c r="D459" i="10" s="1"/>
  <c r="C431" i="10"/>
  <c r="D431" i="10" s="1"/>
  <c r="C243" i="10"/>
  <c r="D243" i="10" s="1"/>
  <c r="C546" i="10"/>
  <c r="D546" i="10" s="1"/>
  <c r="C714" i="10"/>
  <c r="D714" i="10" s="1"/>
  <c r="C974" i="10"/>
  <c r="D974" i="10" s="1"/>
  <c r="C89" i="10"/>
  <c r="D89" i="10" s="1"/>
  <c r="C662" i="10"/>
  <c r="D662" i="10" s="1"/>
  <c r="C324" i="10"/>
  <c r="D324" i="10" s="1"/>
  <c r="C756" i="10"/>
  <c r="D756" i="10" s="1"/>
  <c r="C62" i="10"/>
  <c r="D62" i="10" s="1"/>
  <c r="C153" i="10"/>
  <c r="D153" i="10" s="1"/>
  <c r="C825" i="10"/>
  <c r="D825" i="10" s="1"/>
  <c r="C297" i="10"/>
  <c r="D297" i="10" s="1"/>
  <c r="C967" i="10"/>
  <c r="D967" i="10" s="1"/>
  <c r="C492" i="10"/>
  <c r="D492" i="10" s="1"/>
  <c r="C242" i="10"/>
  <c r="D242" i="10" s="1"/>
  <c r="C441" i="10"/>
  <c r="D441" i="10" s="1"/>
  <c r="C676" i="10"/>
  <c r="D676" i="10" s="1"/>
  <c r="C730" i="10"/>
  <c r="D730" i="10" s="1"/>
  <c r="C321" i="10"/>
  <c r="D321" i="10" s="1"/>
  <c r="C109" i="10"/>
  <c r="D109" i="10" s="1"/>
  <c r="C665" i="10"/>
  <c r="D665" i="10" s="1"/>
  <c r="C37" i="10"/>
  <c r="D37" i="10" s="1"/>
  <c r="C831" i="10"/>
  <c r="D831" i="10" s="1"/>
  <c r="C355" i="10"/>
  <c r="D355" i="10" s="1"/>
  <c r="C34" i="10"/>
  <c r="D34" i="10" s="1"/>
  <c r="C366" i="10"/>
  <c r="D366" i="10" s="1"/>
  <c r="C704" i="10"/>
  <c r="D704" i="10" s="1"/>
  <c r="C629" i="10"/>
  <c r="D629" i="10" s="1"/>
  <c r="C661" i="10"/>
  <c r="D661" i="10" s="1"/>
  <c r="C759" i="10"/>
  <c r="D759" i="10" s="1"/>
  <c r="C822" i="10"/>
  <c r="D822" i="10" s="1"/>
  <c r="C947" i="10"/>
  <c r="D947" i="10" s="1"/>
  <c r="C832" i="10"/>
  <c r="D832" i="10" s="1"/>
  <c r="C66" i="10"/>
  <c r="D66" i="10" s="1"/>
  <c r="C125" i="10"/>
  <c r="D125" i="10" s="1"/>
  <c r="C978" i="10"/>
  <c r="D978" i="10" s="1"/>
  <c r="C863" i="10"/>
  <c r="D863" i="10" s="1"/>
  <c r="C217" i="10"/>
  <c r="D217" i="10" s="1"/>
  <c r="C189" i="10"/>
  <c r="D189" i="10" s="1"/>
  <c r="C81" i="10"/>
  <c r="D81" i="10" s="1"/>
  <c r="C220" i="10"/>
  <c r="D220" i="10" s="1"/>
  <c r="C600" i="10"/>
  <c r="D600" i="10" s="1"/>
  <c r="C774" i="10"/>
  <c r="D774" i="10" s="1"/>
  <c r="C921" i="10"/>
  <c r="D921" i="10" s="1"/>
  <c r="C681" i="10"/>
  <c r="D681" i="10" s="1"/>
  <c r="C287" i="10"/>
  <c r="D287" i="10" s="1"/>
  <c r="C391" i="10"/>
  <c r="D391" i="10" s="1"/>
  <c r="C80" i="10"/>
  <c r="D80" i="10" s="1"/>
  <c r="C413" i="10"/>
  <c r="D413" i="10" s="1"/>
  <c r="C540" i="10"/>
  <c r="D540" i="10" s="1"/>
  <c r="C326" i="10"/>
  <c r="D326" i="10" s="1"/>
  <c r="C368" i="10"/>
  <c r="D368" i="10" s="1"/>
  <c r="C499" i="10"/>
  <c r="D499" i="10" s="1"/>
  <c r="C898" i="10"/>
  <c r="D898" i="10" s="1"/>
  <c r="C619" i="10"/>
  <c r="D619" i="10" s="1"/>
  <c r="C690" i="10"/>
  <c r="D690" i="10" s="1"/>
  <c r="C711" i="10"/>
  <c r="D711" i="10" s="1"/>
  <c r="C767" i="10"/>
  <c r="D767" i="10" s="1"/>
  <c r="C788" i="10"/>
  <c r="D788" i="10" s="1"/>
  <c r="C375" i="10"/>
  <c r="D375" i="10" s="1"/>
  <c r="C223" i="10"/>
  <c r="D223" i="10" s="1"/>
  <c r="C733" i="10"/>
  <c r="D733" i="10" s="1"/>
  <c r="C876" i="10"/>
  <c r="D876" i="10" s="1"/>
  <c r="C961" i="10"/>
  <c r="D961" i="10" s="1"/>
  <c r="C327" i="10"/>
  <c r="D327" i="10" s="1"/>
  <c r="C180" i="10"/>
  <c r="D180" i="10" s="1"/>
  <c r="C175" i="10"/>
  <c r="D175" i="10" s="1"/>
  <c r="C1002" i="10"/>
  <c r="D1002" i="10" s="1"/>
  <c r="C826" i="10"/>
  <c r="D826" i="10" s="1"/>
  <c r="C717" i="10"/>
  <c r="D717" i="10" s="1"/>
  <c r="C177" i="10"/>
  <c r="D177" i="10" s="1"/>
  <c r="C154" i="10"/>
  <c r="D154" i="10" s="1"/>
  <c r="C108" i="10"/>
  <c r="D108" i="10" s="1"/>
  <c r="C61" i="10"/>
  <c r="D61" i="10" s="1"/>
  <c r="C424" i="10"/>
  <c r="D424" i="10" s="1"/>
  <c r="C516" i="10"/>
  <c r="D516" i="10" s="1"/>
  <c r="C874" i="10"/>
  <c r="D874" i="10" s="1"/>
  <c r="C870" i="10"/>
  <c r="D870" i="10" s="1"/>
  <c r="C955" i="10"/>
  <c r="D955" i="10" s="1"/>
  <c r="C977" i="10"/>
  <c r="D977" i="10" s="1"/>
  <c r="C55" i="10"/>
  <c r="D55" i="10" s="1"/>
  <c r="C235" i="10"/>
  <c r="D235" i="10" s="1"/>
  <c r="C419" i="10"/>
  <c r="D419" i="10" s="1"/>
  <c r="C484" i="10"/>
  <c r="D484" i="10" s="1"/>
  <c r="C586" i="10"/>
  <c r="D586" i="10" s="1"/>
  <c r="C72" i="10"/>
  <c r="D72" i="10" s="1"/>
  <c r="C50" i="10"/>
  <c r="D50" i="10" s="1"/>
  <c r="C198" i="10"/>
  <c r="D198" i="10" s="1"/>
  <c r="C333" i="10"/>
  <c r="D333" i="10" s="1"/>
  <c r="C467" i="10"/>
  <c r="D467" i="10" s="1"/>
  <c r="C672" i="10"/>
  <c r="D672" i="10" s="1"/>
  <c r="C604" i="10"/>
  <c r="D604" i="10" s="1"/>
  <c r="C262" i="10"/>
  <c r="D262" i="10" s="1"/>
  <c r="C304" i="10"/>
  <c r="D304" i="10" s="1"/>
  <c r="C388" i="10"/>
  <c r="D388" i="10" s="1"/>
  <c r="C436" i="10"/>
  <c r="D436" i="10" s="1"/>
  <c r="C532" i="10"/>
  <c r="D532" i="10" s="1"/>
  <c r="C534" i="10"/>
  <c r="D534" i="10" s="1"/>
  <c r="C616" i="10"/>
  <c r="D616" i="10" s="1"/>
  <c r="C794" i="10"/>
  <c r="D794" i="10" s="1"/>
  <c r="L70" i="5"/>
  <c r="L70" i="32" s="1"/>
  <c r="C70" i="5"/>
  <c r="C70" i="32" s="1"/>
  <c r="C615" i="10"/>
  <c r="D615" i="10" s="1"/>
  <c r="C623" i="10"/>
  <c r="D623" i="10" s="1"/>
  <c r="C631" i="10"/>
  <c r="D631" i="10" s="1"/>
  <c r="C639" i="10"/>
  <c r="D639" i="10" s="1"/>
  <c r="C647" i="10"/>
  <c r="D647" i="10" s="1"/>
  <c r="C655" i="10"/>
  <c r="D655" i="10" s="1"/>
  <c r="C663" i="10"/>
  <c r="D663" i="10" s="1"/>
  <c r="C675" i="10"/>
  <c r="D675" i="10" s="1"/>
  <c r="C682" i="10"/>
  <c r="D682" i="10" s="1"/>
  <c r="C695" i="10"/>
  <c r="D695" i="10" s="1"/>
  <c r="C706" i="10"/>
  <c r="D706" i="10" s="1"/>
  <c r="C724" i="10"/>
  <c r="D724" i="10" s="1"/>
  <c r="C732" i="10"/>
  <c r="D732" i="10" s="1"/>
  <c r="C751" i="10"/>
  <c r="D751" i="10" s="1"/>
  <c r="C762" i="10"/>
  <c r="D762" i="10" s="1"/>
  <c r="C772" i="10"/>
  <c r="D772" i="10" s="1"/>
  <c r="C780" i="10"/>
  <c r="D780" i="10" s="1"/>
  <c r="C791" i="10"/>
  <c r="D791" i="10" s="1"/>
  <c r="C811" i="10"/>
  <c r="D811" i="10" s="1"/>
  <c r="C766" i="10"/>
  <c r="D766" i="10" s="1"/>
  <c r="C505" i="10"/>
  <c r="D505" i="10" s="1"/>
  <c r="C435" i="10"/>
  <c r="D435" i="10" s="1"/>
  <c r="C365" i="10"/>
  <c r="D365" i="10" s="1"/>
  <c r="C271" i="10"/>
  <c r="D271" i="10" s="1"/>
  <c r="C200" i="10"/>
  <c r="D200" i="10" s="1"/>
  <c r="C79" i="10"/>
  <c r="D79" i="10" s="1"/>
  <c r="C969" i="10"/>
  <c r="D969" i="10" s="1"/>
  <c r="C842" i="10"/>
  <c r="D842" i="10" s="1"/>
  <c r="C713" i="10"/>
  <c r="D713" i="10" s="1"/>
  <c r="C966" i="10"/>
  <c r="D966" i="10" s="1"/>
  <c r="C918" i="10"/>
  <c r="D918" i="10" s="1"/>
  <c r="C862" i="10"/>
  <c r="D862" i="10" s="1"/>
  <c r="C970" i="10"/>
  <c r="D970" i="10" s="1"/>
  <c r="C925" i="10"/>
  <c r="D925" i="10" s="1"/>
  <c r="C866" i="10"/>
  <c r="D866" i="10" s="1"/>
  <c r="C917" i="10"/>
  <c r="D917" i="10" s="1"/>
  <c r="C789" i="10"/>
  <c r="D789" i="10" s="1"/>
  <c r="C1000" i="10"/>
  <c r="D1000" i="10" s="1"/>
  <c r="C628" i="10"/>
  <c r="D628" i="10" s="1"/>
  <c r="C519" i="10"/>
  <c r="D519" i="10" s="1"/>
  <c r="C446" i="10"/>
  <c r="D446" i="10" s="1"/>
  <c r="C383" i="10"/>
  <c r="D383" i="10" s="1"/>
  <c r="C299" i="10"/>
  <c r="D299" i="10" s="1"/>
  <c r="C233" i="10"/>
  <c r="D233" i="10" s="1"/>
  <c r="C41" i="10"/>
  <c r="D41" i="10" s="1"/>
  <c r="C85" i="10"/>
  <c r="D85" i="10" s="1"/>
  <c r="C113" i="10"/>
  <c r="D113" i="10" s="1"/>
  <c r="C129" i="10"/>
  <c r="D129" i="10" s="1"/>
  <c r="C146" i="10"/>
  <c r="D146" i="10" s="1"/>
  <c r="C165" i="10"/>
  <c r="D165" i="10" s="1"/>
  <c r="C215" i="10"/>
  <c r="D215" i="10" s="1"/>
  <c r="C944" i="10"/>
  <c r="D944" i="10" s="1"/>
  <c r="C896" i="10"/>
  <c r="D896" i="10" s="1"/>
  <c r="C840" i="10"/>
  <c r="D840" i="10" s="1"/>
  <c r="C948" i="10"/>
  <c r="D948" i="10" s="1"/>
  <c r="C900" i="10"/>
  <c r="D900" i="10" s="1"/>
  <c r="C855" i="10"/>
  <c r="D855" i="10" s="1"/>
  <c r="C807" i="10"/>
  <c r="D807" i="10" s="1"/>
  <c r="C697" i="10"/>
  <c r="D697" i="10" s="1"/>
  <c r="C793" i="10"/>
  <c r="D793" i="10" s="1"/>
  <c r="C845" i="10"/>
  <c r="D845" i="10" s="1"/>
  <c r="C909" i="10"/>
  <c r="D909" i="10" s="1"/>
  <c r="C973" i="10"/>
  <c r="D973" i="10" s="1"/>
  <c r="C213" i="10"/>
  <c r="D213" i="10" s="1"/>
  <c r="C201" i="10"/>
  <c r="D201" i="10" s="1"/>
  <c r="C185" i="10"/>
  <c r="D185" i="10" s="1"/>
  <c r="C170" i="10"/>
  <c r="D170" i="10" s="1"/>
  <c r="C160" i="10"/>
  <c r="D160" i="10" s="1"/>
  <c r="C151" i="10"/>
  <c r="D151" i="10" s="1"/>
  <c r="C143" i="10"/>
  <c r="D143" i="10" s="1"/>
  <c r="C135" i="10"/>
  <c r="D135" i="10" s="1"/>
  <c r="C126" i="10"/>
  <c r="D126" i="10" s="1"/>
  <c r="C118" i="10"/>
  <c r="D118" i="10" s="1"/>
  <c r="C112" i="10"/>
  <c r="D112" i="10" s="1"/>
  <c r="C73" i="10"/>
  <c r="D73" i="10" s="1"/>
  <c r="C45" i="10"/>
  <c r="D45" i="10" s="1"/>
  <c r="C229" i="10"/>
  <c r="D229" i="10" s="1"/>
  <c r="C265" i="10"/>
  <c r="D265" i="10" s="1"/>
  <c r="C311" i="10"/>
  <c r="D311" i="10" s="1"/>
  <c r="C347" i="10"/>
  <c r="D347" i="10" s="1"/>
  <c r="C450" i="10"/>
  <c r="D450" i="10" s="1"/>
  <c r="C498" i="10"/>
  <c r="D498" i="10" s="1"/>
  <c r="C557" i="10"/>
  <c r="D557" i="10" s="1"/>
  <c r="C607" i="10"/>
  <c r="D607" i="10" s="1"/>
  <c r="C699" i="10"/>
  <c r="D699" i="10" s="1"/>
  <c r="C982" i="10"/>
  <c r="D982" i="10" s="1"/>
  <c r="C810" i="10"/>
  <c r="D810" i="10" s="1"/>
  <c r="C852" i="10"/>
  <c r="D852" i="10" s="1"/>
  <c r="C895" i="10"/>
  <c r="D895" i="10" s="1"/>
  <c r="C938" i="10"/>
  <c r="D938" i="10" s="1"/>
  <c r="C980" i="10"/>
  <c r="D980" i="10" s="1"/>
  <c r="C848" i="10"/>
  <c r="D848" i="10" s="1"/>
  <c r="C891" i="10"/>
  <c r="D891" i="10" s="1"/>
  <c r="C934" i="10"/>
  <c r="D934" i="10" s="1"/>
  <c r="C976" i="10"/>
  <c r="D976" i="10" s="1"/>
  <c r="C689" i="10"/>
  <c r="D689" i="10" s="1"/>
  <c r="C753" i="10"/>
  <c r="D753" i="10" s="1"/>
  <c r="C817" i="10"/>
  <c r="D817" i="10" s="1"/>
  <c r="C881" i="10"/>
  <c r="D881" i="10" s="1"/>
  <c r="C945" i="10"/>
  <c r="D945" i="10" s="1"/>
  <c r="C103" i="10"/>
  <c r="D103" i="10" s="1"/>
  <c r="C69" i="10"/>
  <c r="D69" i="10" s="1"/>
  <c r="C39" i="10"/>
  <c r="D39" i="10" s="1"/>
  <c r="C176" i="10"/>
  <c r="D176" i="10" s="1"/>
  <c r="C255" i="10"/>
  <c r="D255" i="10" s="1"/>
  <c r="C291" i="10"/>
  <c r="D291" i="10" s="1"/>
  <c r="C337" i="10"/>
  <c r="D337" i="10" s="1"/>
  <c r="C405" i="10"/>
  <c r="D405" i="10" s="1"/>
  <c r="C432" i="10"/>
  <c r="D432" i="10" s="1"/>
  <c r="C470" i="10"/>
  <c r="D470" i="10" s="1"/>
  <c r="C509" i="10"/>
  <c r="D509" i="10" s="1"/>
  <c r="C568" i="10"/>
  <c r="D568" i="10" s="1"/>
  <c r="C601" i="10"/>
  <c r="D601" i="10" s="1"/>
  <c r="C104" i="10"/>
  <c r="D104" i="10" s="1"/>
  <c r="C88" i="10"/>
  <c r="D88" i="10" s="1"/>
  <c r="C78" i="10"/>
  <c r="D78" i="10" s="1"/>
  <c r="C70" i="10"/>
  <c r="D70" i="10" s="1"/>
  <c r="C58" i="10"/>
  <c r="D58" i="10" s="1"/>
  <c r="C42" i="10"/>
  <c r="D42" i="10" s="1"/>
  <c r="C214" i="10"/>
  <c r="D214" i="10" s="1"/>
  <c r="C182" i="10"/>
  <c r="D182" i="10" s="1"/>
  <c r="C232" i="10"/>
  <c r="D232" i="10" s="1"/>
  <c r="C248" i="10"/>
  <c r="D248" i="10" s="1"/>
  <c r="C301" i="10"/>
  <c r="D301" i="10" s="1"/>
  <c r="C363" i="10"/>
  <c r="D363" i="10" s="1"/>
  <c r="C443" i="10"/>
  <c r="D443" i="10" s="1"/>
  <c r="C495" i="10"/>
  <c r="D495" i="10" s="1"/>
  <c r="C572" i="10"/>
  <c r="D572" i="10" s="1"/>
  <c r="C760" i="10"/>
  <c r="D760" i="10" s="1"/>
  <c r="C430" i="10"/>
  <c r="D430" i="10" s="1"/>
  <c r="C490" i="10"/>
  <c r="D490" i="10" s="1"/>
  <c r="C575" i="10"/>
  <c r="D575" i="10" s="1"/>
  <c r="C654" i="10"/>
  <c r="D654" i="10" s="1"/>
  <c r="C250" i="10"/>
  <c r="D250" i="10" s="1"/>
  <c r="C272" i="10"/>
  <c r="D272" i="10" s="1"/>
  <c r="C294" i="10"/>
  <c r="D294" i="10" s="1"/>
  <c r="C314" i="10"/>
  <c r="D314" i="10" s="1"/>
  <c r="C334" i="10"/>
  <c r="D334" i="10" s="1"/>
  <c r="C356" i="10"/>
  <c r="D356" i="10" s="1"/>
  <c r="C376" i="10"/>
  <c r="D376" i="10" s="1"/>
  <c r="C398" i="10"/>
  <c r="D398" i="10" s="1"/>
  <c r="C418" i="10"/>
  <c r="D418" i="10" s="1"/>
  <c r="C457" i="10"/>
  <c r="D457" i="10" s="1"/>
  <c r="C503" i="10"/>
  <c r="D503" i="10" s="1"/>
  <c r="C564" i="10"/>
  <c r="D564" i="10" s="1"/>
  <c r="C636" i="10"/>
  <c r="D636" i="10" s="1"/>
  <c r="C776" i="10"/>
  <c r="D776" i="10" s="1"/>
  <c r="C515" i="10"/>
  <c r="D515" i="10" s="1"/>
  <c r="C555" i="10"/>
  <c r="D555" i="10" s="1"/>
  <c r="C595" i="10"/>
  <c r="D595" i="10" s="1"/>
  <c r="C650" i="10"/>
  <c r="D650" i="10" s="1"/>
  <c r="C771" i="10"/>
  <c r="D771" i="10" s="1"/>
  <c r="C275" i="10"/>
  <c r="D275" i="10" s="1"/>
  <c r="C562" i="10"/>
  <c r="D562" i="10" s="1"/>
  <c r="C894" i="10"/>
  <c r="D894" i="10" s="1"/>
  <c r="C673" i="10"/>
  <c r="D673" i="10" s="1"/>
  <c r="C686" i="10"/>
  <c r="D686" i="10" s="1"/>
  <c r="C867" i="10"/>
  <c r="D867" i="10" s="1"/>
  <c r="C968" i="10"/>
  <c r="D968" i="10" s="1"/>
  <c r="C184" i="10"/>
  <c r="D184" i="10" s="1"/>
  <c r="C115" i="10"/>
  <c r="D115" i="10" s="1"/>
  <c r="C865" i="10"/>
  <c r="D865" i="10" s="1"/>
  <c r="C858" i="10"/>
  <c r="D858" i="10" s="1"/>
  <c r="C801" i="10"/>
  <c r="D801" i="10" s="1"/>
  <c r="C544" i="10"/>
  <c r="D544" i="10" s="1"/>
  <c r="C809" i="10"/>
  <c r="D809" i="10" s="1"/>
  <c r="C479" i="10"/>
  <c r="D479" i="10" s="1"/>
  <c r="C757" i="10"/>
  <c r="D757" i="10" s="1"/>
  <c r="C267" i="10"/>
  <c r="D267" i="10" s="1"/>
  <c r="C964" i="10"/>
  <c r="D964" i="10" s="1"/>
  <c r="C127" i="10"/>
  <c r="D127" i="10" s="1"/>
  <c r="C648" i="10"/>
  <c r="D648" i="10" s="1"/>
  <c r="C994" i="10"/>
  <c r="D994" i="10" s="1"/>
  <c r="C893" i="10"/>
  <c r="D893" i="10" s="1"/>
  <c r="C107" i="10"/>
  <c r="D107" i="10" s="1"/>
  <c r="C407" i="10"/>
  <c r="D407" i="10" s="1"/>
  <c r="C819" i="10"/>
  <c r="D819" i="10" s="1"/>
  <c r="C779" i="10"/>
  <c r="D779" i="10" s="1"/>
  <c r="C734" i="10"/>
  <c r="D734" i="10" s="1"/>
  <c r="C680" i="10"/>
  <c r="D680" i="10" s="1"/>
  <c r="C644" i="10"/>
  <c r="D644" i="10" s="1"/>
  <c r="C622" i="10"/>
  <c r="D622" i="10" s="1"/>
  <c r="C603" i="10"/>
  <c r="D603" i="10" s="1"/>
  <c r="C587" i="10"/>
  <c r="D587" i="10" s="1"/>
  <c r="C558" i="10"/>
  <c r="D558" i="10" s="1"/>
  <c r="C542" i="10"/>
  <c r="D542" i="10" s="1"/>
  <c r="C526" i="10"/>
  <c r="D526" i="10" s="1"/>
  <c r="C510" i="10"/>
  <c r="D510" i="10" s="1"/>
  <c r="C494" i="10"/>
  <c r="D494" i="10" s="1"/>
  <c r="C26" i="10"/>
  <c r="D26" i="10" s="1"/>
  <c r="C758" i="10"/>
  <c r="D758" i="10" s="1"/>
  <c r="C688" i="10"/>
  <c r="D688" i="10" s="1"/>
  <c r="C646" i="10"/>
  <c r="D646" i="10" s="1"/>
  <c r="C599" i="10"/>
  <c r="D599" i="10" s="1"/>
  <c r="C581" i="10"/>
  <c r="D581" i="10" s="1"/>
  <c r="C560" i="10"/>
  <c r="D560" i="10" s="1"/>
  <c r="C535" i="10"/>
  <c r="D535" i="10" s="1"/>
  <c r="C517" i="10"/>
  <c r="D517" i="10" s="1"/>
  <c r="C496" i="10"/>
  <c r="D496" i="10" s="1"/>
  <c r="C476" i="10"/>
  <c r="D476" i="10" s="1"/>
  <c r="C460" i="10"/>
  <c r="D460" i="10" s="1"/>
  <c r="C444" i="10"/>
  <c r="D444" i="10" s="1"/>
  <c r="C428" i="10"/>
  <c r="D428" i="10" s="1"/>
  <c r="C416" i="10"/>
  <c r="D416" i="10" s="1"/>
  <c r="C410" i="10"/>
  <c r="D410" i="10" s="1"/>
  <c r="C402" i="10"/>
  <c r="D402" i="10" s="1"/>
  <c r="C394" i="10"/>
  <c r="D394" i="10" s="1"/>
  <c r="C386" i="10"/>
  <c r="D386" i="10" s="1"/>
  <c r="C378" i="10"/>
  <c r="D378" i="10" s="1"/>
  <c r="C370" i="10"/>
  <c r="D370" i="10" s="1"/>
  <c r="C362" i="10"/>
  <c r="D362" i="10" s="1"/>
  <c r="C354" i="10"/>
  <c r="D354" i="10" s="1"/>
  <c r="C346" i="10"/>
  <c r="D346" i="10" s="1"/>
  <c r="C338" i="10"/>
  <c r="D338" i="10" s="1"/>
  <c r="C330" i="10"/>
  <c r="D330" i="10" s="1"/>
  <c r="C322" i="10"/>
  <c r="D322" i="10" s="1"/>
  <c r="C316" i="10"/>
  <c r="D316" i="10" s="1"/>
  <c r="C308" i="10"/>
  <c r="D308" i="10" s="1"/>
  <c r="C300" i="10"/>
  <c r="D300" i="10" s="1"/>
  <c r="C292" i="10"/>
  <c r="D292" i="10" s="1"/>
  <c r="C284" i="10"/>
  <c r="D284" i="10" s="1"/>
  <c r="C276" i="10"/>
  <c r="D276" i="10" s="1"/>
  <c r="C268" i="10"/>
  <c r="D268" i="10" s="1"/>
  <c r="C260" i="10"/>
  <c r="D260" i="10" s="1"/>
  <c r="C252" i="10"/>
  <c r="D252" i="10" s="1"/>
  <c r="C782" i="10"/>
  <c r="D782" i="10" s="1"/>
  <c r="C702" i="10"/>
  <c r="D702" i="10" s="1"/>
  <c r="C642" i="10"/>
  <c r="D642" i="10" s="1"/>
  <c r="C608" i="10"/>
  <c r="D608" i="10" s="1"/>
  <c r="C584" i="10"/>
  <c r="D584" i="10" s="1"/>
  <c r="C565" i="10"/>
  <c r="D565" i="10" s="1"/>
  <c r="C541" i="10"/>
  <c r="D541" i="10" s="1"/>
  <c r="C504" i="10"/>
  <c r="D504" i="10" s="1"/>
  <c r="C466" i="10"/>
  <c r="D466" i="10" s="1"/>
  <c r="C448" i="10"/>
  <c r="D448" i="10" s="1"/>
  <c r="C423" i="10"/>
  <c r="D423" i="10" s="1"/>
  <c r="C393" i="10"/>
  <c r="D393" i="10" s="1"/>
  <c r="C361" i="10"/>
  <c r="D361" i="10" s="1"/>
  <c r="C726" i="10"/>
  <c r="D726" i="10" s="1"/>
  <c r="C609" i="10"/>
  <c r="D609" i="10" s="1"/>
  <c r="C618" i="10"/>
  <c r="D618" i="10" s="1"/>
  <c r="C737" i="10"/>
  <c r="D737" i="10" s="1"/>
  <c r="C511" i="10"/>
  <c r="D511" i="10" s="1"/>
  <c r="C225" i="10"/>
  <c r="D225" i="10" s="1"/>
  <c r="C281" i="10"/>
  <c r="D281" i="10" s="1"/>
  <c r="C838" i="10"/>
  <c r="D838" i="10" s="1"/>
  <c r="C136" i="10"/>
  <c r="D136" i="10" s="1"/>
  <c r="C975" i="10"/>
  <c r="D975" i="10" s="1"/>
  <c r="C132" i="10"/>
  <c r="D132" i="10" s="1"/>
  <c r="C834" i="10"/>
  <c r="D834" i="10" s="1"/>
  <c r="C187" i="10"/>
  <c r="D187" i="10" s="1"/>
  <c r="C529" i="10"/>
  <c r="D529" i="10" s="1"/>
  <c r="C693" i="10"/>
  <c r="D693" i="10" s="1"/>
  <c r="C231" i="10"/>
  <c r="D231" i="10" s="1"/>
  <c r="C871" i="10"/>
  <c r="D871" i="10" s="1"/>
  <c r="C902" i="10"/>
  <c r="D902" i="10" s="1"/>
  <c r="C957" i="10"/>
  <c r="D957" i="10" s="1"/>
  <c r="C77" i="10"/>
  <c r="D77" i="10" s="1"/>
  <c r="C454" i="10"/>
  <c r="D454" i="10" s="1"/>
  <c r="C823" i="10"/>
  <c r="D823" i="10" s="1"/>
  <c r="C915" i="10"/>
  <c r="D915" i="10" s="1"/>
  <c r="C427" i="10"/>
  <c r="D427" i="10" s="1"/>
  <c r="C93" i="10"/>
  <c r="D93" i="10" s="1"/>
  <c r="C216" i="10"/>
  <c r="D216" i="10" s="1"/>
  <c r="C144" i="10"/>
  <c r="D144" i="10" s="1"/>
  <c r="C821" i="10"/>
  <c r="D821" i="10" s="1"/>
  <c r="C890" i="10"/>
  <c r="D890" i="10" s="1"/>
  <c r="C179" i="10"/>
  <c r="D179" i="10" s="1"/>
  <c r="C597" i="10"/>
  <c r="D597" i="10" s="1"/>
  <c r="C808" i="10"/>
  <c r="D808" i="10" s="1"/>
  <c r="C763" i="10"/>
  <c r="D763" i="10" s="1"/>
  <c r="C696" i="10"/>
  <c r="D696" i="10" s="1"/>
  <c r="C638" i="10"/>
  <c r="D638" i="10" s="1"/>
  <c r="C611" i="10"/>
  <c r="D611" i="10" s="1"/>
  <c r="C590" i="10"/>
  <c r="D590" i="10" s="1"/>
  <c r="C571" i="10"/>
  <c r="D571" i="10" s="1"/>
  <c r="C550" i="10"/>
  <c r="D550" i="10" s="1"/>
  <c r="C531" i="10"/>
  <c r="D531" i="10" s="1"/>
  <c r="C507" i="10"/>
  <c r="D507" i="10" s="1"/>
  <c r="C486" i="10"/>
  <c r="D486" i="10" s="1"/>
  <c r="C768" i="10"/>
  <c r="D768" i="10" s="1"/>
  <c r="C683" i="10"/>
  <c r="D683" i="10" s="1"/>
  <c r="C630" i="10"/>
  <c r="D630" i="10" s="1"/>
  <c r="C585" i="10"/>
  <c r="D585" i="10" s="1"/>
  <c r="C553" i="10"/>
  <c r="D553" i="10" s="1"/>
  <c r="C528" i="10"/>
  <c r="D528" i="10" s="1"/>
  <c r="C500" i="10"/>
  <c r="D500" i="10" s="1"/>
  <c r="C473" i="10"/>
  <c r="D473" i="10" s="1"/>
  <c r="C452" i="10"/>
  <c r="D452" i="10" s="1"/>
  <c r="C433" i="10"/>
  <c r="D433" i="10" s="1"/>
  <c r="C406" i="10"/>
  <c r="D406" i="10" s="1"/>
  <c r="C396" i="10"/>
  <c r="D396" i="10" s="1"/>
  <c r="C384" i="10"/>
  <c r="D384" i="10" s="1"/>
  <c r="C374" i="10"/>
  <c r="D374" i="10" s="1"/>
  <c r="C364" i="10"/>
  <c r="D364" i="10" s="1"/>
  <c r="C352" i="10"/>
  <c r="D352" i="10" s="1"/>
  <c r="C342" i="10"/>
  <c r="D342" i="10" s="1"/>
  <c r="C332" i="10"/>
  <c r="D332" i="10" s="1"/>
  <c r="C320" i="10"/>
  <c r="D320" i="10" s="1"/>
  <c r="C312" i="10"/>
  <c r="D312" i="10" s="1"/>
  <c r="C302" i="10"/>
  <c r="D302" i="10" s="1"/>
  <c r="C290" i="10"/>
  <c r="D290" i="10" s="1"/>
  <c r="C280" i="10"/>
  <c r="D280" i="10" s="1"/>
  <c r="C270" i="10"/>
  <c r="D270" i="10" s="1"/>
  <c r="C258" i="10"/>
  <c r="D258" i="10" s="1"/>
  <c r="C824" i="10"/>
  <c r="D824" i="10" s="1"/>
  <c r="C715" i="10"/>
  <c r="D715" i="10" s="1"/>
  <c r="C634" i="10"/>
  <c r="D634" i="10" s="1"/>
  <c r="C594" i="10"/>
  <c r="D594" i="10" s="1"/>
  <c r="C570" i="10"/>
  <c r="D570" i="10" s="1"/>
  <c r="C537" i="10"/>
  <c r="D537" i="10" s="1"/>
  <c r="C480" i="10"/>
  <c r="D480" i="10" s="1"/>
  <c r="C451" i="10"/>
  <c r="D451" i="10" s="1"/>
  <c r="C417" i="10"/>
  <c r="D417" i="10" s="1"/>
  <c r="C377" i="10"/>
  <c r="D377" i="10" s="1"/>
  <c r="C744" i="10"/>
  <c r="D744" i="10" s="1"/>
  <c r="C602" i="10"/>
  <c r="D602" i="10" s="1"/>
  <c r="C552" i="10"/>
  <c r="D552" i="10" s="1"/>
  <c r="C520" i="10"/>
  <c r="D520" i="10" s="1"/>
  <c r="C488" i="10"/>
  <c r="D488" i="10" s="1"/>
  <c r="C463" i="10"/>
  <c r="D463" i="10" s="1"/>
  <c r="C439" i="10"/>
  <c r="D439" i="10" s="1"/>
  <c r="C395" i="10"/>
  <c r="D395" i="10" s="1"/>
  <c r="C357" i="10"/>
  <c r="D357" i="10" s="1"/>
  <c r="C325" i="10"/>
  <c r="D325" i="10" s="1"/>
  <c r="C293" i="10"/>
  <c r="D293" i="10" s="1"/>
  <c r="C269" i="10"/>
  <c r="D269" i="10" s="1"/>
  <c r="C246" i="10"/>
  <c r="D246" i="10" s="1"/>
  <c r="C238" i="10"/>
  <c r="D238" i="10" s="1"/>
  <c r="C230" i="10"/>
  <c r="D230" i="10" s="1"/>
  <c r="C222" i="10"/>
  <c r="D222" i="10" s="1"/>
  <c r="C186" i="10"/>
  <c r="D186" i="10" s="1"/>
  <c r="C202" i="10"/>
  <c r="D202" i="10" s="1"/>
  <c r="C218" i="10"/>
  <c r="D218" i="10" s="1"/>
  <c r="C36" i="10"/>
  <c r="D36" i="10" s="1"/>
  <c r="C44" i="10"/>
  <c r="D44" i="10" s="1"/>
  <c r="C52" i="10"/>
  <c r="D52" i="10" s="1"/>
  <c r="C60" i="10"/>
  <c r="D60" i="10" s="1"/>
  <c r="C745" i="10"/>
  <c r="D745" i="10" s="1"/>
  <c r="C802" i="10"/>
  <c r="D802" i="10" s="1"/>
  <c r="C478" i="10"/>
  <c r="D478" i="10" s="1"/>
  <c r="C389" i="10"/>
  <c r="D389" i="10" s="1"/>
  <c r="C196" i="10"/>
  <c r="D196" i="10" s="1"/>
  <c r="C161" i="10"/>
  <c r="D161" i="10" s="1"/>
  <c r="C972" i="10"/>
  <c r="D972" i="10" s="1"/>
  <c r="C155" i="10"/>
  <c r="D155" i="10" s="1"/>
  <c r="C792" i="10"/>
  <c r="D792" i="10" s="1"/>
  <c r="C755" i="10"/>
  <c r="D755" i="10" s="1"/>
  <c r="C667" i="10"/>
  <c r="D667" i="10" s="1"/>
  <c r="C632" i="10"/>
  <c r="D632" i="10" s="1"/>
  <c r="C606" i="10"/>
  <c r="D606" i="10" s="1"/>
  <c r="C582" i="10"/>
  <c r="D582" i="10" s="1"/>
  <c r="C566" i="10"/>
  <c r="D566" i="10" s="1"/>
  <c r="C547" i="10"/>
  <c r="D547" i="10" s="1"/>
  <c r="C523" i="10"/>
  <c r="D523" i="10" s="1"/>
  <c r="C502" i="10"/>
  <c r="D502" i="10" s="1"/>
  <c r="C483" i="10"/>
  <c r="D483" i="10" s="1"/>
  <c r="C747" i="10"/>
  <c r="D747" i="10" s="1"/>
  <c r="C658" i="10"/>
  <c r="D658" i="10" s="1"/>
  <c r="C610" i="10"/>
  <c r="D610" i="10" s="1"/>
  <c r="C578" i="10"/>
  <c r="D578" i="10" s="1"/>
  <c r="C549" i="10"/>
  <c r="D549" i="10" s="1"/>
  <c r="C521" i="10"/>
  <c r="D521" i="10" s="1"/>
  <c r="C489" i="10"/>
  <c r="D489" i="10" s="1"/>
  <c r="C468" i="10"/>
  <c r="D468" i="10" s="1"/>
  <c r="C449" i="10"/>
  <c r="D449" i="10" s="1"/>
  <c r="C425" i="10"/>
  <c r="D425" i="10" s="1"/>
  <c r="C414" i="10"/>
  <c r="D414" i="10" s="1"/>
  <c r="C404" i="10"/>
  <c r="D404" i="10" s="1"/>
  <c r="C392" i="10"/>
  <c r="D392" i="10" s="1"/>
  <c r="C382" i="10"/>
  <c r="D382" i="10" s="1"/>
  <c r="C372" i="10"/>
  <c r="D372" i="10" s="1"/>
  <c r="C360" i="10"/>
  <c r="D360" i="10" s="1"/>
  <c r="C350" i="10"/>
  <c r="D350" i="10" s="1"/>
  <c r="C340" i="10"/>
  <c r="D340" i="10" s="1"/>
  <c r="C328" i="10"/>
  <c r="D328" i="10" s="1"/>
  <c r="C310" i="10"/>
  <c r="D310" i="10" s="1"/>
  <c r="C298" i="10"/>
  <c r="D298" i="10" s="1"/>
  <c r="C288" i="10"/>
  <c r="D288" i="10" s="1"/>
  <c r="C278" i="10"/>
  <c r="D278" i="10" s="1"/>
  <c r="C266" i="10"/>
  <c r="D266" i="10" s="1"/>
  <c r="C256" i="10"/>
  <c r="D256" i="10" s="1"/>
  <c r="C798" i="10"/>
  <c r="D798" i="10" s="1"/>
  <c r="C691" i="10"/>
  <c r="D691" i="10" s="1"/>
  <c r="C624" i="10"/>
  <c r="D624" i="10" s="1"/>
  <c r="C589" i="10"/>
  <c r="D589" i="10" s="1"/>
  <c r="C561" i="10"/>
  <c r="D561" i="10" s="1"/>
  <c r="C527" i="10"/>
  <c r="D527" i="10" s="1"/>
  <c r="C469" i="10"/>
  <c r="D469" i="10" s="1"/>
  <c r="C437" i="10"/>
  <c r="D437" i="10" s="1"/>
  <c r="C409" i="10"/>
  <c r="D409" i="10" s="1"/>
  <c r="C369" i="10"/>
  <c r="D369" i="10" s="1"/>
  <c r="C710" i="10"/>
  <c r="D710" i="10" s="1"/>
  <c r="C583" i="10"/>
  <c r="D583" i="10" s="1"/>
  <c r="C545" i="10"/>
  <c r="D545" i="10" s="1"/>
  <c r="C508" i="10"/>
  <c r="D508" i="10" s="1"/>
  <c r="C477" i="10"/>
  <c r="D477" i="10" s="1"/>
  <c r="C458" i="10"/>
  <c r="D458" i="10" s="1"/>
  <c r="C429" i="10"/>
  <c r="D429" i="10" s="1"/>
  <c r="C381" i="10"/>
  <c r="D381" i="10" s="1"/>
  <c r="C349" i="10"/>
  <c r="D349" i="10" s="1"/>
  <c r="C317" i="10"/>
  <c r="D317" i="10" s="1"/>
  <c r="C261" i="10"/>
  <c r="D261" i="10" s="1"/>
  <c r="C244" i="10"/>
  <c r="D244" i="10" s="1"/>
  <c r="C236" i="10"/>
  <c r="D236" i="10" s="1"/>
  <c r="C228" i="10"/>
  <c r="D228" i="10" s="1"/>
  <c r="C174" i="10"/>
  <c r="D174" i="10" s="1"/>
  <c r="C190" i="10"/>
  <c r="D190" i="10" s="1"/>
  <c r="C206" i="10"/>
  <c r="D206" i="10" s="1"/>
  <c r="C30" i="10"/>
  <c r="D30" i="10" s="1"/>
  <c r="C38" i="10"/>
  <c r="D38" i="10" s="1"/>
  <c r="C46" i="10"/>
  <c r="D46" i="10" s="1"/>
  <c r="C54" i="10"/>
  <c r="D54" i="10" s="1"/>
  <c r="C65" i="10"/>
  <c r="D65" i="10" s="1"/>
  <c r="C74" i="10"/>
  <c r="D74" i="10" s="1"/>
  <c r="C82" i="10"/>
  <c r="D82" i="10" s="1"/>
  <c r="C90" i="10"/>
  <c r="D90" i="10" s="1"/>
  <c r="C102" i="10"/>
  <c r="D102" i="10" s="1"/>
  <c r="C617" i="10"/>
  <c r="D617" i="10" s="1"/>
  <c r="C625" i="10"/>
  <c r="D625" i="10" s="1"/>
  <c r="C633" i="10"/>
  <c r="D633" i="10" s="1"/>
  <c r="C641" i="10"/>
  <c r="D641" i="10" s="1"/>
  <c r="C649" i="10"/>
  <c r="D649" i="10" s="1"/>
  <c r="C657" i="10"/>
  <c r="D657" i="10" s="1"/>
  <c r="C666" i="10"/>
  <c r="D666" i="10" s="1"/>
  <c r="C679" i="10"/>
  <c r="D679" i="10" s="1"/>
  <c r="C687" i="10"/>
  <c r="D687" i="10" s="1"/>
  <c r="C698" i="10"/>
  <c r="D698" i="10" s="1"/>
  <c r="C708" i="10"/>
  <c r="D708" i="10" s="1"/>
  <c r="C716" i="10"/>
  <c r="D716" i="10" s="1"/>
  <c r="C735" i="10"/>
  <c r="D735" i="10" s="1"/>
  <c r="C743" i="10"/>
  <c r="D743" i="10" s="1"/>
  <c r="C754" i="10"/>
  <c r="D754" i="10" s="1"/>
  <c r="C764" i="10"/>
  <c r="D764" i="10" s="1"/>
  <c r="C775" i="10"/>
  <c r="D775" i="10" s="1"/>
  <c r="C783" i="10"/>
  <c r="D783" i="10" s="1"/>
  <c r="C795" i="10"/>
  <c r="D795" i="10" s="1"/>
  <c r="C816" i="10"/>
  <c r="D816" i="10" s="1"/>
  <c r="C720" i="10"/>
  <c r="D720" i="10" s="1"/>
  <c r="C588" i="10"/>
  <c r="D588" i="10" s="1"/>
  <c r="C487" i="10"/>
  <c r="D487" i="10" s="1"/>
  <c r="C422" i="10"/>
  <c r="D422" i="10" s="1"/>
  <c r="C335" i="10"/>
  <c r="D335" i="10" s="1"/>
  <c r="C257" i="10"/>
  <c r="D257" i="10" s="1"/>
  <c r="C35" i="10"/>
  <c r="D35" i="10" s="1"/>
  <c r="C95" i="10"/>
  <c r="D95" i="10" s="1"/>
  <c r="C920" i="10"/>
  <c r="D920" i="10" s="1"/>
  <c r="C797" i="10"/>
  <c r="D797" i="10" s="1"/>
  <c r="C669" i="10"/>
  <c r="D669" i="10" s="1"/>
  <c r="C958" i="10"/>
  <c r="D958" i="10" s="1"/>
  <c r="C910" i="10"/>
  <c r="D910" i="10" s="1"/>
  <c r="C841" i="10"/>
  <c r="D841" i="10" s="1"/>
  <c r="C962" i="10"/>
  <c r="D962" i="10" s="1"/>
  <c r="C914" i="10"/>
  <c r="D914" i="10" s="1"/>
  <c r="C847" i="10"/>
  <c r="D847" i="10" s="1"/>
  <c r="C799" i="10"/>
  <c r="D799" i="10" s="1"/>
  <c r="C897" i="10"/>
  <c r="D897" i="10" s="1"/>
  <c r="C769" i="10"/>
  <c r="D769" i="10" s="1"/>
  <c r="C814" i="10"/>
  <c r="D814" i="10" s="1"/>
  <c r="C569" i="10"/>
  <c r="D569" i="10" s="1"/>
  <c r="C471" i="10"/>
  <c r="D471" i="10" s="1"/>
  <c r="C421" i="10"/>
  <c r="D421" i="10" s="1"/>
  <c r="C373" i="10"/>
  <c r="D373" i="10" s="1"/>
  <c r="C263" i="10"/>
  <c r="D263" i="10" s="1"/>
  <c r="C57" i="10"/>
  <c r="D57" i="10" s="1"/>
  <c r="C117" i="10"/>
  <c r="D117" i="10" s="1"/>
  <c r="C134" i="10"/>
  <c r="D134" i="10" s="1"/>
  <c r="C150" i="10"/>
  <c r="D150" i="10" s="1"/>
  <c r="C169" i="10"/>
  <c r="D169" i="10" s="1"/>
  <c r="C191" i="10"/>
  <c r="D191" i="10" s="1"/>
  <c r="K70" i="5"/>
  <c r="K70" i="32" s="1"/>
  <c r="C936" i="10"/>
  <c r="D936" i="10" s="1"/>
  <c r="C888" i="10"/>
  <c r="D888" i="10" s="1"/>
  <c r="C996" i="10"/>
  <c r="D996" i="10" s="1"/>
  <c r="C940" i="10"/>
  <c r="D940" i="10" s="1"/>
  <c r="C892" i="10"/>
  <c r="D892" i="10" s="1"/>
  <c r="C843" i="10"/>
  <c r="D843" i="10" s="1"/>
  <c r="C796" i="10"/>
  <c r="D796" i="10" s="1"/>
  <c r="C749" i="10"/>
  <c r="D749" i="10" s="1"/>
  <c r="C857" i="10"/>
  <c r="D857" i="10" s="1"/>
  <c r="C923" i="10"/>
  <c r="D923" i="10" s="1"/>
  <c r="C985" i="10"/>
  <c r="D985" i="10" s="1"/>
  <c r="C209" i="10"/>
  <c r="D209" i="10" s="1"/>
  <c r="C197" i="10"/>
  <c r="D197" i="10" s="1"/>
  <c r="C181" i="10"/>
  <c r="D181" i="10" s="1"/>
  <c r="C168" i="10"/>
  <c r="D168" i="10" s="1"/>
  <c r="C156" i="10"/>
  <c r="D156" i="10" s="1"/>
  <c r="C149" i="10"/>
  <c r="D149" i="10" s="1"/>
  <c r="C141" i="10"/>
  <c r="D141" i="10" s="1"/>
  <c r="C133" i="10"/>
  <c r="D133" i="10" s="1"/>
  <c r="C124" i="10"/>
  <c r="D124" i="10" s="1"/>
  <c r="C110" i="10"/>
  <c r="D110" i="10" s="1"/>
  <c r="C101" i="10"/>
  <c r="D101" i="10" s="1"/>
  <c r="C68" i="10"/>
  <c r="D68" i="10" s="1"/>
  <c r="C204" i="10"/>
  <c r="D204" i="10" s="1"/>
  <c r="C237" i="10"/>
  <c r="D237" i="10" s="1"/>
  <c r="C279" i="10"/>
  <c r="D279" i="10" s="1"/>
  <c r="C315" i="10"/>
  <c r="D315" i="10" s="1"/>
  <c r="C371" i="10"/>
  <c r="D371" i="10" s="1"/>
  <c r="C456" i="10"/>
  <c r="D456" i="10" s="1"/>
  <c r="C506" i="10"/>
  <c r="D506" i="10" s="1"/>
  <c r="C573" i="10"/>
  <c r="D573" i="10" s="1"/>
  <c r="C620" i="10"/>
  <c r="D620" i="10" s="1"/>
  <c r="C723" i="10"/>
  <c r="D723" i="10" s="1"/>
  <c r="C990" i="10"/>
  <c r="D990" i="10" s="1"/>
  <c r="C818" i="10"/>
  <c r="D818" i="10" s="1"/>
  <c r="C860" i="10"/>
  <c r="D860" i="10" s="1"/>
  <c r="C903" i="10"/>
  <c r="D903" i="10" s="1"/>
  <c r="C946" i="10"/>
  <c r="D946" i="10" s="1"/>
  <c r="C988" i="10"/>
  <c r="D988" i="10" s="1"/>
  <c r="C856" i="10"/>
  <c r="D856" i="10" s="1"/>
  <c r="C899" i="10"/>
  <c r="D899" i="10" s="1"/>
  <c r="C942" i="10"/>
  <c r="D942" i="10" s="1"/>
  <c r="C984" i="10"/>
  <c r="D984" i="10" s="1"/>
  <c r="C709" i="10"/>
  <c r="D709" i="10" s="1"/>
  <c r="C773" i="10"/>
  <c r="D773" i="10" s="1"/>
  <c r="C837" i="10"/>
  <c r="D837" i="10" s="1"/>
  <c r="C901" i="10"/>
  <c r="D901" i="10" s="1"/>
  <c r="C965" i="10"/>
  <c r="D965" i="10" s="1"/>
  <c r="C91" i="10"/>
  <c r="D91" i="10" s="1"/>
  <c r="C31" i="10"/>
  <c r="D31" i="10" s="1"/>
  <c r="C227" i="10"/>
  <c r="D227" i="10" s="1"/>
  <c r="C259" i="10"/>
  <c r="D259" i="10" s="1"/>
  <c r="C305" i="10"/>
  <c r="D305" i="10" s="1"/>
  <c r="C351" i="10"/>
  <c r="D351" i="10" s="1"/>
  <c r="C415" i="10"/>
  <c r="D415" i="10" s="1"/>
  <c r="C438" i="10"/>
  <c r="D438" i="10" s="1"/>
  <c r="C475" i="10"/>
  <c r="D475" i="10" s="1"/>
  <c r="C525" i="10"/>
  <c r="D525" i="10" s="1"/>
  <c r="C576" i="10"/>
  <c r="D576" i="10" s="1"/>
  <c r="C640" i="10"/>
  <c r="D640" i="10" s="1"/>
  <c r="C100" i="10"/>
  <c r="D100" i="10" s="1"/>
  <c r="C86" i="10"/>
  <c r="D86" i="10" s="1"/>
  <c r="C76" i="10"/>
  <c r="D76" i="10" s="1"/>
  <c r="C63" i="10"/>
  <c r="D63" i="10" s="1"/>
  <c r="C56" i="10"/>
  <c r="D56" i="10" s="1"/>
  <c r="C40" i="10"/>
  <c r="D40" i="10" s="1"/>
  <c r="C210" i="10"/>
  <c r="D210" i="10" s="1"/>
  <c r="C178" i="10"/>
  <c r="D178" i="10" s="1"/>
  <c r="C234" i="10"/>
  <c r="D234" i="10" s="1"/>
  <c r="C253" i="10"/>
  <c r="D253" i="10" s="1"/>
  <c r="C309" i="10"/>
  <c r="D309" i="10" s="1"/>
  <c r="C367" i="10"/>
  <c r="D367" i="10" s="1"/>
  <c r="C453" i="10"/>
  <c r="D453" i="10" s="1"/>
  <c r="C501" i="10"/>
  <c r="D501" i="10" s="1"/>
  <c r="C577" i="10"/>
  <c r="D577" i="10" s="1"/>
  <c r="C803" i="10"/>
  <c r="D803" i="10" s="1"/>
  <c r="C434" i="10"/>
  <c r="D434" i="10" s="1"/>
  <c r="C513" i="10"/>
  <c r="D513" i="10" s="1"/>
  <c r="C580" i="10"/>
  <c r="D580" i="10" s="1"/>
  <c r="C677" i="10"/>
  <c r="D677" i="10" s="1"/>
  <c r="C254" i="10"/>
  <c r="D254" i="10" s="1"/>
  <c r="C274" i="10"/>
  <c r="D274" i="10" s="1"/>
  <c r="C296" i="10"/>
  <c r="D296" i="10" s="1"/>
  <c r="C318" i="10"/>
  <c r="D318" i="10" s="1"/>
  <c r="C336" i="10"/>
  <c r="D336" i="10" s="1"/>
  <c r="C358" i="10"/>
  <c r="D358" i="10" s="1"/>
  <c r="C380" i="10"/>
  <c r="D380" i="10" s="1"/>
  <c r="C400" i="10"/>
  <c r="D400" i="10" s="1"/>
  <c r="C420" i="10"/>
  <c r="D420" i="10" s="1"/>
  <c r="C465" i="10"/>
  <c r="D465" i="10" s="1"/>
  <c r="C514" i="10"/>
  <c r="D514" i="10" s="1"/>
  <c r="C567" i="10"/>
  <c r="D567" i="10" s="1"/>
  <c r="C652" i="10"/>
  <c r="D652" i="10" s="1"/>
  <c r="C787" i="10"/>
  <c r="D787" i="10" s="1"/>
  <c r="C518" i="10"/>
  <c r="D518" i="10" s="1"/>
  <c r="C563" i="10"/>
  <c r="D563" i="10" s="1"/>
  <c r="C598" i="10"/>
  <c r="D598" i="10" s="1"/>
  <c r="C660" i="10"/>
  <c r="D660" i="10" s="1"/>
  <c r="C784" i="10"/>
  <c r="D784" i="10" s="1"/>
  <c r="C241" i="10"/>
  <c r="D241" i="10" s="1"/>
  <c r="C339" i="10"/>
  <c r="D339" i="10" s="1"/>
  <c r="C991" i="10"/>
  <c r="D991" i="10" s="1"/>
  <c r="C886" i="10"/>
  <c r="D886" i="10" s="1"/>
  <c r="C954" i="10"/>
  <c r="D954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 s="1"/>
  <c r="C71" i="5"/>
  <c r="C71" i="32" s="1"/>
  <c r="O71" i="5"/>
  <c r="I77" i="5"/>
  <c r="I77" i="32" s="1"/>
  <c r="D70" i="5"/>
  <c r="D70" i="32" s="1"/>
  <c r="N77" i="5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O77" i="5"/>
  <c r="I70" i="5"/>
  <c r="I70" i="32" s="1"/>
  <c r="I72" i="5"/>
  <c r="I72" i="32" s="1"/>
  <c r="D72" i="5"/>
  <c r="D72" i="32" s="1"/>
  <c r="L71" i="5"/>
  <c r="L71" i="32" s="1"/>
  <c r="E70" i="5"/>
  <c r="E70" i="32" s="1"/>
  <c r="C78" i="5"/>
  <c r="C78" i="32" s="1"/>
  <c r="G76" i="5"/>
  <c r="G76" i="32" s="1"/>
  <c r="H72" i="5"/>
  <c r="H72" i="32" s="1"/>
  <c r="H71" i="5"/>
  <c r="H71" i="32" s="1"/>
  <c r="D76" i="5"/>
  <c r="D76" i="32" s="1"/>
  <c r="I78" i="5"/>
  <c r="I78" i="32" s="1"/>
  <c r="K71" i="5"/>
  <c r="K71" i="32" s="1"/>
  <c r="D69" i="5"/>
  <c r="G77" i="5"/>
  <c r="G77" i="32" s="1"/>
  <c r="O78" i="5"/>
  <c r="J78" i="5"/>
  <c r="J78" i="32" s="1"/>
  <c r="G71" i="5"/>
  <c r="G71" i="32" s="1"/>
  <c r="M70" i="5"/>
  <c r="M70" i="32" s="1"/>
  <c r="J76" i="5"/>
  <c r="J76" i="32" s="1"/>
  <c r="G70" i="5"/>
  <c r="G70" i="32" s="1"/>
  <c r="M71" i="5"/>
  <c r="M71" i="32" s="1"/>
  <c r="D71" i="5"/>
  <c r="D71" i="32" s="1"/>
  <c r="E78" i="5"/>
  <c r="E78" i="32" s="1"/>
  <c r="J77" i="5"/>
  <c r="J77" i="32" s="1"/>
  <c r="G78" i="5"/>
  <c r="G78" i="32" s="1"/>
  <c r="C76" i="5"/>
  <c r="C76" i="32" s="1"/>
  <c r="C77" i="5"/>
  <c r="C77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D77" i="5"/>
  <c r="D77" i="32" s="1"/>
  <c r="F78" i="5"/>
  <c r="F78" i="32" s="1"/>
  <c r="O76" i="5"/>
  <c r="D1" i="21"/>
  <c r="B2" i="5"/>
  <c r="B2" i="32" s="1"/>
  <c r="C530" i="10"/>
  <c r="D530" i="10" s="1"/>
  <c r="C379" i="10"/>
  <c r="D379" i="10" s="1"/>
  <c r="C33" i="10"/>
  <c r="D33" i="10" s="1"/>
  <c r="C123" i="10"/>
  <c r="D123" i="10" s="1"/>
  <c r="C211" i="10"/>
  <c r="D211" i="10" s="1"/>
  <c r="C829" i="10"/>
  <c r="D829" i="10" s="1"/>
  <c r="C979" i="10"/>
  <c r="D979" i="10" s="1"/>
  <c r="C875" i="10"/>
  <c r="D875" i="10" s="1"/>
  <c r="C943" i="10"/>
  <c r="D943" i="10" s="1"/>
  <c r="C844" i="10"/>
  <c r="D844" i="10" s="1"/>
  <c r="C493" i="10"/>
  <c r="D493" i="10" s="1"/>
  <c r="C43" i="10"/>
  <c r="D43" i="10" s="1"/>
  <c r="C219" i="10"/>
  <c r="D219" i="10" s="1"/>
  <c r="C27" i="10"/>
  <c r="D27" i="10" s="1"/>
  <c r="C868" i="10"/>
  <c r="D868" i="10" s="1"/>
  <c r="C442" i="10"/>
  <c r="D442" i="10" s="1"/>
  <c r="C971" i="10"/>
  <c r="D971" i="10" s="1"/>
  <c r="C935" i="10"/>
  <c r="D935" i="10" s="1"/>
  <c r="C739" i="10"/>
  <c r="D739" i="10" s="1"/>
  <c r="C331" i="10"/>
  <c r="D331" i="10" s="1"/>
  <c r="C167" i="10"/>
  <c r="D167" i="10" s="1"/>
  <c r="C960" i="10"/>
  <c r="D960" i="10" s="1"/>
  <c r="C820" i="10"/>
  <c r="D820" i="10" s="1"/>
  <c r="C387" i="10"/>
  <c r="D387" i="10" s="1"/>
  <c r="C171" i="10"/>
  <c r="D171" i="10" s="1"/>
  <c r="C995" i="10"/>
  <c r="D995" i="10" s="1"/>
  <c r="C956" i="10"/>
  <c r="D956" i="10" s="1"/>
  <c r="C71" i="10"/>
  <c r="D71" i="10" s="1"/>
  <c r="C931" i="10"/>
  <c r="D931" i="10" s="1"/>
  <c r="C512" i="10"/>
  <c r="D512" i="10" s="1"/>
  <c r="C195" i="10"/>
  <c r="D195" i="10" s="1"/>
  <c r="C983" i="10"/>
  <c r="D983" i="10" s="1"/>
  <c r="C203" i="10"/>
  <c r="D203" i="10" s="1"/>
  <c r="C440" i="10"/>
  <c r="D440" i="10" s="1"/>
  <c r="C924" i="10"/>
  <c r="D924" i="10" s="1"/>
  <c r="C289" i="10"/>
  <c r="D289" i="10" s="1"/>
  <c r="C119" i="10"/>
  <c r="D119" i="10" s="1"/>
  <c r="C148" i="10"/>
  <c r="D148" i="10" s="1"/>
  <c r="C497" i="10"/>
  <c r="D497" i="10" s="1"/>
  <c r="C345" i="10"/>
  <c r="D345" i="10" s="1"/>
  <c r="C59" i="10"/>
  <c r="D59" i="10" s="1"/>
  <c r="C140" i="10"/>
  <c r="D140" i="10" s="1"/>
  <c r="C28" i="10"/>
  <c r="D28" i="10" s="1"/>
  <c r="C765" i="10"/>
  <c r="D765" i="10" s="1"/>
  <c r="C952" i="10"/>
  <c r="D952" i="10" s="1"/>
  <c r="C854" i="10"/>
  <c r="D854" i="10" s="1"/>
  <c r="C919" i="10"/>
  <c r="D919" i="10" s="1"/>
  <c r="C812" i="10"/>
  <c r="D812" i="10" s="1"/>
  <c r="C397" i="10"/>
  <c r="D397" i="10" s="1"/>
  <c r="C87" i="10"/>
  <c r="D87" i="10" s="1"/>
  <c r="C949" i="10"/>
  <c r="D949" i="10" s="1"/>
  <c r="C846" i="10"/>
  <c r="D846" i="10" s="1"/>
  <c r="C804" i="10"/>
  <c r="D804" i="10" s="1"/>
  <c r="C295" i="10"/>
  <c r="D295" i="10" s="1"/>
  <c r="C111" i="10"/>
  <c r="D111" i="10" s="1"/>
  <c r="C885" i="10"/>
  <c r="D885" i="10" s="1"/>
  <c r="C950" i="10"/>
  <c r="D950" i="10" s="1"/>
  <c r="C887" i="10"/>
  <c r="D887" i="10" s="1"/>
  <c r="C548" i="10"/>
  <c r="D548" i="10" s="1"/>
  <c r="C247" i="10"/>
  <c r="D247" i="10" s="1"/>
  <c r="C937" i="10"/>
  <c r="D937" i="10" s="1"/>
  <c r="C904" i="10"/>
  <c r="D904" i="10" s="1"/>
  <c r="C736" i="10"/>
  <c r="D736" i="10" s="1"/>
  <c r="C303" i="10"/>
  <c r="D303" i="10" s="1"/>
  <c r="C928" i="10"/>
  <c r="D928" i="10" s="1"/>
  <c r="C939" i="10"/>
  <c r="D939" i="10" s="1"/>
  <c r="C906" i="10"/>
  <c r="D906" i="10" s="1"/>
  <c r="C612" i="10"/>
  <c r="D612" i="10" s="1"/>
  <c r="C130" i="10"/>
  <c r="D130" i="10" s="1"/>
  <c r="C830" i="10"/>
  <c r="D830" i="10" s="1"/>
  <c r="C359" i="10"/>
  <c r="D359" i="10" s="1"/>
  <c r="C1001" i="10"/>
  <c r="D1001" i="10" s="1"/>
  <c r="C879" i="10"/>
  <c r="D879" i="10" s="1"/>
  <c r="C873" i="10"/>
  <c r="D873" i="10" s="1"/>
  <c r="C49" i="10"/>
  <c r="D49" i="10" s="1"/>
  <c r="C353" i="10"/>
  <c r="D353" i="10" s="1"/>
  <c r="C883" i="10"/>
  <c r="D883" i="10" s="1"/>
  <c r="C993" i="10"/>
  <c r="D993" i="10" s="1"/>
  <c r="N69" i="5" l="1"/>
  <c r="N73" i="5" s="1"/>
  <c r="F69" i="5"/>
  <c r="F69" i="32" s="1"/>
  <c r="F73" i="32" s="1"/>
  <c r="C158" i="10"/>
  <c r="D158" i="10" s="1"/>
  <c r="C98" i="10"/>
  <c r="D98" i="10" s="1"/>
  <c r="I75" i="5"/>
  <c r="I75" i="32" s="1"/>
  <c r="I79" i="32" s="1"/>
  <c r="L69" i="5"/>
  <c r="L69" i="32" s="1"/>
  <c r="L73" i="32" s="1"/>
  <c r="C69" i="5"/>
  <c r="C69" i="32" s="1"/>
  <c r="C73" i="32" s="1"/>
  <c r="H89" i="5"/>
  <c r="C75" i="5"/>
  <c r="C75" i="32" s="1"/>
  <c r="C79" i="32" s="1"/>
  <c r="K75" i="5"/>
  <c r="K75" i="32" s="1"/>
  <c r="K79" i="32" s="1"/>
  <c r="G69" i="5"/>
  <c r="G69" i="32" s="1"/>
  <c r="G73" i="32" s="1"/>
  <c r="F75" i="5"/>
  <c r="F75" i="32" s="1"/>
  <c r="F79" i="32" s="1"/>
  <c r="J69" i="5"/>
  <c r="J69" i="32" s="1"/>
  <c r="J73" i="32" s="1"/>
  <c r="I69" i="5"/>
  <c r="I69" i="32" s="1"/>
  <c r="I73" i="32" s="1"/>
  <c r="I5" i="10"/>
  <c r="C64" i="10"/>
  <c r="D64" i="10" s="1"/>
  <c r="C97" i="10"/>
  <c r="D97" i="10" s="1"/>
  <c r="C96" i="10"/>
  <c r="D96" i="10" s="1"/>
  <c r="I89" i="5"/>
  <c r="M75" i="5"/>
  <c r="M75" i="32" s="1"/>
  <c r="M79" i="32" s="1"/>
  <c r="E75" i="5"/>
  <c r="E75" i="32" s="1"/>
  <c r="E79" i="32" s="1"/>
  <c r="L75" i="5"/>
  <c r="L75" i="32" s="1"/>
  <c r="L79" i="32" s="1"/>
  <c r="R26" i="10"/>
  <c r="R29" i="10"/>
  <c r="N75" i="5"/>
  <c r="N75" i="32" s="1"/>
  <c r="D75" i="5"/>
  <c r="D75" i="32" s="1"/>
  <c r="D79" i="32" s="1"/>
  <c r="K89" i="32"/>
  <c r="H69" i="5"/>
  <c r="H69" i="32" s="1"/>
  <c r="H73" i="32" s="1"/>
  <c r="I87" i="32"/>
  <c r="I89" i="32" s="1"/>
  <c r="E89" i="32"/>
  <c r="C341" i="10"/>
  <c r="D341" i="10" s="1"/>
  <c r="L5" i="10"/>
  <c r="H87" i="32"/>
  <c r="H89" i="32" s="1"/>
  <c r="E89" i="5"/>
  <c r="J89" i="32"/>
  <c r="E69" i="5"/>
  <c r="E69" i="32" s="1"/>
  <c r="E73" i="32" s="1"/>
  <c r="O97" i="5"/>
  <c r="M89" i="5"/>
  <c r="G75" i="5"/>
  <c r="G75" i="32" s="1"/>
  <c r="G79" i="32" s="1"/>
  <c r="C89" i="5"/>
  <c r="F89" i="32"/>
  <c r="C89" i="32"/>
  <c r="L89" i="5"/>
  <c r="P5" i="10"/>
  <c r="O92" i="5"/>
  <c r="G89" i="5"/>
  <c r="J5" i="10"/>
  <c r="M87" i="32"/>
  <c r="M89" i="32" s="1"/>
  <c r="F89" i="5"/>
  <c r="M99" i="5"/>
  <c r="O68" i="32"/>
  <c r="F99" i="5"/>
  <c r="J89" i="5"/>
  <c r="O5" i="10"/>
  <c r="M5" i="10"/>
  <c r="K5" i="10"/>
  <c r="G5" i="10"/>
  <c r="H5" i="10"/>
  <c r="K69" i="5"/>
  <c r="O74" i="32"/>
  <c r="O93" i="5"/>
  <c r="O89" i="5"/>
  <c r="N89" i="5"/>
  <c r="G88" i="32"/>
  <c r="O88" i="32" s="1"/>
  <c r="O74" i="5"/>
  <c r="O75" i="5" s="1"/>
  <c r="R28" i="10"/>
  <c r="R27" i="10"/>
  <c r="O98" i="5"/>
  <c r="L89" i="32"/>
  <c r="D89" i="5"/>
  <c r="D99" i="5"/>
  <c r="C992" i="10"/>
  <c r="D992" i="10" s="1"/>
  <c r="O68" i="5"/>
  <c r="O69" i="5" s="1"/>
  <c r="C912" i="10"/>
  <c r="D912" i="10" s="1"/>
  <c r="C790" i="10"/>
  <c r="D790" i="10" s="1"/>
  <c r="C707" i="10"/>
  <c r="D707" i="10" s="1"/>
  <c r="C344" i="10"/>
  <c r="D344" i="10" s="1"/>
  <c r="C455" i="10"/>
  <c r="D455" i="10" s="1"/>
  <c r="C240" i="10"/>
  <c r="D240" i="10" s="1"/>
  <c r="C94" i="10"/>
  <c r="D94" i="10" s="1"/>
  <c r="C319" i="10"/>
  <c r="D319" i="10" s="1"/>
  <c r="C849" i="10"/>
  <c r="D849" i="10" s="1"/>
  <c r="C1004" i="10"/>
  <c r="D1004" i="10" s="1"/>
  <c r="C283" i="10"/>
  <c r="D283" i="10" s="1"/>
  <c r="C122" i="10"/>
  <c r="D122" i="10" s="1"/>
  <c r="C941" i="10"/>
  <c r="D941" i="10" s="1"/>
  <c r="C930" i="10"/>
  <c r="D930" i="10" s="1"/>
  <c r="C138" i="10"/>
  <c r="D138" i="10" s="1"/>
  <c r="C536" i="10"/>
  <c r="D536" i="10" s="1"/>
  <c r="C999" i="10"/>
  <c r="D999" i="10" s="1"/>
  <c r="C989" i="10"/>
  <c r="D989" i="10" s="1"/>
  <c r="C522" i="10"/>
  <c r="D522" i="10" s="1"/>
  <c r="C746" i="10"/>
  <c r="D746" i="10" s="1"/>
  <c r="C668" i="10"/>
  <c r="D668" i="10" s="1"/>
  <c r="C908" i="10"/>
  <c r="D908" i="10" s="1"/>
  <c r="C485" i="10"/>
  <c r="D485" i="10" s="1"/>
  <c r="C742" i="10"/>
  <c r="D742" i="10" s="1"/>
  <c r="C285" i="10"/>
  <c r="D285" i="10" s="1"/>
  <c r="C559" i="10"/>
  <c r="D559" i="10" s="1"/>
  <c r="C75" i="10"/>
  <c r="D75" i="10" s="1"/>
  <c r="C835" i="10"/>
  <c r="D835" i="10" s="1"/>
  <c r="C343" i="10"/>
  <c r="D343" i="10" s="1"/>
  <c r="C128" i="10"/>
  <c r="D128" i="10" s="1"/>
  <c r="C889" i="10"/>
  <c r="D889" i="10" s="1"/>
  <c r="C207" i="10"/>
  <c r="D207" i="10" s="1"/>
  <c r="C411" i="10"/>
  <c r="D411" i="10" s="1"/>
  <c r="C239" i="10"/>
  <c r="D239" i="10" s="1"/>
  <c r="C740" i="10"/>
  <c r="D740" i="10" s="1"/>
  <c r="C282" i="10"/>
  <c r="D282" i="10" s="1"/>
  <c r="C208" i="10"/>
  <c r="D208" i="10" s="1"/>
  <c r="C116" i="10"/>
  <c r="D116" i="10" s="1"/>
  <c r="C664" i="10"/>
  <c r="D664" i="10" s="1"/>
  <c r="C692" i="10"/>
  <c r="D692" i="10" s="1"/>
  <c r="C348" i="10"/>
  <c r="D348" i="10" s="1"/>
  <c r="C323" i="10"/>
  <c r="D323" i="10" s="1"/>
  <c r="C53" i="10"/>
  <c r="D53" i="10" s="1"/>
  <c r="C212" i="10"/>
  <c r="D212" i="10" s="1"/>
  <c r="C719" i="10"/>
  <c r="D719" i="10" s="1"/>
  <c r="C273" i="10"/>
  <c r="D273" i="10" s="1"/>
  <c r="C313" i="10"/>
  <c r="D313" i="10" s="1"/>
  <c r="C306" i="10"/>
  <c r="D306" i="10" s="1"/>
  <c r="C106" i="10"/>
  <c r="D106" i="10" s="1"/>
  <c r="C700" i="10"/>
  <c r="D700" i="10" s="1"/>
  <c r="C911" i="10"/>
  <c r="D911" i="10" s="1"/>
  <c r="C674" i="10"/>
  <c r="D674" i="10" s="1"/>
  <c r="C245" i="10"/>
  <c r="D245" i="10" s="1"/>
  <c r="C399" i="10"/>
  <c r="D399" i="10" s="1"/>
  <c r="C850" i="10"/>
  <c r="D850" i="10" s="1"/>
  <c r="N87" i="32"/>
  <c r="N89" i="32" s="1"/>
  <c r="D87" i="32"/>
  <c r="C721" i="10"/>
  <c r="D721" i="10" s="1"/>
  <c r="C959" i="10"/>
  <c r="D959" i="10" s="1"/>
  <c r="C656" i="10"/>
  <c r="D656" i="10" s="1"/>
  <c r="C188" i="10"/>
  <c r="D188" i="10" s="1"/>
  <c r="C139" i="10"/>
  <c r="D139" i="10" s="1"/>
  <c r="C813" i="10"/>
  <c r="D813" i="10" s="1"/>
  <c r="C859" i="10"/>
  <c r="D859" i="10" s="1"/>
  <c r="C105" i="10"/>
  <c r="D105" i="10" s="1"/>
  <c r="C705" i="10"/>
  <c r="D705" i="10" s="1"/>
  <c r="C926" i="10"/>
  <c r="D926" i="10" s="1"/>
  <c r="C827" i="10"/>
  <c r="D827" i="10" s="1"/>
  <c r="C727" i="10"/>
  <c r="D727" i="10" s="1"/>
  <c r="C635" i="10"/>
  <c r="D635" i="10" s="1"/>
  <c r="C579" i="10"/>
  <c r="D579" i="10" s="1"/>
  <c r="C412" i="10"/>
  <c r="D412" i="10" s="1"/>
  <c r="C556" i="10"/>
  <c r="D556" i="10" s="1"/>
  <c r="C226" i="10"/>
  <c r="D226" i="10" s="1"/>
  <c r="C464" i="10"/>
  <c r="D464" i="10" s="1"/>
  <c r="C933" i="10"/>
  <c r="D933" i="10" s="1"/>
  <c r="C929" i="10"/>
  <c r="D929" i="10" s="1"/>
  <c r="C251" i="10"/>
  <c r="D251" i="10" s="1"/>
  <c r="C145" i="10"/>
  <c r="D145" i="10" s="1"/>
  <c r="C781" i="10"/>
  <c r="D781" i="10" s="1"/>
  <c r="C159" i="10"/>
  <c r="D159" i="10" s="1"/>
  <c r="C981" i="10"/>
  <c r="D981" i="10" s="1"/>
  <c r="C703" i="10"/>
  <c r="D703" i="10" s="1"/>
  <c r="C864" i="10"/>
  <c r="D864" i="10" s="1"/>
  <c r="C277" i="10"/>
  <c r="D277" i="10" s="1"/>
  <c r="C1003" i="10"/>
  <c r="D1003" i="10" s="1"/>
  <c r="C877" i="10"/>
  <c r="D877" i="10" s="1"/>
  <c r="C905" i="10"/>
  <c r="D905" i="10" s="1"/>
  <c r="C643" i="10"/>
  <c r="D643" i="10" s="1"/>
  <c r="C472" i="10"/>
  <c r="D472" i="10" s="1"/>
  <c r="C963" i="10"/>
  <c r="D963" i="10" s="1"/>
  <c r="C205" i="10"/>
  <c r="D205" i="10" s="1"/>
  <c r="C880" i="10"/>
  <c r="D880" i="10" s="1"/>
  <c r="C592" i="10"/>
  <c r="D592" i="10" s="1"/>
  <c r="C461" i="10"/>
  <c r="D461" i="10" s="1"/>
  <c r="C800" i="10"/>
  <c r="D800" i="10" s="1"/>
  <c r="C593" i="10"/>
  <c r="D593" i="10" s="1"/>
  <c r="C199" i="10"/>
  <c r="D199" i="10" s="1"/>
  <c r="C731" i="10"/>
  <c r="D731" i="10" s="1"/>
  <c r="C671" i="10"/>
  <c r="D671" i="10" s="1"/>
  <c r="C986" i="10"/>
  <c r="D986" i="10" s="1"/>
  <c r="C748" i="10"/>
  <c r="D748" i="10" s="1"/>
  <c r="K89" i="5"/>
  <c r="D97" i="32"/>
  <c r="D99" i="32" s="1"/>
  <c r="D94" i="5"/>
  <c r="H94" i="32"/>
  <c r="K94" i="5"/>
  <c r="C94" i="5"/>
  <c r="H94" i="5"/>
  <c r="F97" i="32"/>
  <c r="F99" i="32" s="1"/>
  <c r="F94" i="5"/>
  <c r="J94" i="32"/>
  <c r="N99" i="5"/>
  <c r="C94" i="32"/>
  <c r="H99" i="5"/>
  <c r="M99" i="32"/>
  <c r="I99" i="32"/>
  <c r="J79" i="32"/>
  <c r="H99" i="32"/>
  <c r="M73" i="5"/>
  <c r="G94" i="5"/>
  <c r="D92" i="32"/>
  <c r="D94" i="32" s="1"/>
  <c r="K99" i="32"/>
  <c r="H79" i="5"/>
  <c r="D73" i="5"/>
  <c r="G94" i="32"/>
  <c r="I99" i="5"/>
  <c r="L99" i="5"/>
  <c r="L98" i="32"/>
  <c r="L99" i="32" s="1"/>
  <c r="K94" i="32"/>
  <c r="N94" i="5"/>
  <c r="N92" i="32"/>
  <c r="N94" i="32" s="1"/>
  <c r="L93" i="32"/>
  <c r="L94" i="32" s="1"/>
  <c r="L94" i="5"/>
  <c r="C97" i="32"/>
  <c r="C99" i="5"/>
  <c r="D69" i="32"/>
  <c r="D73" i="32" s="1"/>
  <c r="F92" i="32"/>
  <c r="J99" i="5"/>
  <c r="G97" i="32"/>
  <c r="G99" i="32" s="1"/>
  <c r="G99" i="5"/>
  <c r="E99" i="32"/>
  <c r="M92" i="32"/>
  <c r="M94" i="32" s="1"/>
  <c r="M94" i="5"/>
  <c r="E93" i="32"/>
  <c r="E94" i="5"/>
  <c r="E99" i="5"/>
  <c r="C554" i="10"/>
  <c r="D554" i="10" s="1"/>
  <c r="C884" i="10"/>
  <c r="D884" i="10" s="1"/>
  <c r="C403" i="10"/>
  <c r="D403" i="10" s="1"/>
  <c r="C786" i="10"/>
  <c r="D786" i="10" s="1"/>
  <c r="C678" i="10"/>
  <c r="D678" i="10" s="1"/>
  <c r="C645" i="10"/>
  <c r="D645" i="10" s="1"/>
  <c r="C613" i="10"/>
  <c r="D613" i="10" s="1"/>
  <c r="C491" i="10"/>
  <c r="D491" i="10" s="1"/>
  <c r="C551" i="10"/>
  <c r="D551" i="10" s="1"/>
  <c r="C84" i="10"/>
  <c r="D84" i="10" s="1"/>
  <c r="C913" i="10"/>
  <c r="D913" i="10" s="1"/>
  <c r="C591" i="10"/>
  <c r="D591" i="10" s="1"/>
  <c r="C147" i="10"/>
  <c r="D147" i="10" s="1"/>
  <c r="C851" i="10"/>
  <c r="D851" i="10" s="1"/>
  <c r="C828" i="10"/>
  <c r="D828" i="10" s="1"/>
  <c r="C670" i="10"/>
  <c r="D670" i="10" s="1"/>
  <c r="C653" i="10"/>
  <c r="D653" i="10" s="1"/>
  <c r="C626" i="10"/>
  <c r="D626" i="10" s="1"/>
  <c r="C264" i="10"/>
  <c r="D264" i="10" s="1"/>
  <c r="C48" i="10"/>
  <c r="D48" i="10" s="1"/>
  <c r="C47" i="10"/>
  <c r="D47" i="10" s="1"/>
  <c r="C29" i="10"/>
  <c r="D29" i="10" s="1"/>
  <c r="C120" i="10"/>
  <c r="D120" i="10" s="1"/>
  <c r="C815" i="10"/>
  <c r="D815" i="10" s="1"/>
  <c r="C712" i="10"/>
  <c r="D712" i="10" s="1"/>
  <c r="C447" i="10"/>
  <c r="D447" i="10" s="1"/>
  <c r="C685" i="10"/>
  <c r="D685" i="10" s="1"/>
  <c r="C385" i="10"/>
  <c r="D385" i="10" s="1"/>
  <c r="C785" i="10"/>
  <c r="D785" i="10" s="1"/>
  <c r="C166" i="10"/>
  <c r="D166" i="10" s="1"/>
  <c r="C932" i="10"/>
  <c r="D932" i="10" s="1"/>
  <c r="C637" i="10"/>
  <c r="D637" i="10" s="1"/>
  <c r="C694" i="10"/>
  <c r="D694" i="10" s="1"/>
  <c r="C741" i="10"/>
  <c r="D741" i="10" s="1"/>
  <c r="C173" i="10"/>
  <c r="D173" i="10" s="1"/>
  <c r="C951" i="10"/>
  <c r="D951" i="10" s="1"/>
  <c r="C627" i="10"/>
  <c r="D627" i="10" s="1"/>
  <c r="C83" i="10"/>
  <c r="D83" i="10" s="1"/>
  <c r="C833" i="10"/>
  <c r="D833" i="10" s="1"/>
  <c r="C614" i="10"/>
  <c r="D614" i="10" s="1"/>
  <c r="C853" i="10"/>
  <c r="D853" i="10" s="1"/>
  <c r="C408" i="10"/>
  <c r="D408" i="10" s="1"/>
  <c r="C390" i="10"/>
  <c r="D390" i="10" s="1"/>
  <c r="C121" i="10"/>
  <c r="D121" i="10" s="1"/>
  <c r="C953" i="10"/>
  <c r="D953" i="10" s="1"/>
  <c r="C861" i="10"/>
  <c r="D861" i="10" s="1"/>
  <c r="I94" i="32"/>
  <c r="C651" i="10"/>
  <c r="D651" i="10" s="1"/>
  <c r="C718" i="10"/>
  <c r="D718" i="10" s="1"/>
  <c r="C596" i="10"/>
  <c r="D596" i="10" s="1"/>
  <c r="C286" i="10"/>
  <c r="D286" i="10" s="1"/>
  <c r="C401" i="10"/>
  <c r="D401" i="10" s="1"/>
  <c r="C32" i="10"/>
  <c r="D32" i="10" s="1"/>
  <c r="C752" i="10"/>
  <c r="D752" i="10" s="1"/>
  <c r="C192" i="10"/>
  <c r="D192" i="10" s="1"/>
  <c r="C805" i="10"/>
  <c r="D805" i="10" s="1"/>
  <c r="C839" i="10"/>
  <c r="D839" i="10" s="1"/>
  <c r="C481" i="10"/>
  <c r="D481" i="10" s="1"/>
  <c r="C114" i="10"/>
  <c r="D114" i="10" s="1"/>
  <c r="C162" i="10"/>
  <c r="D162" i="10" s="1"/>
  <c r="C684" i="10"/>
  <c r="D684" i="10" s="1"/>
  <c r="C907" i="10"/>
  <c r="D907" i="10" s="1"/>
  <c r="C249" i="10"/>
  <c r="D249" i="10" s="1"/>
  <c r="C725" i="10"/>
  <c r="D725" i="10" s="1"/>
  <c r="C777" i="10"/>
  <c r="D777" i="10" s="1"/>
  <c r="C538" i="10"/>
  <c r="D538" i="10" s="1"/>
  <c r="C722" i="10"/>
  <c r="D722" i="10" s="1"/>
  <c r="C482" i="10"/>
  <c r="D482" i="10" s="1"/>
  <c r="C533" i="10"/>
  <c r="D533" i="10" s="1"/>
  <c r="C543" i="10"/>
  <c r="D543" i="10" s="1"/>
  <c r="C998" i="10"/>
  <c r="D998" i="10" s="1"/>
  <c r="C329" i="10"/>
  <c r="D329" i="10" s="1"/>
  <c r="C193" i="10"/>
  <c r="D193" i="10" s="1"/>
  <c r="C183" i="10"/>
  <c r="D183" i="10" s="1"/>
  <c r="C872" i="10"/>
  <c r="D872" i="10" s="1"/>
  <c r="C770" i="10"/>
  <c r="D770" i="10" s="1"/>
  <c r="C621" i="10"/>
  <c r="D621" i="10" s="1"/>
  <c r="C728" i="10"/>
  <c r="D728" i="10" s="1"/>
  <c r="C462" i="10"/>
  <c r="D462" i="10" s="1"/>
  <c r="C92" i="10"/>
  <c r="D92" i="10" s="1"/>
  <c r="C869" i="10"/>
  <c r="D869" i="10" s="1"/>
  <c r="C524" i="10"/>
  <c r="D524" i="10" s="1"/>
  <c r="C152" i="10"/>
  <c r="D152" i="10" s="1"/>
  <c r="C922" i="10"/>
  <c r="D922" i="10" s="1"/>
  <c r="C836" i="10"/>
  <c r="D836" i="10" s="1"/>
  <c r="C806" i="10"/>
  <c r="D806" i="10" s="1"/>
  <c r="C927" i="10"/>
  <c r="D927" i="10" s="1"/>
  <c r="C224" i="10"/>
  <c r="D224" i="10" s="1"/>
  <c r="C916" i="10"/>
  <c r="D916" i="10" s="1"/>
  <c r="C761" i="10"/>
  <c r="D761" i="10" s="1"/>
  <c r="C51" i="10"/>
  <c r="D51" i="10" s="1"/>
  <c r="C701" i="10"/>
  <c r="D701" i="10" s="1"/>
  <c r="C194" i="10"/>
  <c r="D194" i="10" s="1"/>
  <c r="C882" i="10"/>
  <c r="D882" i="10" s="1"/>
  <c r="C729" i="10"/>
  <c r="D729" i="10" s="1"/>
  <c r="C307" i="10"/>
  <c r="D307" i="10" s="1"/>
  <c r="C574" i="10"/>
  <c r="D574" i="10" s="1"/>
  <c r="C750" i="10"/>
  <c r="D750" i="10" s="1"/>
  <c r="C474" i="10"/>
  <c r="D474" i="10" s="1"/>
  <c r="C67" i="10"/>
  <c r="D67" i="10" s="1"/>
  <c r="C137" i="10"/>
  <c r="D137" i="10" s="1"/>
  <c r="C605" i="10"/>
  <c r="D605" i="10" s="1"/>
  <c r="C142" i="10"/>
  <c r="D142" i="10" s="1"/>
  <c r="C426" i="10"/>
  <c r="D426" i="10" s="1"/>
  <c r="C221" i="10"/>
  <c r="D221" i="10" s="1"/>
  <c r="N99" i="32"/>
  <c r="O71" i="32"/>
  <c r="M73" i="32"/>
  <c r="O78" i="32"/>
  <c r="O72" i="32"/>
  <c r="H79" i="32"/>
  <c r="C64" i="5"/>
  <c r="C64" i="32" s="1"/>
  <c r="O76" i="32"/>
  <c r="J62" i="5"/>
  <c r="J62" i="32" s="1"/>
  <c r="J63" i="5"/>
  <c r="J63" i="32" s="1"/>
  <c r="O62" i="5"/>
  <c r="E64" i="5"/>
  <c r="E64" i="32" s="1"/>
  <c r="J64" i="5"/>
  <c r="J64" i="32" s="1"/>
  <c r="I63" i="5"/>
  <c r="I63" i="32" s="1"/>
  <c r="F63" i="5"/>
  <c r="F63" i="32" s="1"/>
  <c r="L63" i="5"/>
  <c r="L63" i="32" s="1"/>
  <c r="E63" i="5"/>
  <c r="E63" i="32" s="1"/>
  <c r="J79" i="5"/>
  <c r="N69" i="32"/>
  <c r="N73" i="32" s="1"/>
  <c r="G62" i="5"/>
  <c r="G62" i="32" s="1"/>
  <c r="D64" i="5"/>
  <c r="D64" i="32" s="1"/>
  <c r="N62" i="5"/>
  <c r="N62" i="32" s="1"/>
  <c r="I64" i="5"/>
  <c r="I64" i="32" s="1"/>
  <c r="F62" i="5"/>
  <c r="F62" i="32" s="1"/>
  <c r="M62" i="5"/>
  <c r="M62" i="32" s="1"/>
  <c r="N77" i="32"/>
  <c r="H62" i="5"/>
  <c r="H62" i="32" s="1"/>
  <c r="G64" i="5"/>
  <c r="G64" i="32" s="1"/>
  <c r="C63" i="5"/>
  <c r="C63" i="32" s="1"/>
  <c r="H64" i="5"/>
  <c r="H64" i="32" s="1"/>
  <c r="L64" i="5"/>
  <c r="L64" i="32" s="1"/>
  <c r="O63" i="5"/>
  <c r="L62" i="5"/>
  <c r="L62" i="32" s="1"/>
  <c r="D63" i="5"/>
  <c r="D63" i="32" s="1"/>
  <c r="E62" i="5"/>
  <c r="E62" i="32" s="1"/>
  <c r="C62" i="5"/>
  <c r="C62" i="32" s="1"/>
  <c r="D62" i="5"/>
  <c r="D62" i="32" s="1"/>
  <c r="K63" i="5"/>
  <c r="K63" i="32" s="1"/>
  <c r="I62" i="5"/>
  <c r="I62" i="32" s="1"/>
  <c r="K62" i="5"/>
  <c r="K62" i="32" s="1"/>
  <c r="M63" i="5"/>
  <c r="M63" i="32" s="1"/>
  <c r="G63" i="5"/>
  <c r="G63" i="32" s="1"/>
  <c r="O70" i="32"/>
  <c r="H63" i="5"/>
  <c r="H63" i="32" s="1"/>
  <c r="N63" i="5"/>
  <c r="N63" i="32" s="1"/>
  <c r="M64" i="5"/>
  <c r="M64" i="32" s="1"/>
  <c r="N64" i="5"/>
  <c r="N64" i="32" s="1"/>
  <c r="K64" i="5"/>
  <c r="K64" i="32" s="1"/>
  <c r="F64" i="5"/>
  <c r="F64" i="32" s="1"/>
  <c r="O64" i="5"/>
  <c r="J99" i="32"/>
  <c r="J94" i="5"/>
  <c r="I94" i="5"/>
  <c r="K99" i="5"/>
  <c r="F73" i="5" l="1"/>
  <c r="L73" i="5"/>
  <c r="I79" i="5"/>
  <c r="C79" i="5"/>
  <c r="C73" i="5"/>
  <c r="F79" i="5"/>
  <c r="K79" i="5"/>
  <c r="G73" i="5"/>
  <c r="G79" i="5"/>
  <c r="J73" i="5"/>
  <c r="J67" i="5" s="1"/>
  <c r="I73" i="5"/>
  <c r="I67" i="5" s="1"/>
  <c r="L79" i="5"/>
  <c r="M79" i="5"/>
  <c r="M67" i="5" s="1"/>
  <c r="D79" i="5"/>
  <c r="D67" i="5" s="1"/>
  <c r="N79" i="5"/>
  <c r="N67" i="5" s="1"/>
  <c r="E79" i="5"/>
  <c r="N79" i="32"/>
  <c r="N67" i="32" s="1"/>
  <c r="O99" i="5"/>
  <c r="R5" i="10"/>
  <c r="H73" i="5"/>
  <c r="H67" i="5" s="1"/>
  <c r="M67" i="32"/>
  <c r="O73" i="5"/>
  <c r="O94" i="5"/>
  <c r="E73" i="5"/>
  <c r="J67" i="32"/>
  <c r="O33" i="5"/>
  <c r="F67" i="32"/>
  <c r="I16" i="5"/>
  <c r="I16" i="32" s="1"/>
  <c r="M49" i="5"/>
  <c r="M49" i="32" s="1"/>
  <c r="L49" i="5"/>
  <c r="L49" i="32" s="1"/>
  <c r="K20" i="5"/>
  <c r="K20" i="32" s="1"/>
  <c r="C45" i="5"/>
  <c r="C45" i="32" s="1"/>
  <c r="D21" i="5"/>
  <c r="D21" i="32" s="1"/>
  <c r="I20" i="5"/>
  <c r="I20" i="32" s="1"/>
  <c r="M14" i="5"/>
  <c r="M14" i="32" s="1"/>
  <c r="J26" i="5"/>
  <c r="J26" i="32" s="1"/>
  <c r="N17" i="5"/>
  <c r="N17" i="32" s="1"/>
  <c r="J46" i="5"/>
  <c r="J46" i="32" s="1"/>
  <c r="G89" i="32"/>
  <c r="N38" i="5"/>
  <c r="N38" i="32" s="1"/>
  <c r="H45" i="5"/>
  <c r="H45" i="32" s="1"/>
  <c r="O14" i="5"/>
  <c r="K69" i="32"/>
  <c r="K73" i="32" s="1"/>
  <c r="K67" i="32" s="1"/>
  <c r="K73" i="5"/>
  <c r="F18" i="5"/>
  <c r="F18" i="32" s="1"/>
  <c r="M22" i="5"/>
  <c r="M22" i="32" s="1"/>
  <c r="L18" i="5"/>
  <c r="L18" i="32" s="1"/>
  <c r="J42" i="5"/>
  <c r="J42" i="32" s="1"/>
  <c r="J54" i="5"/>
  <c r="J54" i="32" s="1"/>
  <c r="E19" i="5"/>
  <c r="E19" i="32" s="1"/>
  <c r="E42" i="5"/>
  <c r="E42" i="32" s="1"/>
  <c r="J45" i="5"/>
  <c r="J45" i="32" s="1"/>
  <c r="O18" i="5"/>
  <c r="D28" i="5"/>
  <c r="D28" i="32" s="1"/>
  <c r="I31" i="5"/>
  <c r="I31" i="32" s="1"/>
  <c r="N21" i="5"/>
  <c r="N21" i="32" s="1"/>
  <c r="F16" i="5"/>
  <c r="F16" i="32" s="1"/>
  <c r="I43" i="5"/>
  <c r="I43" i="32" s="1"/>
  <c r="L40" i="5"/>
  <c r="L40" i="32" s="1"/>
  <c r="D89" i="32"/>
  <c r="O87" i="32"/>
  <c r="O89" i="32" s="1"/>
  <c r="N6" i="5"/>
  <c r="N6" i="32" s="1"/>
  <c r="D22" i="5"/>
  <c r="D22" i="32" s="1"/>
  <c r="C20" i="5"/>
  <c r="C20" i="32" s="1"/>
  <c r="F39" i="5"/>
  <c r="F39" i="32" s="1"/>
  <c r="I54" i="5"/>
  <c r="I54" i="32" s="1"/>
  <c r="L7" i="5"/>
  <c r="L7" i="32" s="1"/>
  <c r="F26" i="5"/>
  <c r="F26" i="32" s="1"/>
  <c r="N10" i="5"/>
  <c r="N10" i="32" s="1"/>
  <c r="O43" i="5"/>
  <c r="H67" i="32"/>
  <c r="E67" i="32"/>
  <c r="K48" i="5"/>
  <c r="K48" i="32" s="1"/>
  <c r="L57" i="5"/>
  <c r="L57" i="32" s="1"/>
  <c r="C33" i="5"/>
  <c r="C33" i="32" s="1"/>
  <c r="O19" i="5"/>
  <c r="N57" i="5"/>
  <c r="N57" i="32" s="1"/>
  <c r="I56" i="5"/>
  <c r="I56" i="32" s="1"/>
  <c r="E31" i="5"/>
  <c r="E31" i="32" s="1"/>
  <c r="O16" i="5"/>
  <c r="H59" i="5"/>
  <c r="H59" i="32" s="1"/>
  <c r="O75" i="32"/>
  <c r="F60" i="5"/>
  <c r="F60" i="32" s="1"/>
  <c r="N20" i="5"/>
  <c r="N20" i="32" s="1"/>
  <c r="N22" i="5"/>
  <c r="N22" i="32" s="1"/>
  <c r="J31" i="5"/>
  <c r="J31" i="32" s="1"/>
  <c r="K34" i="5"/>
  <c r="K34" i="32" s="1"/>
  <c r="K32" i="5"/>
  <c r="K32" i="32" s="1"/>
  <c r="M24" i="5"/>
  <c r="M24" i="32" s="1"/>
  <c r="M48" i="5"/>
  <c r="M48" i="32" s="1"/>
  <c r="L17" i="5"/>
  <c r="L17" i="32" s="1"/>
  <c r="I65" i="5"/>
  <c r="I65" i="32" s="1"/>
  <c r="G28" i="5"/>
  <c r="G28" i="32" s="1"/>
  <c r="M38" i="5"/>
  <c r="M38" i="32" s="1"/>
  <c r="O45" i="5"/>
  <c r="L60" i="5"/>
  <c r="L60" i="32" s="1"/>
  <c r="L65" i="5"/>
  <c r="L65" i="32" s="1"/>
  <c r="L24" i="5"/>
  <c r="L24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D59" i="5"/>
  <c r="D59" i="32" s="1"/>
  <c r="J55" i="5"/>
  <c r="J55" i="32" s="1"/>
  <c r="L27" i="5"/>
  <c r="L27" i="32" s="1"/>
  <c r="N30" i="5"/>
  <c r="N30" i="32" s="1"/>
  <c r="C65" i="5"/>
  <c r="C65" i="32" s="1"/>
  <c r="K38" i="5"/>
  <c r="K38" i="32" s="1"/>
  <c r="G10" i="5"/>
  <c r="G10" i="32" s="1"/>
  <c r="H40" i="5"/>
  <c r="H40" i="32" s="1"/>
  <c r="C41" i="5"/>
  <c r="C41" i="32" s="1"/>
  <c r="L9" i="5"/>
  <c r="L9" i="32" s="1"/>
  <c r="E21" i="5"/>
  <c r="E21" i="32" s="1"/>
  <c r="L19" i="5"/>
  <c r="L19" i="32" s="1"/>
  <c r="L67" i="32"/>
  <c r="J18" i="5"/>
  <c r="J18" i="32" s="1"/>
  <c r="D51" i="5"/>
  <c r="D51" i="32" s="1"/>
  <c r="N55" i="5"/>
  <c r="N55" i="32" s="1"/>
  <c r="C43" i="5"/>
  <c r="C43" i="32" s="1"/>
  <c r="I14" i="5"/>
  <c r="I14" i="32" s="1"/>
  <c r="H24" i="5"/>
  <c r="H24" i="32" s="1"/>
  <c r="E40" i="5"/>
  <c r="E40" i="32" s="1"/>
  <c r="I34" i="5"/>
  <c r="I34" i="32" s="1"/>
  <c r="G39" i="5"/>
  <c r="G39" i="32" s="1"/>
  <c r="M50" i="5"/>
  <c r="M50" i="32" s="1"/>
  <c r="J60" i="5"/>
  <c r="J60" i="32" s="1"/>
  <c r="E34" i="5"/>
  <c r="E34" i="32" s="1"/>
  <c r="H23" i="5"/>
  <c r="H23" i="32" s="1"/>
  <c r="D23" i="5"/>
  <c r="D23" i="32" s="1"/>
  <c r="F32" i="5"/>
  <c r="F32" i="32" s="1"/>
  <c r="G25" i="5"/>
  <c r="G25" i="32" s="1"/>
  <c r="D7" i="5"/>
  <c r="D7" i="32" s="1"/>
  <c r="L29" i="5"/>
  <c r="L29" i="32" s="1"/>
  <c r="F6" i="5"/>
  <c r="F6" i="32" s="1"/>
  <c r="M56" i="5"/>
  <c r="M56" i="32" s="1"/>
  <c r="H19" i="5"/>
  <c r="H19" i="32" s="1"/>
  <c r="K24" i="5"/>
  <c r="K24" i="32" s="1"/>
  <c r="K65" i="5"/>
  <c r="K65" i="32" s="1"/>
  <c r="O9" i="5"/>
  <c r="G52" i="5"/>
  <c r="G52" i="32" s="1"/>
  <c r="K23" i="5"/>
  <c r="K23" i="32" s="1"/>
  <c r="N40" i="5"/>
  <c r="N40" i="32" s="1"/>
  <c r="M36" i="5"/>
  <c r="M36" i="32" s="1"/>
  <c r="G46" i="5"/>
  <c r="G46" i="32" s="1"/>
  <c r="I52" i="5"/>
  <c r="I52" i="32" s="1"/>
  <c r="O28" i="5"/>
  <c r="O20" i="5"/>
  <c r="C56" i="5"/>
  <c r="C56" i="32" s="1"/>
  <c r="G22" i="5"/>
  <c r="G22" i="32" s="1"/>
  <c r="O44" i="5"/>
  <c r="G35" i="5"/>
  <c r="G35" i="32" s="1"/>
  <c r="D37" i="5"/>
  <c r="D37" i="32" s="1"/>
  <c r="O21" i="5"/>
  <c r="M25" i="5"/>
  <c r="M25" i="32" s="1"/>
  <c r="M52" i="5"/>
  <c r="M52" i="32" s="1"/>
  <c r="M40" i="5"/>
  <c r="M40" i="32" s="1"/>
  <c r="O48" i="5"/>
  <c r="E7" i="5"/>
  <c r="E7" i="32" s="1"/>
  <c r="J40" i="5"/>
  <c r="J40" i="32" s="1"/>
  <c r="N7" i="5"/>
  <c r="N7" i="32" s="1"/>
  <c r="E45" i="5"/>
  <c r="E45" i="32" s="1"/>
  <c r="H25" i="5"/>
  <c r="H25" i="32" s="1"/>
  <c r="O29" i="5"/>
  <c r="M32" i="5"/>
  <c r="M32" i="32" s="1"/>
  <c r="M15" i="5"/>
  <c r="M15" i="32" s="1"/>
  <c r="C50" i="5"/>
  <c r="C50" i="32" s="1"/>
  <c r="D9" i="5"/>
  <c r="D9" i="32" s="1"/>
  <c r="H42" i="5"/>
  <c r="H42" i="32" s="1"/>
  <c r="M20" i="5"/>
  <c r="M20" i="32" s="1"/>
  <c r="O30" i="5"/>
  <c r="L10" i="5"/>
  <c r="L10" i="32" s="1"/>
  <c r="G21" i="5"/>
  <c r="G21" i="32" s="1"/>
  <c r="G49" i="5"/>
  <c r="G49" i="32" s="1"/>
  <c r="H50" i="5"/>
  <c r="H50" i="32" s="1"/>
  <c r="E49" i="5"/>
  <c r="E49" i="32" s="1"/>
  <c r="H56" i="5"/>
  <c r="H56" i="32" s="1"/>
  <c r="L31" i="5"/>
  <c r="L31" i="32" s="1"/>
  <c r="I27" i="5"/>
  <c r="I27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D46" i="5"/>
  <c r="D46" i="32" s="1"/>
  <c r="M43" i="5"/>
  <c r="M43" i="32" s="1"/>
  <c r="C53" i="5"/>
  <c r="C53" i="32" s="1"/>
  <c r="D6" i="5"/>
  <c r="D6" i="32" s="1"/>
  <c r="G18" i="5"/>
  <c r="G18" i="32" s="1"/>
  <c r="D20" i="5"/>
  <c r="D20" i="32" s="1"/>
  <c r="D45" i="5"/>
  <c r="D45" i="32" s="1"/>
  <c r="C39" i="5"/>
  <c r="C39" i="32" s="1"/>
  <c r="F51" i="5"/>
  <c r="F51" i="32" s="1"/>
  <c r="O40" i="5"/>
  <c r="H51" i="5"/>
  <c r="H51" i="32" s="1"/>
  <c r="N56" i="5"/>
  <c r="N56" i="32" s="1"/>
  <c r="N29" i="5"/>
  <c r="N29" i="32" s="1"/>
  <c r="J6" i="5"/>
  <c r="J6" i="32" s="1"/>
  <c r="E30" i="5"/>
  <c r="E30" i="32" s="1"/>
  <c r="E53" i="5"/>
  <c r="E53" i="32" s="1"/>
  <c r="L20" i="5"/>
  <c r="L20" i="32" s="1"/>
  <c r="C35" i="5"/>
  <c r="C35" i="32" s="1"/>
  <c r="D16" i="5"/>
  <c r="D16" i="32" s="1"/>
  <c r="K6" i="5"/>
  <c r="K6" i="32" s="1"/>
  <c r="E22" i="5"/>
  <c r="E22" i="32" s="1"/>
  <c r="F45" i="5"/>
  <c r="F45" i="32" s="1"/>
  <c r="K33" i="5"/>
  <c r="K33" i="32" s="1"/>
  <c r="I45" i="5"/>
  <c r="I45" i="32" s="1"/>
  <c r="O17" i="5"/>
  <c r="I59" i="5"/>
  <c r="I59" i="32" s="1"/>
  <c r="G65" i="5"/>
  <c r="G65" i="32" s="1"/>
  <c r="I19" i="5"/>
  <c r="I19" i="32" s="1"/>
  <c r="J50" i="5"/>
  <c r="J50" i="32" s="1"/>
  <c r="C25" i="5"/>
  <c r="C25" i="32" s="1"/>
  <c r="C67" i="32"/>
  <c r="C55" i="5"/>
  <c r="C55" i="32" s="1"/>
  <c r="D56" i="5"/>
  <c r="D56" i="32" s="1"/>
  <c r="J47" i="5"/>
  <c r="J47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H60" i="5"/>
  <c r="H60" i="32" s="1"/>
  <c r="O57" i="5"/>
  <c r="C46" i="5"/>
  <c r="C46" i="32" s="1"/>
  <c r="H37" i="5"/>
  <c r="H37" i="32" s="1"/>
  <c r="I38" i="5"/>
  <c r="I38" i="32" s="1"/>
  <c r="M37" i="5"/>
  <c r="M37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K26" i="5"/>
  <c r="K26" i="32" s="1"/>
  <c r="E9" i="5"/>
  <c r="E9" i="32" s="1"/>
  <c r="F19" i="5"/>
  <c r="F19" i="32" s="1"/>
  <c r="H33" i="5"/>
  <c r="H33" i="32" s="1"/>
  <c r="N59" i="5"/>
  <c r="N59" i="32" s="1"/>
  <c r="M16" i="5"/>
  <c r="M16" i="32" s="1"/>
  <c r="D35" i="5"/>
  <c r="D35" i="32" s="1"/>
  <c r="I15" i="5"/>
  <c r="I15" i="32" s="1"/>
  <c r="L46" i="5"/>
  <c r="L46" i="32" s="1"/>
  <c r="N25" i="5"/>
  <c r="N25" i="32" s="1"/>
  <c r="H43" i="5"/>
  <c r="H43" i="32" s="1"/>
  <c r="J59" i="5"/>
  <c r="J59" i="32" s="1"/>
  <c r="M26" i="5"/>
  <c r="M26" i="32" s="1"/>
  <c r="C6" i="5"/>
  <c r="C6" i="32" s="1"/>
  <c r="J43" i="5"/>
  <c r="J43" i="32" s="1"/>
  <c r="O54" i="5"/>
  <c r="D41" i="5"/>
  <c r="D41" i="32" s="1"/>
  <c r="N43" i="5"/>
  <c r="N43" i="32" s="1"/>
  <c r="E39" i="5"/>
  <c r="E39" i="32" s="1"/>
  <c r="N16" i="5"/>
  <c r="N16" i="32" s="1"/>
  <c r="H65" i="5"/>
  <c r="H65" i="32" s="1"/>
  <c r="M44" i="5"/>
  <c r="M44" i="32" s="1"/>
  <c r="F29" i="5"/>
  <c r="F29" i="32" s="1"/>
  <c r="G37" i="5"/>
  <c r="G37" i="32" s="1"/>
  <c r="K17" i="5"/>
  <c r="K17" i="32" s="1"/>
  <c r="G31" i="5"/>
  <c r="G31" i="32" s="1"/>
  <c r="N39" i="5"/>
  <c r="N39" i="32" s="1"/>
  <c r="F54" i="5"/>
  <c r="F54" i="32" s="1"/>
  <c r="I21" i="5"/>
  <c r="I21" i="32" s="1"/>
  <c r="G47" i="5"/>
  <c r="G47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F40" i="5"/>
  <c r="F40" i="32" s="1"/>
  <c r="C16" i="5"/>
  <c r="C16" i="32" s="1"/>
  <c r="J28" i="5"/>
  <c r="J28" i="32" s="1"/>
  <c r="N53" i="5"/>
  <c r="N53" i="32" s="1"/>
  <c r="O50" i="5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K36" i="5"/>
  <c r="K36" i="32" s="1"/>
  <c r="J10" i="5"/>
  <c r="J10" i="32" s="1"/>
  <c r="G32" i="5"/>
  <c r="G32" i="32" s="1"/>
  <c r="F58" i="5"/>
  <c r="F58" i="32" s="1"/>
  <c r="L28" i="5"/>
  <c r="L28" i="32" s="1"/>
  <c r="O26" i="5"/>
  <c r="J38" i="5"/>
  <c r="J38" i="32" s="1"/>
  <c r="K58" i="5"/>
  <c r="K58" i="32" s="1"/>
  <c r="D49" i="5"/>
  <c r="D49" i="32" s="1"/>
  <c r="G6" i="5"/>
  <c r="G6" i="32" s="1"/>
  <c r="L22" i="5"/>
  <c r="L22" i="32" s="1"/>
  <c r="D10" i="5"/>
  <c r="D10" i="32" s="1"/>
  <c r="F41" i="5"/>
  <c r="F41" i="32" s="1"/>
  <c r="M42" i="5"/>
  <c r="M42" i="32" s="1"/>
  <c r="O25" i="5"/>
  <c r="G43" i="5"/>
  <c r="G43" i="32" s="1"/>
  <c r="K56" i="5"/>
  <c r="K56" i="32" s="1"/>
  <c r="E38" i="5"/>
  <c r="E38" i="32" s="1"/>
  <c r="G53" i="5"/>
  <c r="G53" i="32" s="1"/>
  <c r="H14" i="5"/>
  <c r="H14" i="32" s="1"/>
  <c r="E56" i="5"/>
  <c r="E56" i="32" s="1"/>
  <c r="E55" i="5"/>
  <c r="E55" i="32" s="1"/>
  <c r="C36" i="5"/>
  <c r="C36" i="32" s="1"/>
  <c r="N45" i="5"/>
  <c r="N45" i="32" s="1"/>
  <c r="K55" i="5"/>
  <c r="K55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L51" i="5"/>
  <c r="L51" i="32" s="1"/>
  <c r="K25" i="5"/>
  <c r="K25" i="32" s="1"/>
  <c r="F59" i="5"/>
  <c r="F59" i="32" s="1"/>
  <c r="N46" i="5"/>
  <c r="N46" i="32" s="1"/>
  <c r="F47" i="5"/>
  <c r="F47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H27" i="5"/>
  <c r="H27" i="32" s="1"/>
  <c r="J9" i="5"/>
  <c r="J9" i="32" s="1"/>
  <c r="K40" i="5"/>
  <c r="K40" i="32" s="1"/>
  <c r="F22" i="5"/>
  <c r="F22" i="32" s="1"/>
  <c r="I26" i="5"/>
  <c r="I26" i="32" s="1"/>
  <c r="N60" i="5"/>
  <c r="N60" i="32" s="1"/>
  <c r="I9" i="5"/>
  <c r="I9" i="32" s="1"/>
  <c r="H52" i="5"/>
  <c r="H52" i="32" s="1"/>
  <c r="K50" i="5"/>
  <c r="K50" i="32" s="1"/>
  <c r="H29" i="5"/>
  <c r="H29" i="32" s="1"/>
  <c r="F7" i="5"/>
  <c r="F7" i="32" s="1"/>
  <c r="E52" i="5"/>
  <c r="E52" i="32" s="1"/>
  <c r="K31" i="5"/>
  <c r="K31" i="32" s="1"/>
  <c r="I42" i="5"/>
  <c r="I42" i="32" s="1"/>
  <c r="M59" i="5"/>
  <c r="M59" i="32" s="1"/>
  <c r="H46" i="5"/>
  <c r="H46" i="32" s="1"/>
  <c r="M46" i="5"/>
  <c r="M46" i="32" s="1"/>
  <c r="L47" i="5"/>
  <c r="L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H34" i="5"/>
  <c r="H34" i="32" s="1"/>
  <c r="E59" i="5"/>
  <c r="E59" i="32" s="1"/>
  <c r="D25" i="5"/>
  <c r="D25" i="32" s="1"/>
  <c r="N19" i="5"/>
  <c r="N19" i="32" s="1"/>
  <c r="M58" i="5"/>
  <c r="M58" i="32" s="1"/>
  <c r="H38" i="5"/>
  <c r="H38" i="32" s="1"/>
  <c r="O55" i="5"/>
  <c r="K45" i="5"/>
  <c r="K45" i="32" s="1"/>
  <c r="E20" i="5"/>
  <c r="E20" i="32" s="1"/>
  <c r="G17" i="5"/>
  <c r="G17" i="32" s="1"/>
  <c r="I41" i="5"/>
  <c r="I41" i="32" s="1"/>
  <c r="L41" i="5"/>
  <c r="L41" i="32" s="1"/>
  <c r="K53" i="5"/>
  <c r="K53" i="32" s="1"/>
  <c r="L26" i="5"/>
  <c r="L26" i="32" s="1"/>
  <c r="D34" i="5"/>
  <c r="D34" i="32" s="1"/>
  <c r="C27" i="5"/>
  <c r="C27" i="32" s="1"/>
  <c r="I6" i="5"/>
  <c r="I6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L37" i="5"/>
  <c r="L37" i="32" s="1"/>
  <c r="G57" i="5"/>
  <c r="G57" i="32" s="1"/>
  <c r="G48" i="5"/>
  <c r="G48" i="32" s="1"/>
  <c r="J34" i="5"/>
  <c r="J34" i="32" s="1"/>
  <c r="J14" i="5"/>
  <c r="J14" i="32" s="1"/>
  <c r="L42" i="5"/>
  <c r="L42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L23" i="5"/>
  <c r="L23" i="32" s="1"/>
  <c r="F33" i="5"/>
  <c r="F33" i="32" s="1"/>
  <c r="G36" i="5"/>
  <c r="G36" i="32" s="1"/>
  <c r="C59" i="5"/>
  <c r="C59" i="32" s="1"/>
  <c r="H16" i="5"/>
  <c r="H16" i="32" s="1"/>
  <c r="K18" i="5"/>
  <c r="K18" i="32" s="1"/>
  <c r="N47" i="5"/>
  <c r="N47" i="32" s="1"/>
  <c r="N52" i="5"/>
  <c r="N52" i="32" s="1"/>
  <c r="F46" i="5"/>
  <c r="F46" i="32" s="1"/>
  <c r="G44" i="5"/>
  <c r="G44" i="32" s="1"/>
  <c r="H58" i="5"/>
  <c r="H58" i="32" s="1"/>
  <c r="N58" i="5"/>
  <c r="N58" i="32" s="1"/>
  <c r="L43" i="5"/>
  <c r="L43" i="32" s="1"/>
  <c r="I47" i="5"/>
  <c r="I47" i="32" s="1"/>
  <c r="J57" i="5"/>
  <c r="J57" i="32" s="1"/>
  <c r="I49" i="5"/>
  <c r="I49" i="32" s="1"/>
  <c r="M39" i="5"/>
  <c r="M39" i="32" s="1"/>
  <c r="F53" i="5"/>
  <c r="F53" i="32" s="1"/>
  <c r="O35" i="5"/>
  <c r="M54" i="5"/>
  <c r="M54" i="32" s="1"/>
  <c r="D65" i="5"/>
  <c r="D65" i="32" s="1"/>
  <c r="H10" i="5"/>
  <c r="H10" i="32" s="1"/>
  <c r="L44" i="5"/>
  <c r="L44" i="32" s="1"/>
  <c r="F38" i="5"/>
  <c r="F38" i="32" s="1"/>
  <c r="O52" i="5"/>
  <c r="F23" i="5"/>
  <c r="F23" i="32" s="1"/>
  <c r="O65" i="5"/>
  <c r="J19" i="5"/>
  <c r="J19" i="32" s="1"/>
  <c r="F42" i="5"/>
  <c r="F42" i="32" s="1"/>
  <c r="L50" i="5"/>
  <c r="L50" i="32" s="1"/>
  <c r="J17" i="5"/>
  <c r="J17" i="32" s="1"/>
  <c r="H6" i="5"/>
  <c r="L52" i="5"/>
  <c r="L52" i="32" s="1"/>
  <c r="I60" i="5"/>
  <c r="I60" i="32" s="1"/>
  <c r="H47" i="5"/>
  <c r="H47" i="32" s="1"/>
  <c r="L45" i="5"/>
  <c r="L45" i="32" s="1"/>
  <c r="C58" i="5"/>
  <c r="C58" i="32" s="1"/>
  <c r="G45" i="5"/>
  <c r="G45" i="32" s="1"/>
  <c r="K47" i="5"/>
  <c r="K47" i="32" s="1"/>
  <c r="F57" i="5"/>
  <c r="F57" i="32" s="1"/>
  <c r="D47" i="5"/>
  <c r="D47" i="32" s="1"/>
  <c r="O10" i="5"/>
  <c r="O79" i="5" s="1"/>
  <c r="D42" i="5"/>
  <c r="D42" i="32" s="1"/>
  <c r="M17" i="5"/>
  <c r="C49" i="5"/>
  <c r="C49" i="32" s="1"/>
  <c r="F55" i="5"/>
  <c r="F55" i="32" s="1"/>
  <c r="I51" i="5"/>
  <c r="I51" i="32" s="1"/>
  <c r="E54" i="5"/>
  <c r="E54" i="32" s="1"/>
  <c r="N18" i="5"/>
  <c r="N18" i="32" s="1"/>
  <c r="G55" i="5"/>
  <c r="G55" i="32" s="1"/>
  <c r="M51" i="5"/>
  <c r="M51" i="32" s="1"/>
  <c r="K37" i="5"/>
  <c r="K37" i="32" s="1"/>
  <c r="M19" i="5"/>
  <c r="M19" i="32" s="1"/>
  <c r="M9" i="5"/>
  <c r="M9" i="32" s="1"/>
  <c r="G51" i="5"/>
  <c r="G51" i="32" s="1"/>
  <c r="H20" i="5"/>
  <c r="H20" i="32" s="1"/>
  <c r="I40" i="5"/>
  <c r="I40" i="32" s="1"/>
  <c r="O27" i="5"/>
  <c r="C17" i="5"/>
  <c r="C17" i="32" s="1"/>
  <c r="O15" i="5"/>
  <c r="G24" i="5"/>
  <c r="G24" i="32" s="1"/>
  <c r="O60" i="5"/>
  <c r="G7" i="5"/>
  <c r="G7" i="32" s="1"/>
  <c r="D31" i="5"/>
  <c r="D31" i="32" s="1"/>
  <c r="D60" i="5"/>
  <c r="D60" i="32" s="1"/>
  <c r="G59" i="5"/>
  <c r="G59" i="32" s="1"/>
  <c r="D24" i="5"/>
  <c r="D24" i="32" s="1"/>
  <c r="H55" i="5"/>
  <c r="H55" i="32" s="1"/>
  <c r="G41" i="5"/>
  <c r="G41" i="32" s="1"/>
  <c r="J22" i="5"/>
  <c r="J22" i="32" s="1"/>
  <c r="L14" i="5"/>
  <c r="D38" i="5"/>
  <c r="D38" i="32" s="1"/>
  <c r="I50" i="5"/>
  <c r="I50" i="32" s="1"/>
  <c r="M23" i="5"/>
  <c r="M23" i="32" s="1"/>
  <c r="G14" i="5"/>
  <c r="M21" i="5"/>
  <c r="M21" i="32" s="1"/>
  <c r="C60" i="5"/>
  <c r="C60" i="32" s="1"/>
  <c r="D33" i="5"/>
  <c r="D33" i="32" s="1"/>
  <c r="F21" i="5"/>
  <c r="F21" i="32" s="1"/>
  <c r="K52" i="5"/>
  <c r="K52" i="32" s="1"/>
  <c r="K39" i="5"/>
  <c r="K39" i="32" s="1"/>
  <c r="J7" i="5"/>
  <c r="J7" i="32" s="1"/>
  <c r="C22" i="5"/>
  <c r="C22" i="32" s="1"/>
  <c r="E35" i="5"/>
  <c r="E35" i="32" s="1"/>
  <c r="F20" i="5"/>
  <c r="F20" i="32" s="1"/>
  <c r="O42" i="5"/>
  <c r="D19" i="5"/>
  <c r="D19" i="32" s="1"/>
  <c r="O41" i="5"/>
  <c r="C37" i="5"/>
  <c r="C37" i="32" s="1"/>
  <c r="C29" i="5"/>
  <c r="C29" i="32" s="1"/>
  <c r="G67" i="32"/>
  <c r="D15" i="5"/>
  <c r="D15" i="32" s="1"/>
  <c r="I55" i="5"/>
  <c r="I55" i="32" s="1"/>
  <c r="J56" i="5"/>
  <c r="J56" i="32" s="1"/>
  <c r="E16" i="5"/>
  <c r="E16" i="32" s="1"/>
  <c r="E10" i="5"/>
  <c r="E10" i="32" s="1"/>
  <c r="F24" i="5"/>
  <c r="F24" i="32" s="1"/>
  <c r="M65" i="5"/>
  <c r="M65" i="32" s="1"/>
  <c r="N49" i="5"/>
  <c r="N49" i="32" s="1"/>
  <c r="I57" i="5"/>
  <c r="I57" i="32" s="1"/>
  <c r="G54" i="5"/>
  <c r="G54" i="32" s="1"/>
  <c r="N34" i="5"/>
  <c r="N34" i="32" s="1"/>
  <c r="C99" i="32"/>
  <c r="O97" i="32"/>
  <c r="E23" i="5"/>
  <c r="E23" i="32" s="1"/>
  <c r="H7" i="5"/>
  <c r="H7" i="32" s="1"/>
  <c r="J32" i="5"/>
  <c r="J32" i="32" s="1"/>
  <c r="L56" i="5"/>
  <c r="L56" i="32" s="1"/>
  <c r="O51" i="5"/>
  <c r="O23" i="5"/>
  <c r="J48" i="5"/>
  <c r="J48" i="32" s="1"/>
  <c r="F31" i="5"/>
  <c r="F31" i="32" s="1"/>
  <c r="C9" i="5"/>
  <c r="C9" i="32" s="1"/>
  <c r="N37" i="5"/>
  <c r="N37" i="32" s="1"/>
  <c r="K43" i="5"/>
  <c r="K43" i="32" s="1"/>
  <c r="G38" i="5"/>
  <c r="G38" i="32" s="1"/>
  <c r="I48" i="5"/>
  <c r="I48" i="32" s="1"/>
  <c r="K22" i="5"/>
  <c r="K22" i="32" s="1"/>
  <c r="J65" i="5"/>
  <c r="J65" i="32" s="1"/>
  <c r="F28" i="5"/>
  <c r="F28" i="32" s="1"/>
  <c r="I7" i="5"/>
  <c r="I7" i="32" s="1"/>
  <c r="N24" i="5"/>
  <c r="N24" i="32" s="1"/>
  <c r="N54" i="5"/>
  <c r="N54" i="32" s="1"/>
  <c r="C57" i="5"/>
  <c r="C57" i="32" s="1"/>
  <c r="J58" i="5"/>
  <c r="J58" i="32" s="1"/>
  <c r="F35" i="5"/>
  <c r="F35" i="32" s="1"/>
  <c r="C52" i="5"/>
  <c r="C52" i="32" s="1"/>
  <c r="M18" i="5"/>
  <c r="M18" i="32" s="1"/>
  <c r="H26" i="5"/>
  <c r="H26" i="32" s="1"/>
  <c r="E41" i="5"/>
  <c r="E41" i="32" s="1"/>
  <c r="I29" i="5"/>
  <c r="I29" i="32" s="1"/>
  <c r="L59" i="5"/>
  <c r="L59" i="32" s="1"/>
  <c r="G15" i="5"/>
  <c r="G15" i="32" s="1"/>
  <c r="L15" i="5"/>
  <c r="L15" i="32" s="1"/>
  <c r="J20" i="5"/>
  <c r="J20" i="32" s="1"/>
  <c r="H54" i="5"/>
  <c r="H54" i="32" s="1"/>
  <c r="D57" i="5"/>
  <c r="D57" i="32" s="1"/>
  <c r="J30" i="5"/>
  <c r="J30" i="32" s="1"/>
  <c r="G33" i="5"/>
  <c r="G33" i="32" s="1"/>
  <c r="F17" i="5"/>
  <c r="F17" i="32" s="1"/>
  <c r="N33" i="5"/>
  <c r="N33" i="32" s="1"/>
  <c r="J35" i="5"/>
  <c r="J35" i="32" s="1"/>
  <c r="C15" i="5"/>
  <c r="C15" i="32" s="1"/>
  <c r="D50" i="5"/>
  <c r="D50" i="32" s="1"/>
  <c r="I39" i="5"/>
  <c r="I39" i="32" s="1"/>
  <c r="K49" i="5"/>
  <c r="K49" i="32" s="1"/>
  <c r="N41" i="5"/>
  <c r="N41" i="32" s="1"/>
  <c r="G26" i="5"/>
  <c r="G26" i="32" s="1"/>
  <c r="E33" i="5"/>
  <c r="E33" i="32" s="1"/>
  <c r="F37" i="5"/>
  <c r="F37" i="32" s="1"/>
  <c r="N48" i="5"/>
  <c r="N48" i="32" s="1"/>
  <c r="D40" i="5"/>
  <c r="D40" i="32" s="1"/>
  <c r="I37" i="5"/>
  <c r="I37" i="32" s="1"/>
  <c r="N36" i="5"/>
  <c r="N36" i="32" s="1"/>
  <c r="C51" i="5"/>
  <c r="C51" i="32" s="1"/>
  <c r="O59" i="5"/>
  <c r="G30" i="5"/>
  <c r="G30" i="32" s="1"/>
  <c r="J29" i="5"/>
  <c r="J29" i="32" s="1"/>
  <c r="H49" i="5"/>
  <c r="H49" i="32" s="1"/>
  <c r="D48" i="5"/>
  <c r="D48" i="32" s="1"/>
  <c r="J24" i="5"/>
  <c r="J24" i="32" s="1"/>
  <c r="L25" i="5"/>
  <c r="L25" i="32" s="1"/>
  <c r="E14" i="5"/>
  <c r="I18" i="5"/>
  <c r="I18" i="32" s="1"/>
  <c r="K16" i="5"/>
  <c r="K16" i="32" s="1"/>
  <c r="J25" i="5"/>
  <c r="J25" i="32" s="1"/>
  <c r="E43" i="5"/>
  <c r="E43" i="32" s="1"/>
  <c r="F65" i="5"/>
  <c r="F65" i="32" s="1"/>
  <c r="M31" i="5"/>
  <c r="M31" i="32" s="1"/>
  <c r="J53" i="5"/>
  <c r="J53" i="32" s="1"/>
  <c r="G29" i="5"/>
  <c r="G29" i="32" s="1"/>
  <c r="K60" i="5"/>
  <c r="K60" i="32" s="1"/>
  <c r="K14" i="5"/>
  <c r="L55" i="5"/>
  <c r="L55" i="32" s="1"/>
  <c r="L58" i="5"/>
  <c r="L58" i="32" s="1"/>
  <c r="G9" i="5"/>
  <c r="G9" i="32" s="1"/>
  <c r="K7" i="5"/>
  <c r="K7" i="32" s="1"/>
  <c r="K28" i="5"/>
  <c r="K28" i="32" s="1"/>
  <c r="M29" i="5"/>
  <c r="M29" i="32" s="1"/>
  <c r="I17" i="5"/>
  <c r="D44" i="5"/>
  <c r="D44" i="32" s="1"/>
  <c r="F10" i="5"/>
  <c r="F10" i="32" s="1"/>
  <c r="I53" i="5"/>
  <c r="I53" i="32" s="1"/>
  <c r="E18" i="5"/>
  <c r="E18" i="32" s="1"/>
  <c r="H53" i="5"/>
  <c r="H53" i="32" s="1"/>
  <c r="C26" i="5"/>
  <c r="C26" i="32" s="1"/>
  <c r="C32" i="5"/>
  <c r="C32" i="32" s="1"/>
  <c r="G50" i="5"/>
  <c r="G50" i="32" s="1"/>
  <c r="F94" i="32"/>
  <c r="O92" i="32"/>
  <c r="I33" i="5"/>
  <c r="I33" i="32" s="1"/>
  <c r="I35" i="5"/>
  <c r="I35" i="32" s="1"/>
  <c r="M7" i="5"/>
  <c r="M7" i="32" s="1"/>
  <c r="E48" i="5"/>
  <c r="E48" i="32" s="1"/>
  <c r="K35" i="5"/>
  <c r="K35" i="32" s="1"/>
  <c r="F34" i="5"/>
  <c r="F34" i="32" s="1"/>
  <c r="D53" i="5"/>
  <c r="D53" i="32" s="1"/>
  <c r="H48" i="5"/>
  <c r="H48" i="32" s="1"/>
  <c r="C40" i="5"/>
  <c r="C40" i="32" s="1"/>
  <c r="O38" i="5"/>
  <c r="H17" i="5"/>
  <c r="H17" i="32" s="1"/>
  <c r="K21" i="5"/>
  <c r="K21" i="32" s="1"/>
  <c r="K59" i="5"/>
  <c r="K59" i="32" s="1"/>
  <c r="H28" i="5"/>
  <c r="H28" i="32" s="1"/>
  <c r="C14" i="5"/>
  <c r="D14" i="5"/>
  <c r="O39" i="5"/>
  <c r="N15" i="5"/>
  <c r="K46" i="5"/>
  <c r="K46" i="32" s="1"/>
  <c r="F9" i="5"/>
  <c r="F9" i="32" s="1"/>
  <c r="L34" i="5"/>
  <c r="L34" i="32" s="1"/>
  <c r="N27" i="5"/>
  <c r="N27" i="32" s="1"/>
  <c r="L36" i="5"/>
  <c r="L36" i="32" s="1"/>
  <c r="L39" i="5"/>
  <c r="L39" i="32" s="1"/>
  <c r="D27" i="5"/>
  <c r="D27" i="32" s="1"/>
  <c r="J33" i="5"/>
  <c r="J33" i="32" s="1"/>
  <c r="D30" i="5"/>
  <c r="D30" i="32" s="1"/>
  <c r="G16" i="5"/>
  <c r="G16" i="32" s="1"/>
  <c r="F36" i="5"/>
  <c r="F36" i="32" s="1"/>
  <c r="G34" i="5"/>
  <c r="G34" i="32" s="1"/>
  <c r="C19" i="5"/>
  <c r="C19" i="32" s="1"/>
  <c r="I67" i="32"/>
  <c r="O98" i="32"/>
  <c r="M47" i="5"/>
  <c r="M47" i="32" s="1"/>
  <c r="C7" i="5"/>
  <c r="C7" i="32" s="1"/>
  <c r="M27" i="5"/>
  <c r="M27" i="32" s="1"/>
  <c r="H18" i="5"/>
  <c r="H18" i="32" s="1"/>
  <c r="I30" i="5"/>
  <c r="I30" i="32" s="1"/>
  <c r="C34" i="5"/>
  <c r="C34" i="32" s="1"/>
  <c r="E47" i="5"/>
  <c r="E47" i="32" s="1"/>
  <c r="G56" i="5"/>
  <c r="G56" i="32" s="1"/>
  <c r="K42" i="5"/>
  <c r="K42" i="32" s="1"/>
  <c r="E94" i="32"/>
  <c r="O93" i="32"/>
  <c r="M30" i="5"/>
  <c r="M30" i="32" s="1"/>
  <c r="M10" i="5"/>
  <c r="M10" i="32" s="1"/>
  <c r="I44" i="5"/>
  <c r="I44" i="32" s="1"/>
  <c r="O34" i="5"/>
  <c r="E58" i="5"/>
  <c r="E58" i="32" s="1"/>
  <c r="M45" i="5"/>
  <c r="M45" i="32" s="1"/>
  <c r="F50" i="5"/>
  <c r="F50" i="32" s="1"/>
  <c r="K30" i="5"/>
  <c r="K30" i="32" s="1"/>
  <c r="N28" i="5"/>
  <c r="N28" i="32" s="1"/>
  <c r="C10" i="5"/>
  <c r="C10" i="32" s="1"/>
  <c r="H31" i="5"/>
  <c r="H31" i="32" s="1"/>
  <c r="D54" i="5"/>
  <c r="D54" i="32" s="1"/>
  <c r="C21" i="5"/>
  <c r="C21" i="32" s="1"/>
  <c r="E17" i="5"/>
  <c r="E17" i="32" s="1"/>
  <c r="N44" i="5"/>
  <c r="N44" i="32" s="1"/>
  <c r="F30" i="5"/>
  <c r="F30" i="32" s="1"/>
  <c r="O6" i="5"/>
  <c r="M6" i="5"/>
  <c r="O47" i="5"/>
  <c r="J36" i="5"/>
  <c r="J36" i="32" s="1"/>
  <c r="I25" i="5"/>
  <c r="I25" i="32" s="1"/>
  <c r="N31" i="5"/>
  <c r="N31" i="32" s="1"/>
  <c r="H15" i="5"/>
  <c r="C54" i="5"/>
  <c r="C54" i="32" s="1"/>
  <c r="H44" i="5"/>
  <c r="H44" i="32" s="1"/>
  <c r="M57" i="5"/>
  <c r="M57" i="32" s="1"/>
  <c r="O36" i="5"/>
  <c r="G60" i="5"/>
  <c r="G60" i="32" s="1"/>
  <c r="D36" i="5"/>
  <c r="D36" i="32" s="1"/>
  <c r="D67" i="32"/>
  <c r="G27" i="5"/>
  <c r="G27" i="32" s="1"/>
  <c r="E57" i="5"/>
  <c r="E57" i="32" s="1"/>
  <c r="D26" i="5"/>
  <c r="D26" i="32" s="1"/>
  <c r="F56" i="5"/>
  <c r="F56" i="32" s="1"/>
  <c r="N32" i="5"/>
  <c r="N32" i="32" s="1"/>
  <c r="J49" i="5"/>
  <c r="J49" i="32" s="1"/>
  <c r="L38" i="5"/>
  <c r="L38" i="32" s="1"/>
  <c r="D55" i="5"/>
  <c r="D55" i="32" s="1"/>
  <c r="F52" i="5"/>
  <c r="F52" i="32" s="1"/>
  <c r="O49" i="5"/>
  <c r="J44" i="5"/>
  <c r="J44" i="32" s="1"/>
  <c r="L6" i="5"/>
  <c r="L6" i="32" s="1"/>
  <c r="H41" i="5"/>
  <c r="H41" i="32" s="1"/>
  <c r="H22" i="5"/>
  <c r="H22" i="32" s="1"/>
  <c r="G58" i="5"/>
  <c r="G58" i="32" s="1"/>
  <c r="K9" i="5"/>
  <c r="K9" i="32" s="1"/>
  <c r="O7" i="5"/>
  <c r="D58" i="5"/>
  <c r="D58" i="32" s="1"/>
  <c r="E60" i="5"/>
  <c r="E60" i="32" s="1"/>
  <c r="O77" i="32"/>
  <c r="O64" i="32"/>
  <c r="O62" i="32"/>
  <c r="O63" i="32"/>
  <c r="F67" i="5" l="1"/>
  <c r="L67" i="5"/>
  <c r="C67" i="5"/>
  <c r="O69" i="32"/>
  <c r="O73" i="32" s="1"/>
  <c r="K67" i="5"/>
  <c r="O79" i="32"/>
  <c r="G67" i="5"/>
  <c r="O67" i="5"/>
  <c r="E67" i="5"/>
  <c r="N8" i="5"/>
  <c r="N5" i="5" s="1"/>
  <c r="N12" i="5" s="1"/>
  <c r="N81" i="5" s="1"/>
  <c r="N8" i="32"/>
  <c r="N5" i="32" s="1"/>
  <c r="N12" i="32" s="1"/>
  <c r="N81" i="32" s="1"/>
  <c r="F8" i="32"/>
  <c r="F5" i="32" s="1"/>
  <c r="F12" i="32" s="1"/>
  <c r="F81" i="32" s="1"/>
  <c r="E8" i="5"/>
  <c r="E5" i="5" s="1"/>
  <c r="E12" i="5" s="1"/>
  <c r="D8" i="5"/>
  <c r="D5" i="5" s="1"/>
  <c r="D12" i="5" s="1"/>
  <c r="D81" i="5" s="1"/>
  <c r="D8" i="32"/>
  <c r="D5" i="32" s="1"/>
  <c r="D12" i="32" s="1"/>
  <c r="D81" i="32" s="1"/>
  <c r="F8" i="5"/>
  <c r="F5" i="5" s="1"/>
  <c r="F12" i="5" s="1"/>
  <c r="I8" i="5"/>
  <c r="I5" i="5" s="1"/>
  <c r="I12" i="5" s="1"/>
  <c r="I81" i="5" s="1"/>
  <c r="G8" i="5"/>
  <c r="G5" i="5" s="1"/>
  <c r="G12" i="5" s="1"/>
  <c r="E6" i="32"/>
  <c r="E8" i="32" s="1"/>
  <c r="E5" i="32" s="1"/>
  <c r="E12" i="32" s="1"/>
  <c r="E81" i="32" s="1"/>
  <c r="O43" i="32"/>
  <c r="O37" i="32"/>
  <c r="O36" i="32"/>
  <c r="O10" i="32"/>
  <c r="O35" i="32"/>
  <c r="O51" i="32"/>
  <c r="L8" i="32"/>
  <c r="L5" i="32" s="1"/>
  <c r="L12" i="32" s="1"/>
  <c r="L81" i="32" s="1"/>
  <c r="O31" i="32"/>
  <c r="O49" i="32"/>
  <c r="G8" i="32"/>
  <c r="G5" i="32" s="1"/>
  <c r="G12" i="32" s="1"/>
  <c r="G81" i="32" s="1"/>
  <c r="O29" i="32"/>
  <c r="O33" i="32"/>
  <c r="O25" i="32"/>
  <c r="O21" i="32"/>
  <c r="O56" i="32"/>
  <c r="O40" i="32"/>
  <c r="O32" i="32"/>
  <c r="O52" i="32"/>
  <c r="O59" i="32"/>
  <c r="O60" i="32"/>
  <c r="O54" i="32"/>
  <c r="O26" i="32"/>
  <c r="O22" i="32"/>
  <c r="O46" i="32"/>
  <c r="O20" i="32"/>
  <c r="L8" i="5"/>
  <c r="L5" i="5" s="1"/>
  <c r="L12" i="5" s="1"/>
  <c r="O41" i="32"/>
  <c r="O50" i="32"/>
  <c r="O34" i="32"/>
  <c r="O7" i="32"/>
  <c r="O19" i="32"/>
  <c r="O53" i="32"/>
  <c r="O44" i="32"/>
  <c r="O24" i="32"/>
  <c r="O39" i="32"/>
  <c r="O58" i="32"/>
  <c r="O48" i="32"/>
  <c r="O9" i="32"/>
  <c r="O65" i="32"/>
  <c r="O55" i="32"/>
  <c r="O45" i="32"/>
  <c r="O23" i="32"/>
  <c r="O47" i="32"/>
  <c r="O18" i="32"/>
  <c r="O27" i="32"/>
  <c r="O30" i="32"/>
  <c r="O28" i="32"/>
  <c r="O38" i="32"/>
  <c r="O42" i="32"/>
  <c r="J8" i="5"/>
  <c r="J5" i="5" s="1"/>
  <c r="J12" i="5" s="1"/>
  <c r="J81" i="5" s="1"/>
  <c r="I8" i="32"/>
  <c r="I5" i="32" s="1"/>
  <c r="I12" i="32" s="1"/>
  <c r="I81" i="32" s="1"/>
  <c r="K8" i="32"/>
  <c r="K5" i="32" s="1"/>
  <c r="K12" i="32" s="1"/>
  <c r="K81" i="32" s="1"/>
  <c r="M6" i="32"/>
  <c r="M8" i="32" s="1"/>
  <c r="M5" i="32" s="1"/>
  <c r="M12" i="32" s="1"/>
  <c r="M81" i="32" s="1"/>
  <c r="M8" i="5"/>
  <c r="M5" i="5" s="1"/>
  <c r="M12" i="5" s="1"/>
  <c r="M81" i="5" s="1"/>
  <c r="N15" i="32"/>
  <c r="N61" i="5"/>
  <c r="I17" i="32"/>
  <c r="I61" i="5"/>
  <c r="I61" i="32" s="1"/>
  <c r="F61" i="5"/>
  <c r="J61" i="5"/>
  <c r="J61" i="32" s="1"/>
  <c r="J13" i="32" s="1"/>
  <c r="H15" i="32"/>
  <c r="H61" i="5"/>
  <c r="H61" i="32" s="1"/>
  <c r="C14" i="32"/>
  <c r="C61" i="5"/>
  <c r="C61" i="32" s="1"/>
  <c r="O57" i="32"/>
  <c r="E14" i="32"/>
  <c r="E61" i="5"/>
  <c r="E61" i="32" s="1"/>
  <c r="O99" i="32"/>
  <c r="M17" i="32"/>
  <c r="M61" i="5"/>
  <c r="H8" i="5"/>
  <c r="H5" i="5" s="1"/>
  <c r="H12" i="5" s="1"/>
  <c r="H6" i="32"/>
  <c r="H8" i="32" s="1"/>
  <c r="H5" i="32" s="1"/>
  <c r="H12" i="32" s="1"/>
  <c r="K14" i="32"/>
  <c r="K61" i="5"/>
  <c r="J8" i="32"/>
  <c r="J5" i="32" s="1"/>
  <c r="J12" i="32" s="1"/>
  <c r="J81" i="32" s="1"/>
  <c r="K8" i="5"/>
  <c r="K5" i="5" s="1"/>
  <c r="K12" i="5" s="1"/>
  <c r="O8" i="5"/>
  <c r="O5" i="5" s="1"/>
  <c r="O12" i="5" s="1"/>
  <c r="C8" i="5"/>
  <c r="C5" i="5" s="1"/>
  <c r="C12" i="5" s="1"/>
  <c r="D14" i="32"/>
  <c r="D61" i="5"/>
  <c r="O94" i="32"/>
  <c r="G14" i="32"/>
  <c r="G61" i="5"/>
  <c r="G61" i="32" s="1"/>
  <c r="L14" i="32"/>
  <c r="L61" i="5"/>
  <c r="O61" i="5"/>
  <c r="O13" i="5" s="1"/>
  <c r="C8" i="32"/>
  <c r="C5" i="32" s="1"/>
  <c r="C12" i="32" s="1"/>
  <c r="O16" i="32"/>
  <c r="F81" i="5" l="1"/>
  <c r="L81" i="5"/>
  <c r="O81" i="5"/>
  <c r="C81" i="5"/>
  <c r="O67" i="32"/>
  <c r="K81" i="5"/>
  <c r="G81" i="5"/>
  <c r="E81" i="5"/>
  <c r="H13" i="32"/>
  <c r="H66" i="32" s="1"/>
  <c r="H80" i="32" s="1"/>
  <c r="O15" i="32"/>
  <c r="J66" i="32"/>
  <c r="J80" i="32" s="1"/>
  <c r="C13" i="32"/>
  <c r="C66" i="32" s="1"/>
  <c r="C80" i="32" s="1"/>
  <c r="I13" i="32"/>
  <c r="I66" i="32" s="1"/>
  <c r="I80" i="32" s="1"/>
  <c r="O66" i="5"/>
  <c r="O80" i="5" s="1"/>
  <c r="O6" i="32"/>
  <c r="O8" i="32" s="1"/>
  <c r="O5" i="32" s="1"/>
  <c r="O12" i="32" s="1"/>
  <c r="E13" i="32"/>
  <c r="E66" i="32" s="1"/>
  <c r="E80" i="32" s="1"/>
  <c r="O14" i="32"/>
  <c r="G13" i="32"/>
  <c r="G66" i="32" s="1"/>
  <c r="G80" i="32" s="1"/>
  <c r="I13" i="5"/>
  <c r="D61" i="32"/>
  <c r="D13" i="32" s="1"/>
  <c r="D66" i="32" s="1"/>
  <c r="D80" i="32" s="1"/>
  <c r="D13" i="5"/>
  <c r="E13" i="5"/>
  <c r="K61" i="32"/>
  <c r="K13" i="32" s="1"/>
  <c r="K66" i="32" s="1"/>
  <c r="K80" i="32" s="1"/>
  <c r="K13" i="5"/>
  <c r="M61" i="32"/>
  <c r="M13" i="32" s="1"/>
  <c r="M66" i="32" s="1"/>
  <c r="M80" i="32" s="1"/>
  <c r="M13" i="5"/>
  <c r="F61" i="32"/>
  <c r="F13" i="32" s="1"/>
  <c r="F66" i="32" s="1"/>
  <c r="F80" i="32" s="1"/>
  <c r="F13" i="5"/>
  <c r="G13" i="5"/>
  <c r="N61" i="32"/>
  <c r="N13" i="32" s="1"/>
  <c r="N66" i="32" s="1"/>
  <c r="N80" i="32" s="1"/>
  <c r="N13" i="5"/>
  <c r="H81" i="5"/>
  <c r="L61" i="32"/>
  <c r="L13" i="32" s="1"/>
  <c r="L66" i="32" s="1"/>
  <c r="L80" i="32" s="1"/>
  <c r="L13" i="5"/>
  <c r="C13" i="5"/>
  <c r="H81" i="32"/>
  <c r="O17" i="32"/>
  <c r="J13" i="5"/>
  <c r="H13" i="5"/>
  <c r="K3" i="10" s="1" a="1"/>
  <c r="K3" i="10" s="1"/>
  <c r="C81" i="32"/>
  <c r="O81" i="32" l="1"/>
  <c r="L3" i="10" a="1"/>
  <c r="L3" i="10" s="1"/>
  <c r="I66" i="5"/>
  <c r="I80" i="5" s="1"/>
  <c r="O61" i="32"/>
  <c r="O13" i="32" s="1"/>
  <c r="O66" i="32" s="1"/>
  <c r="O80" i="32" s="1"/>
  <c r="P3" i="10" a="1"/>
  <c r="P3" i="10" s="1"/>
  <c r="M66" i="5"/>
  <c r="M80" i="5" s="1"/>
  <c r="H3" i="10" a="1"/>
  <c r="H3" i="10" s="1"/>
  <c r="E66" i="5"/>
  <c r="E80" i="5" s="1"/>
  <c r="J3" i="10" a="1"/>
  <c r="J3" i="10" s="1"/>
  <c r="G66" i="5"/>
  <c r="G80" i="5" s="1"/>
  <c r="O3" i="10" a="1"/>
  <c r="O3" i="10" s="1"/>
  <c r="L66" i="5"/>
  <c r="L80" i="5" s="1"/>
  <c r="M3" i="10" a="1"/>
  <c r="M3" i="10" s="1"/>
  <c r="J66" i="5"/>
  <c r="J80" i="5" s="1"/>
  <c r="C66" i="5"/>
  <c r="C80" i="5" s="1"/>
  <c r="Q3" i="10" a="1"/>
  <c r="Q3" i="10" s="1"/>
  <c r="N66" i="5"/>
  <c r="N80" i="5" s="1"/>
  <c r="I3" i="10" a="1"/>
  <c r="I3" i="10" s="1"/>
  <c r="F66" i="5"/>
  <c r="F80" i="5" s="1"/>
  <c r="N3" i="10" a="1"/>
  <c r="N3" i="10" s="1"/>
  <c r="K66" i="5"/>
  <c r="K80" i="5" s="1"/>
  <c r="G3" i="10" a="1"/>
  <c r="G3" i="10" s="1"/>
  <c r="D66" i="5"/>
  <c r="D80" i="5" s="1"/>
  <c r="H66" i="5"/>
  <c r="H80" i="5" s="1"/>
  <c r="F3" i="10" l="1" a="1"/>
  <c r="F3" i="10" s="1"/>
  <c r="F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Bùi Thị Nga(Bui Thi Nga)</author>
    <author>Trịnh Thị Quyên(Trinh Thi Quyen)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8" authorId="1" shapeId="0" xr:uid="{4D7D915F-712D-4CF2-A7B9-DC2B79C0A587}">
      <text>
        <r>
          <rPr>
            <b/>
            <sz val="9"/>
            <color indexed="81"/>
            <rFont val="Tahoma"/>
            <family val="2"/>
          </rPr>
          <t>-2 ngày: bác Ohara về nước 26/4~3/5)</t>
        </r>
      </text>
    </comment>
    <comment ref="J8" authorId="1" shapeId="0" xr:uid="{0490E359-9042-4F58-9BD5-3C885C6B6357}">
      <text>
        <r>
          <rPr>
            <b/>
            <sz val="9"/>
            <color indexed="81"/>
            <rFont val="Tahoma"/>
            <family val="2"/>
          </rPr>
          <t>bác Ohara về nước 9/8~16/8: -5 ngày</t>
        </r>
      </text>
    </comment>
    <comment ref="K8" authorId="1" shapeId="0" xr:uid="{E5FEC6EC-97CF-4190-8C7E-863C2ECBBB0B}">
      <text>
        <r>
          <rPr>
            <b/>
            <sz val="9"/>
            <color indexed="81"/>
            <rFont val="Tahoma"/>
            <family val="2"/>
          </rPr>
          <t>Ota về nước từ 29/8~6/9:
nghỉ 2 ngày 4,5/9</t>
        </r>
      </text>
    </comment>
    <comment ref="N8" authorId="1" shapeId="0" xr:uid="{0FAB8D3A-013D-4E56-BED2-B1755EFF0678}">
      <text>
        <r>
          <rPr>
            <b/>
            <sz val="9"/>
            <color indexed="81"/>
            <rFont val="Tahoma"/>
            <family val="2"/>
          </rPr>
          <t>bác Ohara về nước từ 27/12~8/1: 2 ngày tháng 12</t>
        </r>
      </text>
    </comment>
    <comment ref="O8" authorId="1" shapeId="0" xr:uid="{490C52C9-57A2-4760-AC5D-8E2A31C4E87B}">
      <text>
        <r>
          <rPr>
            <b/>
            <sz val="9"/>
            <color indexed="81"/>
            <rFont val="Tahoma"/>
            <family val="2"/>
          </rPr>
          <t>bác Ohara về nước từ 27/12~8/1: 4 ngày tháng 1/2026</t>
        </r>
      </text>
    </comment>
    <comment ref="F25" authorId="1" shapeId="0" xr:uid="{F1D47D09-571D-41AB-8680-EEDD0CC5595C}">
      <text>
        <r>
          <rPr>
            <b/>
            <sz val="9"/>
            <color indexed="81"/>
            <rFont val="Tahoma"/>
            <family val="2"/>
          </rPr>
          <t xml:space="preserve">4月: +休業者の代わりに2人が入る
(lấy thêm 2 ng thay thế 2 ng nghỉ việc trong kỳ trc)
+ 1 người LQC KIT
(T12/2024: 100 ng G7
T1/2024: nghỉ việc 1 người =&gt; 99 người)
</t>
        </r>
      </text>
    </comment>
    <comment ref="L25" authorId="1" shapeId="0" xr:uid="{56E16C87-3AA3-43B0-95F3-B364128607E1}">
      <text>
        <r>
          <rPr>
            <b/>
            <sz val="9"/>
            <color indexed="81"/>
            <rFont val="Tahoma"/>
            <family val="2"/>
          </rPr>
          <t xml:space="preserve">+ 1人 G5 (Spica生産対応)  (16係)
+ G6: 3人(11係) (Spica生産対応)
</t>
        </r>
      </text>
    </comment>
    <comment ref="O25" authorId="1" shapeId="0" xr:uid="{0360FDB3-FA20-41C2-B6A7-BDA5EB9E3626}">
      <text>
        <r>
          <rPr>
            <b/>
            <sz val="9"/>
            <color indexed="81"/>
            <rFont val="Tahoma"/>
            <family val="2"/>
          </rPr>
          <t>+G6: 1人(11係) (Leo生産対応)</t>
        </r>
      </text>
    </comment>
    <comment ref="P25" authorId="1" shapeId="0" xr:uid="{FC764CAF-5963-4263-8053-0819F02C91BC}">
      <text>
        <r>
          <rPr>
            <b/>
            <sz val="9"/>
            <color indexed="81"/>
            <rFont val="Tahoma"/>
            <family val="2"/>
          </rPr>
          <t>+17人 (Spica生産対応):
G6: 3人(11係) 
G7: 9人(14係)+5人(15係)</t>
        </r>
      </text>
    </comment>
    <comment ref="F44" authorId="1" shapeId="0" xr:uid="{B6103686-275D-49B4-B4DD-7F7835889855}">
      <text>
        <r>
          <rPr>
            <b/>
            <sz val="9"/>
            <color indexed="81"/>
            <rFont val="Tahoma"/>
            <family val="2"/>
          </rPr>
          <t>VPN: 3.18$ (1 名)
Mail: 11.46$ (36名)
MES: 91.59$ (1名)
QLIK: 34.98$ (3名)</t>
        </r>
      </text>
    </comment>
    <comment ref="G44" authorId="1" shapeId="0" xr:uid="{F0E6437F-424F-4DE2-98A5-FF6F43B2DF36}">
      <text>
        <r>
          <rPr>
            <b/>
            <sz val="9"/>
            <color indexed="81"/>
            <rFont val="Tahoma"/>
            <family val="2"/>
          </rPr>
          <t>VPN: 3.18$ (1 名)
Mail: 11.46$ (36名)
MES: 91.59$ (1名)
QLIK: 34.98$ (3名)</t>
        </r>
      </text>
    </comment>
    <comment ref="H44" authorId="1" shapeId="0" xr:uid="{CD20DB25-8878-4472-98DB-91F0B8523753}">
      <text>
        <r>
          <rPr>
            <b/>
            <sz val="9"/>
            <color indexed="81"/>
            <rFont val="Tahoma"/>
            <family val="2"/>
          </rPr>
          <t>VPN: 3.18$ (1 名)
Mail: 11.46$ (36名)
MES: 91.59$ (1名)
QLIK: 34.98$ (3名)</t>
        </r>
      </text>
    </comment>
    <comment ref="I44" authorId="1" shapeId="0" xr:uid="{27719B41-E73C-4A71-87C6-D51A5E932AB7}">
      <text>
        <r>
          <rPr>
            <b/>
            <sz val="9"/>
            <color indexed="81"/>
            <rFont val="Tahoma"/>
            <family val="2"/>
          </rPr>
          <t>VPN: 3.18$ (1 名)
Mail: 11.46$ (36名)
MES: 91.59$ (1名)
QLIK: 34.98$ (3名)</t>
        </r>
      </text>
    </comment>
    <comment ref="J44" authorId="1" shapeId="0" xr:uid="{53C3D29D-DB4D-4EF0-B99D-0B4FBDE38D89}">
      <text>
        <r>
          <rPr>
            <b/>
            <sz val="9"/>
            <color indexed="81"/>
            <rFont val="Tahoma"/>
            <family val="2"/>
          </rPr>
          <t>VPN: 3.18$ (1 名)
Mail: 11.46$ (16名)
MES: 91.59$ (1名)
QLIK: 34.98$ (3名)</t>
        </r>
      </text>
    </comment>
    <comment ref="K44" authorId="1" shapeId="0" xr:uid="{7D2A7437-226E-4C06-ABF4-DBA2B2CD8FB1}">
      <text>
        <r>
          <rPr>
            <b/>
            <sz val="9"/>
            <color indexed="81"/>
            <rFont val="Tahoma"/>
            <family val="2"/>
          </rPr>
          <t>VPN: 3.18$ (1 名)
Mail: 11.46$ (16名)
MES: 91.59$ (1名)
QLIK: 34.98$ (3名)</t>
        </r>
      </text>
    </comment>
    <comment ref="L44" authorId="1" shapeId="0" xr:uid="{A6BE300E-EEE9-4D43-B5D8-E05EBBD0F967}">
      <text>
        <r>
          <rPr>
            <b/>
            <sz val="9"/>
            <color indexed="81"/>
            <rFont val="Tahoma"/>
            <family val="2"/>
          </rPr>
          <t>VPN: 3.18$ (1 名)
Mail: 11.46$ (16名)
MES: 91.59$ (1名)
QLIK: 34.98$ (3名)</t>
        </r>
      </text>
    </comment>
    <comment ref="M44" authorId="1" shapeId="0" xr:uid="{5FC995FC-F949-49CB-9AF1-A736019E26FC}">
      <text>
        <r>
          <rPr>
            <b/>
            <sz val="9"/>
            <color indexed="81"/>
            <rFont val="Tahoma"/>
            <family val="2"/>
          </rPr>
          <t>VPN: 3.18$ (1 名)
Mail: 11.46$ (16+2名)
(thêm người phân tích+QC Spica)
MES: 91.59$ (1名)
QLIK: 34.98$ (3名)</t>
        </r>
      </text>
    </comment>
    <comment ref="N44" authorId="1" shapeId="0" xr:uid="{C945B238-B362-4CF7-9E03-08DC7FE7E140}">
      <text>
        <r>
          <rPr>
            <b/>
            <sz val="9"/>
            <color indexed="81"/>
            <rFont val="Tahoma"/>
            <family val="2"/>
          </rPr>
          <t>VPN: 3.18$ (1 名)
Mail: 11.46$ (16+2名)
(thêm người phân tích+QC Spica)
MES: 91.59$ (1名)
QLIK: 34.98$ (3名)</t>
        </r>
      </text>
    </comment>
    <comment ref="O44" authorId="1" shapeId="0" xr:uid="{BCD5F917-9703-4B1F-A8C9-1E241D5E7101}">
      <text>
        <r>
          <rPr>
            <b/>
            <sz val="9"/>
            <color indexed="81"/>
            <rFont val="Tahoma"/>
            <family val="2"/>
          </rPr>
          <t>VPN: 3.18$ (1 名)
Mail: 11.46$ (16+2名)
(thêm người phân tích+QC Spica)
MES: 91.59$ (1名)
QLIK: 34.98$ (3名)</t>
        </r>
      </text>
    </comment>
    <comment ref="P44" authorId="1" shapeId="0" xr:uid="{58EF12C1-BC81-4794-BCD9-B045227D3D5C}">
      <text>
        <r>
          <rPr>
            <b/>
            <sz val="9"/>
            <color indexed="81"/>
            <rFont val="Tahoma"/>
            <family val="2"/>
          </rPr>
          <t>VPN: 3.18$ (1 名)
Mail: 11.46$ (16+2+1名)
(thêm ng  Leo)
MES: 91.59$ (1名)
QLIK: 34.98$ (3名)</t>
        </r>
      </text>
    </comment>
    <comment ref="Q44" authorId="1" shapeId="0" xr:uid="{A68CB6F2-D48D-4E4C-855C-168EDD4E7756}">
      <text>
        <r>
          <rPr>
            <b/>
            <sz val="9"/>
            <color indexed="81"/>
            <rFont val="Tahoma"/>
            <family val="2"/>
          </rPr>
          <t>VPN: 3.18$ (1 名)
Mail: 11.46$ (16+2+1名)
(thêm ng  Leo)
MES: 91.59$ (1名)
QLIK: 34.98$ (3名)</t>
        </r>
      </text>
    </comment>
    <comment ref="L53" authorId="1" shapeId="0" xr:uid="{2A258D74-9311-4775-A8F7-DB5888EE65DE}">
      <text>
        <r>
          <rPr>
            <b/>
            <sz val="9"/>
            <color indexed="81"/>
            <rFont val="Tahoma"/>
            <family val="2"/>
          </rPr>
          <t>thêm ng</t>
        </r>
      </text>
    </comment>
    <comment ref="F56" authorId="1" shapeId="0" xr:uid="{27683D60-79BB-42AB-93DA-D5CBA4D7CA85}">
      <text>
        <r>
          <rPr>
            <b/>
            <sz val="9"/>
            <color indexed="81"/>
            <rFont val="Tahoma"/>
            <family val="2"/>
          </rPr>
          <t>tổng đầu tháng 1/2025 là 196 người,
cuối tháng 2 còn 195 người)</t>
        </r>
      </text>
    </comment>
    <comment ref="F62" authorId="1" shapeId="0" xr:uid="{C4656289-1082-4C51-BD28-8BD212D6BB99}">
      <text>
        <r>
          <rPr>
            <b/>
            <sz val="9"/>
            <color indexed="81"/>
            <rFont val="Tahoma"/>
            <family val="2"/>
          </rPr>
          <t>đối ứng 19 máy lên Win11</t>
        </r>
      </text>
    </comment>
    <comment ref="G62" authorId="1" shapeId="0" xr:uid="{71FB4F4B-B406-48BB-B4BA-6A267F49D5B6}">
      <text>
        <r>
          <rPr>
            <b/>
            <sz val="9"/>
            <color indexed="81"/>
            <rFont val="Tahoma"/>
            <family val="2"/>
          </rPr>
          <t>đối ứng 19 máy lên Win11</t>
        </r>
      </text>
    </comment>
    <comment ref="H62" authorId="1" shapeId="0" xr:uid="{CA92582F-9E91-420F-886E-9F81864B54F0}">
      <text>
        <r>
          <rPr>
            <b/>
            <sz val="9"/>
            <color indexed="81"/>
            <rFont val="Tahoma"/>
            <family val="2"/>
          </rPr>
          <t>đối ứng 19 máy lên Win11</t>
        </r>
      </text>
    </comment>
    <comment ref="I62" authorId="1" shapeId="0" xr:uid="{B2DAD2A1-1886-425A-B12E-663BD6F06863}">
      <text>
        <r>
          <rPr>
            <b/>
            <sz val="9"/>
            <color indexed="81"/>
            <rFont val="Tahoma"/>
            <family val="2"/>
          </rPr>
          <t>đối ứng 19 máy lên Win11</t>
        </r>
      </text>
    </comment>
    <comment ref="J62" authorId="1" shapeId="0" xr:uid="{B72FBB58-0031-4BC7-BA57-65792D031C3B}">
      <text>
        <r>
          <rPr>
            <b/>
            <sz val="9"/>
            <color indexed="81"/>
            <rFont val="Tahoma"/>
            <family val="2"/>
          </rPr>
          <t>đối ứng lên Win11 (3pcs) hết+ 1 máy KIT(PN)(máy+lisence)</t>
        </r>
      </text>
    </comment>
    <comment ref="K62" authorId="1" shapeId="0" xr:uid="{70234FC7-102C-4A73-AF2B-AE39B87E505B}">
      <text>
        <r>
          <rPr>
            <b/>
            <sz val="9"/>
            <color indexed="81"/>
            <rFont val="Tahoma"/>
            <family val="2"/>
          </rPr>
          <t>1 QC+1 Phân tích+1 phòng ngừa (mua cả máy và Win) đối ứng sx Spica</t>
        </r>
      </text>
    </comment>
    <comment ref="N62" authorId="1" shapeId="0" xr:uid="{66EAA0B6-30E5-4914-9B4B-EEA3AA4258E2}">
      <text>
        <r>
          <rPr>
            <b/>
            <sz val="9"/>
            <color indexed="81"/>
            <rFont val="Tahoma"/>
            <family val="2"/>
          </rPr>
          <t>1 QC+1 phòng ngừa (đối ứng sx Leo)</t>
        </r>
      </text>
    </comment>
    <comment ref="K63" authorId="1" shapeId="0" xr:uid="{9ADBAF98-A8BE-418C-8FD2-FCA7B94BD90C}">
      <text>
        <r>
          <rPr>
            <b/>
            <sz val="9"/>
            <color indexed="81"/>
            <rFont val="Tahoma"/>
            <family val="2"/>
          </rPr>
          <t>chuột cho 3 máy tính mới mua</t>
        </r>
      </text>
    </comment>
    <comment ref="F64" authorId="1" shapeId="0" xr:uid="{5942F967-4991-4717-A503-0CE47B33249C}">
      <text>
        <r>
          <rPr>
            <b/>
            <sz val="9"/>
            <color indexed="81"/>
            <rFont val="Tahoma"/>
            <family val="2"/>
          </rPr>
          <t>chị Loan LQC</t>
        </r>
      </text>
    </comment>
    <comment ref="G64" authorId="1" shapeId="0" xr:uid="{F4579867-406F-4DDC-8B9C-F89EE5B191DF}">
      <text>
        <r>
          <rPr>
            <b/>
            <sz val="9"/>
            <color indexed="81"/>
            <rFont val="Tahoma"/>
            <family val="2"/>
          </rPr>
          <t>chị Lan anh PN</t>
        </r>
      </text>
    </comment>
    <comment ref="H64" authorId="1" shapeId="0" xr:uid="{86BE23A7-3423-4FA5-B125-EA614D1672E5}">
      <text>
        <r>
          <rPr>
            <b/>
            <sz val="9"/>
            <color indexed="81"/>
            <rFont val="Tahoma"/>
            <family val="2"/>
          </rPr>
          <t>anh Thông</t>
        </r>
      </text>
    </comment>
    <comment ref="F65" authorId="1" shapeId="0" xr:uid="{58B60F69-CEB9-4FCA-9F35-37BBF85FE32E}">
      <text>
        <r>
          <rPr>
            <b/>
            <sz val="9"/>
            <color indexed="81"/>
            <rFont val="Tahoma"/>
            <family val="2"/>
          </rPr>
          <t>2 USB (14$/1pcs)</t>
        </r>
      </text>
    </comment>
    <comment ref="F67" authorId="1" shapeId="0" xr:uid="{3E437F97-2D61-4E7C-9F53-BED976307D17}">
      <text>
        <r>
          <rPr>
            <b/>
            <sz val="9"/>
            <color indexed="81"/>
            <rFont val="Tahoma"/>
            <family val="2"/>
          </rPr>
          <t>máy ảnh+thẻ nhớ (nhóm QCCĐ Libra)</t>
        </r>
      </text>
    </comment>
    <comment ref="H67" authorId="1" shapeId="0" xr:uid="{CB0CBC4B-D641-4FE6-8A0E-DC070032BA92}">
      <text>
        <r>
          <rPr>
            <b/>
            <sz val="9"/>
            <color indexed="81"/>
            <rFont val="Tahoma"/>
            <family val="2"/>
          </rPr>
          <t>máy ảnh+thẻ nhớ (nhóm PHÂN TÍCH)</t>
        </r>
      </text>
    </comment>
    <comment ref="P67" authorId="1" shapeId="0" xr:uid="{27840087-0BA7-40B4-A0CB-42427BEBE494}">
      <text>
        <r>
          <rPr>
            <b/>
            <sz val="9"/>
            <color indexed="81"/>
            <rFont val="Tahoma"/>
            <family val="2"/>
          </rPr>
          <t>Webcam:5,060,800 VND/Ba chạc: 550,000 VND</t>
        </r>
      </text>
    </comment>
    <comment ref="L68" authorId="1" shapeId="0" xr:uid="{2A86E2B9-2EBA-457B-B5DC-1C60D5924441}">
      <text>
        <r>
          <rPr>
            <b/>
            <sz val="9"/>
            <color indexed="81"/>
            <rFont val="Tahoma"/>
            <family val="2"/>
          </rPr>
          <t>Đồng hồ đo nhiệt độ độ ẩm (1line Spica 2 pcs)</t>
        </r>
      </text>
    </comment>
    <comment ref="M68" authorId="1" shapeId="0" xr:uid="{AF2D37AC-0F82-494F-AF05-C0689819F9EA}">
      <text>
        <r>
          <rPr>
            <b/>
            <sz val="9"/>
            <color indexed="81"/>
            <rFont val="Tahoma"/>
            <family val="2"/>
          </rPr>
          <t>Đồng hồ đo nhiệt độ độ ẩm (1line Spica 2 pcs)</t>
        </r>
      </text>
    </comment>
    <comment ref="N68" authorId="1" shapeId="0" xr:uid="{015B3BA3-CD06-4A60-AEE7-84CDF3346255}">
      <text>
        <r>
          <rPr>
            <b/>
            <sz val="9"/>
            <color indexed="81"/>
            <rFont val="Tahoma"/>
            <family val="2"/>
          </rPr>
          <t>Đồng hồ đo nhiệt độ độ ẩm (2 line Leo 2 pcs)</t>
        </r>
      </text>
    </comment>
    <comment ref="H72" authorId="1" shapeId="0" xr:uid="{005AE117-7E1E-4D79-A1AE-42E639856A5C}">
      <text>
        <r>
          <rPr>
            <b/>
            <sz val="9"/>
            <color indexed="81"/>
            <rFont val="Tahoma"/>
            <family val="2"/>
          </rPr>
          <t>hiệu chuẩn máy đo ánh sáng</t>
        </r>
      </text>
    </comment>
    <comment ref="J72" authorId="1" shapeId="0" xr:uid="{47D08634-D420-4EAB-98A7-1690FE1A3722}">
      <text>
        <r>
          <rPr>
            <b/>
            <sz val="9"/>
            <color indexed="81"/>
            <rFont val="Tahoma"/>
            <family val="2"/>
          </rPr>
          <t>đồng hồ đo lực siết 003 Roller magnet</t>
        </r>
      </text>
    </comment>
    <comment ref="F74" authorId="1" shapeId="0" xr:uid="{3BF2FF39-8AE4-42AB-9570-0B8AB78F49ED}">
      <text>
        <r>
          <rPr>
            <b/>
            <sz val="9"/>
            <color indexed="81"/>
            <rFont val="Tahoma"/>
            <family val="2"/>
          </rPr>
          <t>tổng đầu tháng 1/2025 là 196 người,
cuối tháng 2 còn 195 người)</t>
        </r>
      </text>
    </comment>
    <comment ref="F92" authorId="2" shapeId="0" xr:uid="{0D447B08-038B-4375-B0DA-EF7C039B500A}">
      <text>
        <r>
          <rPr>
            <b/>
            <sz val="9"/>
            <color indexed="81"/>
            <rFont val="Tahoma"/>
            <family val="2"/>
          </rPr>
          <t>4月：Harmonia 対応(HONTAI): 2名</t>
        </r>
      </text>
    </comment>
    <comment ref="F93" authorId="2" shapeId="0" xr:uid="{CBA868A8-DDDB-4AB7-A494-D3AF2A519A5A}">
      <text>
        <r>
          <rPr>
            <b/>
            <sz val="9"/>
            <color indexed="81"/>
            <rFont val="Tahoma"/>
            <family val="2"/>
          </rPr>
          <t>4月：Harmonia 対応(HONTAI): 2名</t>
        </r>
      </text>
    </comment>
    <comment ref="F94" authorId="2" shapeId="0" xr:uid="{2AC91649-220E-49DA-A181-2997D765C4F2}">
      <text>
        <r>
          <rPr>
            <b/>
            <sz val="9"/>
            <color indexed="81"/>
            <rFont val="Tahoma"/>
            <family val="2"/>
          </rPr>
          <t>4月：Harmonia 対応(HONTAI): 2名</t>
        </r>
      </text>
    </comment>
    <comment ref="F95" authorId="2" shapeId="0" xr:uid="{912987B4-975E-4C3A-BA53-51E5E2537993}">
      <text>
        <r>
          <rPr>
            <b/>
            <sz val="9"/>
            <color indexed="81"/>
            <rFont val="Tahoma"/>
            <family val="2"/>
          </rPr>
          <t>4月：Harmonia 対応(HONTAI): 2名 (1 ng Trợ lý+1 ng G5~G1)</t>
        </r>
      </text>
    </comment>
    <comment ref="F96" authorId="2" shapeId="0" xr:uid="{30952930-93F3-4DD0-B80E-7889DDC704BC}">
      <text>
        <r>
          <rPr>
            <b/>
            <sz val="9"/>
            <color indexed="81"/>
            <rFont val="Tahoma"/>
            <family val="2"/>
          </rPr>
          <t>4月：Harmonia 対応(HONTAI): 2名</t>
        </r>
      </text>
    </comment>
    <comment ref="G97" authorId="2" shapeId="0" xr:uid="{69BF257A-8894-4682-A949-6D6A56A07D0F}">
      <text>
        <r>
          <rPr>
            <b/>
            <sz val="9"/>
            <color indexed="81"/>
            <rFont val="Tahoma"/>
            <family val="2"/>
          </rPr>
          <t>4月：Harmonia 対応(HONTAI): 2名 (cả chiều đi và chiều về)(Nhật thì 2 chiều tầm 800 đô)</t>
        </r>
      </text>
    </comment>
    <comment ref="F101" authorId="1" shapeId="0" xr:uid="{D9E6B8C7-4DC8-4C19-A670-1BA0A4478488}">
      <text/>
    </comment>
    <comment ref="G101" authorId="1" shapeId="0" xr:uid="{487D0EE4-D49C-4494-8B11-9DB4FE425C10}">
      <text>
        <r>
          <rPr>
            <b/>
            <sz val="9"/>
            <color indexed="81"/>
            <rFont val="Tahoma"/>
            <family val="2"/>
          </rPr>
          <t>+2 người hòa mạng mới tháng 4 cùng sim, gói cước 99k(dùng tháng 4 pb tháng 5)
+gói cước khi đi công tác nước ngoài (400k/1ng)</t>
        </r>
      </text>
    </comment>
    <comment ref="I101" authorId="1" shapeId="0" xr:uid="{550F4D3E-331A-4554-AE25-976020E002BB}">
      <text>
        <r>
          <rPr>
            <b/>
            <sz val="9"/>
            <color indexed="81"/>
            <rFont val="Tahoma"/>
            <family val="2"/>
          </rPr>
          <t>+1pcs hòa mạng mới tháng 6 cùng sim, gói cước 99k(dùng tháng 6 pb tháng 7)</t>
        </r>
      </text>
    </comment>
    <comment ref="M101" authorId="1" shapeId="0" xr:uid="{7C3AC289-1A21-429B-8BDD-7AD158C3C438}">
      <text>
        <r>
          <rPr>
            <b/>
            <sz val="9"/>
            <color indexed="81"/>
            <rFont val="Tahoma"/>
            <family val="2"/>
          </rPr>
          <t>gói cước của 3 ng mới mua dt+sim từ tháng 10</t>
        </r>
      </text>
    </comment>
    <comment ref="F102" authorId="1" shapeId="0" xr:uid="{440BE125-9C64-46D4-B749-0BF969A1CAA8}">
      <text>
        <r>
          <rPr>
            <b/>
            <sz val="9"/>
            <color indexed="81"/>
            <rFont val="Tahoma"/>
            <family val="2"/>
          </rPr>
          <t>Oanh+chị nguyễn Thủy (điện thoại+sim)</t>
        </r>
      </text>
    </comment>
    <comment ref="H102" authorId="1" shapeId="0" xr:uid="{72617DFB-B7A6-41E6-BE4F-C23A85B0565E}">
      <text>
        <r>
          <rPr>
            <b/>
            <sz val="9"/>
            <color indexed="81"/>
            <rFont val="Tahoma"/>
            <family val="2"/>
          </rPr>
          <t>1pcs nhóm phân tích (điện thoại+sim)</t>
        </r>
      </text>
    </comment>
    <comment ref="L102" authorId="1" shapeId="0" xr:uid="{2D98DEB6-F5E9-4DFC-A528-D1170DE33EBD}">
      <text>
        <r>
          <rPr>
            <b/>
            <sz val="9"/>
            <color indexed="81"/>
            <rFont val="Tahoma"/>
            <family val="2"/>
          </rPr>
          <t>3pcs QCCĐ đối ứng Spica (điện thoại+sim)</t>
        </r>
      </text>
    </comment>
    <comment ref="F128" authorId="1" shapeId="0" xr:uid="{BBAA83F1-5F1E-412D-B76C-FB409C1A6414}">
      <text>
        <r>
          <rPr>
            <b/>
            <sz val="9"/>
            <color indexed="81"/>
            <rFont val="Tahoma"/>
            <family val="2"/>
          </rPr>
          <t>-12 người nghỉ sinh-1 người nghỉ việc</t>
        </r>
      </text>
    </comment>
    <comment ref="G129" authorId="1" shapeId="0" xr:uid="{0D83F6F9-8AF7-4AEB-93AE-0C1BA7B4359C}">
      <text>
        <r>
          <rPr>
            <b/>
            <sz val="9"/>
            <color indexed="81"/>
            <rFont val="Tahoma"/>
            <family val="2"/>
          </rPr>
          <t>dự kiến 9 người nghỉ sinh tháng 5</t>
        </r>
      </text>
    </comment>
    <comment ref="H130" authorId="1" shapeId="0" xr:uid="{E49F7853-AEFE-4200-A654-295AB3CCFD61}">
      <text>
        <r>
          <rPr>
            <b/>
            <sz val="9"/>
            <color indexed="81"/>
            <rFont val="Tahoma"/>
            <family val="2"/>
          </rPr>
          <t>9 người ngỉ sinh</t>
        </r>
      </text>
    </comment>
    <comment ref="S130" authorId="1" shapeId="0" xr:uid="{5A8EE29A-28D0-4EC7-8143-67B43D5ED7BC}">
      <text>
        <r>
          <rPr>
            <b/>
            <sz val="8"/>
            <color indexed="81"/>
            <rFont val="Tahoma"/>
            <family val="2"/>
          </rPr>
          <t>Đối tượng áp dụng:
・CNV đang trong chế độ nghỉ thai sản.
・CNV đang điều trị bệnh dài ngày.
・CNV không thể tham gia do đối ứng công việc.</t>
        </r>
      </text>
    </comment>
    <comment ref="F131" authorId="1" shapeId="0" xr:uid="{F8D01297-1E9D-4CAE-BD6D-386B01670D63}">
      <text>
        <r>
          <rPr>
            <b/>
            <sz val="9"/>
            <color indexed="81"/>
            <rFont val="Tahoma"/>
            <family val="2"/>
          </rPr>
          <t>14 người+3 người nghỉ sinh quay trở lại</t>
        </r>
      </text>
    </comment>
    <comment ref="G131" authorId="1" shapeId="0" xr:uid="{47E1DAD0-8F11-4F91-A771-AC9B2C910E7E}">
      <text>
        <r>
          <rPr>
            <b/>
            <sz val="9"/>
            <color indexed="81"/>
            <rFont val="Tahoma"/>
            <family val="2"/>
          </rPr>
          <t>12 người-1 người nghỉ sinh</t>
        </r>
      </text>
    </comment>
    <comment ref="H131" authorId="1" shapeId="0" xr:uid="{9C421D62-307D-4CE0-8097-E8915BCE368A}">
      <text>
        <r>
          <rPr>
            <b/>
            <sz val="9"/>
            <color indexed="81"/>
            <rFont val="Tahoma"/>
            <family val="2"/>
          </rPr>
          <t>10 người</t>
        </r>
      </text>
    </comment>
    <comment ref="K131" authorId="1" shapeId="0" xr:uid="{5FFB7664-D640-433D-BFD6-3EA496B8D2A4}">
      <text>
        <r>
          <rPr>
            <b/>
            <sz val="9"/>
            <color indexed="81"/>
            <rFont val="Tahoma"/>
            <family val="2"/>
          </rPr>
          <t xml:space="preserve">1 người quay lại sau sinh(Minh).
</t>
        </r>
      </text>
    </comment>
    <comment ref="P135" authorId="1" shapeId="0" xr:uid="{457E9D23-20D9-41B1-A724-8BF74147292B}">
      <text>
        <r>
          <rPr>
            <b/>
            <sz val="9"/>
            <color indexed="81"/>
            <rFont val="Tahoma"/>
            <family val="2"/>
          </rPr>
          <t>số người lấy đầu tháng 2, tính tiền tấ niên bên chế tạo</t>
        </r>
      </text>
    </comment>
    <comment ref="P136" authorId="1" shapeId="0" xr:uid="{0ECBD140-9A85-4F59-A110-61B8D10654BB}">
      <text>
        <r>
          <rPr>
            <b/>
            <sz val="9"/>
            <color indexed="81"/>
            <rFont val="Tahoma"/>
            <family val="2"/>
          </rPr>
          <t>lấy người đầu tháng thời điểm lì xì đã bao gồm người đã lấy</t>
        </r>
      </text>
    </comment>
    <comment ref="N140" authorId="1" shapeId="0" xr:uid="{5523EEE1-AF9D-41C6-968E-BE0AC70AFE28}">
      <text>
        <r>
          <rPr>
            <b/>
            <sz val="9"/>
            <color indexed="81"/>
            <rFont val="Tahoma"/>
            <family val="2"/>
          </rPr>
          <t>9 nam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4" authorId="1" shapeId="0" xr:uid="{A80D1368-1E16-4C01-AC0E-0DA73925E02D}">
      <text>
        <r>
          <rPr>
            <b/>
            <sz val="9"/>
            <color indexed="81"/>
            <rFont val="Tahoma"/>
            <family val="2"/>
          </rPr>
          <t>sinh con Hằng+Hải Yến</t>
        </r>
      </text>
    </comment>
    <comment ref="G144" authorId="1" shapeId="0" xr:uid="{9442AA64-150A-46FD-AC18-9DD613F45025}">
      <text>
        <r>
          <rPr>
            <b/>
            <sz val="9"/>
            <color indexed="81"/>
            <rFont val="Tahoma"/>
            <family val="2"/>
          </rPr>
          <t>sinh con Hương, Quỳnh, Hoa</t>
        </r>
      </text>
    </comment>
    <comment ref="H144" authorId="1" shapeId="0" xr:uid="{A181625C-9E9D-4781-9F85-3506E6E96DA5}">
      <text>
        <r>
          <rPr>
            <b/>
            <sz val="9"/>
            <color indexed="81"/>
            <rFont val="Tahoma"/>
            <family val="2"/>
          </rPr>
          <t>sinh con Dông Anh, Ngãi, Lụa, phương anh</t>
        </r>
      </text>
    </comment>
    <comment ref="L148" authorId="1" shapeId="0" xr:uid="{FE18C628-4F16-42C2-8109-41DCE935552D}">
      <text>
        <r>
          <rPr>
            <b/>
            <sz val="9"/>
            <color indexed="81"/>
            <rFont val="Tahoma"/>
            <family val="2"/>
          </rPr>
          <t>6 người (Hiến, Huyền, cường, Hạnh, thêm thể)+trưởng BP</t>
        </r>
      </text>
    </comment>
    <comment ref="L149" authorId="1" shapeId="0" xr:uid="{32A2EF56-5CAD-4136-89D5-76A4A89A07C2}">
      <text>
        <r>
          <rPr>
            <b/>
            <sz val="9"/>
            <color indexed="81"/>
            <rFont val="Tahoma"/>
            <family val="2"/>
          </rPr>
          <t>6 người (Hiến, Huyền, cường, Hạnh, thêm thể)+trưởng BP</t>
        </r>
      </text>
    </comment>
    <comment ref="F151" authorId="2" shapeId="0" xr:uid="{AFC4DB75-8DF4-4E48-9605-E30B7E689728}">
      <text>
        <r>
          <rPr>
            <sz val="9"/>
            <color indexed="81"/>
            <rFont val="Tahoma"/>
            <family val="2"/>
          </rPr>
          <t xml:space="preserve">- Mr. Hiến hủy lớp初級退学: sơ cấp 1(phân bổ hết tháng 4/2025)
</t>
        </r>
      </text>
    </comment>
    <comment ref="G158" authorId="2" shapeId="0" xr:uid="{FF82FED1-D6C7-4863-82D6-B72C34455502}">
      <text>
        <r>
          <rPr>
            <sz val="9"/>
            <color indexed="81"/>
            <rFont val="Tahoma"/>
            <family val="2"/>
          </rPr>
          <t>4月：Harmonia 対応(HONTAI)
Hai Phong =&gt; Ha Noi: 2名(đi đến sân bay)</t>
        </r>
      </text>
    </comment>
    <comment ref="H158" authorId="2" shapeId="0" xr:uid="{69ED068E-9B16-47D4-92D7-37A6E9D46AB6}">
      <text>
        <r>
          <rPr>
            <sz val="9"/>
            <color indexed="81"/>
            <rFont val="Tahoma"/>
            <family val="2"/>
          </rPr>
          <t>4月：Harmonia 対応(HONTAI)
Ha Noi =&gt;Hai Phong: 2名 (từ sân bay về)</t>
        </r>
      </text>
    </comment>
    <comment ref="J158" authorId="2" shapeId="0" xr:uid="{84A5295B-9B3C-4E08-987E-2BD535B99686}">
      <text>
        <r>
          <rPr>
            <sz val="9"/>
            <color indexed="81"/>
            <rFont val="Tahoma"/>
            <family val="2"/>
          </rPr>
          <t>7月：Iris Next 対応(HONTAI)
Hai Phong =&gt; Ha Noi: 2名(ra sân bay)</t>
        </r>
      </text>
    </comment>
    <comment ref="K158" authorId="2" shapeId="0" xr:uid="{F1939551-D6FE-482A-9469-0CF5ABCC3C12}">
      <text>
        <r>
          <rPr>
            <sz val="9"/>
            <color indexed="81"/>
            <rFont val="Tahoma"/>
            <family val="2"/>
          </rPr>
          <t>7月：Iris Next 対応(HONTAI)
Ha Noi =&gt; Hai Phong : 2名(từ sân bay về)
8月：Harmonia 対応(HONTAI)
Hai Phong =&gt; Ha Noi: 2名(ra sân bay)</t>
        </r>
      </text>
    </comment>
    <comment ref="L158" authorId="2" shapeId="0" xr:uid="{3A0C4D4C-A948-414E-BF57-7FEC52CDA769}">
      <text>
        <r>
          <rPr>
            <sz val="9"/>
            <color indexed="81"/>
            <rFont val="Tahoma"/>
            <family val="2"/>
          </rPr>
          <t>8月：Harmonia 対応(HONTAI)
Ha Noi =&gt; Hai Phong: 2名(từ sân bay về)
9月：Iris IH Unit 移管対応 (đối ứng chuyển giao Iris IH Unit
Hai Phong =&gt; Ha Noi: 1名(ra sân bay)</t>
        </r>
      </text>
    </comment>
    <comment ref="M158" authorId="2" shapeId="0" xr:uid="{9396A982-63EB-425F-BC6D-8831E1685102}">
      <text>
        <r>
          <rPr>
            <sz val="9"/>
            <color indexed="81"/>
            <rFont val="Tahoma"/>
            <family val="2"/>
          </rPr>
          <t xml:space="preserve">9月：Iris IH Unit 移管対応 (đối ứng chuyển giao Iris IH Unit
Ha Noi =&gt; Hai Phong: 1名(từ sân bay về)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<sst xmlns="http://schemas.openxmlformats.org/spreadsheetml/2006/main" count="1738" uniqueCount="797">
  <si>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</si>
  <si>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</si>
  <si>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</si>
  <si>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</si>
  <si>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</si>
  <si>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</si>
  <si>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</si>
  <si>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</si>
  <si>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</si>
  <si>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</si>
  <si>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</si>
  <si>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</si>
  <si>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</si>
  <si>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</si>
  <si>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</si>
  <si>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</si>
  <si>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</si>
  <si>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</si>
  <si>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</si>
  <si>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</si>
  <si>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</si>
  <si>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</si>
  <si>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</si>
  <si>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</si>
  <si>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</si>
  <si>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</si>
  <si>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</si>
  <si>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</si>
  <si>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</si>
  <si>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</si>
  <si>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</si>
  <si>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</si>
  <si>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</si>
  <si>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</si>
  <si>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</si>
  <si>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</si>
  <si>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</si>
  <si>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</si>
  <si>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</si>
  <si>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</si>
  <si>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</si>
  <si>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</si>
  <si>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</si>
  <si>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</si>
  <si>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</si>
  <si>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</si>
  <si>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</si>
  <si>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</si>
  <si>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</si>
  <si>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</si>
  <si>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</si>
  <si>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</si>
  <si>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</si>
  <si>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</si>
  <si>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</si>
  <si>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</si>
  <si>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</si>
  <si>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</si>
  <si>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</si>
  <si>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</si>
  <si>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</si>
  <si>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</si>
  <si>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</si>
  <si>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</si>
  <si>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</si>
  <si>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</si>
  <si>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</si>
  <si>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</si>
  <si>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</si>
  <si>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</si>
  <si>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</si>
  <si>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</si>
  <si>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</si>
  <si>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</si>
  <si>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</si>
  <si>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</si>
  <si>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</si>
  <si>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</si>
  <si>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</si>
  <si>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</si>
  <si>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</si>
  <si>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</si>
  <si>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</si>
  <si>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</si>
  <si>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</si>
  <si>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</si>
  <si>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</si>
  <si>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</si>
  <si>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</si>
  <si>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</si>
  <si>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</si>
  <si>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</si>
  <si>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</si>
  <si>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</si>
  <si>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</si>
  <si>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</si>
  <si>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</si>
  <si>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</si>
  <si>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</si>
  <si>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</si>
  <si>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</si>
  <si>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</si>
  <si>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</si>
  <si>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</si>
  <si>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</si>
  <si>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</si>
  <si>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</si>
  <si>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</si>
  <si>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</si>
  <si>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</si>
  <si>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</si>
  <si>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</si>
  <si>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</si>
  <si>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</si>
  <si>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</si>
  <si>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</si>
  <si>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</si>
  <si>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</si>
  <si>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</si>
  <si>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</si>
  <si>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</si>
  <si>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</si>
  <si>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</si>
  <si>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</si>
  <si>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</si>
  <si>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</si>
  <si>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</si>
  <si>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</si>
  <si>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</si>
  <si>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</si>
  <si>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</si>
  <si>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</si>
  <si>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</si>
  <si>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</si>
  <si>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</si>
  <si>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</si>
  <si>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</si>
  <si>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</si>
  <si>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</si>
  <si>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</si>
  <si>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</si>
  <si>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</si>
  <si>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</si>
  <si>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</si>
  <si>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</si>
  <si>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</si>
  <si>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</si>
  <si>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</si>
  <si>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</si>
  <si>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</si>
  <si>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</si>
  <si>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</si>
  <si>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</si>
  <si>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</si>
  <si>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</si>
  <si>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</si>
  <si>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</si>
  <si>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</si>
  <si>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</si>
  <si>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</si>
  <si>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</si>
  <si>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</si>
  <si>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</si>
  <si>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</si>
  <si>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</si>
  <si>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</si>
  <si>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</si>
  <si>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</si>
  <si>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</si>
  <si>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</si>
  <si>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</si>
  <si>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</si>
  <si>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</si>
  <si>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</si>
  <si>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</si>
  <si>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</si>
  <si>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</si>
  <si>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</si>
  <si>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</si>
  <si>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</si>
  <si>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</si>
  <si>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</si>
  <si>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</si>
  <si>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</si>
  <si>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</si>
  <si>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</si>
  <si>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</si>
  <si>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</si>
  <si>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</si>
  <si>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</si>
  <si>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</si>
  <si>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</si>
  <si>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</si>
  <si>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</si>
  <si>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</si>
  <si>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</si>
  <si>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</si>
  <si>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</si>
  <si>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</si>
  <si>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</si>
  <si>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</si>
  <si>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</si>
  <si>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</si>
  <si>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</si>
  <si>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</si>
  <si>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</si>
  <si>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</si>
  <si>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</si>
  <si>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</si>
  <si>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</si>
  <si>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</si>
  <si>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</si>
  <si>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</si>
  <si>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</si>
  <si>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</si>
  <si>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</si>
  <si>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</si>
  <si>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</si>
  <si>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</si>
  <si>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</si>
  <si>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</si>
  <si>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</si>
  <si>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</si>
  <si>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</si>
  <si>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</si>
  <si>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</si>
  <si>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</si>
  <si>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</si>
  <si>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</si>
  <si>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</si>
  <si>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</si>
  <si>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</si>
  <si>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</si>
  <si>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</si>
  <si>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</si>
  <si>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</si>
  <si>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</si>
  <si>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</si>
  <si>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</si>
  <si>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</si>
  <si>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</si>
  <si>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</si>
  <si>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</si>
  <si>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</si>
  <si>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</si>
  <si>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</si>
  <si>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</si>
  <si>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</si>
  <si>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</si>
  <si>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</si>
  <si>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</si>
  <si>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</si>
  <si>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</si>
  <si>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</si>
  <si>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</si>
  <si>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</si>
  <si>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</si>
  <si>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</si>
  <si>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</si>
  <si>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</si>
  <si>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</si>
  <si>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</si>
  <si>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</si>
  <si>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</si>
  <si>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</si>
  <si>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</si>
  <si>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</si>
  <si>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</si>
  <si>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</si>
  <si>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</si>
  <si>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</si>
  <si>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</si>
  <si>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</si>
  <si>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</si>
  <si>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</si>
  <si>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</si>
  <si>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</si>
  <si>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</si>
  <si>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</si>
  <si>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</si>
  <si>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</si>
  <si>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</si>
  <si>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</si>
  <si>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</si>
  <si>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</si>
  <si>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</si>
  <si>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</si>
  <si>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</si>
  <si>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</si>
  <si>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</si>
  <si>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</si>
  <si>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</si>
  <si>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</si>
  <si>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</si>
  <si>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</si>
  <si>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</si>
  <si>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</si>
  <si>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</si>
  <si>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</si>
  <si>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</si>
  <si>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</si>
  <si>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</si>
  <si>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</si>
  <si>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</si>
  <si>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</si>
  <si>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</si>
  <si>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</si>
  <si>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</si>
  <si>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</si>
  <si>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</si>
  <si>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</si>
  <si>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</si>
  <si>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</si>
  <si>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</si>
  <si>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</si>
  <si>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</si>
  <si>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</si>
  <si>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</si>
  <si>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</si>
  <si>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</si>
  <si>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</si>
  <si>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</si>
  <si>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</si>
  <si>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</si>
  <si>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</si>
  <si>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</si>
  <si>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</si>
  <si>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</si>
  <si>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</si>
  <si>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</si>
  <si>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</si>
  <si>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</si>
  <si>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</si>
  <si>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</si>
  <si>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</si>
  <si>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</si>
  <si>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</si>
  <si>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</si>
  <si>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</si>
  <si>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</si>
  <si>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</si>
  <si>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</si>
  <si>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</si>
  <si>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</si>
  <si>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</si>
  <si>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</si>
  <si>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</si>
  <si>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</si>
  <si>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</si>
  <si>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</si>
  <si>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</si>
  <si>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</si>
  <si>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</si>
  <si>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</si>
  <si>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</si>
  <si>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</si>
  <si>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</si>
  <si>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</si>
  <si>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</si>
  <si>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</si>
  <si>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</si>
  <si>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</si>
  <si>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</si>
  <si>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</si>
  <si>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</si>
  <si>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</si>
  <si>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</si>
  <si>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</si>
  <si>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</si>
  <si>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</si>
  <si>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</si>
  <si>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</si>
  <si>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</si>
  <si>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</si>
  <si>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</si>
  <si>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</si>
  <si>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</si>
  <si>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</si>
  <si>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</si>
  <si>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</si>
  <si>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</si>
  <si>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</si>
  <si>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</si>
  <si>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</si>
  <si>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</si>
  <si>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</si>
  <si>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</si>
  <si>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</si>
  <si>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</si>
  <si>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</si>
  <si>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</si>
  <si>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</si>
  <si>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</si>
  <si>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</si>
  <si>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</si>
  <si>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</si>
  <si>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</si>
  <si>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</si>
  <si>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</si>
  <si>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</si>
  <si>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</si>
  <si>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</si>
  <si>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</si>
  <si>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</si>
  <si>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</si>
  <si>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</si>
  <si>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</si>
  <si>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</si>
  <si>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</si>
  <si>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</si>
  <si>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</si>
  <si>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</si>
  <si>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</si>
  <si>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</si>
  <si>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</si>
  <si>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</si>
  <si>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</si>
  <si>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</si>
  <si>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</si>
  <si>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</si>
  <si>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</si>
  <si>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</si>
  <si>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</si>
  <si>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</si>
  <si>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</si>
  <si>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</si>
  <si>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</si>
  <si>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</si>
  <si>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</si>
  <si>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</si>
  <si>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</si>
  <si>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</si>
  <si>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</si>
  <si>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</si>
  <si>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</si>
  <si>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</si>
  <si>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</si>
  <si>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</si>
  <si>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</si>
  <si>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</si>
  <si>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</si>
  <si>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</si>
  <si>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</si>
  <si>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</si>
  <si>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</si>
  <si>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</si>
  <si>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</si>
  <si>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</si>
  <si>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</si>
  <si>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</si>
  <si>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</si>
  <si>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</si>
  <si>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</si>
  <si>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</si>
  <si>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</si>
  <si>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</si>
  <si>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</si>
  <si>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</si>
  <si>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</si>
  <si>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</si>
  <si>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</si>
  <si>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</si>
  <si>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</si>
  <si>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</si>
  <si>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</si>
  <si>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</si>
  <si>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</si>
  <si>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</si>
  <si>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</si>
  <si>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</si>
  <si>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</si>
  <si>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</si>
  <si>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</si>
  <si>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</si>
  <si>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</si>
  <si>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</si>
  <si>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</si>
  <si>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</si>
  <si>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</si>
  <si>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</si>
  <si>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</si>
  <si>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</si>
  <si>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</si>
  <si>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</si>
  <si>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</si>
  <si>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</si>
  <si>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</si>
  <si>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</si>
  <si>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</si>
  <si>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</si>
  <si>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</si>
  <si>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</si>
  <si>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</si>
  <si>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</si>
  <si>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</si>
  <si>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</si>
  <si>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</si>
  <si>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</si>
  <si>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</si>
  <si>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</si>
  <si>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</si>
  <si>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</si>
  <si>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</si>
  <si>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</si>
  <si>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</si>
  <si>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</si>
  <si>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</si>
  <si>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</si>
  <si>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</si>
  <si>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</si>
  <si>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</si>
  <si>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</si>
  <si>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</si>
  <si>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</si>
  <si>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</si>
  <si>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</si>
  <si>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</si>
  <si>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</si>
  <si>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</si>
  <si>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</si>
  <si>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</si>
  <si>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</si>
  <si>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</si>
  <si>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</si>
  <si>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</si>
  <si>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</si>
  <si>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</si>
  <si>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</si>
  <si>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</si>
  <si>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</si>
  <si>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</si>
  <si>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</si>
  <si>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</si>
  <si>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</si>
  <si>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</si>
  <si>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</si>
  <si>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</si>
  <si>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</si>
  <si>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</si>
  <si>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</si>
  <si>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</si>
  <si>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</si>
  <si>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</si>
  <si>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</si>
  <si>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</si>
  <si>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</si>
  <si>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</si>
  <si>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</si>
  <si>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</si>
  <si>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</si>
  <si>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</si>
  <si>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</si>
  <si>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</si>
  <si>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</si>
  <si>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</si>
  <si>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</si>
  <si>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</si>
  <si>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</si>
  <si>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</si>
  <si>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</si>
  <si>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</si>
  <si>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</si>
  <si>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</si>
  <si>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</si>
  <si>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</si>
  <si>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</si>
  <si>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</si>
  <si>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</si>
  <si>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</si>
  <si>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</si>
  <si>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</si>
  <si>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</si>
  <si>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</si>
  <si>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</si>
  <si>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</si>
  <si>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</si>
  <si>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</si>
  <si>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</si>
  <si>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</si>
  <si>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</si>
  <si>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</si>
  <si>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</si>
  <si>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</si>
  <si>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</si>
  <si>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</si>
  <si>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</si>
  <si>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</si>
  <si>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</si>
  <si>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</si>
  <si>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</si>
  <si>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</si>
  <si>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</si>
  <si>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</si>
  <si>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</si>
  <si>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</si>
  <si>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</si>
  <si>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</si>
  <si>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</si>
  <si>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</si>
  <si>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</si>
  <si>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</si>
  <si>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</si>
  <si>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</si>
  <si>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</si>
  <si>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</si>
  <si>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</si>
  <si>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</si>
  <si>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</si>
  <si>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</si>
  <si>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</si>
  <si>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</si>
  <si>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</si>
  <si>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</si>
  <si>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</si>
  <si>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</si>
  <si>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</si>
  <si>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</si>
  <si>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</si>
  <si>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</si>
  <si>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</si>
  <si>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</si>
  <si>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</si>
  <si>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</si>
  <si>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</si>
  <si>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</si>
  <si>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</si>
  <si>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</si>
  <si>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</si>
  <si>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</si>
  <si>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</si>
  <si>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</si>
  <si>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</si>
  <si>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</si>
  <si>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</si>
  <si>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</si>
  <si>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</si>
  <si>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</si>
  <si>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</si>
  <si>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</si>
  <si>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</si>
  <si>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</si>
  <si>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</si>
  <si>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</si>
  <si>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</si>
  <si>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</si>
  <si>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</si>
  <si>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</si>
  <si>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</si>
  <si>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</si>
  <si>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</si>
  <si>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</si>
  <si>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</si>
  <si>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</si>
  <si>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</si>
  <si>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</si>
  <si>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</si>
  <si>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</si>
  <si>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</si>
  <si>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</si>
  <si>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</si>
  <si>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</si>
  <si>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</si>
  <si>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</si>
  <si>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</si>
  <si>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</si>
  <si>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</si>
  <si>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</si>
  <si>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</si>
  <si>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</si>
  <si>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</si>
  <si>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</si>
  <si>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</si>
  <si>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</si>
  <si>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</si>
  <si>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</si>
  <si>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</si>
  <si>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</si>
  <si>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</si>
  <si>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</si>
  <si>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</si>
  <si>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</si>
  <si>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</si>
  <si>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</si>
  <si>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</si>
  <si>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</si>
  <si>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</si>
  <si>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</si>
  <si>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</si>
  <si>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</si>
  <si>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</si>
  <si>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</si>
  <si>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</si>
  <si>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</si>
  <si>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LIBRA 2 PMT 在庫金利</t>
  </si>
  <si>
    <t>粉塵計測器 Máy đếm bụi</t>
  </si>
  <si>
    <t>ライトĐèn pin  Lãi</t>
  </si>
  <si>
    <t>固定資産金利/Interest (建物Building) Lãi TSCĐ ( Nhà)</t>
  </si>
  <si>
    <t>固定資産金利 /Interest(土地 Land) Lãi TSCĐ ( Đất)</t>
  </si>
  <si>
    <t>システム 使用費 CP sử dụng hệ thống (2024年4月から：-PLM)</t>
  </si>
  <si>
    <t>07月：WINのライセンス</t>
  </si>
  <si>
    <t xml:space="preserve">ライト　Đèn pin </t>
  </si>
  <si>
    <t>手袋 Găng tay</t>
  </si>
  <si>
    <t>マスク Khẩu trang</t>
  </si>
  <si>
    <t>トイレットペーパ Giấy vệ sinh</t>
  </si>
  <si>
    <t>手洗い洗剤費 Nước rửa tay</t>
  </si>
  <si>
    <t>消毒アルコール Cồn khử trùng</t>
  </si>
  <si>
    <t>1月+2月: EH 部品 Linh kiện EH</t>
  </si>
  <si>
    <t>5月・6月：事務用インキ Mực văn phòng</t>
  </si>
  <si>
    <t>07月：ほうき＋ちり取り</t>
  </si>
  <si>
    <t>VKC0D800</t>
  </si>
  <si>
    <t>12月：タブレットのキーボードbàn phím Tablet+パソコンのマウス(chuột có dây)(未然防止31班nhóm PN)</t>
  </si>
  <si>
    <t>12月：USBケーブル(bộ chia cổng USB)+USB中継ケーブル (cáp chuyển đổi USB)(分析班)</t>
  </si>
  <si>
    <t>計測器 校正費 CP hiệu chuẩn thiết bị (3月,6月,8月,10月)</t>
  </si>
  <si>
    <t>食堂燃料費 CP tiền gas</t>
  </si>
  <si>
    <t>電気代 CP tiền điện</t>
  </si>
  <si>
    <t>水道代 CP tiền nước</t>
  </si>
  <si>
    <t>DECLARATION FEE (P) Phí mở tờ khai hải quan</t>
  </si>
  <si>
    <t>DECLARATION FEE (P)-Internal use Phí thủ tục hải quan mực mua nội bộ</t>
  </si>
  <si>
    <t xml:space="preserve">2月： DOMESTIC IMPORT CP mở tờ khai mua TESTO (23/12)通関申告書の費用 </t>
  </si>
  <si>
    <t>COURIER CHARGES (P) CP chuyển phát nhanh</t>
  </si>
  <si>
    <t>IMPORT BOAT FEE (P)</t>
  </si>
  <si>
    <t>郵送料 CP chuyển chứng từ (P. QLKD) gửi tài liệu đi KDC</t>
  </si>
  <si>
    <t>IMPORT AIR FEE (P) :12月：2021年 KDTCNカレンダーを貰います</t>
  </si>
  <si>
    <t>IMPORT AIR FEE (P) サンプル8部NG画像</t>
  </si>
  <si>
    <t>IMPORT AIR FEE (P)(IRIS2020のUSB LOG )</t>
  </si>
  <si>
    <t xml:space="preserve">清掃費用 CP làm sạch </t>
  </si>
  <si>
    <t>日本名の書類申請段取り （Oharaさん）</t>
  </si>
  <si>
    <t>日本名の書類申請段取り （Otaさん）</t>
  </si>
  <si>
    <t>10月/2024: 写真+労働許可証＋パスポート公証費用（Otaさん）</t>
  </si>
  <si>
    <t>10月/2024: 労働許可証書類の翻訳費用（Otaさん）</t>
  </si>
  <si>
    <t>10月/2024: 健康診断費用（Otaさん）</t>
  </si>
  <si>
    <t>12月/2024: 郵便局で輸運送費phí bưu điện vận chuyển thẻ tạm trú（Otaさん）</t>
  </si>
  <si>
    <t>12月/2024: 滞在カード費用Phí xin cấp thẻ tạm trú/Visa（Otaさん） 145$</t>
  </si>
  <si>
    <t>日本名の書類申請段取り （Yamamoto Shujiさん）</t>
  </si>
  <si>
    <t>新入社員: 社員証（新入社員用・再発行時、写真含む）+フィロソフィI＋II+ポケットカレンダー</t>
  </si>
  <si>
    <t>2月：IRIS トーナ</t>
  </si>
  <si>
    <t xml:space="preserve">文房具( Văn phòng phẩm)ペン,IDカードクリップ,ID カードホルダー </t>
  </si>
  <si>
    <t>文房具( Văn phòng phẩm)(SIRIUS2ライン用）</t>
  </si>
  <si>
    <t>新入社員：社員証用ケース+ペン+ノート</t>
  </si>
  <si>
    <t>優秀不具合発見経費 Chi phí phát hiện lỗi ưu tú</t>
  </si>
  <si>
    <t>制服 ,靴, 帽子を交換する Đổi đồng phục</t>
  </si>
  <si>
    <t>4月/2025 ĐP mới 新入社員の 制服 ,靴, 帽子(T5~T10: chưa có áo dài tay) 165,000 VND/áo ngắn tay, 175,000 VND/áo dài tay</t>
  </si>
  <si>
    <t>医療及び検査のための補助金（ローカル）Hỗ trợ khám sức khỏe chuyên sâu</t>
  </si>
  <si>
    <t>ローカル社員通勤送迎費 CP xe đưa đón người Việt</t>
  </si>
  <si>
    <t>出向社員通勤送迎費　 CP xe đưa đón người Nhật</t>
  </si>
  <si>
    <t>結婚費 、 出産祝い金、 慶弔見舞金　（CP mừng sinh con, kết hôn, hiếu hỉ）</t>
  </si>
  <si>
    <t>ローカル社員通勤送迎費(タクシー）CP taxi người Việt</t>
  </si>
  <si>
    <t>出向社員通勤送迎費(タクシー） CP taxi người Nhật</t>
  </si>
  <si>
    <t>11月_2022:社員旅行に参加できない従業員への代わりとなるギフト供与1.225.000/名</t>
  </si>
  <si>
    <t>毎月:CP tiền học tiếng Nhật (Số buổi học SC2: 3月~7月, 10月, 12月: 4回; 8月, 11月: 5回i; 9月: 3回)</t>
  </si>
  <si>
    <t>Chú ý: Phân bổ DƯƠNG</t>
  </si>
  <si>
    <t>từ tháng 11/2024: Chi phí chênh lệch do báo cơm</t>
  </si>
  <si>
    <t>中国語と日本語と英語の試験費（ Chi phi thi tieng Nhat, tieng Trung, tieng Anh）</t>
  </si>
  <si>
    <t>7月に開催される研修の費用 (Mr. Ohara)</t>
  </si>
  <si>
    <t>中国語と日本語試験のBUS代　（Chi phi di lai thi tieng Nhat)</t>
  </si>
  <si>
    <t>健康診断の取りタクシー代+パスポート経費取得費用タクシー代 （Otaさん）</t>
  </si>
  <si>
    <t>Phí taxi Đưa biệt phái đi khám sức khỏe (Otaさん）2 chiều</t>
  </si>
  <si>
    <t>労働許可証書類提出タクシー代（Otaさん）phí taxi đi nộp hồ sơ liên quan đến cấp giấy phép lao động tại việt nam cho biệt phái</t>
  </si>
  <si>
    <t xml:space="preserve">外国業者税 Thuế nhà thầu khi mua linh kiện ncc SUMIDEN INTERNATIONAL TRADING </t>
  </si>
  <si>
    <t>KDCからの出張者関連の経費 Chi phí liên quan đến người sang công tác từ KDC</t>
  </si>
  <si>
    <t>04月：USB (QCCĐ)</t>
  </si>
  <si>
    <t>04月：Speaker (Loa)</t>
  </si>
  <si>
    <t>タクシー代（日本へ出張）CP taxi đưa đón ra sân bay (công tác Nhật, Trung)</t>
  </si>
  <si>
    <t xml:space="preserve">6月：机と引きだしの修理費chi phí sửa máy ảnh, bàn và ngăn kéo, </t>
  </si>
  <si>
    <t>5月,8月,9月,10月phát sinh thêm gói cước sử dụng tại nước công tácChi phi dien thoai cong tac KDTCN</t>
  </si>
  <si>
    <t>新入社員用・再発行時、写真含むThẻ từ chấm công + ảnh ( Người Nhật): 58.000vnd</t>
  </si>
  <si>
    <t>社員証（新入社員用・再発行時、写真含む）Thẻ từ chấm công+ ảnh: 58.000 vnd +フィロソフィ手帳 Sổ tay philosophy 1+2 :18.000vnd +9.200vnd</t>
  </si>
  <si>
    <t>11月/2025: ポケットカレンダー Lịch bỏ túi (800vnd/枚)</t>
  </si>
  <si>
    <t>05月: FY2025決起コンパ Chi phí tiệc khuấy động năm tài chính FY2026: 200.000 vnd/ 名）</t>
  </si>
  <si>
    <t>09月: 京セラフェスティバルLễ hội Kyocera (126.000 vnd/名)</t>
  </si>
  <si>
    <t>10月: 月餅 Bánh Trung Thu (56.000vnd/名)</t>
  </si>
  <si>
    <t>10月: 10年勤続記念品-Quà kỷ niệm cho CNV 10 năm gắn bó 382.000VND</t>
  </si>
  <si>
    <t>10月：10年勤続記念コンパ費用-Chi phí tiệc kỷ niệm 10 năm gắn bó 549.000VND (17 người+phó trg Bp trở lên)</t>
  </si>
  <si>
    <t>11月: 運動会スポーツ大会 Đại hội thể thao (107.000 vnd/名)</t>
  </si>
  <si>
    <t>02月:忘年会補助金 Hỗ trợ tiệc tất niên (300.000 vnd/名)</t>
  </si>
  <si>
    <t>02月: お年玉（Lì xì năm mới: 100,000 FY2026）chỉ dành cho Người Việt</t>
  </si>
  <si>
    <t>誕生日会FY2026: 163.000 vnd/名  Sinh nhật ( Tính cả người Nhật)</t>
  </si>
  <si>
    <t>11月,12月,1月/2026：温度湿度計đồng hồ đo nhiệt độ độ ẩm(Spica, Leoライン用）</t>
  </si>
  <si>
    <t>06月：社員旅行に参加できない従業員への代わりとなるギフト供与 FY2026 Quà tặng cho CNV không thể tham gia du lịch: 1,323,000 VND/名</t>
  </si>
  <si>
    <t>4月,7月, 8月,9月:VISA取得費用(145$)＋写真(80.000)＋大使館に発生の経費(640.000)（日本へ出張）(phí công chứng chụp ảnh+phí xin VISA+lệ phí làm thủ tục tại đại sứ quán cho người đi công tác)</t>
  </si>
  <si>
    <t>4月,7月, 8月,9月: 海外渡航保険代 bảo hiểm cho người đi công tác (ng Nhật ko cần) (35USD)</t>
  </si>
  <si>
    <t>4月,7月, 8月,9月: Tiền thuê nhàcho người đi công tác 宿泊費 (88000Yen)</t>
  </si>
  <si>
    <t>4月,7月, 8月,9月: Phí di chuyển, liên lạc (công tác ở Nhật) 現地交通費、通信費 (日本）(7420 Yen)</t>
  </si>
  <si>
    <t>4月,7月, 8月,9月: エアーチケット (KDC, KDTCN海外出張)Vé máy bay công tác (KDC:800USD/2chiều, KDTCN: 250+300USD/2chiều)</t>
  </si>
  <si>
    <t xml:space="preserve">(4月, 6月/2025)携帯電話 CP điện thoại, </t>
  </si>
  <si>
    <t>4月, 6月/2025: 新しいSIM (47.500vnd/pc)+ 電話4G(730.000vnd/pc) ＋古いSIM (12.500vnd/pc)</t>
  </si>
  <si>
    <t>07月: フィロソフィ論文参加賞 （Giải tham gia "Cảm nghĩ về triết lý kinh doanh": 100.000 vnd/名）</t>
  </si>
  <si>
    <t>建物 Building Xây dựng （Depreciation Khấu hao）</t>
  </si>
  <si>
    <t>土地 Land Đất （Depreciation Khấu hao）</t>
  </si>
  <si>
    <t>4月,7月, 8月,9月: Phí công tác (tại Nhật)国際日当 Nhân viên: 602USD. Trợ lý: 728USD/2 tuần, Trung Quốc 41$/ngày</t>
  </si>
  <si>
    <t xml:space="preserve">05月: 社員旅行 Du lịch công ty FY2025: 1.890.000 VND/名 </t>
  </si>
  <si>
    <t>12月:健康診断（ローカル）khám sk nam男性: 189.000 vnd, nữ女性: 204.000 vnd, k chụp X-quang: 30,000vnd</t>
  </si>
  <si>
    <t>8月,9月,10月,12月/2025, 1月/2026：パソコンのマウス chuột máy tính</t>
  </si>
  <si>
    <t>4月,5月,6月/2025: けいたいでんわđiện thoại Samsung chụp ảnh</t>
  </si>
  <si>
    <t>4,6月/2025, 2月/2026：Camera　カメラ+ カメラのメモリカード</t>
  </si>
  <si>
    <t>02月, 09月折りたたみコップ Cốc gấp : 6800vnd/pc</t>
  </si>
  <si>
    <t>4月/2025~1月/2026：LAPTOP購入 (分析班+QCCĐ+未然防止)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</si>
</sst>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4" borderId="39" xfId="0" applyNumberFormat="1" applyFont="1" applyFill="1" applyBorder="1" applyProtection="1"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入力" xfId="161" xr:uid="{AFB77B15-06CB-48EE-8F61-DD42195F6907}"/>
    <cellStyle name="入力 2" xfId="162" xr:uid="{C16808C4-5B54-4337-A74E-E1D90644D99F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悪い" xfId="126" xr:uid="{6BB429A1-4C54-4D7E-89D2-C898ABCFA3AA}"/>
    <cellStyle name="悪い 2" xfId="127" xr:uid="{7D4E01D0-F9E4-4E8F-916F-1AF2F667FFA6}"/>
    <cellStyle name="未定義" xfId="172" xr:uid="{F90C9495-CBB4-4557-ACD2-6D8079F35914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03.2012 08 31 KDTVN採算表及集計表 FY2013_09（製技用）" xfId="170" xr:uid="{4A3CF8DF-33AC-4E6B-BC23-D736CBA4E37A}"/>
    <cellStyle name="標準_KDTVN 2012年9月1日付原価センタ" xfId="171" xr:uid="{EEC7054E-737E-49BC-BBC0-1E98551BDFD6}"/>
    <cellStyle name="良い" xfId="173" xr:uid="{E58EC959-F7DD-4EEB-8E3B-1900F7131773}"/>
    <cellStyle name="良い 2" xfId="174" xr:uid="{0B1611E2-C6AA-4871-9E56-F0A7BC483EB3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計算" xfId="130" xr:uid="{9FFCA0AD-C3E1-407C-BDBF-9DF9AC130B84}"/>
    <cellStyle name="計算 2" xfId="131" xr:uid="{A7AAF61C-C52C-40F3-B45F-967C43291E9F}"/>
    <cellStyle name="説明文" xfId="157" xr:uid="{668DBEFB-F3F8-4D37-ADAF-F578B9F35620}"/>
    <cellStyle name="説明文 2" xfId="158" xr:uid="{AE796C75-4C46-4C4F-83EA-3D8EBCB1F6D5}"/>
    <cellStyle name="警告文" xfId="132" xr:uid="{5AEF1E0F-83BA-40CA-9BB3-D685A5E67D88}"/>
    <cellStyle name="警告文 2" xfId="133" xr:uid="{923ABBDB-8C6A-49E0-B11B-19DFA576FE07}"/>
    <cellStyle name="通貨 2" xfId="159" xr:uid="{15B33AB2-C09F-4F17-BD37-20B77AFFF97B}"/>
    <cellStyle name="通貨 3" xfId="160" xr:uid="{DA23C67D-CB11-4EF8-89AC-2205BD4DDC87}"/>
    <cellStyle name="集計" xfId="152" xr:uid="{F40F7D24-CA84-48A3-BB27-2175E52E8CFD}"/>
    <cellStyle name="集計 2" xfId="153" xr:uid="{1FBF7C1C-DD6D-4FDB-87F5-25ACE8D2AAD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工程品質管理1課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3.0000000006111804E-2</v>
      </c>
      <c r="D13" s="133">
        <f t="shared" ref="D13:O13" si="3">SUM(D14:D65)</f>
        <v>7.0000000003346941E-2</v>
      </c>
      <c r="E13" s="133">
        <f t="shared" si="3"/>
        <v>5.0000000001091394E-2</v>
      </c>
      <c r="F13" s="133">
        <f t="shared" si="3"/>
        <v>4.0000000000873115E-2</v>
      </c>
      <c r="G13" s="133">
        <f t="shared" si="3"/>
        <v>2.9999999999745341E-2</v>
      </c>
      <c r="H13" s="133">
        <f t="shared" si="3"/>
        <v>3.0000000000654836E-2</v>
      </c>
      <c r="I13" s="133">
        <f t="shared" si="3"/>
        <v>2.9999999999745341E-2</v>
      </c>
      <c r="J13" s="133">
        <f t="shared" si="3"/>
        <v>2.9999999999745341E-2</v>
      </c>
      <c r="K13" s="133">
        <f t="shared" si="3"/>
        <v>3.0000000000654836E-2</v>
      </c>
      <c r="L13" s="133">
        <f t="shared" si="3"/>
        <v>1.0000000000218279E-2</v>
      </c>
      <c r="M13" s="133">
        <f t="shared" si="3"/>
        <v>1.999999999998181E-2</v>
      </c>
      <c r="N13" s="133">
        <f t="shared" si="3"/>
        <v>3.999999999996362E-2</v>
      </c>
      <c r="O13" s="133">
        <f t="shared" si="3"/>
        <v>0.40999999997438863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2547.3900000000003</v>
      </c>
      <c r="D20" s="136">
        <f>ROUNDUP('採算表(VND)'!D20/$N$1,2)</f>
        <v>2539.8200000000002</v>
      </c>
      <c r="E20" s="136">
        <f>ROUNDUP('採算表(VND)'!E20/$N$1,2)</f>
        <v>2548.96</v>
      </c>
      <c r="F20" s="136">
        <f>ROUNDUP('採算表(VND)'!F20/$N$1,2)</f>
        <v>2480.9</v>
      </c>
      <c r="G20" s="136">
        <f>ROUNDUP('採算表(VND)'!G20/$N$1,2)</f>
        <v>1225.22</v>
      </c>
      <c r="H20" s="136">
        <f>ROUNDUP('採算表(VND)'!H20/$N$1,2)</f>
        <v>1195.8</v>
      </c>
      <c r="I20" s="136">
        <f>ROUNDUP('採算表(VND)'!I20/$N$1,2)</f>
        <v>1181.98</v>
      </c>
      <c r="J20" s="136">
        <f>ROUNDUP('採算表(VND)'!J20/$N$1,2)</f>
        <v>1179.52</v>
      </c>
      <c r="K20" s="136">
        <f>ROUNDUP('採算表(VND)'!K20/$N$1,2)</f>
        <v>1181.31</v>
      </c>
      <c r="L20" s="136">
        <f>ROUNDUP('採算表(VND)'!L20/$N$1,2)</f>
        <v>1176.2</v>
      </c>
      <c r="M20" s="136">
        <f>ROUNDUP('採算表(VND)'!M20/$N$1,2)</f>
        <v>1179.9100000000001</v>
      </c>
      <c r="N20" s="136">
        <f>ROUNDUP('採算表(VND)'!N20/$N$1,2)</f>
        <v>1200.06</v>
      </c>
      <c r="O20" s="136">
        <f t="shared" si="4"/>
        <v>19637.07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531.34</v>
      </c>
      <c r="D25" s="136">
        <f>ROUNDUP('採算表(VND)'!D25/$N$1,2)</f>
        <v>507.7</v>
      </c>
      <c r="E25" s="136">
        <f>ROUNDUP('採算表(VND)'!E25/$N$1,2)</f>
        <v>562.16999999999996</v>
      </c>
      <c r="F25" s="136">
        <f>ROUNDUP('採算表(VND)'!F25/$N$1,2)</f>
        <v>616.65</v>
      </c>
      <c r="G25" s="136">
        <f>ROUNDUP('採算表(VND)'!G25/$N$1,2)</f>
        <v>39.69</v>
      </c>
      <c r="H25" s="136">
        <f>ROUNDUP('採算表(VND)'!H25/$N$1,2)</f>
        <v>38.71</v>
      </c>
      <c r="I25" s="136">
        <f>ROUNDUP('採算表(VND)'!I25/$N$1,2)</f>
        <v>50.839999999999996</v>
      </c>
      <c r="J25" s="136">
        <f>ROUNDUP('採算表(VND)'!J25/$N$1,2)</f>
        <v>42.82</v>
      </c>
      <c r="K25" s="136">
        <f>ROUNDUP('採算表(VND)'!K25/$N$1,2)</f>
        <v>53.26</v>
      </c>
      <c r="L25" s="136">
        <f>ROUNDUP('採算表(VND)'!L25/$N$1,2)</f>
        <v>42.809999999999995</v>
      </c>
      <c r="M25" s="136">
        <f>ROUNDUP('採算表(VND)'!M25/$N$1,2)</f>
        <v>33.65</v>
      </c>
      <c r="N25" s="136">
        <f>ROUNDUP('採算表(VND)'!N25/$N$1,2)</f>
        <v>52.019999999999996</v>
      </c>
      <c r="O25" s="136">
        <f t="shared" si="4"/>
        <v>2571.6600000000008</v>
      </c>
    </row>
    <row r="26" spans="1:15" ht="11.25" customHeight="1">
      <c r="A26" s="34"/>
      <c r="B26" s="37" t="s">
        <v>104</v>
      </c>
      <c r="C26" s="136">
        <f>ROUNDUP('採算表(VND)'!C26/$N$1,2)</f>
        <v>3573.65</v>
      </c>
      <c r="D26" s="136">
        <f>ROUNDUP('採算表(VND)'!D26/$N$1,2)</f>
        <v>2835.7700000000004</v>
      </c>
      <c r="E26" s="136">
        <f>ROUNDUP('採算表(VND)'!E26/$N$1,2)</f>
        <v>3418.67</v>
      </c>
      <c r="F26" s="136">
        <f>ROUNDUP('採算表(VND)'!F26/$N$1,2)</f>
        <v>2638.84</v>
      </c>
      <c r="G26" s="136">
        <f>ROUNDUP('採算表(VND)'!G26/$N$1,2)</f>
        <v>0</v>
      </c>
      <c r="H26" s="136">
        <f>ROUNDUP('採算表(VND)'!H26/$N$1,2)</f>
        <v>1671.53</v>
      </c>
      <c r="I26" s="136">
        <f>ROUNDUP('採算表(VND)'!I26/$N$1,2)</f>
        <v>679.01</v>
      </c>
      <c r="J26" s="136">
        <f>ROUNDUP('採算表(VND)'!J26/$N$1,2)</f>
        <v>679.01</v>
      </c>
      <c r="K26" s="136">
        <f>ROUNDUP('採算表(VND)'!K26/$N$1,2)</f>
        <v>1514.77</v>
      </c>
      <c r="L26" s="136">
        <f>ROUNDUP('採算表(VND)'!L26/$N$1,2)</f>
        <v>0</v>
      </c>
      <c r="M26" s="136">
        <f>ROUNDUP('採算表(VND)'!M26/$N$1,2)</f>
        <v>220.98999999999998</v>
      </c>
      <c r="N26" s="136">
        <f>ROUNDUP('採算表(VND)'!N26/$N$1,2)</f>
        <v>0</v>
      </c>
      <c r="O26" s="136">
        <f t="shared" si="4"/>
        <v>17232.240000000002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51.21</v>
      </c>
      <c r="E28" s="136">
        <f>ROUNDUP('採算表(VND)'!E28/$N$1,2)</f>
        <v>51.21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102.42</v>
      </c>
    </row>
    <row r="29" spans="1:15" ht="11.25" customHeight="1">
      <c r="A29" s="34"/>
      <c r="B29" s="37" t="s">
        <v>57</v>
      </c>
      <c r="C29" s="136">
        <f>ROUNDUP('採算表(VND)'!C29/$N$1,2)</f>
        <v>2960.38</v>
      </c>
      <c r="D29" s="136">
        <f>ROUNDUP('採算表(VND)'!D29/$N$1,2)</f>
        <v>1600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4560.38</v>
      </c>
    </row>
    <row r="30" spans="1:15" ht="11.25" customHeight="1">
      <c r="A30" s="34"/>
      <c r="B30" s="37" t="s">
        <v>97</v>
      </c>
      <c r="C30" s="136">
        <f>ROUNDUP('採算表(VND)'!C30/$N$1,2)</f>
        <v>761.09</v>
      </c>
      <c r="D30" s="136">
        <f>ROUNDUP('採算表(VND)'!D30/$N$1,2)</f>
        <v>785.78</v>
      </c>
      <c r="E30" s="136">
        <f>ROUNDUP('採算表(VND)'!E30/$N$1,2)</f>
        <v>921.71</v>
      </c>
      <c r="F30" s="136">
        <f>ROUNDUP('採算表(VND)'!F30/$N$1,2)</f>
        <v>1081.21</v>
      </c>
      <c r="G30" s="136">
        <f>ROUNDUP('採算表(VND)'!G30/$N$1,2)</f>
        <v>289.52999999999997</v>
      </c>
      <c r="H30" s="136">
        <f>ROUNDUP('採算表(VND)'!H30/$N$1,2)</f>
        <v>262.3</v>
      </c>
      <c r="I30" s="136">
        <f>ROUNDUP('採算表(VND)'!I30/$N$1,2)</f>
        <v>263.52</v>
      </c>
      <c r="J30" s="136">
        <f>ROUNDUP('採算表(VND)'!J30/$N$1,2)</f>
        <v>258.56</v>
      </c>
      <c r="K30" s="136">
        <f>ROUNDUP('採算表(VND)'!K30/$N$1,2)</f>
        <v>255.63</v>
      </c>
      <c r="L30" s="136">
        <f>ROUNDUP('採算表(VND)'!L30/$N$1,2)</f>
        <v>220.39</v>
      </c>
      <c r="M30" s="136">
        <f>ROUNDUP('採算表(VND)'!M30/$N$1,2)</f>
        <v>203.73</v>
      </c>
      <c r="N30" s="136">
        <f>ROUNDUP('採算表(VND)'!N30/$N$1,2)</f>
        <v>198</v>
      </c>
      <c r="O30" s="136">
        <f t="shared" si="4"/>
        <v>5501.45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39.39</v>
      </c>
      <c r="F31" s="136">
        <f>ROUNDUP('採算表(VND)'!F31/$N$1,2)</f>
        <v>0</v>
      </c>
      <c r="G31" s="136">
        <f>ROUNDUP('採算表(VND)'!G31/$N$1,2)</f>
        <v>19.700000000000003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59.09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431.99</v>
      </c>
      <c r="D39" s="136">
        <f>ROUNDUP('採算表(VND)'!D39/$N$1,2)</f>
        <v>546.66</v>
      </c>
      <c r="E39" s="136">
        <f>ROUNDUP('採算表(VND)'!E39/$N$1,2)</f>
        <v>562.95000000000005</v>
      </c>
      <c r="F39" s="136">
        <f>ROUNDUP('採算表(VND)'!F39/$N$1,2)</f>
        <v>415.7</v>
      </c>
      <c r="G39" s="136">
        <f>ROUNDUP('採算表(VND)'!G39/$N$1,2)</f>
        <v>202.95999999999998</v>
      </c>
      <c r="H39" s="136">
        <f>ROUNDUP('採算表(VND)'!H39/$N$1,2)</f>
        <v>54.69</v>
      </c>
      <c r="I39" s="136">
        <f>ROUNDUP('採算表(VND)'!I39/$N$1,2)</f>
        <v>52.309999999999995</v>
      </c>
      <c r="J39" s="136">
        <f>ROUNDUP('採算表(VND)'!J39/$N$1,2)</f>
        <v>59.04</v>
      </c>
      <c r="K39" s="136">
        <f>ROUNDUP('採算表(VND)'!K39/$N$1,2)</f>
        <v>64.23</v>
      </c>
      <c r="L39" s="136">
        <f>ROUNDUP('採算表(VND)'!L39/$N$1,2)</f>
        <v>56.68</v>
      </c>
      <c r="M39" s="136">
        <f>ROUNDUP('採算表(VND)'!M39/$N$1,2)</f>
        <v>55.32</v>
      </c>
      <c r="N39" s="136">
        <f>ROUNDUP('採算表(VND)'!N39/$N$1,2)</f>
        <v>63.16</v>
      </c>
      <c r="O39" s="136">
        <f t="shared" si="4"/>
        <v>2565.6899999999996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318.90999999999997</v>
      </c>
      <c r="D41" s="136">
        <f>ROUNDUP('採算表(VND)'!D41/$N$1,2)</f>
        <v>296.96999999999997</v>
      </c>
      <c r="E41" s="136">
        <f>ROUNDUP('採算表(VND)'!E41/$N$1,2)</f>
        <v>296.08999999999997</v>
      </c>
      <c r="F41" s="136">
        <f>ROUNDUP('採算表(VND)'!F41/$N$1,2)</f>
        <v>269.36</v>
      </c>
      <c r="G41" s="136">
        <f>ROUNDUP('採算表(VND)'!G41/$N$1,2)</f>
        <v>95.59</v>
      </c>
      <c r="H41" s="136">
        <f>ROUNDUP('採算表(VND)'!H41/$N$1,2)</f>
        <v>95.59</v>
      </c>
      <c r="I41" s="136">
        <f>ROUNDUP('採算表(VND)'!I41/$N$1,2)</f>
        <v>187.45999999999998</v>
      </c>
      <c r="J41" s="136">
        <f>ROUNDUP('採算表(VND)'!J41/$N$1,2)</f>
        <v>107.29</v>
      </c>
      <c r="K41" s="136">
        <f>ROUNDUP('採算表(VND)'!K41/$N$1,2)</f>
        <v>107.29</v>
      </c>
      <c r="L41" s="136">
        <f>ROUNDUP('採算表(VND)'!L41/$N$1,2)</f>
        <v>107.29</v>
      </c>
      <c r="M41" s="136">
        <f>ROUNDUP('採算表(VND)'!M41/$N$1,2)</f>
        <v>107.29</v>
      </c>
      <c r="N41" s="136">
        <f>ROUNDUP('採算表(VND)'!N41/$N$1,2)</f>
        <v>107.29</v>
      </c>
      <c r="O41" s="136">
        <f t="shared" si="4"/>
        <v>2096.4199999999996</v>
      </c>
    </row>
    <row r="42" spans="1:15" ht="11.25" customHeight="1">
      <c r="A42" s="38"/>
      <c r="B42" s="37" t="s">
        <v>98</v>
      </c>
      <c r="C42" s="136">
        <f>ROUNDUP('採算表(VND)'!C42/$N$1,2)</f>
        <v>670.6</v>
      </c>
      <c r="D42" s="136">
        <f>ROUNDUP('採算表(VND)'!D42/$N$1,2)</f>
        <v>670.6</v>
      </c>
      <c r="E42" s="136">
        <f>ROUNDUP('採算表(VND)'!E42/$N$1,2)</f>
        <v>670.6</v>
      </c>
      <c r="F42" s="136">
        <f>ROUNDUP('採算表(VND)'!F42/$N$1,2)</f>
        <v>670.6</v>
      </c>
      <c r="G42" s="136">
        <f>ROUNDUP('採算表(VND)'!G42/$N$1,2)</f>
        <v>400.32</v>
      </c>
      <c r="H42" s="136">
        <f>ROUNDUP('採算表(VND)'!H42/$N$1,2)</f>
        <v>400.32</v>
      </c>
      <c r="I42" s="136">
        <f>ROUNDUP('採算表(VND)'!I42/$N$1,2)</f>
        <v>400.32</v>
      </c>
      <c r="J42" s="136">
        <f>ROUNDUP('採算表(VND)'!J42/$N$1,2)</f>
        <v>424.21999999999997</v>
      </c>
      <c r="K42" s="136">
        <f>ROUNDUP('採算表(VND)'!K42/$N$1,2)</f>
        <v>423.21</v>
      </c>
      <c r="L42" s="136">
        <f>ROUNDUP('採算表(VND)'!L42/$N$1,2)</f>
        <v>423.21</v>
      </c>
      <c r="M42" s="136">
        <f>ROUNDUP('採算表(VND)'!M42/$N$1,2)</f>
        <v>434.65999999999997</v>
      </c>
      <c r="N42" s="136">
        <f>ROUNDUP('採算表(VND)'!N42/$N$1,2)</f>
        <v>434.65999999999997</v>
      </c>
      <c r="O42" s="136">
        <f t="shared" si="4"/>
        <v>6023.3200000000006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6510.9000000000005</v>
      </c>
      <c r="D44" s="136">
        <f>ROUNDUP('採算表(VND)'!D44/$N$1,2)</f>
        <v>17447.75</v>
      </c>
      <c r="E44" s="136">
        <f>ROUNDUP('採算表(VND)'!E44/$N$1,2)</f>
        <v>2181.9300000000003</v>
      </c>
      <c r="F44" s="136">
        <f>ROUNDUP('採算表(VND)'!F44/$N$1,2)</f>
        <v>1784.91</v>
      </c>
      <c r="G44" s="136">
        <f>ROUNDUP('採算表(VND)'!G44/$N$1,2)</f>
        <v>1735.02</v>
      </c>
      <c r="H44" s="136">
        <f>ROUNDUP('採算表(VND)'!H44/$N$1,2)</f>
        <v>505.42</v>
      </c>
      <c r="I44" s="136">
        <f>ROUNDUP('採算表(VND)'!I44/$N$1,2)</f>
        <v>593.6</v>
      </c>
      <c r="J44" s="136">
        <f>ROUNDUP('採算表(VND)'!J44/$N$1,2)</f>
        <v>453.99</v>
      </c>
      <c r="K44" s="136">
        <f>ROUNDUP('採算表(VND)'!K44/$N$1,2)</f>
        <v>540.53</v>
      </c>
      <c r="L44" s="136">
        <f>ROUNDUP('採算表(VND)'!L44/$N$1,2)</f>
        <v>303.99</v>
      </c>
      <c r="M44" s="136">
        <f>ROUNDUP('採算表(VND)'!M44/$N$1,2)</f>
        <v>833.46</v>
      </c>
      <c r="N44" s="136">
        <f>ROUNDUP('採算表(VND)'!N44/$N$1,2)</f>
        <v>268.45999999999998</v>
      </c>
      <c r="O44" s="136">
        <f t="shared" si="4"/>
        <v>33159.96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1820.07</v>
      </c>
      <c r="D57" s="139">
        <f>ROUNDUP('採算表(VND)'!D57/$N$1,2)</f>
        <v>1723.23</v>
      </c>
      <c r="E57" s="139">
        <f>ROUNDUP('採算表(VND)'!E57/$N$1,2)</f>
        <v>1729.44</v>
      </c>
      <c r="F57" s="139">
        <f>ROUNDUP('採算表(VND)'!F57/$N$1,2)</f>
        <v>1683.27</v>
      </c>
      <c r="G57" s="139">
        <f>ROUNDUP('採算表(VND)'!G57/$N$1,2)</f>
        <v>831.3</v>
      </c>
      <c r="H57" s="139">
        <f>ROUNDUP('採算表(VND)'!H57/$N$1,2)</f>
        <v>811.33</v>
      </c>
      <c r="I57" s="139">
        <f>ROUNDUP('採算表(VND)'!I57/$N$1,2)</f>
        <v>801.96</v>
      </c>
      <c r="J57" s="139">
        <f>ROUNDUP('採算表(VND)'!J57/$N$1,2)</f>
        <v>800.29</v>
      </c>
      <c r="K57" s="139">
        <f>ROUNDUP('採算表(VND)'!K57/$N$1,2)</f>
        <v>801.51</v>
      </c>
      <c r="L57" s="139">
        <f>ROUNDUP('採算表(VND)'!L57/$N$1,2)</f>
        <v>798.03</v>
      </c>
      <c r="M57" s="139">
        <f>ROUNDUP('採算表(VND)'!M57/$N$1,2)</f>
        <v>800.56</v>
      </c>
      <c r="N57" s="139">
        <f>ROUNDUP('採算表(VND)'!N57/$N$1,2)</f>
        <v>814.24</v>
      </c>
      <c r="O57" s="139">
        <f t="shared" si="4"/>
        <v>13415.230000000003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-20126.289999999997</v>
      </c>
      <c r="D61" s="139">
        <f>ROUNDUP('採算表(VND)'!D61/$N$1,2)</f>
        <v>-29005.42</v>
      </c>
      <c r="E61" s="139">
        <f>ROUNDUP('採算表(VND)'!E61/$N$1,2)</f>
        <v>-12983.07</v>
      </c>
      <c r="F61" s="139">
        <f>ROUNDUP('採算表(VND)'!F61/$N$1,2)</f>
        <v>-11641.4</v>
      </c>
      <c r="G61" s="139">
        <f>ROUNDUP('採算表(VND)'!G61/$N$1,2)</f>
        <v>-4839.3</v>
      </c>
      <c r="H61" s="139">
        <f>ROUNDUP('採算表(VND)'!H61/$N$1,2)</f>
        <v>-5035.66</v>
      </c>
      <c r="I61" s="139">
        <f>ROUNDUP('採算表(VND)'!I61/$N$1,2)</f>
        <v>-4210.97</v>
      </c>
      <c r="J61" s="139">
        <f>ROUNDUP('採算表(VND)'!J61/$N$1,2)</f>
        <v>-4004.71</v>
      </c>
      <c r="K61" s="139">
        <f>ROUNDUP('採算表(VND)'!K61/$N$1,2)</f>
        <v>-4941.71</v>
      </c>
      <c r="L61" s="139">
        <f>ROUNDUP('採算表(VND)'!L61/$N$1,2)</f>
        <v>-3128.59</v>
      </c>
      <c r="M61" s="139">
        <f>ROUNDUP('採算表(VND)'!M61/$N$1,2)</f>
        <v>-3869.55</v>
      </c>
      <c r="N61" s="139">
        <f>ROUNDUP('採算表(VND)'!N61/$N$1,2)</f>
        <v>-3137.8500000000004</v>
      </c>
      <c r="O61" s="139">
        <f t="shared" si="4"/>
        <v>-106924.52000000002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-3.0000000006111804E-2</v>
      </c>
      <c r="D66" s="134">
        <f t="shared" ref="D66:O66" si="5">IF(ISBLANK(D4),"",D12-D13)</f>
        <v>-7.0000000003346941E-2</v>
      </c>
      <c r="E66" s="134">
        <f t="shared" si="5"/>
        <v>-5.0000000001091394E-2</v>
      </c>
      <c r="F66" s="134">
        <f t="shared" si="5"/>
        <v>-4.0000000000873115E-2</v>
      </c>
      <c r="G66" s="134">
        <f t="shared" si="5"/>
        <v>-2.9999999999745341E-2</v>
      </c>
      <c r="H66" s="134">
        <f t="shared" si="5"/>
        <v>-3.0000000000654836E-2</v>
      </c>
      <c r="I66" s="134">
        <f t="shared" si="5"/>
        <v>-2.9999999999745341E-2</v>
      </c>
      <c r="J66" s="134">
        <f t="shared" si="5"/>
        <v>-2.9999999999745341E-2</v>
      </c>
      <c r="K66" s="134">
        <f t="shared" si="5"/>
        <v>-3.0000000000654836E-2</v>
      </c>
      <c r="L66" s="134">
        <f t="shared" si="5"/>
        <v>-1.0000000000218279E-2</v>
      </c>
      <c r="M66" s="134">
        <f t="shared" si="5"/>
        <v>-1.999999999998181E-2</v>
      </c>
      <c r="N66" s="134">
        <f t="shared" si="5"/>
        <v>-3.999999999996362E-2</v>
      </c>
      <c r="O66" s="134">
        <f t="shared" si="5"/>
        <v>-0.40999999997438863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31644</v>
      </c>
      <c r="D68" s="135">
        <f>'採算表(VND)'!D68</f>
        <v>30078</v>
      </c>
      <c r="E68" s="135">
        <f>'採算表(VND)'!E68</f>
        <v>33244</v>
      </c>
      <c r="F68" s="135">
        <f>'採算表(VND)'!F68</f>
        <v>5169</v>
      </c>
      <c r="G68" s="135">
        <f>'採算表(VND)'!G68</f>
        <v>4452.5</v>
      </c>
      <c r="H68" s="135">
        <f>'採算表(VND)'!H68</f>
        <v>4253</v>
      </c>
      <c r="I68" s="135">
        <f>'採算表(VND)'!I68</f>
        <v>5904</v>
      </c>
      <c r="J68" s="135">
        <f>'採算表(VND)'!J68</f>
        <v>5134</v>
      </c>
      <c r="K68" s="135">
        <f>'採算表(VND)'!K68</f>
        <v>5630</v>
      </c>
      <c r="L68" s="135">
        <f>'採算表(VND)'!L68</f>
        <v>5260</v>
      </c>
      <c r="M68" s="135">
        <f>'採算表(VND)'!M68</f>
        <v>4330</v>
      </c>
      <c r="N68" s="135">
        <f>'採算表(VND)'!N68</f>
        <v>5773</v>
      </c>
      <c r="O68" s="135">
        <f>SUM(C68:N68)</f>
        <v>140871.5</v>
      </c>
    </row>
    <row r="69" spans="1:15" ht="11.25" customHeight="1">
      <c r="A69" s="38"/>
      <c r="B69" s="46" t="s">
        <v>88</v>
      </c>
      <c r="C69" s="136">
        <f>'採算表(VND)'!C69</f>
        <v>-31644</v>
      </c>
      <c r="D69" s="136">
        <f>'採算表(VND)'!D69</f>
        <v>-30078</v>
      </c>
      <c r="E69" s="136">
        <f>'採算表(VND)'!E69</f>
        <v>-33244</v>
      </c>
      <c r="F69" s="136">
        <f>'採算表(VND)'!F69</f>
        <v>-5169</v>
      </c>
      <c r="G69" s="136">
        <f>'採算表(VND)'!G69</f>
        <v>-4452.5</v>
      </c>
      <c r="H69" s="136">
        <f>'採算表(VND)'!H69</f>
        <v>-4253</v>
      </c>
      <c r="I69" s="136">
        <f>'採算表(VND)'!I69</f>
        <v>-5904</v>
      </c>
      <c r="J69" s="136">
        <f>'採算表(VND)'!J69</f>
        <v>-5134</v>
      </c>
      <c r="K69" s="136">
        <f>'採算表(VND)'!K69</f>
        <v>-5630</v>
      </c>
      <c r="L69" s="136">
        <f>'採算表(VND)'!L69</f>
        <v>-5260</v>
      </c>
      <c r="M69" s="136">
        <f>'採算表(VND)'!M69</f>
        <v>-4330</v>
      </c>
      <c r="N69" s="136">
        <f>'採算表(VND)'!N69</f>
        <v>-5773</v>
      </c>
      <c r="O69" s="136">
        <f>SUM(C69:N69)</f>
        <v>-140871.5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5021</v>
      </c>
      <c r="D74" s="135">
        <f>'採算表(VND)'!D74</f>
        <v>5015</v>
      </c>
      <c r="E74" s="135">
        <f>'採算表(VND)'!E74</f>
        <v>5035</v>
      </c>
      <c r="F74" s="135">
        <f>'採算表(VND)'!F74</f>
        <v>763</v>
      </c>
      <c r="G74" s="135">
        <f>'採算表(VND)'!G74</f>
        <v>735</v>
      </c>
      <c r="H74" s="135">
        <f>'採算表(VND)'!H74</f>
        <v>735</v>
      </c>
      <c r="I74" s="135">
        <f>'採算表(VND)'!I74</f>
        <v>863</v>
      </c>
      <c r="J74" s="135">
        <f>'採算表(VND)'!J74</f>
        <v>845</v>
      </c>
      <c r="K74" s="135">
        <f>'採算表(VND)'!K74</f>
        <v>853</v>
      </c>
      <c r="L74" s="135">
        <f>'採算表(VND)'!L74</f>
        <v>862</v>
      </c>
      <c r="M74" s="135">
        <f>'採算表(VND)'!M74</f>
        <v>915</v>
      </c>
      <c r="N74" s="135">
        <f>'採算表(VND)'!N74</f>
        <v>945</v>
      </c>
      <c r="O74" s="135">
        <f>SUM(C74:N74)</f>
        <v>22587</v>
      </c>
    </row>
    <row r="75" spans="1:15">
      <c r="A75" s="38"/>
      <c r="B75" s="37" t="s">
        <v>88</v>
      </c>
      <c r="C75" s="136">
        <f>'採算表(VND)'!C75</f>
        <v>-5021</v>
      </c>
      <c r="D75" s="136">
        <f>'採算表(VND)'!D75</f>
        <v>-5015</v>
      </c>
      <c r="E75" s="136">
        <f>'採算表(VND)'!E75</f>
        <v>-5035</v>
      </c>
      <c r="F75" s="136">
        <f>'採算表(VND)'!F75</f>
        <v>-763</v>
      </c>
      <c r="G75" s="136">
        <f>'採算表(VND)'!G75</f>
        <v>-735</v>
      </c>
      <c r="H75" s="136">
        <f>'採算表(VND)'!H75</f>
        <v>-735</v>
      </c>
      <c r="I75" s="136">
        <f>'採算表(VND)'!I75</f>
        <v>-863</v>
      </c>
      <c r="J75" s="136">
        <f>'採算表(VND)'!J75</f>
        <v>-845</v>
      </c>
      <c r="K75" s="136">
        <f>'採算表(VND)'!K75</f>
        <v>-853</v>
      </c>
      <c r="L75" s="136">
        <f>'採算表(VND)'!L75</f>
        <v>-862</v>
      </c>
      <c r="M75" s="136">
        <f>'採算表(VND)'!M75</f>
        <v>-915</v>
      </c>
      <c r="N75" s="136">
        <f>'採算表(VND)'!N75</f>
        <v>-945</v>
      </c>
      <c r="O75" s="136">
        <f>SUM(C75:N75)</f>
        <v>-22587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196</v>
      </c>
      <c r="D88" s="150">
        <f>'採算表(VND)'!D88</f>
        <v>196</v>
      </c>
      <c r="E88" s="150">
        <f>'採算表(VND)'!E88</f>
        <v>196</v>
      </c>
      <c r="F88" s="150">
        <f>'採算表(VND)'!F88</f>
        <v>26</v>
      </c>
      <c r="G88" s="150">
        <f>'採算表(VND)'!G88</f>
        <v>26</v>
      </c>
      <c r="H88" s="150">
        <f>'採算表(VND)'!H88</f>
        <v>26</v>
      </c>
      <c r="I88" s="150">
        <f>'採算表(VND)'!I88</f>
        <v>30</v>
      </c>
      <c r="J88" s="150">
        <f>'採算表(VND)'!J88</f>
        <v>30</v>
      </c>
      <c r="K88" s="150">
        <f>'採算表(VND)'!K88</f>
        <v>30</v>
      </c>
      <c r="L88" s="150">
        <f>'採算表(VND)'!L88</f>
        <v>31</v>
      </c>
      <c r="M88" s="150">
        <f>'採算表(VND)'!M88</f>
        <v>34</v>
      </c>
      <c r="N88" s="150">
        <f>'採算表(VND)'!N88</f>
        <v>34</v>
      </c>
      <c r="O88" s="150">
        <f>SUM(C88:N88)</f>
        <v>855</v>
      </c>
    </row>
    <row r="89" spans="1:15">
      <c r="A89" s="44"/>
      <c r="B89" s="60" t="s">
        <v>18</v>
      </c>
      <c r="C89" s="151">
        <f t="shared" ref="C89:O89" si="11">C87+C88</f>
        <v>198</v>
      </c>
      <c r="D89" s="151">
        <f t="shared" si="11"/>
        <v>198</v>
      </c>
      <c r="E89" s="151">
        <f t="shared" si="11"/>
        <v>198</v>
      </c>
      <c r="F89" s="151">
        <f t="shared" si="11"/>
        <v>28</v>
      </c>
      <c r="G89" s="151">
        <f t="shared" si="11"/>
        <v>28</v>
      </c>
      <c r="H89" s="151">
        <f t="shared" si="11"/>
        <v>28</v>
      </c>
      <c r="I89" s="151">
        <f t="shared" si="11"/>
        <v>32</v>
      </c>
      <c r="J89" s="151">
        <f t="shared" si="11"/>
        <v>32</v>
      </c>
      <c r="K89" s="151">
        <f t="shared" si="11"/>
        <v>32</v>
      </c>
      <c r="L89" s="151">
        <f t="shared" si="11"/>
        <v>33</v>
      </c>
      <c r="M89" s="151">
        <f t="shared" si="11"/>
        <v>36</v>
      </c>
      <c r="N89" s="151">
        <f t="shared" si="11"/>
        <v>36</v>
      </c>
      <c r="O89" s="151">
        <f t="shared" si="11"/>
        <v>879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323</v>
      </c>
      <c r="D92" s="133">
        <f>'採算表(VND)'!D92</f>
        <v>323</v>
      </c>
      <c r="E92" s="133">
        <f>'採算表(VND)'!E92</f>
        <v>357</v>
      </c>
      <c r="F92" s="133">
        <f>'採算表(VND)'!F92</f>
        <v>391</v>
      </c>
      <c r="G92" s="133">
        <f>'採算表(VND)'!G92</f>
        <v>297.5</v>
      </c>
      <c r="H92" s="133">
        <f>'採算表(VND)'!H92</f>
        <v>306</v>
      </c>
      <c r="I92" s="133">
        <f>'採算表(VND)'!I92</f>
        <v>391</v>
      </c>
      <c r="J92" s="133">
        <f>'採算表(VND)'!J92</f>
        <v>340</v>
      </c>
      <c r="K92" s="133">
        <f>'採算表(VND)'!K92</f>
        <v>357</v>
      </c>
      <c r="L92" s="133">
        <f>'採算表(VND)'!L92</f>
        <v>306</v>
      </c>
      <c r="M92" s="133">
        <f>'採算表(VND)'!M92</f>
        <v>255</v>
      </c>
      <c r="N92" s="133">
        <f>'採算表(VND)'!N92</f>
        <v>340</v>
      </c>
      <c r="O92" s="133">
        <f>SUM(C92:N92)</f>
        <v>3986.5</v>
      </c>
    </row>
    <row r="93" spans="1:15">
      <c r="B93" s="59" t="s">
        <v>325</v>
      </c>
      <c r="C93" s="133">
        <f>'採算表(VND)'!C93</f>
        <v>31321</v>
      </c>
      <c r="D93" s="133">
        <f>'採算表(VND)'!D93</f>
        <v>29755</v>
      </c>
      <c r="E93" s="133">
        <f>'採算表(VND)'!E93</f>
        <v>32887</v>
      </c>
      <c r="F93" s="133">
        <f>'採算表(VND)'!F93</f>
        <v>4778</v>
      </c>
      <c r="G93" s="133">
        <f>'採算表(VND)'!G93</f>
        <v>4155</v>
      </c>
      <c r="H93" s="133">
        <f>'採算表(VND)'!H93</f>
        <v>3947</v>
      </c>
      <c r="I93" s="133">
        <f>'採算表(VND)'!I93</f>
        <v>5513</v>
      </c>
      <c r="J93" s="133">
        <f>'採算表(VND)'!J93</f>
        <v>4794</v>
      </c>
      <c r="K93" s="133">
        <f>'採算表(VND)'!K93</f>
        <v>5273</v>
      </c>
      <c r="L93" s="133">
        <f>'採算表(VND)'!L93</f>
        <v>4954</v>
      </c>
      <c r="M93" s="133">
        <f>'採算表(VND)'!M93</f>
        <v>4075</v>
      </c>
      <c r="N93" s="133">
        <f>'採算表(VND)'!N93</f>
        <v>5433</v>
      </c>
      <c r="O93" s="133">
        <f>SUM(C93:N93)</f>
        <v>136885</v>
      </c>
    </row>
    <row r="94" spans="1:15">
      <c r="B94" s="61" t="s">
        <v>18</v>
      </c>
      <c r="C94" s="147">
        <f t="shared" ref="C94:O94" si="12">C92+C93</f>
        <v>31644</v>
      </c>
      <c r="D94" s="147">
        <f t="shared" si="12"/>
        <v>30078</v>
      </c>
      <c r="E94" s="147">
        <f t="shared" si="12"/>
        <v>33244</v>
      </c>
      <c r="F94" s="147">
        <f t="shared" si="12"/>
        <v>5169</v>
      </c>
      <c r="G94" s="147">
        <f t="shared" si="12"/>
        <v>4452.5</v>
      </c>
      <c r="H94" s="147">
        <f t="shared" si="12"/>
        <v>4253</v>
      </c>
      <c r="I94" s="147">
        <f t="shared" si="12"/>
        <v>5904</v>
      </c>
      <c r="J94" s="147">
        <f t="shared" si="12"/>
        <v>5134</v>
      </c>
      <c r="K94" s="147">
        <f t="shared" si="12"/>
        <v>5630</v>
      </c>
      <c r="L94" s="147">
        <f t="shared" si="12"/>
        <v>5260</v>
      </c>
      <c r="M94" s="147">
        <f t="shared" si="12"/>
        <v>4330</v>
      </c>
      <c r="N94" s="147">
        <f t="shared" si="12"/>
        <v>5773</v>
      </c>
      <c r="O94" s="147">
        <f t="shared" si="12"/>
        <v>140871.5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76</v>
      </c>
      <c r="D97" s="133">
        <f>'採算表(VND)'!D97</f>
        <v>76</v>
      </c>
      <c r="E97" s="133">
        <f>'採算表(VND)'!E97</f>
        <v>84</v>
      </c>
      <c r="F97" s="133">
        <f>'採算表(VND)'!F97</f>
        <v>92</v>
      </c>
      <c r="G97" s="133">
        <f>'採算表(VND)'!G97</f>
        <v>70</v>
      </c>
      <c r="H97" s="133">
        <f>'採算表(VND)'!H97</f>
        <v>72</v>
      </c>
      <c r="I97" s="133">
        <f>'採算表(VND)'!I97</f>
        <v>92</v>
      </c>
      <c r="J97" s="133">
        <f>'採算表(VND)'!J97</f>
        <v>80</v>
      </c>
      <c r="K97" s="133">
        <f>'採算表(VND)'!K97</f>
        <v>84</v>
      </c>
      <c r="L97" s="133">
        <f>'採算表(VND)'!L97</f>
        <v>72</v>
      </c>
      <c r="M97" s="133">
        <f>'採算表(VND)'!M97</f>
        <v>60</v>
      </c>
      <c r="N97" s="133">
        <f>'採算表(VND)'!N97</f>
        <v>80</v>
      </c>
      <c r="O97" s="133">
        <f>SUM(C97:N97)</f>
        <v>938</v>
      </c>
    </row>
    <row r="98" spans="2:15">
      <c r="B98" s="59" t="s">
        <v>327</v>
      </c>
      <c r="C98" s="133">
        <f>'採算表(VND)'!C98</f>
        <v>4945</v>
      </c>
      <c r="D98" s="133">
        <f>'採算表(VND)'!D98</f>
        <v>4939</v>
      </c>
      <c r="E98" s="133">
        <f>'採算表(VND)'!E98</f>
        <v>4951</v>
      </c>
      <c r="F98" s="133">
        <f>'採算表(VND)'!F98</f>
        <v>671</v>
      </c>
      <c r="G98" s="133">
        <f>'採算表(VND)'!G98</f>
        <v>665</v>
      </c>
      <c r="H98" s="133">
        <f>'採算表(VND)'!H98</f>
        <v>663</v>
      </c>
      <c r="I98" s="133">
        <f>'採算表(VND)'!I98</f>
        <v>771</v>
      </c>
      <c r="J98" s="133">
        <f>'採算表(VND)'!J98</f>
        <v>765</v>
      </c>
      <c r="K98" s="133">
        <f>'採算表(VND)'!K98</f>
        <v>769</v>
      </c>
      <c r="L98" s="133">
        <f>'採算表(VND)'!L98</f>
        <v>790</v>
      </c>
      <c r="M98" s="133">
        <f>'採算表(VND)'!M98</f>
        <v>855</v>
      </c>
      <c r="N98" s="133">
        <f>'採算表(VND)'!N98</f>
        <v>865</v>
      </c>
      <c r="O98" s="133">
        <f>SUM(C98:N98)</f>
        <v>21649</v>
      </c>
    </row>
    <row r="99" spans="2:15">
      <c r="B99" s="61" t="s">
        <v>18</v>
      </c>
      <c r="C99" s="147">
        <f t="shared" ref="C99:O99" si="13">C97+C98</f>
        <v>5021</v>
      </c>
      <c r="D99" s="147">
        <f t="shared" si="13"/>
        <v>5015</v>
      </c>
      <c r="E99" s="147">
        <f t="shared" si="13"/>
        <v>5035</v>
      </c>
      <c r="F99" s="147">
        <f t="shared" si="13"/>
        <v>763</v>
      </c>
      <c r="G99" s="147">
        <f t="shared" si="13"/>
        <v>735</v>
      </c>
      <c r="H99" s="147">
        <f t="shared" si="13"/>
        <v>735</v>
      </c>
      <c r="I99" s="147">
        <f t="shared" si="13"/>
        <v>863</v>
      </c>
      <c r="J99" s="147">
        <f t="shared" si="13"/>
        <v>845</v>
      </c>
      <c r="K99" s="147">
        <f t="shared" si="13"/>
        <v>853</v>
      </c>
      <c r="L99" s="147">
        <f t="shared" si="13"/>
        <v>862</v>
      </c>
      <c r="M99" s="147">
        <f t="shared" si="13"/>
        <v>915</v>
      </c>
      <c r="N99" s="147">
        <f t="shared" si="13"/>
        <v>945</v>
      </c>
      <c r="O99" s="147">
        <f t="shared" si="13"/>
        <v>22587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工程品質管理1課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SUMIF('内訳ﾘｽﾄ(4～3月)'!$D$26:$D$1004,'採算表(VND)'!$B6,'内訳ﾘｽﾄ(4～3月)'!F$26:F$1004)</f>
        <v>0</v>
      </c>
      <c r="D6" s="153">
        <f>SUMIF('内訳ﾘｽﾄ(4～3月)'!$D$26:$D$1004,'採算表(VND)'!$B6,'内訳ﾘｽﾄ(4～3月)'!G$26:G$1004)</f>
        <v>0</v>
      </c>
      <c r="E6" s="153">
        <f>SUMIF('内訳ﾘｽﾄ(4～3月)'!$D$26:$D$1004,'採算表(VND)'!$B6,'内訳ﾘｽﾄ(4～3月)'!H$26:H$1004)</f>
        <v>0</v>
      </c>
      <c r="F6" s="153">
        <f>SUMIF('内訳ﾘｽﾄ(4～3月)'!$D$26:$D$1004,'採算表(VND)'!$B6,'内訳ﾘｽﾄ(4～3月)'!I$26:I$1004)</f>
        <v>0</v>
      </c>
      <c r="G6" s="153">
        <f>SUMIF('内訳ﾘｽﾄ(4～3月)'!$D$26:$D$1004,'採算表(VND)'!$B6,'内訳ﾘｽﾄ(4～3月)'!J$26:J$1004)</f>
        <v>0</v>
      </c>
      <c r="H6" s="153">
        <f>SUMIF('内訳ﾘｽﾄ(4～3月)'!$D$26:$D$1004,'採算表(VND)'!$B6,'内訳ﾘｽﾄ(4～3月)'!K$26:K$1004)</f>
        <v>0</v>
      </c>
      <c r="I6" s="153">
        <f>SUMIF('内訳ﾘｽﾄ(4～3月)'!$D$26:$D$1004,'採算表(VND)'!$B6,'内訳ﾘｽﾄ(4～3月)'!L$26:L$1004)</f>
        <v>0</v>
      </c>
      <c r="J6" s="153">
        <f>SUMIF('内訳ﾘｽﾄ(4～3月)'!$D$26:$D$1004,'採算表(VND)'!$B6,'内訳ﾘｽﾄ(4～3月)'!M$26:M$1004)</f>
        <v>0</v>
      </c>
      <c r="K6" s="153">
        <f>SUMIF('内訳ﾘｽﾄ(4～3月)'!$D$26:$D$1004,'採算表(VND)'!$B6,'内訳ﾘｽﾄ(4～3月)'!N$26:N$1004)</f>
        <v>0</v>
      </c>
      <c r="L6" s="153">
        <f>SUMIF('内訳ﾘｽﾄ(4～3月)'!$D$26:$D$1004,'採算表(VND)'!$B6,'内訳ﾘｽﾄ(4～3月)'!O$26:O$1004)</f>
        <v>0</v>
      </c>
      <c r="M6" s="153">
        <f>SUMIF('内訳ﾘｽﾄ(4～3月)'!$D$26:$D$1004,'採算表(VND)'!$B6,'内訳ﾘｽﾄ(4～3月)'!P$26:P$1004)</f>
        <v>0</v>
      </c>
      <c r="N6" s="153">
        <f>SUMIF('内訳ﾘｽﾄ(4～3月)'!$D$26:$D$1004,'採算表(VND)'!$B6,'内訳ﾘｽﾄ(4～3月)'!Q$26:Q$1004)</f>
        <v>0</v>
      </c>
      <c r="O6" s="153">
        <f>SUMIF('内訳ﾘｽﾄ(4～3月)'!$D$26:$D$803,'採算表(VND)'!$B6,'内訳ﾘｽﾄ(4～3月)'!R$26:R$803)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SUMIF('内訳ﾘｽﾄ(4～3月)'!$D$26:$D$1004,'採算表(VND)'!$B7,'内訳ﾘｽﾄ(4～3月)'!F$26:F$1004)</f>
        <v>0</v>
      </c>
      <c r="D7" s="154">
        <f>SUMIF('内訳ﾘｽﾄ(4～3月)'!$D$26:$D$1004,'採算表(VND)'!$B7,'内訳ﾘｽﾄ(4～3月)'!G$26:G$1004)</f>
        <v>0</v>
      </c>
      <c r="E7" s="154">
        <f>SUMIF('内訳ﾘｽﾄ(4～3月)'!$D$26:$D$1004,'採算表(VND)'!$B7,'内訳ﾘｽﾄ(4～3月)'!H$26:H$1004)</f>
        <v>0</v>
      </c>
      <c r="F7" s="154">
        <f>SUMIF('内訳ﾘｽﾄ(4～3月)'!$D$26:$D$1004,'採算表(VND)'!$B7,'内訳ﾘｽﾄ(4～3月)'!I$26:I$1004)</f>
        <v>0</v>
      </c>
      <c r="G7" s="154">
        <f>SUMIF('内訳ﾘｽﾄ(4～3月)'!$D$26:$D$1004,'採算表(VND)'!$B7,'内訳ﾘｽﾄ(4～3月)'!J$26:J$1004)</f>
        <v>0</v>
      </c>
      <c r="H7" s="154">
        <f>SUMIF('内訳ﾘｽﾄ(4～3月)'!$D$26:$D$1004,'採算表(VND)'!$B7,'内訳ﾘｽﾄ(4～3月)'!K$26:K$1004)</f>
        <v>0</v>
      </c>
      <c r="I7" s="154">
        <f>SUMIF('内訳ﾘｽﾄ(4～3月)'!$D$26:$D$1004,'採算表(VND)'!$B7,'内訳ﾘｽﾄ(4～3月)'!L$26:L$1004)</f>
        <v>0</v>
      </c>
      <c r="J7" s="154">
        <f>SUMIF('内訳ﾘｽﾄ(4～3月)'!$D$26:$D$1004,'採算表(VND)'!$B7,'内訳ﾘｽﾄ(4～3月)'!M$26:M$1004)</f>
        <v>0</v>
      </c>
      <c r="K7" s="154">
        <f>SUMIF('内訳ﾘｽﾄ(4～3月)'!$D$26:$D$1004,'採算表(VND)'!$B7,'内訳ﾘｽﾄ(4～3月)'!N$26:N$1004)</f>
        <v>0</v>
      </c>
      <c r="L7" s="154">
        <f>SUMIF('内訳ﾘｽﾄ(4～3月)'!$D$26:$D$1004,'採算表(VND)'!$B7,'内訳ﾘｽﾄ(4～3月)'!O$26:O$1004)</f>
        <v>0</v>
      </c>
      <c r="M7" s="154">
        <f>SUMIF('内訳ﾘｽﾄ(4～3月)'!$D$26:$D$1004,'採算表(VND)'!$B7,'内訳ﾘｽﾄ(4～3月)'!P$26:P$1004)</f>
        <v>0</v>
      </c>
      <c r="N7" s="154">
        <f>SUMIF('内訳ﾘｽﾄ(4～3月)'!$D$26:$D$1004,'採算表(VND)'!$B7,'内訳ﾘｽﾄ(4～3月)'!Q$26:Q$1004)</f>
        <v>0</v>
      </c>
      <c r="O7" s="154">
        <f>SUMIF('内訳ﾘｽﾄ(4～3月)'!$D$26:$D$803,'採算表(VND)'!$B7,'内訳ﾘｽﾄ(4～3月)'!R$26:R$803)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SUMIF('内訳ﾘｽﾄ(4～3月)'!$D$26:$D$1004,'採算表(VND)'!$B9,'内訳ﾘｽﾄ(4～3月)'!F$26:F$1004)</f>
        <v>0</v>
      </c>
      <c r="D9" s="150">
        <f>SUMIF('内訳ﾘｽﾄ(4～3月)'!$D$26:$D$1004,'採算表(VND)'!$B9,'内訳ﾘｽﾄ(4～3月)'!G$26:G$1004)</f>
        <v>0</v>
      </c>
      <c r="E9" s="150">
        <f>SUMIF('内訳ﾘｽﾄ(4～3月)'!$D$26:$D$1004,'採算表(VND)'!$B9,'内訳ﾘｽﾄ(4～3月)'!H$26:H$1004)</f>
        <v>0</v>
      </c>
      <c r="F9" s="150">
        <f>SUMIF('内訳ﾘｽﾄ(4～3月)'!$D$26:$D$1004,'採算表(VND)'!$B9,'内訳ﾘｽﾄ(4～3月)'!I$26:I$1004)</f>
        <v>0</v>
      </c>
      <c r="G9" s="150">
        <f>SUMIF('内訳ﾘｽﾄ(4～3月)'!$D$26:$D$1004,'採算表(VND)'!$B9,'内訳ﾘｽﾄ(4～3月)'!J$26:J$1004)</f>
        <v>0</v>
      </c>
      <c r="H9" s="150">
        <f>SUMIF('内訳ﾘｽﾄ(4～3月)'!$D$26:$D$1004,'採算表(VND)'!$B9,'内訳ﾘｽﾄ(4～3月)'!K$26:K$1004)</f>
        <v>0</v>
      </c>
      <c r="I9" s="150">
        <f>SUMIF('内訳ﾘｽﾄ(4～3月)'!$D$26:$D$1004,'採算表(VND)'!$B9,'内訳ﾘｽﾄ(4～3月)'!L$26:L$1004)</f>
        <v>0</v>
      </c>
      <c r="J9" s="150">
        <f>SUMIF('内訳ﾘｽﾄ(4～3月)'!$D$26:$D$1004,'採算表(VND)'!$B9,'内訳ﾘｽﾄ(4～3月)'!M$26:M$1004)</f>
        <v>0</v>
      </c>
      <c r="K9" s="150">
        <f>SUMIF('内訳ﾘｽﾄ(4～3月)'!$D$26:$D$1004,'採算表(VND)'!$B9,'内訳ﾘｽﾄ(4～3月)'!N$26:N$1004)</f>
        <v>0</v>
      </c>
      <c r="L9" s="150">
        <f>SUMIF('内訳ﾘｽﾄ(4～3月)'!$D$26:$D$1004,'採算表(VND)'!$B9,'内訳ﾘｽﾄ(4～3月)'!O$26:O$1004)</f>
        <v>0</v>
      </c>
      <c r="M9" s="150">
        <f>SUMIF('内訳ﾘｽﾄ(4～3月)'!$D$26:$D$1004,'採算表(VND)'!$B9,'内訳ﾘｽﾄ(4～3月)'!P$26:P$1004)</f>
        <v>0</v>
      </c>
      <c r="N9" s="150">
        <f>SUMIF('内訳ﾘｽﾄ(4～3月)'!$D$26:$D$1004,'採算表(VND)'!$B9,'内訳ﾘｽﾄ(4～3月)'!Q$26:Q$1004)</f>
        <v>0</v>
      </c>
      <c r="O9" s="150">
        <f>SUMIF('内訳ﾘｽﾄ(4～3月)'!$D$26:$D$803,'採算表(VND)'!$B9,'内訳ﾘｽﾄ(4～3月)'!R$26:R$803)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SUMIF('内訳ﾘｽﾄ(4～3月)'!$D$26:$D$1004,'採算表(VND)'!$B10,'内訳ﾘｽﾄ(4～3月)'!F$26:F$1004)</f>
        <v>0</v>
      </c>
      <c r="D10" s="150">
        <f>SUMIF('内訳ﾘｽﾄ(4～3月)'!$D$26:$D$1004,'採算表(VND)'!$B10,'内訳ﾘｽﾄ(4～3月)'!G$26:G$1004)</f>
        <v>0</v>
      </c>
      <c r="E10" s="150">
        <f>SUMIF('内訳ﾘｽﾄ(4～3月)'!$D$26:$D$1004,'採算表(VND)'!$B10,'内訳ﾘｽﾄ(4～3月)'!H$26:H$1004)</f>
        <v>0</v>
      </c>
      <c r="F10" s="150">
        <f>SUMIF('内訳ﾘｽﾄ(4～3月)'!$D$26:$D$1004,'採算表(VND)'!$B10,'内訳ﾘｽﾄ(4～3月)'!I$26:I$1004)</f>
        <v>0</v>
      </c>
      <c r="G10" s="150">
        <f>SUMIF('内訳ﾘｽﾄ(4～3月)'!$D$26:$D$1004,'採算表(VND)'!$B10,'内訳ﾘｽﾄ(4～3月)'!J$26:J$1004)</f>
        <v>0</v>
      </c>
      <c r="H10" s="150">
        <f>SUMIF('内訳ﾘｽﾄ(4～3月)'!$D$26:$D$1004,'採算表(VND)'!$B10,'内訳ﾘｽﾄ(4～3月)'!K$26:K$1004)</f>
        <v>0</v>
      </c>
      <c r="I10" s="150">
        <f>SUMIF('内訳ﾘｽﾄ(4～3月)'!$D$26:$D$1004,'採算表(VND)'!$B10,'内訳ﾘｽﾄ(4～3月)'!L$26:L$1004)</f>
        <v>0</v>
      </c>
      <c r="J10" s="150">
        <f>SUMIF('内訳ﾘｽﾄ(4～3月)'!$D$26:$D$1004,'採算表(VND)'!$B10,'内訳ﾘｽﾄ(4～3月)'!M$26:M$1004)</f>
        <v>0</v>
      </c>
      <c r="K10" s="150">
        <f>SUMIF('内訳ﾘｽﾄ(4～3月)'!$D$26:$D$1004,'採算表(VND)'!$B10,'内訳ﾘｽﾄ(4～3月)'!N$26:N$1004)</f>
        <v>0</v>
      </c>
      <c r="L10" s="150">
        <f>SUMIF('内訳ﾘｽﾄ(4～3月)'!$D$26:$D$1004,'採算表(VND)'!$B10,'内訳ﾘｽﾄ(4～3月)'!O$26:O$1004)</f>
        <v>0</v>
      </c>
      <c r="M10" s="150">
        <f>SUMIF('内訳ﾘｽﾄ(4～3月)'!$D$26:$D$1004,'採算表(VND)'!$B10,'内訳ﾘｽﾄ(4～3月)'!P$26:P$1004)</f>
        <v>0</v>
      </c>
      <c r="N10" s="150">
        <f>SUMIF('内訳ﾘｽﾄ(4～3月)'!$D$26:$D$1004,'採算表(VND)'!$B10,'内訳ﾘｽﾄ(4～3月)'!Q$26:Q$1004)</f>
        <v>0</v>
      </c>
      <c r="O10" s="150">
        <f>SUMIF('内訳ﾘｽﾄ(4～3月)'!$D$26:$D$803,'採算表(VND)'!$B10,'内訳ﾘｽﾄ(4～3月)'!R$26:R$803)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SUMIF('内訳ﾘｽﾄ(4～3月)'!$D$26:$D$1004,$B14,'内訳ﾘｽﾄ(4～3月)'!F$26:F$1004)</f>
        <v>0</v>
      </c>
      <c r="D14" s="157">
        <f>SUMIF('内訳ﾘｽﾄ(4～3月)'!$D$26:$D$1004,$B14,'内訳ﾘｽﾄ(4～3月)'!G$26:G$1004)</f>
        <v>0</v>
      </c>
      <c r="E14" s="157">
        <f>SUMIF('内訳ﾘｽﾄ(4～3月)'!$D$26:$D$1004,$B14,'内訳ﾘｽﾄ(4～3月)'!H$26:H$1004)</f>
        <v>0</v>
      </c>
      <c r="F14" s="157">
        <f>SUMIF('内訳ﾘｽﾄ(4～3月)'!$D$26:$D$1004,$B14,'内訳ﾘｽﾄ(4～3月)'!I$26:I$1004)</f>
        <v>0</v>
      </c>
      <c r="G14" s="157">
        <f>SUMIF('内訳ﾘｽﾄ(4～3月)'!$D$26:$D$1004,$B14,'内訳ﾘｽﾄ(4～3月)'!J$26:J$1004)</f>
        <v>0</v>
      </c>
      <c r="H14" s="157">
        <f>SUMIF('内訳ﾘｽﾄ(4～3月)'!$D$26:$D$1004,$B14,'内訳ﾘｽﾄ(4～3月)'!K$26:K$1004)</f>
        <v>0</v>
      </c>
      <c r="I14" s="157">
        <f>SUMIF('内訳ﾘｽﾄ(4～3月)'!$D$26:$D$1004,$B14,'内訳ﾘｽﾄ(4～3月)'!L$26:L$1004)</f>
        <v>0</v>
      </c>
      <c r="J14" s="157">
        <f>SUMIF('内訳ﾘｽﾄ(4～3月)'!$D$26:$D$1004,$B14,'内訳ﾘｽﾄ(4～3月)'!M$26:M$1004)</f>
        <v>0</v>
      </c>
      <c r="K14" s="157">
        <f>SUMIF('内訳ﾘｽﾄ(4～3月)'!$D$26:$D$1004,$B14,'内訳ﾘｽﾄ(4～3月)'!N$26:N$1004)</f>
        <v>0</v>
      </c>
      <c r="L14" s="157">
        <f>SUMIF('内訳ﾘｽﾄ(4～3月)'!$D$26:$D$1004,$B14,'内訳ﾘｽﾄ(4～3月)'!O$26:O$1004)</f>
        <v>0</v>
      </c>
      <c r="M14" s="157">
        <f>SUMIF('内訳ﾘｽﾄ(4～3月)'!$D$26:$D$1004,$B14,'内訳ﾘｽﾄ(4～3月)'!P$26:P$1004)</f>
        <v>0</v>
      </c>
      <c r="N14" s="157">
        <f>SUMIF('内訳ﾘｽﾄ(4～3月)'!$D$26:$D$1004,$B14,'内訳ﾘｽﾄ(4～3月)'!Q$26:Q$1004)</f>
        <v>0</v>
      </c>
      <c r="O14" s="157">
        <f>SUMIF('内訳ﾘｽﾄ(4～3月)'!$D$26:$D$803,'採算表(VND)'!$B14,'内訳ﾘｽﾄ(4～3月)'!R$26:R$803)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SUMIF('内訳ﾘｽﾄ(4～3月)'!$D$26:$D$1004,$B15,'内訳ﾘｽﾄ(4～3月)'!F$26:F$1004)</f>
        <v>0</v>
      </c>
      <c r="D15" s="157">
        <f>SUMIF('内訳ﾘｽﾄ(4～3月)'!$D$26:$D$1004,$B15,'内訳ﾘｽﾄ(4～3月)'!G$26:G$1004)</f>
        <v>0</v>
      </c>
      <c r="E15" s="157">
        <f>SUMIF('内訳ﾘｽﾄ(4～3月)'!$D$26:$D$1004,$B15,'内訳ﾘｽﾄ(4～3月)'!H$26:H$1004)</f>
        <v>0</v>
      </c>
      <c r="F15" s="157">
        <f>SUMIF('内訳ﾘｽﾄ(4～3月)'!$D$26:$D$1004,$B15,'内訳ﾘｽﾄ(4～3月)'!I$26:I$1004)</f>
        <v>0</v>
      </c>
      <c r="G15" s="157">
        <f>SUMIF('内訳ﾘｽﾄ(4～3月)'!$D$26:$D$1004,$B15,'内訳ﾘｽﾄ(4～3月)'!J$26:J$1004)</f>
        <v>0</v>
      </c>
      <c r="H15" s="157">
        <f>SUMIF('内訳ﾘｽﾄ(4～3月)'!$D$26:$D$1004,$B15,'内訳ﾘｽﾄ(4～3月)'!K$26:K$1004)</f>
        <v>0</v>
      </c>
      <c r="I15" s="157">
        <f>SUMIF('内訳ﾘｽﾄ(4～3月)'!$D$26:$D$1004,$B15,'内訳ﾘｽﾄ(4～3月)'!L$26:L$1004)</f>
        <v>0</v>
      </c>
      <c r="J15" s="157">
        <f>SUMIF('内訳ﾘｽﾄ(4～3月)'!$D$26:$D$1004,$B15,'内訳ﾘｽﾄ(4～3月)'!M$26:M$1004)</f>
        <v>0</v>
      </c>
      <c r="K15" s="157">
        <f>SUMIF('内訳ﾘｽﾄ(4～3月)'!$D$26:$D$1004,$B15,'内訳ﾘｽﾄ(4～3月)'!N$26:N$1004)</f>
        <v>0</v>
      </c>
      <c r="L15" s="157">
        <f>SUMIF('内訳ﾘｽﾄ(4～3月)'!$D$26:$D$1004,$B15,'内訳ﾘｽﾄ(4～3月)'!O$26:O$1004)</f>
        <v>0</v>
      </c>
      <c r="M15" s="157">
        <f>SUMIF('内訳ﾘｽﾄ(4～3月)'!$D$26:$D$1004,$B15,'内訳ﾘｽﾄ(4～3月)'!P$26:P$1004)</f>
        <v>0</v>
      </c>
      <c r="N15" s="157">
        <f>SUMIF('内訳ﾘｽﾄ(4～3月)'!$D$26:$D$1004,$B15,'内訳ﾘｽﾄ(4～3月)'!Q$26:Q$1004)</f>
        <v>0</v>
      </c>
      <c r="O15" s="157">
        <f>SUMIF('内訳ﾘｽﾄ(4～3月)'!$D$26:$D$803,'採算表(VND)'!$B15,'内訳ﾘｽﾄ(4～3月)'!R$26:R$803)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SUMIF('内訳ﾘｽﾄ(4～3月)'!$D$26:$D$1004,$B16,'内訳ﾘｽﾄ(4～3月)'!F$26:F$1004)</f>
        <v>0</v>
      </c>
      <c r="D16" s="157">
        <f>SUMIF('内訳ﾘｽﾄ(4～3月)'!$D$26:$D$1004,$B16,'内訳ﾘｽﾄ(4～3月)'!G$26:G$1004)</f>
        <v>0</v>
      </c>
      <c r="E16" s="157">
        <f>SUMIF('内訳ﾘｽﾄ(4～3月)'!$D$26:$D$1004,$B16,'内訳ﾘｽﾄ(4～3月)'!H$26:H$1004)</f>
        <v>0</v>
      </c>
      <c r="F16" s="157">
        <f>SUMIF('内訳ﾘｽﾄ(4～3月)'!$D$26:$D$1004,$B16,'内訳ﾘｽﾄ(4～3月)'!I$26:I$1004)</f>
        <v>0</v>
      </c>
      <c r="G16" s="157">
        <f>SUMIF('内訳ﾘｽﾄ(4～3月)'!$D$26:$D$1004,$B16,'内訳ﾘｽﾄ(4～3月)'!J$26:J$1004)</f>
        <v>0</v>
      </c>
      <c r="H16" s="157">
        <f>SUMIF('内訳ﾘｽﾄ(4～3月)'!$D$26:$D$1004,$B16,'内訳ﾘｽﾄ(4～3月)'!K$26:K$1004)</f>
        <v>0</v>
      </c>
      <c r="I16" s="157">
        <f>SUMIF('内訳ﾘｽﾄ(4～3月)'!$D$26:$D$1004,$B16,'内訳ﾘｽﾄ(4～3月)'!L$26:L$1004)</f>
        <v>0</v>
      </c>
      <c r="J16" s="157">
        <f>SUMIF('内訳ﾘｽﾄ(4～3月)'!$D$26:$D$1004,$B16,'内訳ﾘｽﾄ(4～3月)'!M$26:M$1004)</f>
        <v>0</v>
      </c>
      <c r="K16" s="157">
        <f>SUMIF('内訳ﾘｽﾄ(4～3月)'!$D$26:$D$1004,$B16,'内訳ﾘｽﾄ(4～3月)'!N$26:N$1004)</f>
        <v>0</v>
      </c>
      <c r="L16" s="157">
        <f>SUMIF('内訳ﾘｽﾄ(4～3月)'!$D$26:$D$1004,$B16,'内訳ﾘｽﾄ(4～3月)'!O$26:O$1004)</f>
        <v>0</v>
      </c>
      <c r="M16" s="157">
        <f>SUMIF('内訳ﾘｽﾄ(4～3月)'!$D$26:$D$1004,$B16,'内訳ﾘｽﾄ(4～3月)'!P$26:P$1004)</f>
        <v>0</v>
      </c>
      <c r="N16" s="157">
        <f>SUMIF('内訳ﾘｽﾄ(4～3月)'!$D$26:$D$1004,$B16,'内訳ﾘｽﾄ(4～3月)'!Q$26:Q$1004)</f>
        <v>0</v>
      </c>
      <c r="O16" s="157">
        <f>SUMIF('内訳ﾘｽﾄ(4～3月)'!$D$26:$D$803,'採算表(VND)'!$B16,'内訳ﾘｽﾄ(4～3月)'!R$26:R$803)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SUMIF('内訳ﾘｽﾄ(4～3月)'!$D$26:$D$1004,$B17,'内訳ﾘｽﾄ(4～3月)'!F$26:F$1004)</f>
        <v>0</v>
      </c>
      <c r="D17" s="158">
        <f>SUMIF('内訳ﾘｽﾄ(4～3月)'!$D$26:$D$1004,$B17,'内訳ﾘｽﾄ(4～3月)'!G$26:G$1004)</f>
        <v>0</v>
      </c>
      <c r="E17" s="158">
        <f>SUMIF('内訳ﾘｽﾄ(4～3月)'!$D$26:$D$1004,$B17,'内訳ﾘｽﾄ(4～3月)'!H$26:H$1004)</f>
        <v>0</v>
      </c>
      <c r="F17" s="158">
        <f>SUMIF('内訳ﾘｽﾄ(4～3月)'!$D$26:$D$1004,$B17,'内訳ﾘｽﾄ(4～3月)'!I$26:I$1004)</f>
        <v>0</v>
      </c>
      <c r="G17" s="158">
        <f>SUMIF('内訳ﾘｽﾄ(4～3月)'!$D$26:$D$1004,$B17,'内訳ﾘｽﾄ(4～3月)'!J$26:J$1004)</f>
        <v>0</v>
      </c>
      <c r="H17" s="158">
        <f>SUMIF('内訳ﾘｽﾄ(4～3月)'!$D$26:$D$1004,$B17,'内訳ﾘｽﾄ(4～3月)'!K$26:K$1004)</f>
        <v>0</v>
      </c>
      <c r="I17" s="158">
        <f>SUMIF('内訳ﾘｽﾄ(4～3月)'!$D$26:$D$1004,$B17,'内訳ﾘｽﾄ(4～3月)'!L$26:L$1004)</f>
        <v>0</v>
      </c>
      <c r="J17" s="158">
        <f>SUMIF('内訳ﾘｽﾄ(4～3月)'!$D$26:$D$1004,$B17,'内訳ﾘｽﾄ(4～3月)'!M$26:M$1004)</f>
        <v>0</v>
      </c>
      <c r="K17" s="158">
        <f>SUMIF('内訳ﾘｽﾄ(4～3月)'!$D$26:$D$1004,$B17,'内訳ﾘｽﾄ(4～3月)'!N$26:N$1004)</f>
        <v>0</v>
      </c>
      <c r="L17" s="158">
        <f>SUMIF('内訳ﾘｽﾄ(4～3月)'!$D$26:$D$1004,$B17,'内訳ﾘｽﾄ(4～3月)'!O$26:O$1004)</f>
        <v>0</v>
      </c>
      <c r="M17" s="158">
        <f>SUMIF('内訳ﾘｽﾄ(4～3月)'!$D$26:$D$1004,$B17,'内訳ﾘｽﾄ(4～3月)'!P$26:P$1004)</f>
        <v>0</v>
      </c>
      <c r="N17" s="158">
        <f>SUMIF('内訳ﾘｽﾄ(4～3月)'!$D$26:$D$1004,$B17,'内訳ﾘｽﾄ(4～3月)'!Q$26:Q$1004)</f>
        <v>0</v>
      </c>
      <c r="O17" s="158">
        <f>SUMIF('内訳ﾘｽﾄ(4～3月)'!$D$26:$D$803,'採算表(VND)'!$B17,'内訳ﾘｽﾄ(4～3月)'!R$26:R$803)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SUMIF('内訳ﾘｽﾄ(4～3月)'!$D$26:$D$1004,$B18,'内訳ﾘｽﾄ(4～3月)'!F$26:F$1004)</f>
        <v>0</v>
      </c>
      <c r="D18" s="158">
        <f>SUMIF('内訳ﾘｽﾄ(4～3月)'!$D$26:$D$1004,$B18,'内訳ﾘｽﾄ(4～3月)'!G$26:G$1004)</f>
        <v>0</v>
      </c>
      <c r="E18" s="158">
        <f>SUMIF('内訳ﾘｽﾄ(4～3月)'!$D$26:$D$1004,$B18,'内訳ﾘｽﾄ(4～3月)'!H$26:H$1004)</f>
        <v>0</v>
      </c>
      <c r="F18" s="158">
        <f>SUMIF('内訳ﾘｽﾄ(4～3月)'!$D$26:$D$1004,$B18,'内訳ﾘｽﾄ(4～3月)'!I$26:I$1004)</f>
        <v>0</v>
      </c>
      <c r="G18" s="158">
        <f>SUMIF('内訳ﾘｽﾄ(4～3月)'!$D$26:$D$1004,$B18,'内訳ﾘｽﾄ(4～3月)'!J$26:J$1004)</f>
        <v>0</v>
      </c>
      <c r="H18" s="158">
        <f>SUMIF('内訳ﾘｽﾄ(4～3月)'!$D$26:$D$1004,$B18,'内訳ﾘｽﾄ(4～3月)'!K$26:K$1004)</f>
        <v>0</v>
      </c>
      <c r="I18" s="158">
        <f>SUMIF('内訳ﾘｽﾄ(4～3月)'!$D$26:$D$1004,$B18,'内訳ﾘｽﾄ(4～3月)'!L$26:L$1004)</f>
        <v>0</v>
      </c>
      <c r="J18" s="158">
        <f>SUMIF('内訳ﾘｽﾄ(4～3月)'!$D$26:$D$1004,$B18,'内訳ﾘｽﾄ(4～3月)'!M$26:M$1004)</f>
        <v>0</v>
      </c>
      <c r="K18" s="158">
        <f>SUMIF('内訳ﾘｽﾄ(4～3月)'!$D$26:$D$1004,$B18,'内訳ﾘｽﾄ(4～3月)'!N$26:N$1004)</f>
        <v>0</v>
      </c>
      <c r="L18" s="158">
        <f>SUMIF('内訳ﾘｽﾄ(4～3月)'!$D$26:$D$1004,$B18,'内訳ﾘｽﾄ(4～3月)'!O$26:O$1004)</f>
        <v>0</v>
      </c>
      <c r="M18" s="158">
        <f>SUMIF('内訳ﾘｽﾄ(4～3月)'!$D$26:$D$1004,$B18,'内訳ﾘｽﾄ(4～3月)'!P$26:P$1004)</f>
        <v>0</v>
      </c>
      <c r="N18" s="158">
        <f>SUMIF('内訳ﾘｽﾄ(4～3月)'!$D$26:$D$1004,$B18,'内訳ﾘｽﾄ(4～3月)'!Q$26:Q$1004)</f>
        <v>0</v>
      </c>
      <c r="O18" s="158">
        <f>SUMIF('内訳ﾘｽﾄ(4～3月)'!$D$26:$D$803,'採算表(VND)'!$B18,'内訳ﾘｽﾄ(4～3月)'!R$26:R$803)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SUMIF('内訳ﾘｽﾄ(4～3月)'!$D$26:$D$1004,$B19,'内訳ﾘｽﾄ(4～3月)'!F$26:F$1004)</f>
        <v>0</v>
      </c>
      <c r="D19" s="158">
        <f>SUMIF('内訳ﾘｽﾄ(4～3月)'!$D$26:$D$1004,$B19,'内訳ﾘｽﾄ(4～3月)'!G$26:G$1004)</f>
        <v>0</v>
      </c>
      <c r="E19" s="158">
        <f>SUMIF('内訳ﾘｽﾄ(4～3月)'!$D$26:$D$1004,$B19,'内訳ﾘｽﾄ(4～3月)'!H$26:H$1004)</f>
        <v>0</v>
      </c>
      <c r="F19" s="158">
        <f>SUMIF('内訳ﾘｽﾄ(4～3月)'!$D$26:$D$1004,$B19,'内訳ﾘｽﾄ(4～3月)'!I$26:I$1004)</f>
        <v>0</v>
      </c>
      <c r="G19" s="158">
        <f>SUMIF('内訳ﾘｽﾄ(4～3月)'!$D$26:$D$1004,$B19,'内訳ﾘｽﾄ(4～3月)'!J$26:J$1004)</f>
        <v>0</v>
      </c>
      <c r="H19" s="158">
        <f>SUMIF('内訳ﾘｽﾄ(4～3月)'!$D$26:$D$1004,$B19,'内訳ﾘｽﾄ(4～3月)'!K$26:K$1004)</f>
        <v>0</v>
      </c>
      <c r="I19" s="158">
        <f>SUMIF('内訳ﾘｽﾄ(4～3月)'!$D$26:$D$1004,$B19,'内訳ﾘｽﾄ(4～3月)'!L$26:L$1004)</f>
        <v>0</v>
      </c>
      <c r="J19" s="158">
        <f>SUMIF('内訳ﾘｽﾄ(4～3月)'!$D$26:$D$1004,$B19,'内訳ﾘｽﾄ(4～3月)'!M$26:M$1004)</f>
        <v>0</v>
      </c>
      <c r="K19" s="158">
        <f>SUMIF('内訳ﾘｽﾄ(4～3月)'!$D$26:$D$1004,$B19,'内訳ﾘｽﾄ(4～3月)'!N$26:N$1004)</f>
        <v>0</v>
      </c>
      <c r="L19" s="158">
        <f>SUMIF('内訳ﾘｽﾄ(4～3月)'!$D$26:$D$1004,$B19,'内訳ﾘｽﾄ(4～3月)'!O$26:O$1004)</f>
        <v>0</v>
      </c>
      <c r="M19" s="158">
        <f>SUMIF('内訳ﾘｽﾄ(4～3月)'!$D$26:$D$1004,$B19,'内訳ﾘｽﾄ(4～3月)'!P$26:P$1004)</f>
        <v>0</v>
      </c>
      <c r="N19" s="158">
        <f>SUMIF('内訳ﾘｽﾄ(4～3月)'!$D$26:$D$1004,$B19,'内訳ﾘｽﾄ(4～3月)'!Q$26:Q$1004)</f>
        <v>0</v>
      </c>
      <c r="O19" s="158">
        <f>SUMIF('内訳ﾘｽﾄ(4～3月)'!$D$26:$D$803,'採算表(VND)'!$B19,'内訳ﾘｽﾄ(4～3月)'!R$26:R$803)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SUMIF('内訳ﾘｽﾄ(4～3月)'!$D$26:$D$1004,$B20,'内訳ﾘｽﾄ(4～3月)'!F$26:F$1004)</f>
        <v>64678232</v>
      </c>
      <c r="D20" s="158">
        <f>SUMIF('内訳ﾘｽﾄ(4～3月)'!$D$26:$D$1004,$B20,'内訳ﾘｽﾄ(4～3月)'!G$26:G$1004)</f>
        <v>64485776</v>
      </c>
      <c r="E20" s="158">
        <f>SUMIF('内訳ﾘｽﾄ(4～3月)'!$D$26:$D$1004,$B20,'内訳ﾘｽﾄ(4～3月)'!H$26:H$1004)</f>
        <v>64718094</v>
      </c>
      <c r="F20" s="158">
        <f>SUMIF('内訳ﾘｽﾄ(4～3月)'!$D$26:$D$1004,$B20,'内訳ﾘｽﾄ(4～3月)'!I$26:I$1004)</f>
        <v>62990051</v>
      </c>
      <c r="G20" s="158">
        <f>SUMIF('内訳ﾘｽﾄ(4～3月)'!$D$26:$D$1004,$B20,'内訳ﾘｽﾄ(4～3月)'!J$26:J$1004)</f>
        <v>31108335</v>
      </c>
      <c r="H20" s="158">
        <f>SUMIF('内訳ﾘｽﾄ(4～3月)'!$D$26:$D$1004,$B20,'内訳ﾘｽﾄ(4～3月)'!K$26:K$1004)</f>
        <v>30361361</v>
      </c>
      <c r="I20" s="158">
        <f>SUMIF('内訳ﾘｽﾄ(4～3月)'!$D$26:$D$1004,$B20,'内訳ﾘｽﾄ(4～3月)'!L$26:L$1004)</f>
        <v>30010472</v>
      </c>
      <c r="J20" s="158">
        <f>SUMIF('内訳ﾘｽﾄ(4～3月)'!$D$26:$D$1004,$B20,'内訳ﾘｽﾄ(4～3月)'!M$26:M$1004)</f>
        <v>29947759</v>
      </c>
      <c r="K20" s="158">
        <f>SUMIF('内訳ﾘｽﾄ(4～3月)'!$D$26:$D$1004,$B20,'内訳ﾘｽﾄ(4～3月)'!N$26:N$1004)</f>
        <v>29993459</v>
      </c>
      <c r="L20" s="158">
        <f>SUMIF('内訳ﾘｽﾄ(4～3月)'!$D$26:$D$1004,$B20,'内訳ﾘｽﾄ(4～3月)'!O$26:O$1004)</f>
        <v>29863718</v>
      </c>
      <c r="M20" s="158">
        <f>SUMIF('内訳ﾘｽﾄ(4～3月)'!$D$26:$D$1004,$B20,'内訳ﾘｽﾄ(4～3月)'!P$26:P$1004)</f>
        <v>29957914</v>
      </c>
      <c r="N20" s="158">
        <f>SUMIF('内訳ﾘｽﾄ(4～3月)'!$D$26:$D$1004,$B20,'内訳ﾘｽﾄ(4～3月)'!Q$26:Q$1004)</f>
        <v>30469523</v>
      </c>
      <c r="O20" s="158">
        <f>SUMIF('内訳ﾘｽﾄ(4～3月)'!$D$26:$D$803,'採算表(VND)'!$B20,'内訳ﾘｽﾄ(4～3月)'!R$26:R$803)</f>
        <v>498584694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SUMIF('内訳ﾘｽﾄ(4～3月)'!$D$26:$D$1004,$B21,'内訳ﾘｽﾄ(4～3月)'!F$26:F$1004)</f>
        <v>0</v>
      </c>
      <c r="D21" s="158">
        <f>SUMIF('内訳ﾘｽﾄ(4～3月)'!$D$26:$D$1004,$B21,'内訳ﾘｽﾄ(4～3月)'!G$26:G$1004)</f>
        <v>0</v>
      </c>
      <c r="E21" s="158">
        <f>SUMIF('内訳ﾘｽﾄ(4～3月)'!$D$26:$D$1004,$B21,'内訳ﾘｽﾄ(4～3月)'!H$26:H$1004)</f>
        <v>0</v>
      </c>
      <c r="F21" s="158">
        <f>SUMIF('内訳ﾘｽﾄ(4～3月)'!$D$26:$D$1004,$B21,'内訳ﾘｽﾄ(4～3月)'!I$26:I$1004)</f>
        <v>0</v>
      </c>
      <c r="G21" s="158">
        <f>SUMIF('内訳ﾘｽﾄ(4～3月)'!$D$26:$D$1004,$B21,'内訳ﾘｽﾄ(4～3月)'!J$26:J$1004)</f>
        <v>0</v>
      </c>
      <c r="H21" s="158">
        <f>SUMIF('内訳ﾘｽﾄ(4～3月)'!$D$26:$D$1004,$B21,'内訳ﾘｽﾄ(4～3月)'!K$26:K$1004)</f>
        <v>0</v>
      </c>
      <c r="I21" s="158">
        <f>SUMIF('内訳ﾘｽﾄ(4～3月)'!$D$26:$D$1004,$B21,'内訳ﾘｽﾄ(4～3月)'!L$26:L$1004)</f>
        <v>0</v>
      </c>
      <c r="J21" s="158">
        <f>SUMIF('内訳ﾘｽﾄ(4～3月)'!$D$26:$D$1004,$B21,'内訳ﾘｽﾄ(4～3月)'!M$26:M$1004)</f>
        <v>0</v>
      </c>
      <c r="K21" s="158">
        <f>SUMIF('内訳ﾘｽﾄ(4～3月)'!$D$26:$D$1004,$B21,'内訳ﾘｽﾄ(4～3月)'!N$26:N$1004)</f>
        <v>0</v>
      </c>
      <c r="L21" s="158">
        <f>SUMIF('内訳ﾘｽﾄ(4～3月)'!$D$26:$D$1004,$B21,'内訳ﾘｽﾄ(4～3月)'!O$26:O$1004)</f>
        <v>0</v>
      </c>
      <c r="M21" s="158">
        <f>SUMIF('内訳ﾘｽﾄ(4～3月)'!$D$26:$D$1004,$B21,'内訳ﾘｽﾄ(4～3月)'!P$26:P$1004)</f>
        <v>0</v>
      </c>
      <c r="N21" s="158">
        <f>SUMIF('内訳ﾘｽﾄ(4～3月)'!$D$26:$D$1004,$B21,'内訳ﾘｽﾄ(4～3月)'!Q$26:Q$1004)</f>
        <v>0</v>
      </c>
      <c r="O21" s="158">
        <f>SUMIF('内訳ﾘｽﾄ(4～3月)'!$D$26:$D$803,'採算表(VND)'!$B21,'内訳ﾘｽﾄ(4～3月)'!R$26:R$803)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SUMIF('内訳ﾘｽﾄ(4～3月)'!$D$26:$D$1004,$B22,'内訳ﾘｽﾄ(4～3月)'!F$26:F$1004)</f>
        <v>0</v>
      </c>
      <c r="D22" s="158">
        <f>SUMIF('内訳ﾘｽﾄ(4～3月)'!$D$26:$D$1004,$B22,'内訳ﾘｽﾄ(4～3月)'!G$26:G$1004)</f>
        <v>0</v>
      </c>
      <c r="E22" s="158">
        <f>SUMIF('内訳ﾘｽﾄ(4～3月)'!$D$26:$D$1004,$B22,'内訳ﾘｽﾄ(4～3月)'!H$26:H$1004)</f>
        <v>0</v>
      </c>
      <c r="F22" s="158">
        <f>SUMIF('内訳ﾘｽﾄ(4～3月)'!$D$26:$D$1004,$B22,'内訳ﾘｽﾄ(4～3月)'!I$26:I$1004)</f>
        <v>0</v>
      </c>
      <c r="G22" s="158">
        <f>SUMIF('内訳ﾘｽﾄ(4～3月)'!$D$26:$D$1004,$B22,'内訳ﾘｽﾄ(4～3月)'!J$26:J$1004)</f>
        <v>0</v>
      </c>
      <c r="H22" s="158">
        <f>SUMIF('内訳ﾘｽﾄ(4～3月)'!$D$26:$D$1004,$B22,'内訳ﾘｽﾄ(4～3月)'!K$26:K$1004)</f>
        <v>0</v>
      </c>
      <c r="I22" s="158">
        <f>SUMIF('内訳ﾘｽﾄ(4～3月)'!$D$26:$D$1004,$B22,'内訳ﾘｽﾄ(4～3月)'!L$26:L$1004)</f>
        <v>0</v>
      </c>
      <c r="J22" s="158">
        <f>SUMIF('内訳ﾘｽﾄ(4～3月)'!$D$26:$D$1004,$B22,'内訳ﾘｽﾄ(4～3月)'!M$26:M$1004)</f>
        <v>0</v>
      </c>
      <c r="K22" s="158">
        <f>SUMIF('内訳ﾘｽﾄ(4～3月)'!$D$26:$D$1004,$B22,'内訳ﾘｽﾄ(4～3月)'!N$26:N$1004)</f>
        <v>0</v>
      </c>
      <c r="L22" s="158">
        <f>SUMIF('内訳ﾘｽﾄ(4～3月)'!$D$26:$D$1004,$B22,'内訳ﾘｽﾄ(4～3月)'!O$26:O$1004)</f>
        <v>0</v>
      </c>
      <c r="M22" s="158">
        <f>SUMIF('内訳ﾘｽﾄ(4～3月)'!$D$26:$D$1004,$B22,'内訳ﾘｽﾄ(4～3月)'!P$26:P$1004)</f>
        <v>0</v>
      </c>
      <c r="N22" s="158">
        <f>SUMIF('内訳ﾘｽﾄ(4～3月)'!$D$26:$D$1004,$B22,'内訳ﾘｽﾄ(4～3月)'!Q$26:Q$1004)</f>
        <v>0</v>
      </c>
      <c r="O22" s="158">
        <f>SUMIF('内訳ﾘｽﾄ(4～3月)'!$D$26:$D$803,'採算表(VND)'!$B22,'内訳ﾘｽﾄ(4～3月)'!R$26:R$803)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SUMIF('内訳ﾘｽﾄ(4～3月)'!$D$26:$D$1004,$B23,'内訳ﾘｽﾄ(4～3月)'!F$26:F$1004)</f>
        <v>0</v>
      </c>
      <c r="D23" s="158">
        <f>SUMIF('内訳ﾘｽﾄ(4～3月)'!$D$26:$D$1004,$B23,'内訳ﾘｽﾄ(4～3月)'!G$26:G$1004)</f>
        <v>0</v>
      </c>
      <c r="E23" s="158">
        <f>SUMIF('内訳ﾘｽﾄ(4～3月)'!$D$26:$D$1004,$B23,'内訳ﾘｽﾄ(4～3月)'!H$26:H$1004)</f>
        <v>0</v>
      </c>
      <c r="F23" s="158">
        <f>SUMIF('内訳ﾘｽﾄ(4～3月)'!$D$26:$D$1004,$B23,'内訳ﾘｽﾄ(4～3月)'!I$26:I$1004)</f>
        <v>0</v>
      </c>
      <c r="G23" s="158">
        <f>SUMIF('内訳ﾘｽﾄ(4～3月)'!$D$26:$D$1004,$B23,'内訳ﾘｽﾄ(4～3月)'!J$26:J$1004)</f>
        <v>0</v>
      </c>
      <c r="H23" s="158">
        <f>SUMIF('内訳ﾘｽﾄ(4～3月)'!$D$26:$D$1004,$B23,'内訳ﾘｽﾄ(4～3月)'!K$26:K$1004)</f>
        <v>0</v>
      </c>
      <c r="I23" s="158">
        <f>SUMIF('内訳ﾘｽﾄ(4～3月)'!$D$26:$D$1004,$B23,'内訳ﾘｽﾄ(4～3月)'!L$26:L$1004)</f>
        <v>0</v>
      </c>
      <c r="J23" s="158">
        <f>SUMIF('内訳ﾘｽﾄ(4～3月)'!$D$26:$D$1004,$B23,'内訳ﾘｽﾄ(4～3月)'!M$26:M$1004)</f>
        <v>0</v>
      </c>
      <c r="K23" s="158">
        <f>SUMIF('内訳ﾘｽﾄ(4～3月)'!$D$26:$D$1004,$B23,'内訳ﾘｽﾄ(4～3月)'!N$26:N$1004)</f>
        <v>0</v>
      </c>
      <c r="L23" s="158">
        <f>SUMIF('内訳ﾘｽﾄ(4～3月)'!$D$26:$D$1004,$B23,'内訳ﾘｽﾄ(4～3月)'!O$26:O$1004)</f>
        <v>0</v>
      </c>
      <c r="M23" s="158">
        <f>SUMIF('内訳ﾘｽﾄ(4～3月)'!$D$26:$D$1004,$B23,'内訳ﾘｽﾄ(4～3月)'!P$26:P$1004)</f>
        <v>0</v>
      </c>
      <c r="N23" s="158">
        <f>SUMIF('内訳ﾘｽﾄ(4～3月)'!$D$26:$D$1004,$B23,'内訳ﾘｽﾄ(4～3月)'!Q$26:Q$1004)</f>
        <v>0</v>
      </c>
      <c r="O23" s="158">
        <f>SUMIF('内訳ﾘｽﾄ(4～3月)'!$D$26:$D$803,'採算表(VND)'!$B23,'内訳ﾘｽﾄ(4～3月)'!R$26:R$803)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SUMIF('内訳ﾘｽﾄ(4～3月)'!$D$26:$D$1004,$B24,'内訳ﾘｽﾄ(4～3月)'!F$26:F$1004)</f>
        <v>0</v>
      </c>
      <c r="D24" s="158">
        <f>SUMIF('内訳ﾘｽﾄ(4～3月)'!$D$26:$D$1004,$B24,'内訳ﾘｽﾄ(4～3月)'!G$26:G$1004)</f>
        <v>0</v>
      </c>
      <c r="E24" s="158">
        <f>SUMIF('内訳ﾘｽﾄ(4～3月)'!$D$26:$D$1004,$B24,'内訳ﾘｽﾄ(4～3月)'!H$26:H$1004)</f>
        <v>0</v>
      </c>
      <c r="F24" s="158">
        <f>SUMIF('内訳ﾘｽﾄ(4～3月)'!$D$26:$D$1004,$B24,'内訳ﾘｽﾄ(4～3月)'!I$26:I$1004)</f>
        <v>0</v>
      </c>
      <c r="G24" s="158">
        <f>SUMIF('内訳ﾘｽﾄ(4～3月)'!$D$26:$D$1004,$B24,'内訳ﾘｽﾄ(4～3月)'!J$26:J$1004)</f>
        <v>0</v>
      </c>
      <c r="H24" s="158">
        <f>SUMIF('内訳ﾘｽﾄ(4～3月)'!$D$26:$D$1004,$B24,'内訳ﾘｽﾄ(4～3月)'!K$26:K$1004)</f>
        <v>0</v>
      </c>
      <c r="I24" s="158">
        <f>SUMIF('内訳ﾘｽﾄ(4～3月)'!$D$26:$D$1004,$B24,'内訳ﾘｽﾄ(4～3月)'!L$26:L$1004)</f>
        <v>0</v>
      </c>
      <c r="J24" s="158">
        <f>SUMIF('内訳ﾘｽﾄ(4～3月)'!$D$26:$D$1004,$B24,'内訳ﾘｽﾄ(4～3月)'!M$26:M$1004)</f>
        <v>0</v>
      </c>
      <c r="K24" s="158">
        <f>SUMIF('内訳ﾘｽﾄ(4～3月)'!$D$26:$D$1004,$B24,'内訳ﾘｽﾄ(4～3月)'!N$26:N$1004)</f>
        <v>0</v>
      </c>
      <c r="L24" s="158">
        <f>SUMIF('内訳ﾘｽﾄ(4～3月)'!$D$26:$D$1004,$B24,'内訳ﾘｽﾄ(4～3月)'!O$26:O$1004)</f>
        <v>0</v>
      </c>
      <c r="M24" s="158">
        <f>SUMIF('内訳ﾘｽﾄ(4～3月)'!$D$26:$D$1004,$B24,'内訳ﾘｽﾄ(4～3月)'!P$26:P$1004)</f>
        <v>0</v>
      </c>
      <c r="N24" s="158">
        <f>SUMIF('内訳ﾘｽﾄ(4～3月)'!$D$26:$D$1004,$B24,'内訳ﾘｽﾄ(4～3月)'!Q$26:Q$1004)</f>
        <v>0</v>
      </c>
      <c r="O24" s="158">
        <f>SUMIF('内訳ﾘｽﾄ(4～3月)'!$D$26:$D$803,'採算表(VND)'!$B24,'内訳ﾘｽﾄ(4～3月)'!R$26:R$803)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SUMIF('内訳ﾘｽﾄ(4～3月)'!$D$26:$D$1004,$B25,'内訳ﾘｽﾄ(4～3月)'!F$26:F$1004)</f>
        <v>13490470</v>
      </c>
      <c r="D25" s="158">
        <f>SUMIF('内訳ﾘｽﾄ(4～3月)'!$D$26:$D$1004,$B25,'内訳ﾘｽﾄ(4～3月)'!G$26:G$1004)</f>
        <v>12890468</v>
      </c>
      <c r="E25" s="158">
        <f>SUMIF('内訳ﾘｽﾄ(4～3月)'!$D$26:$D$1004,$B25,'内訳ﾘｽﾄ(4～3月)'!H$26:H$1004)</f>
        <v>14273484</v>
      </c>
      <c r="F25" s="158">
        <f>SUMIF('内訳ﾘｽﾄ(4～3月)'!$D$26:$D$1004,$B25,'内訳ﾘｽﾄ(4～3月)'!I$26:I$1004)</f>
        <v>15656698</v>
      </c>
      <c r="G25" s="158">
        <f>SUMIF('内訳ﾘｽﾄ(4～3月)'!$D$26:$D$1004,$B25,'内訳ﾘｽﾄ(4～3月)'!J$26:J$1004)</f>
        <v>1007552</v>
      </c>
      <c r="H25" s="158">
        <f>SUMIF('内訳ﾘｽﾄ(4～3月)'!$D$26:$D$1004,$B25,'内訳ﾘｽﾄ(4～3月)'!K$26:K$1004)</f>
        <v>982604</v>
      </c>
      <c r="I25" s="158">
        <f>SUMIF('内訳ﾘｽﾄ(4～3月)'!$D$26:$D$1004,$B25,'内訳ﾘｽﾄ(4～3月)'!L$26:L$1004)</f>
        <v>1290748</v>
      </c>
      <c r="J25" s="158">
        <f>SUMIF('内訳ﾘｽﾄ(4～3月)'!$D$26:$D$1004,$B25,'内訳ﾘｽﾄ(4～3月)'!M$26:M$1004)</f>
        <v>1087120</v>
      </c>
      <c r="K25" s="158">
        <f>SUMIF('内訳ﾘｽﾄ(4～3月)'!$D$26:$D$1004,$B25,'内訳ﾘｽﾄ(4～3月)'!N$26:N$1004)</f>
        <v>1352096</v>
      </c>
      <c r="L25" s="158">
        <f>SUMIF('内訳ﾘｽﾄ(4～3月)'!$D$26:$D$1004,$B25,'内訳ﾘｽﾄ(4～3月)'!O$26:O$1004)</f>
        <v>1086864</v>
      </c>
      <c r="M25" s="158">
        <f>SUMIF('内訳ﾘｽﾄ(4～3月)'!$D$26:$D$1004,$B25,'内訳ﾘｽﾄ(4～3月)'!P$26:P$1004)</f>
        <v>854297</v>
      </c>
      <c r="N25" s="158">
        <f>SUMIF('内訳ﾘｽﾄ(4～3月)'!$D$26:$D$1004,$B25,'内訳ﾘｽﾄ(4～3月)'!Q$26:Q$1004)</f>
        <v>1320720</v>
      </c>
      <c r="O25" s="158">
        <f>SUMIF('内訳ﾘｽﾄ(4～3月)'!$D$26:$D$803,'採算表(VND)'!$B25,'内訳ﾘｽﾄ(4～3月)'!R$26:R$803)</f>
        <v>65293121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SUMIF('内訳ﾘｽﾄ(4～3月)'!$D$26:$D$1004,$B26,'内訳ﾘｽﾄ(4～3月)'!F$26:F$1004)</f>
        <v>90734920</v>
      </c>
      <c r="D26" s="158">
        <f>SUMIF('内訳ﾘｽﾄ(4～3月)'!$D$26:$D$1004,$B26,'内訳ﾘｽﾄ(4～3月)'!G$26:G$1004)</f>
        <v>72000000</v>
      </c>
      <c r="E26" s="158">
        <f>SUMIF('内訳ﾘｽﾄ(4～3月)'!$D$26:$D$1004,$B26,'内訳ﾘｽﾄ(4～3月)'!H$26:H$1004)</f>
        <v>86800000</v>
      </c>
      <c r="F26" s="158">
        <f>SUMIF('内訳ﾘｽﾄ(4～3月)'!$D$26:$D$1004,$B26,'内訳ﾘｽﾄ(4～3月)'!I$26:I$1004)</f>
        <v>67000000</v>
      </c>
      <c r="G26" s="158">
        <f>SUMIF('内訳ﾘｽﾄ(4～3月)'!$D$26:$D$1004,$B26,'内訳ﾘｽﾄ(4～3月)'!J$26:J$1004)</f>
        <v>0</v>
      </c>
      <c r="H26" s="158">
        <f>SUMIF('内訳ﾘｽﾄ(4～3月)'!$D$26:$D$1004,$B26,'内訳ﾘｽﾄ(4～3月)'!K$26:K$1004)</f>
        <v>42440000</v>
      </c>
      <c r="I26" s="158">
        <f>SUMIF('内訳ﾘｽﾄ(4～3月)'!$D$26:$D$1004,$B26,'内訳ﾘｽﾄ(4～3月)'!L$26:L$1004)</f>
        <v>17240000</v>
      </c>
      <c r="J26" s="158">
        <f>SUMIF('内訳ﾘｽﾄ(4～3月)'!$D$26:$D$1004,$B26,'内訳ﾘｽﾄ(4～3月)'!M$26:M$1004)</f>
        <v>17240000</v>
      </c>
      <c r="K26" s="158">
        <f>SUMIF('内訳ﾘｽﾄ(4～3月)'!$D$26:$D$1004,$B26,'内訳ﾘｽﾄ(4～3月)'!N$26:N$1004)</f>
        <v>38460000</v>
      </c>
      <c r="L26" s="158">
        <f>SUMIF('内訳ﾘｽﾄ(4～3月)'!$D$26:$D$1004,$B26,'内訳ﾘｽﾄ(4～3月)'!O$26:O$1004)</f>
        <v>0</v>
      </c>
      <c r="M26" s="158">
        <f>SUMIF('内訳ﾘｽﾄ(4～3月)'!$D$26:$D$1004,$B26,'内訳ﾘｽﾄ(4～3月)'!P$26:P$1004)</f>
        <v>5610800</v>
      </c>
      <c r="N26" s="158">
        <f>SUMIF('内訳ﾘｽﾄ(4～3月)'!$D$26:$D$1004,$B26,'内訳ﾘｽﾄ(4～3月)'!Q$26:Q$1004)</f>
        <v>0</v>
      </c>
      <c r="O26" s="158">
        <f>SUMIF('内訳ﾘｽﾄ(4～3月)'!$D$26:$D$803,'採算表(VND)'!$B26,'内訳ﾘｽﾄ(4～3月)'!R$26:R$803)</f>
        <v>437525720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SUMIF('内訳ﾘｽﾄ(4～3月)'!$D$26:$D$1004,$B27,'内訳ﾘｽﾄ(4～3月)'!F$26:F$1004)</f>
        <v>0</v>
      </c>
      <c r="D27" s="158">
        <f>SUMIF('内訳ﾘｽﾄ(4～3月)'!$D$26:$D$1004,$B27,'内訳ﾘｽﾄ(4～3月)'!G$26:G$1004)</f>
        <v>0</v>
      </c>
      <c r="E27" s="158">
        <f>SUMIF('内訳ﾘｽﾄ(4～3月)'!$D$26:$D$1004,$B27,'内訳ﾘｽﾄ(4～3月)'!H$26:H$1004)</f>
        <v>0</v>
      </c>
      <c r="F27" s="158">
        <f>SUMIF('内訳ﾘｽﾄ(4～3月)'!$D$26:$D$1004,$B27,'内訳ﾘｽﾄ(4～3月)'!I$26:I$1004)</f>
        <v>0</v>
      </c>
      <c r="G27" s="158">
        <f>SUMIF('内訳ﾘｽﾄ(4～3月)'!$D$26:$D$1004,$B27,'内訳ﾘｽﾄ(4～3月)'!J$26:J$1004)</f>
        <v>0</v>
      </c>
      <c r="H27" s="158">
        <f>SUMIF('内訳ﾘｽﾄ(4～3月)'!$D$26:$D$1004,$B27,'内訳ﾘｽﾄ(4～3月)'!K$26:K$1004)</f>
        <v>0</v>
      </c>
      <c r="I27" s="158">
        <f>SUMIF('内訳ﾘｽﾄ(4～3月)'!$D$26:$D$1004,$B27,'内訳ﾘｽﾄ(4～3月)'!L$26:L$1004)</f>
        <v>0</v>
      </c>
      <c r="J27" s="158">
        <f>SUMIF('内訳ﾘｽﾄ(4～3月)'!$D$26:$D$1004,$B27,'内訳ﾘｽﾄ(4～3月)'!M$26:M$1004)</f>
        <v>0</v>
      </c>
      <c r="K27" s="158">
        <f>SUMIF('内訳ﾘｽﾄ(4～3月)'!$D$26:$D$1004,$B27,'内訳ﾘｽﾄ(4～3月)'!N$26:N$1004)</f>
        <v>0</v>
      </c>
      <c r="L27" s="158">
        <f>SUMIF('内訳ﾘｽﾄ(4～3月)'!$D$26:$D$1004,$B27,'内訳ﾘｽﾄ(4～3月)'!O$26:O$1004)</f>
        <v>0</v>
      </c>
      <c r="M27" s="158">
        <f>SUMIF('内訳ﾘｽﾄ(4～3月)'!$D$26:$D$1004,$B27,'内訳ﾘｽﾄ(4～3月)'!P$26:P$1004)</f>
        <v>0</v>
      </c>
      <c r="N27" s="158">
        <f>SUMIF('内訳ﾘｽﾄ(4～3月)'!$D$26:$D$1004,$B27,'内訳ﾘｽﾄ(4～3月)'!Q$26:Q$1004)</f>
        <v>0</v>
      </c>
      <c r="O27" s="158">
        <f>SUMIF('内訳ﾘｽﾄ(4～3月)'!$D$26:$D$803,'採算表(VND)'!$B27,'内訳ﾘｽﾄ(4～3月)'!R$26:R$803)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SUMIF('内訳ﾘｽﾄ(4～3月)'!$D$26:$D$1004,$B28,'内訳ﾘｽﾄ(4～3月)'!F$26:F$1004)</f>
        <v>0</v>
      </c>
      <c r="D28" s="158">
        <f>SUMIF('内訳ﾘｽﾄ(4～3月)'!$D$26:$D$1004,$B28,'内訳ﾘｽﾄ(4～3月)'!G$26:G$1004)</f>
        <v>1300000</v>
      </c>
      <c r="E28" s="158">
        <f>SUMIF('内訳ﾘｽﾄ(4～3月)'!$D$26:$D$1004,$B28,'内訳ﾘｽﾄ(4～3月)'!H$26:H$1004)</f>
        <v>1300000</v>
      </c>
      <c r="F28" s="158">
        <f>SUMIF('内訳ﾘｽﾄ(4～3月)'!$D$26:$D$1004,$B28,'内訳ﾘｽﾄ(4～3月)'!I$26:I$1004)</f>
        <v>0</v>
      </c>
      <c r="G28" s="158">
        <f>SUMIF('内訳ﾘｽﾄ(4～3月)'!$D$26:$D$1004,$B28,'内訳ﾘｽﾄ(4～3月)'!J$26:J$1004)</f>
        <v>0</v>
      </c>
      <c r="H28" s="158">
        <f>SUMIF('内訳ﾘｽﾄ(4～3月)'!$D$26:$D$1004,$B28,'内訳ﾘｽﾄ(4～3月)'!K$26:K$1004)</f>
        <v>0</v>
      </c>
      <c r="I28" s="158">
        <f>SUMIF('内訳ﾘｽﾄ(4～3月)'!$D$26:$D$1004,$B28,'内訳ﾘｽﾄ(4～3月)'!L$26:L$1004)</f>
        <v>0</v>
      </c>
      <c r="J28" s="158">
        <f>SUMIF('内訳ﾘｽﾄ(4～3月)'!$D$26:$D$1004,$B28,'内訳ﾘｽﾄ(4～3月)'!M$26:M$1004)</f>
        <v>0</v>
      </c>
      <c r="K28" s="158">
        <f>SUMIF('内訳ﾘｽﾄ(4～3月)'!$D$26:$D$1004,$B28,'内訳ﾘｽﾄ(4～3月)'!N$26:N$1004)</f>
        <v>0</v>
      </c>
      <c r="L28" s="158">
        <f>SUMIF('内訳ﾘｽﾄ(4～3月)'!$D$26:$D$1004,$B28,'内訳ﾘｽﾄ(4～3月)'!O$26:O$1004)</f>
        <v>0</v>
      </c>
      <c r="M28" s="158">
        <f>SUMIF('内訳ﾘｽﾄ(4～3月)'!$D$26:$D$1004,$B28,'内訳ﾘｽﾄ(4～3月)'!P$26:P$1004)</f>
        <v>0</v>
      </c>
      <c r="N28" s="158">
        <f>SUMIF('内訳ﾘｽﾄ(4～3月)'!$D$26:$D$1004,$B28,'内訳ﾘｽﾄ(4～3月)'!Q$26:Q$1004)</f>
        <v>0</v>
      </c>
      <c r="O28" s="158">
        <f>SUMIF('内訳ﾘｽﾄ(4～3月)'!$D$26:$D$803,'採算表(VND)'!$B28,'内訳ﾘｽﾄ(4～3月)'!R$26:R$803)</f>
        <v>2600000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SUMIF('内訳ﾘｽﾄ(4～3月)'!$D$26:$D$1004,$B29,'内訳ﾘｽﾄ(4～3月)'!F$26:F$1004)</f>
        <v>75164035</v>
      </c>
      <c r="D29" s="158">
        <f>SUMIF('内訳ﾘｽﾄ(4～3月)'!$D$26:$D$1004,$B29,'内訳ﾘｽﾄ(4～3月)'!G$26:G$1004)</f>
        <v>40624000</v>
      </c>
      <c r="E29" s="158">
        <f>SUMIF('内訳ﾘｽﾄ(4～3月)'!$D$26:$D$1004,$B29,'内訳ﾘｽﾄ(4～3月)'!H$26:H$1004)</f>
        <v>0</v>
      </c>
      <c r="F29" s="158">
        <f>SUMIF('内訳ﾘｽﾄ(4～3月)'!$D$26:$D$1004,$B29,'内訳ﾘｽﾄ(4～3月)'!I$26:I$1004)</f>
        <v>0</v>
      </c>
      <c r="G29" s="158">
        <f>SUMIF('内訳ﾘｽﾄ(4～3月)'!$D$26:$D$1004,$B29,'内訳ﾘｽﾄ(4～3月)'!J$26:J$1004)</f>
        <v>0</v>
      </c>
      <c r="H29" s="158">
        <f>SUMIF('内訳ﾘｽﾄ(4～3月)'!$D$26:$D$1004,$B29,'内訳ﾘｽﾄ(4～3月)'!K$26:K$1004)</f>
        <v>0</v>
      </c>
      <c r="I29" s="158">
        <f>SUMIF('内訳ﾘｽﾄ(4～3月)'!$D$26:$D$1004,$B29,'内訳ﾘｽﾄ(4～3月)'!L$26:L$1004)</f>
        <v>0</v>
      </c>
      <c r="J29" s="158">
        <f>SUMIF('内訳ﾘｽﾄ(4～3月)'!$D$26:$D$1004,$B29,'内訳ﾘｽﾄ(4～3月)'!M$26:M$1004)</f>
        <v>0</v>
      </c>
      <c r="K29" s="158">
        <f>SUMIF('内訳ﾘｽﾄ(4～3月)'!$D$26:$D$1004,$B29,'内訳ﾘｽﾄ(4～3月)'!N$26:N$1004)</f>
        <v>0</v>
      </c>
      <c r="L29" s="158">
        <f>SUMIF('内訳ﾘｽﾄ(4～3月)'!$D$26:$D$1004,$B29,'内訳ﾘｽﾄ(4～3月)'!O$26:O$1004)</f>
        <v>0</v>
      </c>
      <c r="M29" s="158">
        <f>SUMIF('内訳ﾘｽﾄ(4～3月)'!$D$26:$D$1004,$B29,'内訳ﾘｽﾄ(4～3月)'!P$26:P$1004)</f>
        <v>0</v>
      </c>
      <c r="N29" s="158">
        <f>SUMIF('内訳ﾘｽﾄ(4～3月)'!$D$26:$D$1004,$B29,'内訳ﾘｽﾄ(4～3月)'!Q$26:Q$1004)</f>
        <v>0</v>
      </c>
      <c r="O29" s="158">
        <f>SUMIF('内訳ﾘｽﾄ(4～3月)'!$D$26:$D$803,'採算表(VND)'!$B29,'内訳ﾘｽﾄ(4～3月)'!R$26:R$803)</f>
        <v>115788035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SUMIF('内訳ﾘｽﾄ(4～3月)'!$D$26:$D$1004,$B30,'内訳ﾘｽﾄ(4～3月)'!F$26:F$1004)</f>
        <v>19324001</v>
      </c>
      <c r="D30" s="158">
        <f>SUMIF('内訳ﾘｽﾄ(4～3月)'!$D$26:$D$1004,$B30,'内訳ﾘｽﾄ(4～3月)'!G$26:G$1004)</f>
        <v>19950743</v>
      </c>
      <c r="E30" s="158">
        <f>SUMIF('内訳ﾘｽﾄ(4～3月)'!$D$26:$D$1004,$B30,'内訳ﾘｽﾄ(4～3月)'!H$26:H$1004)</f>
        <v>23402128</v>
      </c>
      <c r="F30" s="158">
        <f>SUMIF('内訳ﾘｽﾄ(4～3月)'!$D$26:$D$1004,$B30,'内訳ﾘｽﾄ(4～3月)'!I$26:I$1004)</f>
        <v>27451816</v>
      </c>
      <c r="G30" s="158">
        <f>SUMIF('内訳ﾘｽﾄ(4～3月)'!$D$26:$D$1004,$B30,'内訳ﾘｽﾄ(4～3月)'!J$26:J$1004)</f>
        <v>7351108</v>
      </c>
      <c r="H30" s="158">
        <f>SUMIF('内訳ﾘｽﾄ(4～3月)'!$D$26:$D$1004,$B30,'内訳ﾘｽﾄ(4～3月)'!K$26:K$1004)</f>
        <v>6659770</v>
      </c>
      <c r="I30" s="158">
        <f>SUMIF('内訳ﾘｽﾄ(4～3月)'!$D$26:$D$1004,$B30,'内訳ﾘｽﾄ(4～3月)'!L$26:L$1004)</f>
        <v>6690603</v>
      </c>
      <c r="J30" s="158">
        <f>SUMIF('内訳ﾘｽﾄ(4～3月)'!$D$26:$D$1004,$B30,'内訳ﾘｽﾄ(4～3月)'!M$26:M$1004)</f>
        <v>6564618</v>
      </c>
      <c r="K30" s="158">
        <f>SUMIF('内訳ﾘｽﾄ(4～3月)'!$D$26:$D$1004,$B30,'内訳ﾘｽﾄ(4～3月)'!N$26:N$1004)</f>
        <v>6490319</v>
      </c>
      <c r="L30" s="158">
        <f>SUMIF('内訳ﾘｽﾄ(4～3月)'!$D$26:$D$1004,$B30,'内訳ﾘｽﾄ(4～3月)'!O$26:O$1004)</f>
        <v>5595658</v>
      </c>
      <c r="M30" s="158">
        <f>SUMIF('内訳ﾘｽﾄ(4～3月)'!$D$26:$D$1004,$B30,'内訳ﾘｽﾄ(4～3月)'!P$26:P$1004)</f>
        <v>5172643</v>
      </c>
      <c r="N30" s="158">
        <f>SUMIF('内訳ﾘｽﾄ(4～3月)'!$D$26:$D$1004,$B30,'内訳ﾘｽﾄ(4～3月)'!Q$26:Q$1004)</f>
        <v>5027056</v>
      </c>
      <c r="O30" s="158">
        <f>SUMIF('内訳ﾘｽﾄ(4～3月)'!$D$26:$D$803,'採算表(VND)'!$B30,'内訳ﾘｽﾄ(4～3月)'!R$26:R$803)</f>
        <v>139680463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SUMIF('内訳ﾘｽﾄ(4～3月)'!$D$26:$D$1004,$B31,'内訳ﾘｽﾄ(4～3月)'!F$26:F$1004)</f>
        <v>0</v>
      </c>
      <c r="D31" s="158">
        <f>SUMIF('内訳ﾘｽﾄ(4～3月)'!$D$26:$D$1004,$B31,'内訳ﾘｽﾄ(4～3月)'!G$26:G$1004)</f>
        <v>0</v>
      </c>
      <c r="E31" s="158">
        <f>SUMIF('内訳ﾘｽﾄ(4～3月)'!$D$26:$D$1004,$B31,'内訳ﾘｽﾄ(4～3月)'!H$26:H$1004)</f>
        <v>1000000</v>
      </c>
      <c r="F31" s="158">
        <f>SUMIF('内訳ﾘｽﾄ(4～3月)'!$D$26:$D$1004,$B31,'内訳ﾘｽﾄ(4～3月)'!I$26:I$1004)</f>
        <v>0</v>
      </c>
      <c r="G31" s="158">
        <f>SUMIF('内訳ﾘｽﾄ(4～3月)'!$D$26:$D$1004,$B31,'内訳ﾘｽﾄ(4～3月)'!J$26:J$1004)</f>
        <v>500000</v>
      </c>
      <c r="H31" s="158">
        <f>SUMIF('内訳ﾘｽﾄ(4～3月)'!$D$26:$D$1004,$B31,'内訳ﾘｽﾄ(4～3月)'!K$26:K$1004)</f>
        <v>0</v>
      </c>
      <c r="I31" s="158">
        <f>SUMIF('内訳ﾘｽﾄ(4～3月)'!$D$26:$D$1004,$B31,'内訳ﾘｽﾄ(4～3月)'!L$26:L$1004)</f>
        <v>0</v>
      </c>
      <c r="J31" s="158">
        <f>SUMIF('内訳ﾘｽﾄ(4～3月)'!$D$26:$D$1004,$B31,'内訳ﾘｽﾄ(4～3月)'!M$26:M$1004)</f>
        <v>0</v>
      </c>
      <c r="K31" s="158">
        <f>SUMIF('内訳ﾘｽﾄ(4～3月)'!$D$26:$D$1004,$B31,'内訳ﾘｽﾄ(4～3月)'!N$26:N$1004)</f>
        <v>0</v>
      </c>
      <c r="L31" s="158">
        <f>SUMIF('内訳ﾘｽﾄ(4～3月)'!$D$26:$D$1004,$B31,'内訳ﾘｽﾄ(4～3月)'!O$26:O$1004)</f>
        <v>0</v>
      </c>
      <c r="M31" s="158">
        <f>SUMIF('内訳ﾘｽﾄ(4～3月)'!$D$26:$D$1004,$B31,'内訳ﾘｽﾄ(4～3月)'!P$26:P$1004)</f>
        <v>0</v>
      </c>
      <c r="N31" s="158">
        <f>SUMIF('内訳ﾘｽﾄ(4～3月)'!$D$26:$D$1004,$B31,'内訳ﾘｽﾄ(4～3月)'!Q$26:Q$1004)</f>
        <v>0</v>
      </c>
      <c r="O31" s="158">
        <f>SUMIF('内訳ﾘｽﾄ(4～3月)'!$D$26:$D$803,'採算表(VND)'!$B31,'内訳ﾘｽﾄ(4～3月)'!R$26:R$803)</f>
        <v>1500000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SUMIF('内訳ﾘｽﾄ(4～3月)'!$D$26:$D$1004,$B32,'内訳ﾘｽﾄ(4～3月)'!F$26:F$1004)</f>
        <v>0</v>
      </c>
      <c r="D32" s="158">
        <f>SUMIF('内訳ﾘｽﾄ(4～3月)'!$D$26:$D$1004,$B32,'内訳ﾘｽﾄ(4～3月)'!G$26:G$1004)</f>
        <v>0</v>
      </c>
      <c r="E32" s="158">
        <f>SUMIF('内訳ﾘｽﾄ(4～3月)'!$D$26:$D$1004,$B32,'内訳ﾘｽﾄ(4～3月)'!H$26:H$1004)</f>
        <v>0</v>
      </c>
      <c r="F32" s="158">
        <f>SUMIF('内訳ﾘｽﾄ(4～3月)'!$D$26:$D$1004,$B32,'内訳ﾘｽﾄ(4～3月)'!I$26:I$1004)</f>
        <v>0</v>
      </c>
      <c r="G32" s="158">
        <f>SUMIF('内訳ﾘｽﾄ(4～3月)'!$D$26:$D$1004,$B32,'内訳ﾘｽﾄ(4～3月)'!J$26:J$1004)</f>
        <v>0</v>
      </c>
      <c r="H32" s="158">
        <f>SUMIF('内訳ﾘｽﾄ(4～3月)'!$D$26:$D$1004,$B32,'内訳ﾘｽﾄ(4～3月)'!K$26:K$1004)</f>
        <v>0</v>
      </c>
      <c r="I32" s="158">
        <f>SUMIF('内訳ﾘｽﾄ(4～3月)'!$D$26:$D$1004,$B32,'内訳ﾘｽﾄ(4～3月)'!L$26:L$1004)</f>
        <v>0</v>
      </c>
      <c r="J32" s="158">
        <f>SUMIF('内訳ﾘｽﾄ(4～3月)'!$D$26:$D$1004,$B32,'内訳ﾘｽﾄ(4～3月)'!M$26:M$1004)</f>
        <v>0</v>
      </c>
      <c r="K32" s="158">
        <f>SUMIF('内訳ﾘｽﾄ(4～3月)'!$D$26:$D$1004,$B32,'内訳ﾘｽﾄ(4～3月)'!N$26:N$1004)</f>
        <v>0</v>
      </c>
      <c r="L32" s="158">
        <f>SUMIF('内訳ﾘｽﾄ(4～3月)'!$D$26:$D$1004,$B32,'内訳ﾘｽﾄ(4～3月)'!O$26:O$1004)</f>
        <v>0</v>
      </c>
      <c r="M32" s="158">
        <f>SUMIF('内訳ﾘｽﾄ(4～3月)'!$D$26:$D$1004,$B32,'内訳ﾘｽﾄ(4～3月)'!P$26:P$1004)</f>
        <v>0</v>
      </c>
      <c r="N32" s="158">
        <f>SUMIF('内訳ﾘｽﾄ(4～3月)'!$D$26:$D$1004,$B32,'内訳ﾘｽﾄ(4～3月)'!Q$26:Q$1004)</f>
        <v>0</v>
      </c>
      <c r="O32" s="158">
        <f>SUMIF('内訳ﾘｽﾄ(4～3月)'!$D$26:$D$803,'採算表(VND)'!$B32,'内訳ﾘｽﾄ(4～3月)'!R$26:R$803)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SUMIF('内訳ﾘｽﾄ(4～3月)'!$D$26:$D$1004,$B33,'内訳ﾘｽﾄ(4～3月)'!F$26:F$1004)</f>
        <v>0</v>
      </c>
      <c r="D33" s="158">
        <f>SUMIF('内訳ﾘｽﾄ(4～3月)'!$D$26:$D$1004,$B33,'内訳ﾘｽﾄ(4～3月)'!G$26:G$1004)</f>
        <v>0</v>
      </c>
      <c r="E33" s="158">
        <f>SUMIF('内訳ﾘｽﾄ(4～3月)'!$D$26:$D$1004,$B33,'内訳ﾘｽﾄ(4～3月)'!H$26:H$1004)</f>
        <v>0</v>
      </c>
      <c r="F33" s="158">
        <f>SUMIF('内訳ﾘｽﾄ(4～3月)'!$D$26:$D$1004,$B33,'内訳ﾘｽﾄ(4～3月)'!I$26:I$1004)</f>
        <v>0</v>
      </c>
      <c r="G33" s="158">
        <f>SUMIF('内訳ﾘｽﾄ(4～3月)'!$D$26:$D$1004,$B33,'内訳ﾘｽﾄ(4～3月)'!J$26:J$1004)</f>
        <v>0</v>
      </c>
      <c r="H33" s="158">
        <f>SUMIF('内訳ﾘｽﾄ(4～3月)'!$D$26:$D$1004,$B33,'内訳ﾘｽﾄ(4～3月)'!K$26:K$1004)</f>
        <v>0</v>
      </c>
      <c r="I33" s="158">
        <f>SUMIF('内訳ﾘｽﾄ(4～3月)'!$D$26:$D$1004,$B33,'内訳ﾘｽﾄ(4～3月)'!L$26:L$1004)</f>
        <v>0</v>
      </c>
      <c r="J33" s="158">
        <f>SUMIF('内訳ﾘｽﾄ(4～3月)'!$D$26:$D$1004,$B33,'内訳ﾘｽﾄ(4～3月)'!M$26:M$1004)</f>
        <v>0</v>
      </c>
      <c r="K33" s="158">
        <f>SUMIF('内訳ﾘｽﾄ(4～3月)'!$D$26:$D$1004,$B33,'内訳ﾘｽﾄ(4～3月)'!N$26:N$1004)</f>
        <v>0</v>
      </c>
      <c r="L33" s="158">
        <f>SUMIF('内訳ﾘｽﾄ(4～3月)'!$D$26:$D$1004,$B33,'内訳ﾘｽﾄ(4～3月)'!O$26:O$1004)</f>
        <v>0</v>
      </c>
      <c r="M33" s="158">
        <f>SUMIF('内訳ﾘｽﾄ(4～3月)'!$D$26:$D$1004,$B33,'内訳ﾘｽﾄ(4～3月)'!P$26:P$1004)</f>
        <v>0</v>
      </c>
      <c r="N33" s="158">
        <f>SUMIF('内訳ﾘｽﾄ(4～3月)'!$D$26:$D$1004,$B33,'内訳ﾘｽﾄ(4～3月)'!Q$26:Q$1004)</f>
        <v>0</v>
      </c>
      <c r="O33" s="158">
        <f>SUMIF('内訳ﾘｽﾄ(4～3月)'!$D$26:$D$803,'採算表(VND)'!$B33,'内訳ﾘｽﾄ(4～3月)'!R$26:R$803)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SUMIF('内訳ﾘｽﾄ(4～3月)'!$D$26:$D$1004,$B34,'内訳ﾘｽﾄ(4～3月)'!F$26:F$1004)</f>
        <v>0</v>
      </c>
      <c r="D34" s="158">
        <f>SUMIF('内訳ﾘｽﾄ(4～3月)'!$D$26:$D$1004,$B34,'内訳ﾘｽﾄ(4～3月)'!G$26:G$1004)</f>
        <v>0</v>
      </c>
      <c r="E34" s="158">
        <f>SUMIF('内訳ﾘｽﾄ(4～3月)'!$D$26:$D$1004,$B34,'内訳ﾘｽﾄ(4～3月)'!H$26:H$1004)</f>
        <v>0</v>
      </c>
      <c r="F34" s="158">
        <f>SUMIF('内訳ﾘｽﾄ(4～3月)'!$D$26:$D$1004,$B34,'内訳ﾘｽﾄ(4～3月)'!I$26:I$1004)</f>
        <v>0</v>
      </c>
      <c r="G34" s="158">
        <f>SUMIF('内訳ﾘｽﾄ(4～3月)'!$D$26:$D$1004,$B34,'内訳ﾘｽﾄ(4～3月)'!J$26:J$1004)</f>
        <v>0</v>
      </c>
      <c r="H34" s="158">
        <f>SUMIF('内訳ﾘｽﾄ(4～3月)'!$D$26:$D$1004,$B34,'内訳ﾘｽﾄ(4～3月)'!K$26:K$1004)</f>
        <v>0</v>
      </c>
      <c r="I34" s="158">
        <f>SUMIF('内訳ﾘｽﾄ(4～3月)'!$D$26:$D$1004,$B34,'内訳ﾘｽﾄ(4～3月)'!L$26:L$1004)</f>
        <v>0</v>
      </c>
      <c r="J34" s="158">
        <f>SUMIF('内訳ﾘｽﾄ(4～3月)'!$D$26:$D$1004,$B34,'内訳ﾘｽﾄ(4～3月)'!M$26:M$1004)</f>
        <v>0</v>
      </c>
      <c r="K34" s="158">
        <f>SUMIF('内訳ﾘｽﾄ(4～3月)'!$D$26:$D$1004,$B34,'内訳ﾘｽﾄ(4～3月)'!N$26:N$1004)</f>
        <v>0</v>
      </c>
      <c r="L34" s="158">
        <f>SUMIF('内訳ﾘｽﾄ(4～3月)'!$D$26:$D$1004,$B34,'内訳ﾘｽﾄ(4～3月)'!O$26:O$1004)</f>
        <v>0</v>
      </c>
      <c r="M34" s="158">
        <f>SUMIF('内訳ﾘｽﾄ(4～3月)'!$D$26:$D$1004,$B34,'内訳ﾘｽﾄ(4～3月)'!P$26:P$1004)</f>
        <v>0</v>
      </c>
      <c r="N34" s="158">
        <f>SUMIF('内訳ﾘｽﾄ(4～3月)'!$D$26:$D$1004,$B34,'内訳ﾘｽﾄ(4～3月)'!Q$26:Q$1004)</f>
        <v>0</v>
      </c>
      <c r="O34" s="158">
        <f>SUMIF('内訳ﾘｽﾄ(4～3月)'!$D$26:$D$803,'採算表(VND)'!$B34,'内訳ﾘｽﾄ(4～3月)'!R$26:R$803)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SUMIF('内訳ﾘｽﾄ(4～3月)'!$D$26:$D$1004,$B35,'内訳ﾘｽﾄ(4～3月)'!F$26:F$1004)</f>
        <v>0</v>
      </c>
      <c r="D35" s="158">
        <f>SUMIF('内訳ﾘｽﾄ(4～3月)'!$D$26:$D$1004,$B35,'内訳ﾘｽﾄ(4～3月)'!G$26:G$1004)</f>
        <v>0</v>
      </c>
      <c r="E35" s="158">
        <f>SUMIF('内訳ﾘｽﾄ(4～3月)'!$D$26:$D$1004,$B35,'内訳ﾘｽﾄ(4～3月)'!H$26:H$1004)</f>
        <v>0</v>
      </c>
      <c r="F35" s="158">
        <f>SUMIF('内訳ﾘｽﾄ(4～3月)'!$D$26:$D$1004,$B35,'内訳ﾘｽﾄ(4～3月)'!I$26:I$1004)</f>
        <v>0</v>
      </c>
      <c r="G35" s="158">
        <f>SUMIF('内訳ﾘｽﾄ(4～3月)'!$D$26:$D$1004,$B35,'内訳ﾘｽﾄ(4～3月)'!J$26:J$1004)</f>
        <v>0</v>
      </c>
      <c r="H35" s="158">
        <f>SUMIF('内訳ﾘｽﾄ(4～3月)'!$D$26:$D$1004,$B35,'内訳ﾘｽﾄ(4～3月)'!K$26:K$1004)</f>
        <v>0</v>
      </c>
      <c r="I35" s="158">
        <f>SUMIF('内訳ﾘｽﾄ(4～3月)'!$D$26:$D$1004,$B35,'内訳ﾘｽﾄ(4～3月)'!L$26:L$1004)</f>
        <v>0</v>
      </c>
      <c r="J35" s="158">
        <f>SUMIF('内訳ﾘｽﾄ(4～3月)'!$D$26:$D$1004,$B35,'内訳ﾘｽﾄ(4～3月)'!M$26:M$1004)</f>
        <v>0</v>
      </c>
      <c r="K35" s="158">
        <f>SUMIF('内訳ﾘｽﾄ(4～3月)'!$D$26:$D$1004,$B35,'内訳ﾘｽﾄ(4～3月)'!N$26:N$1004)</f>
        <v>0</v>
      </c>
      <c r="L35" s="158">
        <f>SUMIF('内訳ﾘｽﾄ(4～3月)'!$D$26:$D$1004,$B35,'内訳ﾘｽﾄ(4～3月)'!O$26:O$1004)</f>
        <v>0</v>
      </c>
      <c r="M35" s="158">
        <f>SUMIF('内訳ﾘｽﾄ(4～3月)'!$D$26:$D$1004,$B35,'内訳ﾘｽﾄ(4～3月)'!P$26:P$1004)</f>
        <v>0</v>
      </c>
      <c r="N35" s="158">
        <f>SUMIF('内訳ﾘｽﾄ(4～3月)'!$D$26:$D$1004,$B35,'内訳ﾘｽﾄ(4～3月)'!Q$26:Q$1004)</f>
        <v>0</v>
      </c>
      <c r="O35" s="158">
        <f>SUMIF('内訳ﾘｽﾄ(4～3月)'!$D$26:$D$803,'採算表(VND)'!$B35,'内訳ﾘｽﾄ(4～3月)'!R$26:R$803)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SUMIF('内訳ﾘｽﾄ(4～3月)'!$D$26:$D$1004,$B36,'内訳ﾘｽﾄ(4～3月)'!F$26:F$1004)</f>
        <v>0</v>
      </c>
      <c r="D36" s="158">
        <f>SUMIF('内訳ﾘｽﾄ(4～3月)'!$D$26:$D$1004,$B36,'内訳ﾘｽﾄ(4～3月)'!G$26:G$1004)</f>
        <v>0</v>
      </c>
      <c r="E36" s="158">
        <f>SUMIF('内訳ﾘｽﾄ(4～3月)'!$D$26:$D$1004,$B36,'内訳ﾘｽﾄ(4～3月)'!H$26:H$1004)</f>
        <v>0</v>
      </c>
      <c r="F36" s="158">
        <f>SUMIF('内訳ﾘｽﾄ(4～3月)'!$D$26:$D$1004,$B36,'内訳ﾘｽﾄ(4～3月)'!I$26:I$1004)</f>
        <v>0</v>
      </c>
      <c r="G36" s="158">
        <f>SUMIF('内訳ﾘｽﾄ(4～3月)'!$D$26:$D$1004,$B36,'内訳ﾘｽﾄ(4～3月)'!J$26:J$1004)</f>
        <v>0</v>
      </c>
      <c r="H36" s="158">
        <f>SUMIF('内訳ﾘｽﾄ(4～3月)'!$D$26:$D$1004,$B36,'内訳ﾘｽﾄ(4～3月)'!K$26:K$1004)</f>
        <v>0</v>
      </c>
      <c r="I36" s="158">
        <f>SUMIF('内訳ﾘｽﾄ(4～3月)'!$D$26:$D$1004,$B36,'内訳ﾘｽﾄ(4～3月)'!L$26:L$1004)</f>
        <v>0</v>
      </c>
      <c r="J36" s="158">
        <f>SUMIF('内訳ﾘｽﾄ(4～3月)'!$D$26:$D$1004,$B36,'内訳ﾘｽﾄ(4～3月)'!M$26:M$1004)</f>
        <v>0</v>
      </c>
      <c r="K36" s="158">
        <f>SUMIF('内訳ﾘｽﾄ(4～3月)'!$D$26:$D$1004,$B36,'内訳ﾘｽﾄ(4～3月)'!N$26:N$1004)</f>
        <v>0</v>
      </c>
      <c r="L36" s="158">
        <f>SUMIF('内訳ﾘｽﾄ(4～3月)'!$D$26:$D$1004,$B36,'内訳ﾘｽﾄ(4～3月)'!O$26:O$1004)</f>
        <v>0</v>
      </c>
      <c r="M36" s="158">
        <f>SUMIF('内訳ﾘｽﾄ(4～3月)'!$D$26:$D$1004,$B36,'内訳ﾘｽﾄ(4～3月)'!P$26:P$1004)</f>
        <v>0</v>
      </c>
      <c r="N36" s="158">
        <f>SUMIF('内訳ﾘｽﾄ(4～3月)'!$D$26:$D$1004,$B36,'内訳ﾘｽﾄ(4～3月)'!Q$26:Q$1004)</f>
        <v>0</v>
      </c>
      <c r="O36" s="158">
        <f>SUMIF('内訳ﾘｽﾄ(4～3月)'!$D$26:$D$803,'採算表(VND)'!$B36,'内訳ﾘｽﾄ(4～3月)'!R$26:R$803)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SUMIF('内訳ﾘｽﾄ(4～3月)'!$D$26:$D$1004,$B37,'内訳ﾘｽﾄ(4～3月)'!F$26:F$1004)</f>
        <v>0</v>
      </c>
      <c r="D37" s="158">
        <f>SUMIF('内訳ﾘｽﾄ(4～3月)'!$D$26:$D$1004,$B37,'内訳ﾘｽﾄ(4～3月)'!G$26:G$1004)</f>
        <v>0</v>
      </c>
      <c r="E37" s="158">
        <f>SUMIF('内訳ﾘｽﾄ(4～3月)'!$D$26:$D$1004,$B37,'内訳ﾘｽﾄ(4～3月)'!H$26:H$1004)</f>
        <v>0</v>
      </c>
      <c r="F37" s="158">
        <f>SUMIF('内訳ﾘｽﾄ(4～3月)'!$D$26:$D$1004,$B37,'内訳ﾘｽﾄ(4～3月)'!I$26:I$1004)</f>
        <v>0</v>
      </c>
      <c r="G37" s="158">
        <f>SUMIF('内訳ﾘｽﾄ(4～3月)'!$D$26:$D$1004,$B37,'内訳ﾘｽﾄ(4～3月)'!J$26:J$1004)</f>
        <v>0</v>
      </c>
      <c r="H37" s="158">
        <f>SUMIF('内訳ﾘｽﾄ(4～3月)'!$D$26:$D$1004,$B37,'内訳ﾘｽﾄ(4～3月)'!K$26:K$1004)</f>
        <v>0</v>
      </c>
      <c r="I37" s="158">
        <f>SUMIF('内訳ﾘｽﾄ(4～3月)'!$D$26:$D$1004,$B37,'内訳ﾘｽﾄ(4～3月)'!L$26:L$1004)</f>
        <v>0</v>
      </c>
      <c r="J37" s="158">
        <f>SUMIF('内訳ﾘｽﾄ(4～3月)'!$D$26:$D$1004,$B37,'内訳ﾘｽﾄ(4～3月)'!M$26:M$1004)</f>
        <v>0</v>
      </c>
      <c r="K37" s="158">
        <f>SUMIF('内訳ﾘｽﾄ(4～3月)'!$D$26:$D$1004,$B37,'内訳ﾘｽﾄ(4～3月)'!N$26:N$1004)</f>
        <v>0</v>
      </c>
      <c r="L37" s="158">
        <f>SUMIF('内訳ﾘｽﾄ(4～3月)'!$D$26:$D$1004,$B37,'内訳ﾘｽﾄ(4～3月)'!O$26:O$1004)</f>
        <v>0</v>
      </c>
      <c r="M37" s="158">
        <f>SUMIF('内訳ﾘｽﾄ(4～3月)'!$D$26:$D$1004,$B37,'内訳ﾘｽﾄ(4～3月)'!P$26:P$1004)</f>
        <v>0</v>
      </c>
      <c r="N37" s="158">
        <f>SUMIF('内訳ﾘｽﾄ(4～3月)'!$D$26:$D$1004,$B37,'内訳ﾘｽﾄ(4～3月)'!Q$26:Q$1004)</f>
        <v>0</v>
      </c>
      <c r="O37" s="158">
        <f>SUMIF('内訳ﾘｽﾄ(4～3月)'!$D$26:$D$803,'採算表(VND)'!$B37,'内訳ﾘｽﾄ(4～3月)'!R$26:R$803)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SUMIF('内訳ﾘｽﾄ(4～3月)'!$D$26:$D$1004,$B38,'内訳ﾘｽﾄ(4～3月)'!F$26:F$1004)</f>
        <v>0</v>
      </c>
      <c r="D38" s="158">
        <f>SUMIF('内訳ﾘｽﾄ(4～3月)'!$D$26:$D$1004,$B38,'内訳ﾘｽﾄ(4～3月)'!G$26:G$1004)</f>
        <v>0</v>
      </c>
      <c r="E38" s="158">
        <f>SUMIF('内訳ﾘｽﾄ(4～3月)'!$D$26:$D$1004,$B38,'内訳ﾘｽﾄ(4～3月)'!H$26:H$1004)</f>
        <v>0</v>
      </c>
      <c r="F38" s="158">
        <f>SUMIF('内訳ﾘｽﾄ(4～3月)'!$D$26:$D$1004,$B38,'内訳ﾘｽﾄ(4～3月)'!I$26:I$1004)</f>
        <v>0</v>
      </c>
      <c r="G38" s="158">
        <f>SUMIF('内訳ﾘｽﾄ(4～3月)'!$D$26:$D$1004,$B38,'内訳ﾘｽﾄ(4～3月)'!J$26:J$1004)</f>
        <v>0</v>
      </c>
      <c r="H38" s="158">
        <f>SUMIF('内訳ﾘｽﾄ(4～3月)'!$D$26:$D$1004,$B38,'内訳ﾘｽﾄ(4～3月)'!K$26:K$1004)</f>
        <v>0</v>
      </c>
      <c r="I38" s="158">
        <f>SUMIF('内訳ﾘｽﾄ(4～3月)'!$D$26:$D$1004,$B38,'内訳ﾘｽﾄ(4～3月)'!L$26:L$1004)</f>
        <v>0</v>
      </c>
      <c r="J38" s="158">
        <f>SUMIF('内訳ﾘｽﾄ(4～3月)'!$D$26:$D$1004,$B38,'内訳ﾘｽﾄ(4～3月)'!M$26:M$1004)</f>
        <v>0</v>
      </c>
      <c r="K38" s="158">
        <f>SUMIF('内訳ﾘｽﾄ(4～3月)'!$D$26:$D$1004,$B38,'内訳ﾘｽﾄ(4～3月)'!N$26:N$1004)</f>
        <v>0</v>
      </c>
      <c r="L38" s="158">
        <f>SUMIF('内訳ﾘｽﾄ(4～3月)'!$D$26:$D$1004,$B38,'内訳ﾘｽﾄ(4～3月)'!O$26:O$1004)</f>
        <v>0</v>
      </c>
      <c r="M38" s="158">
        <f>SUMIF('内訳ﾘｽﾄ(4～3月)'!$D$26:$D$1004,$B38,'内訳ﾘｽﾄ(4～3月)'!P$26:P$1004)</f>
        <v>0</v>
      </c>
      <c r="N38" s="158">
        <f>SUMIF('内訳ﾘｽﾄ(4～3月)'!$D$26:$D$1004,$B38,'内訳ﾘｽﾄ(4～3月)'!Q$26:Q$1004)</f>
        <v>0</v>
      </c>
      <c r="O38" s="158">
        <f>SUMIF('内訳ﾘｽﾄ(4～3月)'!$D$26:$D$803,'採算表(VND)'!$B38,'内訳ﾘｽﾄ(4～3月)'!R$26:R$803)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SUMIF('内訳ﾘｽﾄ(4～3月)'!$D$26:$D$1004,$B39,'内訳ﾘｽﾄ(4～3月)'!F$26:F$1004)</f>
        <v>10968165</v>
      </c>
      <c r="D39" s="158">
        <f>SUMIF('内訳ﾘｽﾄ(4～3月)'!$D$26:$D$1004,$B39,'内訳ﾘｽﾄ(4～3月)'!G$26:G$1004)</f>
        <v>13879476</v>
      </c>
      <c r="E39" s="158">
        <f>SUMIF('内訳ﾘｽﾄ(4～3月)'!$D$26:$D$1004,$B39,'内訳ﾘｽﾄ(4～3月)'!H$26:H$1004)</f>
        <v>14293298</v>
      </c>
      <c r="F39" s="158">
        <f>SUMIF('内訳ﾘｽﾄ(4～3月)'!$D$26:$D$1004,$B39,'内訳ﾘｽﾄ(4～3月)'!I$26:I$1004)</f>
        <v>10554588</v>
      </c>
      <c r="G39" s="158">
        <f>SUMIF('内訳ﾘｽﾄ(4～3月)'!$D$26:$D$1004,$B39,'内訳ﾘｽﾄ(4～3月)'!J$26:J$1004)</f>
        <v>5152948</v>
      </c>
      <c r="H39" s="158">
        <f>SUMIF('内訳ﾘｽﾄ(4～3月)'!$D$26:$D$1004,$B39,'内訳ﾘｽﾄ(4～3月)'!K$26:K$1004)</f>
        <v>1388520</v>
      </c>
      <c r="I39" s="158">
        <f>SUMIF('内訳ﾘｽﾄ(4～3月)'!$D$26:$D$1004,$B39,'内訳ﾘｽﾄ(4～3月)'!L$26:L$1004)</f>
        <v>1328096</v>
      </c>
      <c r="J39" s="158">
        <f>SUMIF('内訳ﾘｽﾄ(4～3月)'!$D$26:$D$1004,$B39,'内訳ﾘｽﾄ(4～3月)'!M$26:M$1004)</f>
        <v>1499008</v>
      </c>
      <c r="K39" s="158">
        <f>SUMIF('内訳ﾘｽﾄ(4～3月)'!$D$26:$D$1004,$B39,'内訳ﾘｽﾄ(4～3月)'!N$26:N$1004)</f>
        <v>1630764</v>
      </c>
      <c r="L39" s="158">
        <f>SUMIF('内訳ﾘｽﾄ(4～3月)'!$D$26:$D$1004,$B39,'内訳ﾘｽﾄ(4～3月)'!O$26:O$1004)</f>
        <v>1438976</v>
      </c>
      <c r="M39" s="158">
        <f>SUMIF('内訳ﾘｽﾄ(4～3月)'!$D$26:$D$1004,$B39,'内訳ﾘｽﾄ(4～3月)'!P$26:P$1004)</f>
        <v>1404546</v>
      </c>
      <c r="N39" s="158">
        <f>SUMIF('内訳ﾘｽﾄ(4～3月)'!$D$26:$D$1004,$B39,'内訳ﾘｽﾄ(4～3月)'!Q$26:Q$1004)</f>
        <v>1603440</v>
      </c>
      <c r="O39" s="158">
        <f>SUMIF('内訳ﾘｽﾄ(4～3月)'!$D$26:$D$803,'採算表(VND)'!$B39,'内訳ﾘｽﾄ(4～3月)'!R$26:R$803)</f>
        <v>65141825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SUMIF('内訳ﾘｽﾄ(4～3月)'!$D$26:$D$1004,$B40,'内訳ﾘｽﾄ(4～3月)'!F$26:F$1004)</f>
        <v>0</v>
      </c>
      <c r="D40" s="158">
        <f>SUMIF('内訳ﾘｽﾄ(4～3月)'!$D$26:$D$1004,$B40,'内訳ﾘｽﾄ(4～3月)'!G$26:G$1004)</f>
        <v>0</v>
      </c>
      <c r="E40" s="158">
        <f>SUMIF('内訳ﾘｽﾄ(4～3月)'!$D$26:$D$1004,$B40,'内訳ﾘｽﾄ(4～3月)'!H$26:H$1004)</f>
        <v>0</v>
      </c>
      <c r="F40" s="158">
        <f>SUMIF('内訳ﾘｽﾄ(4～3月)'!$D$26:$D$1004,$B40,'内訳ﾘｽﾄ(4～3月)'!I$26:I$1004)</f>
        <v>0</v>
      </c>
      <c r="G40" s="158">
        <f>SUMIF('内訳ﾘｽﾄ(4～3月)'!$D$26:$D$1004,$B40,'内訳ﾘｽﾄ(4～3月)'!J$26:J$1004)</f>
        <v>0</v>
      </c>
      <c r="H40" s="158">
        <f>SUMIF('内訳ﾘｽﾄ(4～3月)'!$D$26:$D$1004,$B40,'内訳ﾘｽﾄ(4～3月)'!K$26:K$1004)</f>
        <v>0</v>
      </c>
      <c r="I40" s="158">
        <f>SUMIF('内訳ﾘｽﾄ(4～3月)'!$D$26:$D$1004,$B40,'内訳ﾘｽﾄ(4～3月)'!L$26:L$1004)</f>
        <v>0</v>
      </c>
      <c r="J40" s="158">
        <f>SUMIF('内訳ﾘｽﾄ(4～3月)'!$D$26:$D$1004,$B40,'内訳ﾘｽﾄ(4～3月)'!M$26:M$1004)</f>
        <v>0</v>
      </c>
      <c r="K40" s="158">
        <f>SUMIF('内訳ﾘｽﾄ(4～3月)'!$D$26:$D$1004,$B40,'内訳ﾘｽﾄ(4～3月)'!N$26:N$1004)</f>
        <v>0</v>
      </c>
      <c r="L40" s="158">
        <f>SUMIF('内訳ﾘｽﾄ(4～3月)'!$D$26:$D$1004,$B40,'内訳ﾘｽﾄ(4～3月)'!O$26:O$1004)</f>
        <v>0</v>
      </c>
      <c r="M40" s="158">
        <f>SUMIF('内訳ﾘｽﾄ(4～3月)'!$D$26:$D$1004,$B40,'内訳ﾘｽﾄ(4～3月)'!P$26:P$1004)</f>
        <v>0</v>
      </c>
      <c r="N40" s="158">
        <f>SUMIF('内訳ﾘｽﾄ(4～3月)'!$D$26:$D$1004,$B40,'内訳ﾘｽﾄ(4～3月)'!Q$26:Q$1004)</f>
        <v>0</v>
      </c>
      <c r="O40" s="158">
        <f>SUMIF('内訳ﾘｽﾄ(4～3月)'!$D$26:$D$803,'採算表(VND)'!$B40,'内訳ﾘｽﾄ(4～3月)'!R$26:R$803)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SUMIF('内訳ﾘｽﾄ(4～3月)'!$D$26:$D$1004,$B41,'内訳ﾘｽﾄ(4～3月)'!F$26:F$1004)</f>
        <v>8097000</v>
      </c>
      <c r="D41" s="158">
        <f>SUMIF('内訳ﾘｽﾄ(4～3月)'!$D$26:$D$1004,$B41,'内訳ﾘｽﾄ(4～3月)'!G$26:G$1004)</f>
        <v>7540000</v>
      </c>
      <c r="E41" s="158">
        <f>SUMIF('内訳ﾘｽﾄ(4～3月)'!$D$26:$D$1004,$B41,'内訳ﾘｽﾄ(4～3月)'!H$26:H$1004)</f>
        <v>7517500</v>
      </c>
      <c r="F41" s="158">
        <f>SUMIF('内訳ﾘｽﾄ(4～3月)'!$D$26:$D$1004,$B41,'内訳ﾘｽﾄ(4～3月)'!I$26:I$1004)</f>
        <v>6839000</v>
      </c>
      <c r="G41" s="158">
        <f>SUMIF('内訳ﾘｽﾄ(4～3月)'!$D$26:$D$1004,$B41,'内訳ﾘｽﾄ(4～3月)'!J$26:J$1004)</f>
        <v>2427000</v>
      </c>
      <c r="H41" s="158">
        <f>SUMIF('内訳ﾘｽﾄ(4～3月)'!$D$26:$D$1004,$B41,'内訳ﾘｽﾄ(4～3月)'!K$26:K$1004)</f>
        <v>2427000</v>
      </c>
      <c r="I41" s="158">
        <f>SUMIF('内訳ﾘｽﾄ(4～3月)'!$D$26:$D$1004,$B41,'内訳ﾘｽﾄ(4～3月)'!L$26:L$1004)</f>
        <v>4759500</v>
      </c>
      <c r="J41" s="158">
        <f>SUMIF('内訳ﾘｽﾄ(4～3月)'!$D$26:$D$1004,$B41,'内訳ﾘｽﾄ(4～3月)'!M$26:M$1004)</f>
        <v>2724000</v>
      </c>
      <c r="K41" s="158">
        <f>SUMIF('内訳ﾘｽﾄ(4～3月)'!$D$26:$D$1004,$B41,'内訳ﾘｽﾄ(4～3月)'!N$26:N$1004)</f>
        <v>2724000</v>
      </c>
      <c r="L41" s="158">
        <f>SUMIF('内訳ﾘｽﾄ(4～3月)'!$D$26:$D$1004,$B41,'内訳ﾘｽﾄ(4～3月)'!O$26:O$1004)</f>
        <v>2724000</v>
      </c>
      <c r="M41" s="158">
        <f>SUMIF('内訳ﾘｽﾄ(4～3月)'!$D$26:$D$1004,$B41,'内訳ﾘｽﾄ(4～3月)'!P$26:P$1004)</f>
        <v>2724000</v>
      </c>
      <c r="N41" s="158">
        <f>SUMIF('内訳ﾘｽﾄ(4～3月)'!$D$26:$D$1004,$B41,'内訳ﾘｽﾄ(4～3月)'!Q$26:Q$1004)</f>
        <v>2724000</v>
      </c>
      <c r="O41" s="158">
        <f>SUMIF('内訳ﾘｽﾄ(4～3月)'!$D$26:$D$803,'採算表(VND)'!$B41,'内訳ﾘｽﾄ(4～3月)'!R$26:R$803)</f>
        <v>53227000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SUMIF('内訳ﾘｽﾄ(4～3月)'!$D$26:$D$1004,$B42,'内訳ﾘｽﾄ(4～3月)'!F$26:F$1004)</f>
        <v>17026301</v>
      </c>
      <c r="D42" s="158">
        <f>SUMIF('内訳ﾘｽﾄ(4～3月)'!$D$26:$D$1004,$B42,'内訳ﾘｽﾄ(4～3月)'!G$26:G$1004)</f>
        <v>17026301</v>
      </c>
      <c r="E42" s="158">
        <f>SUMIF('内訳ﾘｽﾄ(4～3月)'!$D$26:$D$1004,$B42,'内訳ﾘｽﾄ(4～3月)'!H$26:H$1004)</f>
        <v>17026301</v>
      </c>
      <c r="F42" s="158">
        <f>SUMIF('内訳ﾘｽﾄ(4～3月)'!$D$26:$D$1004,$B42,'内訳ﾘｽﾄ(4～3月)'!I$26:I$1004)</f>
        <v>17026301</v>
      </c>
      <c r="G42" s="158">
        <f>SUMIF('内訳ﾘｽﾄ(4～3月)'!$D$26:$D$1004,$B42,'内訳ﾘｽﾄ(4～3月)'!J$26:J$1004)</f>
        <v>10164019</v>
      </c>
      <c r="H42" s="158">
        <f>SUMIF('内訳ﾘｽﾄ(4～3月)'!$D$26:$D$1004,$B42,'内訳ﾘｽﾄ(4～3月)'!K$26:K$1004)</f>
        <v>10164019</v>
      </c>
      <c r="I42" s="158">
        <f>SUMIF('内訳ﾘｽﾄ(4～3月)'!$D$26:$D$1004,$B42,'内訳ﾘｽﾄ(4～3月)'!L$26:L$1004)</f>
        <v>10164019</v>
      </c>
      <c r="J42" s="158">
        <f>SUMIF('内訳ﾘｽﾄ(4～3月)'!$D$26:$D$1004,$B42,'内訳ﾘｽﾄ(4～3月)'!M$26:M$1004)</f>
        <v>10770848</v>
      </c>
      <c r="K42" s="158">
        <f>SUMIF('内訳ﾘｽﾄ(4～3月)'!$D$26:$D$1004,$B42,'内訳ﾘｽﾄ(4～3月)'!N$26:N$1004)</f>
        <v>10745248</v>
      </c>
      <c r="L42" s="158">
        <f>SUMIF('内訳ﾘｽﾄ(4～3月)'!$D$26:$D$1004,$B42,'内訳ﾘｽﾄ(4～3月)'!O$26:O$1004)</f>
        <v>10745248</v>
      </c>
      <c r="M42" s="158">
        <f>SUMIF('内訳ﾘｽﾄ(4～3月)'!$D$26:$D$1004,$B42,'内訳ﾘｽﾄ(4～3月)'!P$26:P$1004)</f>
        <v>11035862</v>
      </c>
      <c r="N42" s="158">
        <f>SUMIF('内訳ﾘｽﾄ(4～3月)'!$D$26:$D$1004,$B42,'内訳ﾘｽﾄ(4～3月)'!Q$26:Q$1004)</f>
        <v>11035862</v>
      </c>
      <c r="O42" s="158">
        <f>SUMIF('内訳ﾘｽﾄ(4～3月)'!$D$26:$D$803,'採算表(VND)'!$B42,'内訳ﾘｽﾄ(4～3月)'!R$26:R$803)</f>
        <v>152930329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SUMIF('内訳ﾘｽﾄ(4～3月)'!$D$26:$D$1004,$B43,'内訳ﾘｽﾄ(4～3月)'!F$26:F$1004)</f>
        <v>0</v>
      </c>
      <c r="D43" s="158">
        <f>SUMIF('内訳ﾘｽﾄ(4～3月)'!$D$26:$D$1004,$B43,'内訳ﾘｽﾄ(4～3月)'!G$26:G$1004)</f>
        <v>0</v>
      </c>
      <c r="E43" s="158">
        <f>SUMIF('内訳ﾘｽﾄ(4～3月)'!$D$26:$D$1004,$B43,'内訳ﾘｽﾄ(4～3月)'!H$26:H$1004)</f>
        <v>0</v>
      </c>
      <c r="F43" s="158">
        <f>SUMIF('内訳ﾘｽﾄ(4～3月)'!$D$26:$D$1004,$B43,'内訳ﾘｽﾄ(4～3月)'!I$26:I$1004)</f>
        <v>0</v>
      </c>
      <c r="G43" s="158">
        <f>SUMIF('内訳ﾘｽﾄ(4～3月)'!$D$26:$D$1004,$B43,'内訳ﾘｽﾄ(4～3月)'!J$26:J$1004)</f>
        <v>0</v>
      </c>
      <c r="H43" s="158">
        <f>SUMIF('内訳ﾘｽﾄ(4～3月)'!$D$26:$D$1004,$B43,'内訳ﾘｽﾄ(4～3月)'!K$26:K$1004)</f>
        <v>0</v>
      </c>
      <c r="I43" s="158">
        <f>SUMIF('内訳ﾘｽﾄ(4～3月)'!$D$26:$D$1004,$B43,'内訳ﾘｽﾄ(4～3月)'!L$26:L$1004)</f>
        <v>0</v>
      </c>
      <c r="J43" s="158">
        <f>SUMIF('内訳ﾘｽﾄ(4～3月)'!$D$26:$D$1004,$B43,'内訳ﾘｽﾄ(4～3月)'!M$26:M$1004)</f>
        <v>0</v>
      </c>
      <c r="K43" s="158">
        <f>SUMIF('内訳ﾘｽﾄ(4～3月)'!$D$26:$D$1004,$B43,'内訳ﾘｽﾄ(4～3月)'!N$26:N$1004)</f>
        <v>0</v>
      </c>
      <c r="L43" s="158">
        <f>SUMIF('内訳ﾘｽﾄ(4～3月)'!$D$26:$D$1004,$B43,'内訳ﾘｽﾄ(4～3月)'!O$26:O$1004)</f>
        <v>0</v>
      </c>
      <c r="M43" s="158">
        <f>SUMIF('内訳ﾘｽﾄ(4～3月)'!$D$26:$D$1004,$B43,'内訳ﾘｽﾄ(4～3月)'!P$26:P$1004)</f>
        <v>0</v>
      </c>
      <c r="N43" s="158">
        <f>SUMIF('内訳ﾘｽﾄ(4～3月)'!$D$26:$D$1004,$B43,'内訳ﾘｽﾄ(4～3月)'!Q$26:Q$1004)</f>
        <v>0</v>
      </c>
      <c r="O43" s="158">
        <f>SUMIF('内訳ﾘｽﾄ(4～3月)'!$D$26:$D$803,'採算表(VND)'!$B43,'内訳ﾘｽﾄ(4～3月)'!R$26:R$803)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SUMIF('内訳ﾘｽﾄ(4～3月)'!$D$26:$D$1004,$B44,'内訳ﾘｽﾄ(4～3月)'!F$26:F$1004)</f>
        <v>165311704</v>
      </c>
      <c r="D44" s="158">
        <f>SUMIF('内訳ﾘｽﾄ(4～3月)'!$D$26:$D$1004,$B44,'内訳ﾘｽﾄ(4～3月)'!G$26:G$1004)</f>
        <v>442998207</v>
      </c>
      <c r="E44" s="158">
        <f>SUMIF('内訳ﾘｽﾄ(4～3月)'!$D$26:$D$1004,$B44,'内訳ﾘｽﾄ(4～3月)'!H$26:H$1004)</f>
        <v>55399036</v>
      </c>
      <c r="F44" s="158">
        <f>SUMIF('内訳ﾘｽﾄ(4～3月)'!$D$26:$D$1004,$B44,'内訳ﾘｽﾄ(4～3月)'!I$26:I$1004)</f>
        <v>45318672</v>
      </c>
      <c r="G44" s="158">
        <f>SUMIF('内訳ﾘｽﾄ(4～3月)'!$D$26:$D$1004,$B44,'内訳ﾘｽﾄ(4～3月)'!J$26:J$1004)</f>
        <v>44052012</v>
      </c>
      <c r="H44" s="158">
        <f>SUMIF('内訳ﾘｽﾄ(4～3月)'!$D$26:$D$1004,$B44,'内訳ﾘｽﾄ(4～3月)'!K$26:K$1004)</f>
        <v>12832584</v>
      </c>
      <c r="I44" s="158">
        <f>SUMIF('内訳ﾘｽﾄ(4～3月)'!$D$26:$D$1004,$B44,'内訳ﾘｽﾄ(4～3月)'!L$26:L$1004)</f>
        <v>15071472</v>
      </c>
      <c r="J44" s="158">
        <f>SUMIF('内訳ﾘｽﾄ(4～3月)'!$D$26:$D$1004,$B44,'内訳ﾘｽﾄ(4～3月)'!M$26:M$1004)</f>
        <v>11526796</v>
      </c>
      <c r="K44" s="158">
        <f>SUMIF('内訳ﾘｽﾄ(4～3月)'!$D$26:$D$1004,$B44,'内訳ﾘｽﾄ(4～3月)'!N$26:N$1004)</f>
        <v>13723900</v>
      </c>
      <c r="L44" s="158">
        <f>SUMIF('内訳ﾘｽﾄ(4～3月)'!$D$26:$D$1004,$B44,'内訳ﾘｽﾄ(4～3月)'!O$26:O$1004)</f>
        <v>7718232</v>
      </c>
      <c r="M44" s="158">
        <f>SUMIF('内訳ﾘｽﾄ(4～3月)'!$D$26:$D$1004,$B44,'内訳ﾘｽﾄ(4～3月)'!P$26:P$1004)</f>
        <v>21161368</v>
      </c>
      <c r="N44" s="158">
        <f>SUMIF('内訳ﾘｽﾄ(4～3月)'!$D$26:$D$1004,$B44,'内訳ﾘｽﾄ(4～3月)'!Q$26:Q$1004)</f>
        <v>6816016</v>
      </c>
      <c r="O44" s="158">
        <f>SUMIF('内訳ﾘｽﾄ(4～3月)'!$D$26:$D$803,'採算表(VND)'!$B44,'内訳ﾘｽﾄ(4～3月)'!R$26:R$803)</f>
        <v>841929999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SUMIF('内訳ﾘｽﾄ(4～3月)'!$D$26:$D$1004,$B45,'内訳ﾘｽﾄ(4～3月)'!F$26:F$1004)</f>
        <v>0</v>
      </c>
      <c r="D45" s="158">
        <f>SUMIF('内訳ﾘｽﾄ(4～3月)'!$D$26:$D$1004,$B45,'内訳ﾘｽﾄ(4～3月)'!G$26:G$1004)</f>
        <v>0</v>
      </c>
      <c r="E45" s="158">
        <f>SUMIF('内訳ﾘｽﾄ(4～3月)'!$D$26:$D$1004,$B45,'内訳ﾘｽﾄ(4～3月)'!H$26:H$1004)</f>
        <v>0</v>
      </c>
      <c r="F45" s="158">
        <f>SUMIF('内訳ﾘｽﾄ(4～3月)'!$D$26:$D$1004,$B45,'内訳ﾘｽﾄ(4～3月)'!I$26:I$1004)</f>
        <v>0</v>
      </c>
      <c r="G45" s="158">
        <f>SUMIF('内訳ﾘｽﾄ(4～3月)'!$D$26:$D$1004,$B45,'内訳ﾘｽﾄ(4～3月)'!J$26:J$1004)</f>
        <v>0</v>
      </c>
      <c r="H45" s="158">
        <f>SUMIF('内訳ﾘｽﾄ(4～3月)'!$D$26:$D$1004,$B45,'内訳ﾘｽﾄ(4～3月)'!K$26:K$1004)</f>
        <v>0</v>
      </c>
      <c r="I45" s="158">
        <f>SUMIF('内訳ﾘｽﾄ(4～3月)'!$D$26:$D$1004,$B45,'内訳ﾘｽﾄ(4～3月)'!L$26:L$1004)</f>
        <v>0</v>
      </c>
      <c r="J45" s="158">
        <f>SUMIF('内訳ﾘｽﾄ(4～3月)'!$D$26:$D$1004,$B45,'内訳ﾘｽﾄ(4～3月)'!M$26:M$1004)</f>
        <v>0</v>
      </c>
      <c r="K45" s="158">
        <f>SUMIF('内訳ﾘｽﾄ(4～3月)'!$D$26:$D$1004,$B45,'内訳ﾘｽﾄ(4～3月)'!N$26:N$1004)</f>
        <v>0</v>
      </c>
      <c r="L45" s="158">
        <f>SUMIF('内訳ﾘｽﾄ(4～3月)'!$D$26:$D$1004,$B45,'内訳ﾘｽﾄ(4～3月)'!O$26:O$1004)</f>
        <v>0</v>
      </c>
      <c r="M45" s="158">
        <f>SUMIF('内訳ﾘｽﾄ(4～3月)'!$D$26:$D$1004,$B45,'内訳ﾘｽﾄ(4～3月)'!P$26:P$1004)</f>
        <v>0</v>
      </c>
      <c r="N45" s="158">
        <f>SUMIF('内訳ﾘｽﾄ(4～3月)'!$D$26:$D$1004,$B45,'内訳ﾘｽﾄ(4～3月)'!Q$26:Q$1004)</f>
        <v>0</v>
      </c>
      <c r="O45" s="158">
        <f>SUMIF('内訳ﾘｽﾄ(4～3月)'!$D$26:$D$803,'採算表(VND)'!$B45,'内訳ﾘｽﾄ(4～3月)'!R$26:R$803)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SUMIF('内訳ﾘｽﾄ(4～3月)'!$D$26:$D$1004,$B46,'内訳ﾘｽﾄ(4～3月)'!F$26:F$1004)</f>
        <v>0</v>
      </c>
      <c r="D46" s="158">
        <f>SUMIF('内訳ﾘｽﾄ(4～3月)'!$D$26:$D$1004,$B46,'内訳ﾘｽﾄ(4～3月)'!G$26:G$1004)</f>
        <v>0</v>
      </c>
      <c r="E46" s="158">
        <f>SUMIF('内訳ﾘｽﾄ(4～3月)'!$D$26:$D$1004,$B46,'内訳ﾘｽﾄ(4～3月)'!H$26:H$1004)</f>
        <v>0</v>
      </c>
      <c r="F46" s="158">
        <f>SUMIF('内訳ﾘｽﾄ(4～3月)'!$D$26:$D$1004,$B46,'内訳ﾘｽﾄ(4～3月)'!I$26:I$1004)</f>
        <v>0</v>
      </c>
      <c r="G46" s="158">
        <f>SUMIF('内訳ﾘｽﾄ(4～3月)'!$D$26:$D$1004,$B46,'内訳ﾘｽﾄ(4～3月)'!J$26:J$1004)</f>
        <v>0</v>
      </c>
      <c r="H46" s="158">
        <f>SUMIF('内訳ﾘｽﾄ(4～3月)'!$D$26:$D$1004,$B46,'内訳ﾘｽﾄ(4～3月)'!K$26:K$1004)</f>
        <v>0</v>
      </c>
      <c r="I46" s="158">
        <f>SUMIF('内訳ﾘｽﾄ(4～3月)'!$D$26:$D$1004,$B46,'内訳ﾘｽﾄ(4～3月)'!L$26:L$1004)</f>
        <v>0</v>
      </c>
      <c r="J46" s="158">
        <f>SUMIF('内訳ﾘｽﾄ(4～3月)'!$D$26:$D$1004,$B46,'内訳ﾘｽﾄ(4～3月)'!M$26:M$1004)</f>
        <v>0</v>
      </c>
      <c r="K46" s="158">
        <f>SUMIF('内訳ﾘｽﾄ(4～3月)'!$D$26:$D$1004,$B46,'内訳ﾘｽﾄ(4～3月)'!N$26:N$1004)</f>
        <v>0</v>
      </c>
      <c r="L46" s="158">
        <f>SUMIF('内訳ﾘｽﾄ(4～3月)'!$D$26:$D$1004,$B46,'内訳ﾘｽﾄ(4～3月)'!O$26:O$1004)</f>
        <v>0</v>
      </c>
      <c r="M46" s="158">
        <f>SUMIF('内訳ﾘｽﾄ(4～3月)'!$D$26:$D$1004,$B46,'内訳ﾘｽﾄ(4～3月)'!P$26:P$1004)</f>
        <v>0</v>
      </c>
      <c r="N46" s="158">
        <f>SUMIF('内訳ﾘｽﾄ(4～3月)'!$D$26:$D$1004,$B46,'内訳ﾘｽﾄ(4～3月)'!Q$26:Q$1004)</f>
        <v>0</v>
      </c>
      <c r="O46" s="158">
        <f>SUMIF('内訳ﾘｽﾄ(4～3月)'!$D$26:$D$803,'採算表(VND)'!$B46,'内訳ﾘｽﾄ(4～3月)'!R$26:R$803)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SUMIF('内訳ﾘｽﾄ(4～3月)'!$D$26:$D$1004,$B47,'内訳ﾘｽﾄ(4～3月)'!F$26:F$1004)</f>
        <v>0</v>
      </c>
      <c r="D47" s="158">
        <f>SUMIF('内訳ﾘｽﾄ(4～3月)'!$D$26:$D$1004,$B47,'内訳ﾘｽﾄ(4～3月)'!G$26:G$1004)</f>
        <v>0</v>
      </c>
      <c r="E47" s="158">
        <f>SUMIF('内訳ﾘｽﾄ(4～3月)'!$D$26:$D$1004,$B47,'内訳ﾘｽﾄ(4～3月)'!H$26:H$1004)</f>
        <v>0</v>
      </c>
      <c r="F47" s="158">
        <f>SUMIF('内訳ﾘｽﾄ(4～3月)'!$D$26:$D$1004,$B47,'内訳ﾘｽﾄ(4～3月)'!I$26:I$1004)</f>
        <v>0</v>
      </c>
      <c r="G47" s="158">
        <f>SUMIF('内訳ﾘｽﾄ(4～3月)'!$D$26:$D$1004,$B47,'内訳ﾘｽﾄ(4～3月)'!J$26:J$1004)</f>
        <v>0</v>
      </c>
      <c r="H47" s="158">
        <f>SUMIF('内訳ﾘｽﾄ(4～3月)'!$D$26:$D$1004,$B47,'内訳ﾘｽﾄ(4～3月)'!K$26:K$1004)</f>
        <v>0</v>
      </c>
      <c r="I47" s="158">
        <f>SUMIF('内訳ﾘｽﾄ(4～3月)'!$D$26:$D$1004,$B47,'内訳ﾘｽﾄ(4～3月)'!L$26:L$1004)</f>
        <v>0</v>
      </c>
      <c r="J47" s="158">
        <f>SUMIF('内訳ﾘｽﾄ(4～3月)'!$D$26:$D$1004,$B47,'内訳ﾘｽﾄ(4～3月)'!M$26:M$1004)</f>
        <v>0</v>
      </c>
      <c r="K47" s="158">
        <f>SUMIF('内訳ﾘｽﾄ(4～3月)'!$D$26:$D$1004,$B47,'内訳ﾘｽﾄ(4～3月)'!N$26:N$1004)</f>
        <v>0</v>
      </c>
      <c r="L47" s="158">
        <f>SUMIF('内訳ﾘｽﾄ(4～3月)'!$D$26:$D$1004,$B47,'内訳ﾘｽﾄ(4～3月)'!O$26:O$1004)</f>
        <v>0</v>
      </c>
      <c r="M47" s="158">
        <f>SUMIF('内訳ﾘｽﾄ(4～3月)'!$D$26:$D$1004,$B47,'内訳ﾘｽﾄ(4～3月)'!P$26:P$1004)</f>
        <v>0</v>
      </c>
      <c r="N47" s="158">
        <f>SUMIF('内訳ﾘｽﾄ(4～3月)'!$D$26:$D$1004,$B47,'内訳ﾘｽﾄ(4～3月)'!Q$26:Q$1004)</f>
        <v>0</v>
      </c>
      <c r="O47" s="158">
        <f>SUMIF('内訳ﾘｽﾄ(4～3月)'!$D$26:$D$803,'採算表(VND)'!$B47,'内訳ﾘｽﾄ(4～3月)'!R$26:R$803)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SUMIF('内訳ﾘｽﾄ(4～3月)'!$D$26:$D$1004,$B48,'内訳ﾘｽﾄ(4～3月)'!F$26:F$1004)</f>
        <v>0</v>
      </c>
      <c r="D48" s="158">
        <f>SUMIF('内訳ﾘｽﾄ(4～3月)'!$D$26:$D$1004,$B48,'内訳ﾘｽﾄ(4～3月)'!G$26:G$1004)</f>
        <v>0</v>
      </c>
      <c r="E48" s="158">
        <f>SUMIF('内訳ﾘｽﾄ(4～3月)'!$D$26:$D$1004,$B48,'内訳ﾘｽﾄ(4～3月)'!H$26:H$1004)</f>
        <v>0</v>
      </c>
      <c r="F48" s="158">
        <f>SUMIF('内訳ﾘｽﾄ(4～3月)'!$D$26:$D$1004,$B48,'内訳ﾘｽﾄ(4～3月)'!I$26:I$1004)</f>
        <v>0</v>
      </c>
      <c r="G48" s="158">
        <f>SUMIF('内訳ﾘｽﾄ(4～3月)'!$D$26:$D$1004,$B48,'内訳ﾘｽﾄ(4～3月)'!J$26:J$1004)</f>
        <v>0</v>
      </c>
      <c r="H48" s="158">
        <f>SUMIF('内訳ﾘｽﾄ(4～3月)'!$D$26:$D$1004,$B48,'内訳ﾘｽﾄ(4～3月)'!K$26:K$1004)</f>
        <v>0</v>
      </c>
      <c r="I48" s="158">
        <f>SUMIF('内訳ﾘｽﾄ(4～3月)'!$D$26:$D$1004,$B48,'内訳ﾘｽﾄ(4～3月)'!L$26:L$1004)</f>
        <v>0</v>
      </c>
      <c r="J48" s="158">
        <f>SUMIF('内訳ﾘｽﾄ(4～3月)'!$D$26:$D$1004,$B48,'内訳ﾘｽﾄ(4～3月)'!M$26:M$1004)</f>
        <v>0</v>
      </c>
      <c r="K48" s="158">
        <f>SUMIF('内訳ﾘｽﾄ(4～3月)'!$D$26:$D$1004,$B48,'内訳ﾘｽﾄ(4～3月)'!N$26:N$1004)</f>
        <v>0</v>
      </c>
      <c r="L48" s="158">
        <f>SUMIF('内訳ﾘｽﾄ(4～3月)'!$D$26:$D$1004,$B48,'内訳ﾘｽﾄ(4～3月)'!O$26:O$1004)</f>
        <v>0</v>
      </c>
      <c r="M48" s="158">
        <f>SUMIF('内訳ﾘｽﾄ(4～3月)'!$D$26:$D$1004,$B48,'内訳ﾘｽﾄ(4～3月)'!P$26:P$1004)</f>
        <v>0</v>
      </c>
      <c r="N48" s="158">
        <f>SUMIF('内訳ﾘｽﾄ(4～3月)'!$D$26:$D$1004,$B48,'内訳ﾘｽﾄ(4～3月)'!Q$26:Q$1004)</f>
        <v>0</v>
      </c>
      <c r="O48" s="158">
        <f>SUMIF('内訳ﾘｽﾄ(4～3月)'!$D$26:$D$803,'採算表(VND)'!$B48,'内訳ﾘｽﾄ(4～3月)'!R$26:R$803)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SUMIF('内訳ﾘｽﾄ(4～3月)'!$D$26:$D$1004,$B49,'内訳ﾘｽﾄ(4～3月)'!F$26:F$1004)</f>
        <v>0</v>
      </c>
      <c r="D49" s="158">
        <f>SUMIF('内訳ﾘｽﾄ(4～3月)'!$D$26:$D$1004,$B49,'内訳ﾘｽﾄ(4～3月)'!G$26:G$1004)</f>
        <v>0</v>
      </c>
      <c r="E49" s="158">
        <f>SUMIF('内訳ﾘｽﾄ(4～3月)'!$D$26:$D$1004,$B49,'内訳ﾘｽﾄ(4～3月)'!H$26:H$1004)</f>
        <v>0</v>
      </c>
      <c r="F49" s="158">
        <f>SUMIF('内訳ﾘｽﾄ(4～3月)'!$D$26:$D$1004,$B49,'内訳ﾘｽﾄ(4～3月)'!I$26:I$1004)</f>
        <v>0</v>
      </c>
      <c r="G49" s="158">
        <f>SUMIF('内訳ﾘｽﾄ(4～3月)'!$D$26:$D$1004,$B49,'内訳ﾘｽﾄ(4～3月)'!J$26:J$1004)</f>
        <v>0</v>
      </c>
      <c r="H49" s="158">
        <f>SUMIF('内訳ﾘｽﾄ(4～3月)'!$D$26:$D$1004,$B49,'内訳ﾘｽﾄ(4～3月)'!K$26:K$1004)</f>
        <v>0</v>
      </c>
      <c r="I49" s="158">
        <f>SUMIF('内訳ﾘｽﾄ(4～3月)'!$D$26:$D$1004,$B49,'内訳ﾘｽﾄ(4～3月)'!L$26:L$1004)</f>
        <v>0</v>
      </c>
      <c r="J49" s="158">
        <f>SUMIF('内訳ﾘｽﾄ(4～3月)'!$D$26:$D$1004,$B49,'内訳ﾘｽﾄ(4～3月)'!M$26:M$1004)</f>
        <v>0</v>
      </c>
      <c r="K49" s="158">
        <f>SUMIF('内訳ﾘｽﾄ(4～3月)'!$D$26:$D$1004,$B49,'内訳ﾘｽﾄ(4～3月)'!N$26:N$1004)</f>
        <v>0</v>
      </c>
      <c r="L49" s="158">
        <f>SUMIF('内訳ﾘｽﾄ(4～3月)'!$D$26:$D$1004,$B49,'内訳ﾘｽﾄ(4～3月)'!O$26:O$1004)</f>
        <v>0</v>
      </c>
      <c r="M49" s="158">
        <f>SUMIF('内訳ﾘｽﾄ(4～3月)'!$D$26:$D$1004,$B49,'内訳ﾘｽﾄ(4～3月)'!P$26:P$1004)</f>
        <v>0</v>
      </c>
      <c r="N49" s="158">
        <f>SUMIF('内訳ﾘｽﾄ(4～3月)'!$D$26:$D$1004,$B49,'内訳ﾘｽﾄ(4～3月)'!Q$26:Q$1004)</f>
        <v>0</v>
      </c>
      <c r="O49" s="158">
        <f>SUMIF('内訳ﾘｽﾄ(4～3月)'!$D$26:$D$803,'採算表(VND)'!$B49,'内訳ﾘｽﾄ(4～3月)'!R$26:R$803)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SUMIF('内訳ﾘｽﾄ(4～3月)'!$D$26:$D$1004,$B50,'内訳ﾘｽﾄ(4～3月)'!F$26:F$1004)</f>
        <v>0</v>
      </c>
      <c r="D50" s="158">
        <f>SUMIF('内訳ﾘｽﾄ(4～3月)'!$D$26:$D$1004,$B50,'内訳ﾘｽﾄ(4～3月)'!G$26:G$1004)</f>
        <v>0</v>
      </c>
      <c r="E50" s="158">
        <f>SUMIF('内訳ﾘｽﾄ(4～3月)'!$D$26:$D$1004,$B50,'内訳ﾘｽﾄ(4～3月)'!H$26:H$1004)</f>
        <v>0</v>
      </c>
      <c r="F50" s="158">
        <f>SUMIF('内訳ﾘｽﾄ(4～3月)'!$D$26:$D$1004,$B50,'内訳ﾘｽﾄ(4～3月)'!I$26:I$1004)</f>
        <v>0</v>
      </c>
      <c r="G50" s="158">
        <f>SUMIF('内訳ﾘｽﾄ(4～3月)'!$D$26:$D$1004,$B50,'内訳ﾘｽﾄ(4～3月)'!J$26:J$1004)</f>
        <v>0</v>
      </c>
      <c r="H50" s="158">
        <f>SUMIF('内訳ﾘｽﾄ(4～3月)'!$D$26:$D$1004,$B50,'内訳ﾘｽﾄ(4～3月)'!K$26:K$1004)</f>
        <v>0</v>
      </c>
      <c r="I50" s="158">
        <f>SUMIF('内訳ﾘｽﾄ(4～3月)'!$D$26:$D$1004,$B50,'内訳ﾘｽﾄ(4～3月)'!L$26:L$1004)</f>
        <v>0</v>
      </c>
      <c r="J50" s="158">
        <f>SUMIF('内訳ﾘｽﾄ(4～3月)'!$D$26:$D$1004,$B50,'内訳ﾘｽﾄ(4～3月)'!M$26:M$1004)</f>
        <v>0</v>
      </c>
      <c r="K50" s="158">
        <f>SUMIF('内訳ﾘｽﾄ(4～3月)'!$D$26:$D$1004,$B50,'内訳ﾘｽﾄ(4～3月)'!N$26:N$1004)</f>
        <v>0</v>
      </c>
      <c r="L50" s="158">
        <f>SUMIF('内訳ﾘｽﾄ(4～3月)'!$D$26:$D$1004,$B50,'内訳ﾘｽﾄ(4～3月)'!O$26:O$1004)</f>
        <v>0</v>
      </c>
      <c r="M50" s="158">
        <f>SUMIF('内訳ﾘｽﾄ(4～3月)'!$D$26:$D$1004,$B50,'内訳ﾘｽﾄ(4～3月)'!P$26:P$1004)</f>
        <v>0</v>
      </c>
      <c r="N50" s="158">
        <f>SUMIF('内訳ﾘｽﾄ(4～3月)'!$D$26:$D$1004,$B50,'内訳ﾘｽﾄ(4～3月)'!Q$26:Q$1004)</f>
        <v>0</v>
      </c>
      <c r="O50" s="158">
        <f>SUMIF('内訳ﾘｽﾄ(4～3月)'!$D$26:$D$803,'採算表(VND)'!$B50,'内訳ﾘｽﾄ(4～3月)'!R$26:R$803)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SUMIF('内訳ﾘｽﾄ(4～3月)'!$D$26:$D$1004,$B51,'内訳ﾘｽﾄ(4～3月)'!F$26:F$1004)</f>
        <v>0</v>
      </c>
      <c r="D51" s="159">
        <f>SUMIF('内訳ﾘｽﾄ(4～3月)'!$D$26:$D$1004,$B51,'内訳ﾘｽﾄ(4～3月)'!G$26:G$1004)</f>
        <v>0</v>
      </c>
      <c r="E51" s="159">
        <f>SUMIF('内訳ﾘｽﾄ(4～3月)'!$D$26:$D$1004,$B51,'内訳ﾘｽﾄ(4～3月)'!H$26:H$1004)</f>
        <v>0</v>
      </c>
      <c r="F51" s="159">
        <f>SUMIF('内訳ﾘｽﾄ(4～3月)'!$D$26:$D$1004,$B51,'内訳ﾘｽﾄ(4～3月)'!I$26:I$1004)</f>
        <v>0</v>
      </c>
      <c r="G51" s="159">
        <f>SUMIF('内訳ﾘｽﾄ(4～3月)'!$D$26:$D$1004,$B51,'内訳ﾘｽﾄ(4～3月)'!J$26:J$1004)</f>
        <v>0</v>
      </c>
      <c r="H51" s="159">
        <f>SUMIF('内訳ﾘｽﾄ(4～3月)'!$D$26:$D$1004,$B51,'内訳ﾘｽﾄ(4～3月)'!K$26:K$1004)</f>
        <v>0</v>
      </c>
      <c r="I51" s="159">
        <f>SUMIF('内訳ﾘｽﾄ(4～3月)'!$D$26:$D$1004,$B51,'内訳ﾘｽﾄ(4～3月)'!L$26:L$1004)</f>
        <v>0</v>
      </c>
      <c r="J51" s="159">
        <f>SUMIF('内訳ﾘｽﾄ(4～3月)'!$D$26:$D$1004,$B51,'内訳ﾘｽﾄ(4～3月)'!M$26:M$1004)</f>
        <v>0</v>
      </c>
      <c r="K51" s="159">
        <f>SUMIF('内訳ﾘｽﾄ(4～3月)'!$D$26:$D$1004,$B51,'内訳ﾘｽﾄ(4～3月)'!N$26:N$1004)</f>
        <v>0</v>
      </c>
      <c r="L51" s="159">
        <f>SUMIF('内訳ﾘｽﾄ(4～3月)'!$D$26:$D$1004,$B51,'内訳ﾘｽﾄ(4～3月)'!O$26:O$1004)</f>
        <v>0</v>
      </c>
      <c r="M51" s="159">
        <f>SUMIF('内訳ﾘｽﾄ(4～3月)'!$D$26:$D$1004,$B51,'内訳ﾘｽﾄ(4～3月)'!P$26:P$1004)</f>
        <v>0</v>
      </c>
      <c r="N51" s="159">
        <f>SUMIF('内訳ﾘｽﾄ(4～3月)'!$D$26:$D$1004,$B51,'内訳ﾘｽﾄ(4～3月)'!Q$26:Q$1004)</f>
        <v>0</v>
      </c>
      <c r="O51" s="159">
        <f>SUMIF('内訳ﾘｽﾄ(4～3月)'!$D$26:$D$803,'採算表(VND)'!$B51,'内訳ﾘｽﾄ(4～3月)'!R$26:R$803)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SUMIF('内訳ﾘｽﾄ(4～3月)'!$D$26:$D$1004,$B52,'内訳ﾘｽﾄ(4～3月)'!F$26:F$1004)</f>
        <v>0</v>
      </c>
      <c r="D52" s="160">
        <f>SUMIF('内訳ﾘｽﾄ(4～3月)'!$D$26:$D$1004,$B52,'内訳ﾘｽﾄ(4～3月)'!G$26:G$1004)</f>
        <v>0</v>
      </c>
      <c r="E52" s="160">
        <f>SUMIF('内訳ﾘｽﾄ(4～3月)'!$D$26:$D$1004,$B52,'内訳ﾘｽﾄ(4～3月)'!H$26:H$1004)</f>
        <v>0</v>
      </c>
      <c r="F52" s="160">
        <f>SUMIF('内訳ﾘｽﾄ(4～3月)'!$D$26:$D$1004,$B52,'内訳ﾘｽﾄ(4～3月)'!I$26:I$1004)</f>
        <v>0</v>
      </c>
      <c r="G52" s="160">
        <f>SUMIF('内訳ﾘｽﾄ(4～3月)'!$D$26:$D$1004,$B52,'内訳ﾘｽﾄ(4～3月)'!J$26:J$1004)</f>
        <v>0</v>
      </c>
      <c r="H52" s="160">
        <f>SUMIF('内訳ﾘｽﾄ(4～3月)'!$D$26:$D$1004,$B52,'内訳ﾘｽﾄ(4～3月)'!K$26:K$1004)</f>
        <v>0</v>
      </c>
      <c r="I52" s="160">
        <f>SUMIF('内訳ﾘｽﾄ(4～3月)'!$D$26:$D$1004,$B52,'内訳ﾘｽﾄ(4～3月)'!L$26:L$1004)</f>
        <v>0</v>
      </c>
      <c r="J52" s="160">
        <f>SUMIF('内訳ﾘｽﾄ(4～3月)'!$D$26:$D$1004,$B52,'内訳ﾘｽﾄ(4～3月)'!M$26:M$1004)</f>
        <v>0</v>
      </c>
      <c r="K52" s="160">
        <f>SUMIF('内訳ﾘｽﾄ(4～3月)'!$D$26:$D$1004,$B52,'内訳ﾘｽﾄ(4～3月)'!N$26:N$1004)</f>
        <v>0</v>
      </c>
      <c r="L52" s="160">
        <f>SUMIF('内訳ﾘｽﾄ(4～3月)'!$D$26:$D$1004,$B52,'内訳ﾘｽﾄ(4～3月)'!O$26:O$1004)</f>
        <v>0</v>
      </c>
      <c r="M52" s="160">
        <f>SUMIF('内訳ﾘｽﾄ(4～3月)'!$D$26:$D$1004,$B52,'内訳ﾘｽﾄ(4～3月)'!P$26:P$1004)</f>
        <v>0</v>
      </c>
      <c r="N52" s="160">
        <f>SUMIF('内訳ﾘｽﾄ(4～3月)'!$D$26:$D$1004,$B52,'内訳ﾘｽﾄ(4～3月)'!Q$26:Q$1004)</f>
        <v>0</v>
      </c>
      <c r="O52" s="160">
        <f>SUMIF('内訳ﾘｽﾄ(4～3月)'!$D$26:$D$803,'採算表(VND)'!$B52,'内訳ﾘｽﾄ(4～3月)'!R$26:R$803)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SUMIF('内訳ﾘｽﾄ(4～3月)'!$D$26:$D$1004,$B53,'内訳ﾘｽﾄ(4～3月)'!F$26:F$1004)</f>
        <v>0</v>
      </c>
      <c r="D53" s="160">
        <f>SUMIF('内訳ﾘｽﾄ(4～3月)'!$D$26:$D$1004,$B53,'内訳ﾘｽﾄ(4～3月)'!G$26:G$1004)</f>
        <v>0</v>
      </c>
      <c r="E53" s="160">
        <f>SUMIF('内訳ﾘｽﾄ(4～3月)'!$D$26:$D$1004,$B53,'内訳ﾘｽﾄ(4～3月)'!H$26:H$1004)</f>
        <v>0</v>
      </c>
      <c r="F53" s="160">
        <f>SUMIF('内訳ﾘｽﾄ(4～3月)'!$D$26:$D$1004,$B53,'内訳ﾘｽﾄ(4～3月)'!I$26:I$1004)</f>
        <v>0</v>
      </c>
      <c r="G53" s="160">
        <f>SUMIF('内訳ﾘｽﾄ(4～3月)'!$D$26:$D$1004,$B53,'内訳ﾘｽﾄ(4～3月)'!J$26:J$1004)</f>
        <v>0</v>
      </c>
      <c r="H53" s="160">
        <f>SUMIF('内訳ﾘｽﾄ(4～3月)'!$D$26:$D$1004,$B53,'内訳ﾘｽﾄ(4～3月)'!K$26:K$1004)</f>
        <v>0</v>
      </c>
      <c r="I53" s="160">
        <f>SUMIF('内訳ﾘｽﾄ(4～3月)'!$D$26:$D$1004,$B53,'内訳ﾘｽﾄ(4～3月)'!L$26:L$1004)</f>
        <v>0</v>
      </c>
      <c r="J53" s="160">
        <f>SUMIF('内訳ﾘｽﾄ(4～3月)'!$D$26:$D$1004,$B53,'内訳ﾘｽﾄ(4～3月)'!M$26:M$1004)</f>
        <v>0</v>
      </c>
      <c r="K53" s="160">
        <f>SUMIF('内訳ﾘｽﾄ(4～3月)'!$D$26:$D$1004,$B53,'内訳ﾘｽﾄ(4～3月)'!N$26:N$1004)</f>
        <v>0</v>
      </c>
      <c r="L53" s="160">
        <f>SUMIF('内訳ﾘｽﾄ(4～3月)'!$D$26:$D$1004,$B53,'内訳ﾘｽﾄ(4～3月)'!O$26:O$1004)</f>
        <v>0</v>
      </c>
      <c r="M53" s="160">
        <f>SUMIF('内訳ﾘｽﾄ(4～3月)'!$D$26:$D$1004,$B53,'内訳ﾘｽﾄ(4～3月)'!P$26:P$1004)</f>
        <v>0</v>
      </c>
      <c r="N53" s="160">
        <f>SUMIF('内訳ﾘｽﾄ(4～3月)'!$D$26:$D$1004,$B53,'内訳ﾘｽﾄ(4～3月)'!Q$26:Q$1004)</f>
        <v>0</v>
      </c>
      <c r="O53" s="160">
        <f>SUMIF('内訳ﾘｽﾄ(4～3月)'!$D$26:$D$803,'採算表(VND)'!$B53,'内訳ﾘｽﾄ(4～3月)'!R$26:R$803)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SUMIF('内訳ﾘｽﾄ(4～3月)'!$D$26:$D$1004,$B54,'内訳ﾘｽﾄ(4～3月)'!F$26:F$1004)</f>
        <v>0</v>
      </c>
      <c r="D54" s="160">
        <f>SUMIF('内訳ﾘｽﾄ(4～3月)'!$D$26:$D$1004,$B54,'内訳ﾘｽﾄ(4～3月)'!G$26:G$1004)</f>
        <v>0</v>
      </c>
      <c r="E54" s="160">
        <f>SUMIF('内訳ﾘｽﾄ(4～3月)'!$D$26:$D$1004,$B54,'内訳ﾘｽﾄ(4～3月)'!H$26:H$1004)</f>
        <v>0</v>
      </c>
      <c r="F54" s="160">
        <f>SUMIF('内訳ﾘｽﾄ(4～3月)'!$D$26:$D$1004,$B54,'内訳ﾘｽﾄ(4～3月)'!I$26:I$1004)</f>
        <v>0</v>
      </c>
      <c r="G54" s="160">
        <f>SUMIF('内訳ﾘｽﾄ(4～3月)'!$D$26:$D$1004,$B54,'内訳ﾘｽﾄ(4～3月)'!J$26:J$1004)</f>
        <v>0</v>
      </c>
      <c r="H54" s="160">
        <f>SUMIF('内訳ﾘｽﾄ(4～3月)'!$D$26:$D$1004,$B54,'内訳ﾘｽﾄ(4～3月)'!K$26:K$1004)</f>
        <v>0</v>
      </c>
      <c r="I54" s="160">
        <f>SUMIF('内訳ﾘｽﾄ(4～3月)'!$D$26:$D$1004,$B54,'内訳ﾘｽﾄ(4～3月)'!L$26:L$1004)</f>
        <v>0</v>
      </c>
      <c r="J54" s="160">
        <f>SUMIF('内訳ﾘｽﾄ(4～3月)'!$D$26:$D$1004,$B54,'内訳ﾘｽﾄ(4～3月)'!M$26:M$1004)</f>
        <v>0</v>
      </c>
      <c r="K54" s="160">
        <f>SUMIF('内訳ﾘｽﾄ(4～3月)'!$D$26:$D$1004,$B54,'内訳ﾘｽﾄ(4～3月)'!N$26:N$1004)</f>
        <v>0</v>
      </c>
      <c r="L54" s="160">
        <f>SUMIF('内訳ﾘｽﾄ(4～3月)'!$D$26:$D$1004,$B54,'内訳ﾘｽﾄ(4～3月)'!O$26:O$1004)</f>
        <v>0</v>
      </c>
      <c r="M54" s="160">
        <f>SUMIF('内訳ﾘｽﾄ(4～3月)'!$D$26:$D$1004,$B54,'内訳ﾘｽﾄ(4～3月)'!P$26:P$1004)</f>
        <v>0</v>
      </c>
      <c r="N54" s="160">
        <f>SUMIF('内訳ﾘｽﾄ(4～3月)'!$D$26:$D$1004,$B54,'内訳ﾘｽﾄ(4～3月)'!Q$26:Q$1004)</f>
        <v>0</v>
      </c>
      <c r="O54" s="160">
        <f>SUMIF('内訳ﾘｽﾄ(4～3月)'!$D$26:$D$803,'採算表(VND)'!$B54,'内訳ﾘｽﾄ(4～3月)'!R$26:R$803)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SUMIF('内訳ﾘｽﾄ(4～3月)'!$D$26:$D$1004,$B55,'内訳ﾘｽﾄ(4～3月)'!F$26:F$1004)</f>
        <v>0</v>
      </c>
      <c r="D55" s="160">
        <f>SUMIF('内訳ﾘｽﾄ(4～3月)'!$D$26:$D$1004,$B55,'内訳ﾘｽﾄ(4～3月)'!G$26:G$1004)</f>
        <v>0</v>
      </c>
      <c r="E55" s="160">
        <f>SUMIF('内訳ﾘｽﾄ(4～3月)'!$D$26:$D$1004,$B55,'内訳ﾘｽﾄ(4～3月)'!H$26:H$1004)</f>
        <v>0</v>
      </c>
      <c r="F55" s="160">
        <f>SUMIF('内訳ﾘｽﾄ(4～3月)'!$D$26:$D$1004,$B55,'内訳ﾘｽﾄ(4～3月)'!I$26:I$1004)</f>
        <v>0</v>
      </c>
      <c r="G55" s="160">
        <f>SUMIF('内訳ﾘｽﾄ(4～3月)'!$D$26:$D$1004,$B55,'内訳ﾘｽﾄ(4～3月)'!J$26:J$1004)</f>
        <v>0</v>
      </c>
      <c r="H55" s="160">
        <f>SUMIF('内訳ﾘｽﾄ(4～3月)'!$D$26:$D$1004,$B55,'内訳ﾘｽﾄ(4～3月)'!K$26:K$1004)</f>
        <v>0</v>
      </c>
      <c r="I55" s="160">
        <f>SUMIF('内訳ﾘｽﾄ(4～3月)'!$D$26:$D$1004,$B55,'内訳ﾘｽﾄ(4～3月)'!L$26:L$1004)</f>
        <v>0</v>
      </c>
      <c r="J55" s="160">
        <f>SUMIF('内訳ﾘｽﾄ(4～3月)'!$D$26:$D$1004,$B55,'内訳ﾘｽﾄ(4～3月)'!M$26:M$1004)</f>
        <v>0</v>
      </c>
      <c r="K55" s="160">
        <f>SUMIF('内訳ﾘｽﾄ(4～3月)'!$D$26:$D$1004,$B55,'内訳ﾘｽﾄ(4～3月)'!N$26:N$1004)</f>
        <v>0</v>
      </c>
      <c r="L55" s="160">
        <f>SUMIF('内訳ﾘｽﾄ(4～3月)'!$D$26:$D$1004,$B55,'内訳ﾘｽﾄ(4～3月)'!O$26:O$1004)</f>
        <v>0</v>
      </c>
      <c r="M55" s="160">
        <f>SUMIF('内訳ﾘｽﾄ(4～3月)'!$D$26:$D$1004,$B55,'内訳ﾘｽﾄ(4～3月)'!P$26:P$1004)</f>
        <v>0</v>
      </c>
      <c r="N55" s="160">
        <f>SUMIF('内訳ﾘｽﾄ(4～3月)'!$D$26:$D$1004,$B55,'内訳ﾘｽﾄ(4～3月)'!Q$26:Q$1004)</f>
        <v>0</v>
      </c>
      <c r="O55" s="160">
        <f>SUMIF('内訳ﾘｽﾄ(4～3月)'!$D$26:$D$803,'採算表(VND)'!$B55,'内訳ﾘｽﾄ(4～3月)'!R$26:R$803)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SUMIF('内訳ﾘｽﾄ(4～3月)'!$D$26:$D$1004,$B56,'内訳ﾘｽﾄ(4～3月)'!F$26:F$1004)</f>
        <v>0</v>
      </c>
      <c r="D56" s="160">
        <f>SUMIF('内訳ﾘｽﾄ(4～3月)'!$D$26:$D$1004,$B56,'内訳ﾘｽﾄ(4～3月)'!G$26:G$1004)</f>
        <v>0</v>
      </c>
      <c r="E56" s="160">
        <f>SUMIF('内訳ﾘｽﾄ(4～3月)'!$D$26:$D$1004,$B56,'内訳ﾘｽﾄ(4～3月)'!H$26:H$1004)</f>
        <v>0</v>
      </c>
      <c r="F56" s="160">
        <f>SUMIF('内訳ﾘｽﾄ(4～3月)'!$D$26:$D$1004,$B56,'内訳ﾘｽﾄ(4～3月)'!I$26:I$1004)</f>
        <v>0</v>
      </c>
      <c r="G56" s="160">
        <f>SUMIF('内訳ﾘｽﾄ(4～3月)'!$D$26:$D$1004,$B56,'内訳ﾘｽﾄ(4～3月)'!J$26:J$1004)</f>
        <v>0</v>
      </c>
      <c r="H56" s="160">
        <f>SUMIF('内訳ﾘｽﾄ(4～3月)'!$D$26:$D$1004,$B56,'内訳ﾘｽﾄ(4～3月)'!K$26:K$1004)</f>
        <v>0</v>
      </c>
      <c r="I56" s="160">
        <f>SUMIF('内訳ﾘｽﾄ(4～3月)'!$D$26:$D$1004,$B56,'内訳ﾘｽﾄ(4～3月)'!L$26:L$1004)</f>
        <v>0</v>
      </c>
      <c r="J56" s="160">
        <f>SUMIF('内訳ﾘｽﾄ(4～3月)'!$D$26:$D$1004,$B56,'内訳ﾘｽﾄ(4～3月)'!M$26:M$1004)</f>
        <v>0</v>
      </c>
      <c r="K56" s="160">
        <f>SUMIF('内訳ﾘｽﾄ(4～3月)'!$D$26:$D$1004,$B56,'内訳ﾘｽﾄ(4～3月)'!N$26:N$1004)</f>
        <v>0</v>
      </c>
      <c r="L56" s="160">
        <f>SUMIF('内訳ﾘｽﾄ(4～3月)'!$D$26:$D$1004,$B56,'内訳ﾘｽﾄ(4～3月)'!O$26:O$1004)</f>
        <v>0</v>
      </c>
      <c r="M56" s="160">
        <f>SUMIF('内訳ﾘｽﾄ(4～3月)'!$D$26:$D$1004,$B56,'内訳ﾘｽﾄ(4～3月)'!P$26:P$1004)</f>
        <v>0</v>
      </c>
      <c r="N56" s="160">
        <f>SUMIF('内訳ﾘｽﾄ(4～3月)'!$D$26:$D$1004,$B56,'内訳ﾘｽﾄ(4～3月)'!Q$26:Q$1004)</f>
        <v>0</v>
      </c>
      <c r="O56" s="160">
        <f>SUMIF('内訳ﾘｽﾄ(4～3月)'!$D$26:$D$803,'採算表(VND)'!$B56,'内訳ﾘｽﾄ(4～3月)'!R$26:R$803)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SUMIF('内訳ﾘｽﾄ(4～3月)'!$D$26:$D$1004,$B57,'内訳ﾘｽﾄ(4～3月)'!F$26:F$1004)</f>
        <v>46211577</v>
      </c>
      <c r="D57" s="160">
        <f>SUMIF('内訳ﾘｽﾄ(4～3月)'!$D$26:$D$1004,$B57,'内訳ﾘｽﾄ(4～3月)'!G$26:G$1004)</f>
        <v>43752556</v>
      </c>
      <c r="E57" s="160">
        <f>SUMIF('内訳ﾘｽﾄ(4～3月)'!$D$26:$D$1004,$B57,'内訳ﾘｽﾄ(4～3月)'!H$26:H$1004)</f>
        <v>43910228</v>
      </c>
      <c r="F57" s="160">
        <f>SUMIF('内訳ﾘｽﾄ(4～3月)'!$D$26:$D$1004,$B57,'内訳ﾘｽﾄ(4～3月)'!I$26:I$1004)</f>
        <v>42737972</v>
      </c>
      <c r="G57" s="160">
        <f>SUMIF('内訳ﾘｽﾄ(4～3月)'!$D$26:$D$1004,$B57,'内訳ﾘｽﾄ(4～3月)'!J$26:J$1004)</f>
        <v>21106707</v>
      </c>
      <c r="H57" s="160">
        <f>SUMIF('内訳ﾘｽﾄ(4～3月)'!$D$26:$D$1004,$B57,'内訳ﾘｽﾄ(4～3月)'!K$26:K$1004)</f>
        <v>20599415</v>
      </c>
      <c r="I57" s="160">
        <f>SUMIF('内訳ﾘｽﾄ(4～3月)'!$D$26:$D$1004,$B57,'内訳ﾘｽﾄ(4～3月)'!L$26:L$1004)</f>
        <v>20361511</v>
      </c>
      <c r="J57" s="160">
        <f>SUMIF('内訳ﾘｽﾄ(4～3月)'!$D$26:$D$1004,$B57,'内訳ﾘｽﾄ(4～3月)'!M$26:M$1004)</f>
        <v>20319362</v>
      </c>
      <c r="K57" s="160">
        <f>SUMIF('内訳ﾘｽﾄ(4～3月)'!$D$26:$D$1004,$B57,'内訳ﾘｽﾄ(4～3月)'!N$26:N$1004)</f>
        <v>20350087</v>
      </c>
      <c r="L57" s="160">
        <f>SUMIF('内訳ﾘｽﾄ(4～3月)'!$D$26:$D$1004,$B57,'内訳ﾘｽﾄ(4～3月)'!O$26:O$1004)</f>
        <v>20261981</v>
      </c>
      <c r="M57" s="160">
        <f>SUMIF('内訳ﾘｽﾄ(4～3月)'!$D$26:$D$1004,$B57,'内訳ﾘｽﾄ(4～3月)'!P$26:P$1004)</f>
        <v>20326218</v>
      </c>
      <c r="N57" s="160">
        <f>SUMIF('内訳ﾘｽﾄ(4～3月)'!$D$26:$D$1004,$B57,'内訳ﾘｽﾄ(4～3月)'!Q$26:Q$1004)</f>
        <v>20673300</v>
      </c>
      <c r="O57" s="160">
        <f>SUMIF('内訳ﾘｽﾄ(4～3月)'!$D$26:$D$803,'採算表(VND)'!$B57,'内訳ﾘｽﾄ(4～3月)'!R$26:R$803)</f>
        <v>340610914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SUMIF('内訳ﾘｽﾄ(4～3月)'!$D$26:$D$1004,$B58,'内訳ﾘｽﾄ(4～3月)'!F$26:F$1004)</f>
        <v>0</v>
      </c>
      <c r="D58" s="160">
        <f>SUMIF('内訳ﾘｽﾄ(4～3月)'!$D$26:$D$1004,$B58,'内訳ﾘｽﾄ(4～3月)'!G$26:G$1004)</f>
        <v>0</v>
      </c>
      <c r="E58" s="160">
        <f>SUMIF('内訳ﾘｽﾄ(4～3月)'!$D$26:$D$1004,$B58,'内訳ﾘｽﾄ(4～3月)'!H$26:H$1004)</f>
        <v>0</v>
      </c>
      <c r="F58" s="160">
        <f>SUMIF('内訳ﾘｽﾄ(4～3月)'!$D$26:$D$1004,$B58,'内訳ﾘｽﾄ(4～3月)'!I$26:I$1004)</f>
        <v>0</v>
      </c>
      <c r="G58" s="160">
        <f>SUMIF('内訳ﾘｽﾄ(4～3月)'!$D$26:$D$1004,$B58,'内訳ﾘｽﾄ(4～3月)'!J$26:J$1004)</f>
        <v>0</v>
      </c>
      <c r="H58" s="160">
        <f>SUMIF('内訳ﾘｽﾄ(4～3月)'!$D$26:$D$1004,$B58,'内訳ﾘｽﾄ(4～3月)'!K$26:K$1004)</f>
        <v>0</v>
      </c>
      <c r="I58" s="160">
        <f>SUMIF('内訳ﾘｽﾄ(4～3月)'!$D$26:$D$1004,$B58,'内訳ﾘｽﾄ(4～3月)'!L$26:L$1004)</f>
        <v>0</v>
      </c>
      <c r="J58" s="160">
        <f>SUMIF('内訳ﾘｽﾄ(4～3月)'!$D$26:$D$1004,$B58,'内訳ﾘｽﾄ(4～3月)'!M$26:M$1004)</f>
        <v>0</v>
      </c>
      <c r="K58" s="160">
        <f>SUMIF('内訳ﾘｽﾄ(4～3月)'!$D$26:$D$1004,$B58,'内訳ﾘｽﾄ(4～3月)'!N$26:N$1004)</f>
        <v>0</v>
      </c>
      <c r="L58" s="160">
        <f>SUMIF('内訳ﾘｽﾄ(4～3月)'!$D$26:$D$1004,$B58,'内訳ﾘｽﾄ(4～3月)'!O$26:O$1004)</f>
        <v>0</v>
      </c>
      <c r="M58" s="160">
        <f>SUMIF('内訳ﾘｽﾄ(4～3月)'!$D$26:$D$1004,$B58,'内訳ﾘｽﾄ(4～3月)'!P$26:P$1004)</f>
        <v>0</v>
      </c>
      <c r="N58" s="160">
        <f>SUMIF('内訳ﾘｽﾄ(4～3月)'!$D$26:$D$1004,$B58,'内訳ﾘｽﾄ(4～3月)'!Q$26:Q$1004)</f>
        <v>0</v>
      </c>
      <c r="O58" s="160">
        <f>SUMIF('内訳ﾘｽﾄ(4～3月)'!$D$26:$D$803,'採算表(VND)'!$B58,'内訳ﾘｽﾄ(4～3月)'!R$26:R$803)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SUMIF('内訳ﾘｽﾄ(4～3月)'!$D$26:$D$1004,$B59,'内訳ﾘｽﾄ(4～3月)'!F$26:F$1004)</f>
        <v>0</v>
      </c>
      <c r="D59" s="160">
        <f>SUMIF('内訳ﾘｽﾄ(4～3月)'!$D$26:$D$1004,$B59,'内訳ﾘｽﾄ(4～3月)'!G$26:G$1004)</f>
        <v>0</v>
      </c>
      <c r="E59" s="160">
        <f>SUMIF('内訳ﾘｽﾄ(4～3月)'!$D$26:$D$1004,$B59,'内訳ﾘｽﾄ(4～3月)'!H$26:H$1004)</f>
        <v>0</v>
      </c>
      <c r="F59" s="160">
        <f>SUMIF('内訳ﾘｽﾄ(4～3月)'!$D$26:$D$1004,$B59,'内訳ﾘｽﾄ(4～3月)'!I$26:I$1004)</f>
        <v>0</v>
      </c>
      <c r="G59" s="160">
        <f>SUMIF('内訳ﾘｽﾄ(4～3月)'!$D$26:$D$1004,$B59,'内訳ﾘｽﾄ(4～3月)'!J$26:J$1004)</f>
        <v>0</v>
      </c>
      <c r="H59" s="160">
        <f>SUMIF('内訳ﾘｽﾄ(4～3月)'!$D$26:$D$1004,$B59,'内訳ﾘｽﾄ(4～3月)'!K$26:K$1004)</f>
        <v>0</v>
      </c>
      <c r="I59" s="160">
        <f>SUMIF('内訳ﾘｽﾄ(4～3月)'!$D$26:$D$1004,$B59,'内訳ﾘｽﾄ(4～3月)'!L$26:L$1004)</f>
        <v>0</v>
      </c>
      <c r="J59" s="160">
        <f>SUMIF('内訳ﾘｽﾄ(4～3月)'!$D$26:$D$1004,$B59,'内訳ﾘｽﾄ(4～3月)'!M$26:M$1004)</f>
        <v>0</v>
      </c>
      <c r="K59" s="160">
        <f>SUMIF('内訳ﾘｽﾄ(4～3月)'!$D$26:$D$1004,$B59,'内訳ﾘｽﾄ(4～3月)'!N$26:N$1004)</f>
        <v>0</v>
      </c>
      <c r="L59" s="160">
        <f>SUMIF('内訳ﾘｽﾄ(4～3月)'!$D$26:$D$1004,$B59,'内訳ﾘｽﾄ(4～3月)'!O$26:O$1004)</f>
        <v>0</v>
      </c>
      <c r="M59" s="160">
        <f>SUMIF('内訳ﾘｽﾄ(4～3月)'!$D$26:$D$1004,$B59,'内訳ﾘｽﾄ(4～3月)'!P$26:P$1004)</f>
        <v>0</v>
      </c>
      <c r="N59" s="160">
        <f>SUMIF('内訳ﾘｽﾄ(4～3月)'!$D$26:$D$1004,$B59,'内訳ﾘｽﾄ(4～3月)'!Q$26:Q$1004)</f>
        <v>0</v>
      </c>
      <c r="O59" s="160">
        <f>SUMIF('内訳ﾘｽﾄ(4～3月)'!$D$26:$D$803,'採算表(VND)'!$B59,'内訳ﾘｽﾄ(4～3月)'!R$26:R$803)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SUMIF('内訳ﾘｽﾄ(4～3月)'!$D$26:$D$1004,$B60,'内訳ﾘｽﾄ(4～3月)'!F$26:F$1004)</f>
        <v>0</v>
      </c>
      <c r="D60" s="160">
        <f>SUMIF('内訳ﾘｽﾄ(4～3月)'!$D$26:$D$1004,$B60,'内訳ﾘｽﾄ(4～3月)'!G$26:G$1004)</f>
        <v>0</v>
      </c>
      <c r="E60" s="160">
        <f>SUMIF('内訳ﾘｽﾄ(4～3月)'!$D$26:$D$1004,$B60,'内訳ﾘｽﾄ(4～3月)'!H$26:H$1004)</f>
        <v>0</v>
      </c>
      <c r="F60" s="160">
        <f>SUMIF('内訳ﾘｽﾄ(4～3月)'!$D$26:$D$1004,$B60,'内訳ﾘｽﾄ(4～3月)'!I$26:I$1004)</f>
        <v>0</v>
      </c>
      <c r="G60" s="160">
        <f>SUMIF('内訳ﾘｽﾄ(4～3月)'!$D$26:$D$1004,$B60,'内訳ﾘｽﾄ(4～3月)'!J$26:J$1004)</f>
        <v>0</v>
      </c>
      <c r="H60" s="160">
        <f>SUMIF('内訳ﾘｽﾄ(4～3月)'!$D$26:$D$1004,$B60,'内訳ﾘｽﾄ(4～3月)'!K$26:K$1004)</f>
        <v>0</v>
      </c>
      <c r="I60" s="160">
        <f>SUMIF('内訳ﾘｽﾄ(4～3月)'!$D$26:$D$1004,$B60,'内訳ﾘｽﾄ(4～3月)'!L$26:L$1004)</f>
        <v>0</v>
      </c>
      <c r="J60" s="160">
        <f>SUMIF('内訳ﾘｽﾄ(4～3月)'!$D$26:$D$1004,$B60,'内訳ﾘｽﾄ(4～3月)'!M$26:M$1004)</f>
        <v>0</v>
      </c>
      <c r="K60" s="160">
        <f>SUMIF('内訳ﾘｽﾄ(4～3月)'!$D$26:$D$1004,$B60,'内訳ﾘｽﾄ(4～3月)'!N$26:N$1004)</f>
        <v>0</v>
      </c>
      <c r="L60" s="160">
        <f>SUMIF('内訳ﾘｽﾄ(4～3月)'!$D$26:$D$1004,$B60,'内訳ﾘｽﾄ(4～3月)'!O$26:O$1004)</f>
        <v>0</v>
      </c>
      <c r="M60" s="160">
        <f>SUMIF('内訳ﾘｽﾄ(4～3月)'!$D$26:$D$1004,$B60,'内訳ﾘｽﾄ(4～3月)'!P$26:P$1004)</f>
        <v>0</v>
      </c>
      <c r="N60" s="160">
        <f>SUMIF('内訳ﾘｽﾄ(4～3月)'!$D$26:$D$1004,$B60,'内訳ﾘｽﾄ(4～3月)'!Q$26:Q$1004)</f>
        <v>0</v>
      </c>
      <c r="O60" s="160">
        <f>SUMIF('内訳ﾘｽﾄ(4～3月)'!$D$26:$D$803,'採算表(VND)'!$B60,'内訳ﾘｽﾄ(4～3月)'!R$26:R$803)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IF('内訳ﾘｽﾄ(4～3月)'!$D$5="製造",SUMIF('内訳ﾘｽﾄ(4～3月)'!$D$26:$D$1004,$B61,'内訳ﾘｽﾄ(4～3月)'!F$26:F$1004),IF('内訳ﾘｽﾄ(4～3月)'!$D$5="部内間接",-SUM(C$14:C$60,C$65),0))</f>
        <v>-511006405</v>
      </c>
      <c r="D61" s="160">
        <f>IF('内訳ﾘｽﾄ(4～3月)'!$D$5="製造",SUMIF('内訳ﾘｽﾄ(4～3月)'!$D$26:$D$1004,$B61,'内訳ﾘｽﾄ(4～3月)'!G$26:G$1004),IF('内訳ﾘｽﾄ(4～3月)'!$D$5="部内間接",-SUM(D$14:D$60,D$65),0))</f>
        <v>-736447527</v>
      </c>
      <c r="E61" s="160">
        <f>IF('内訳ﾘｽﾄ(4～3月)'!$D$5="製造",SUMIF('内訳ﾘｽﾄ(4～3月)'!$D$26:$D$1004,$B61,'内訳ﾘｽﾄ(4～3月)'!H$26:H$1004),IF('内訳ﾘｽﾄ(4～3月)'!$D$5="部内間接",-SUM(E$14:E$60,E$65),0))</f>
        <v>-329640069</v>
      </c>
      <c r="F61" s="160">
        <f>IF('内訳ﾘｽﾄ(4～3月)'!$D$5="製造",SUMIF('内訳ﾘｽﾄ(4～3月)'!$D$26:$D$1004,$B61,'内訳ﾘｽﾄ(4～3月)'!I$26:I$1004),IF('内訳ﾘｽﾄ(4～3月)'!$D$5="部内間接",-SUM(F$14:F$60,F$65),0))</f>
        <v>-295575098</v>
      </c>
      <c r="G61" s="160">
        <f>IF('内訳ﾘｽﾄ(4～3月)'!$D$5="製造",SUMIF('内訳ﾘｽﾄ(4～3月)'!$D$26:$D$1004,$B61,'内訳ﾘｽﾄ(4～3月)'!J$26:J$1004),IF('内訳ﾘｽﾄ(4～3月)'!$D$5="部内間接",-SUM(G$14:G$60,G$65),0))</f>
        <v>-122869681</v>
      </c>
      <c r="H61" s="160">
        <f>IF('内訳ﾘｽﾄ(4～3月)'!$D$5="製造",SUMIF('内訳ﾘｽﾄ(4～3月)'!$D$26:$D$1004,$B61,'内訳ﾘｽﾄ(4～3月)'!K$26:K$1004),IF('内訳ﾘｽﾄ(4～3月)'!$D$5="部内間接",-SUM(H$14:H$60,H$65),0))</f>
        <v>-127855273</v>
      </c>
      <c r="I61" s="160">
        <f>IF('内訳ﾘｽﾄ(4～3月)'!$D$5="製造",SUMIF('内訳ﾘｽﾄ(4～3月)'!$D$26:$D$1004,$B61,'内訳ﾘｽﾄ(4～3月)'!L$26:L$1004),IF('内訳ﾘｽﾄ(4～3月)'!$D$5="部内間接",-SUM(I$14:I$60,I$65),0))</f>
        <v>-106916421</v>
      </c>
      <c r="J61" s="160">
        <f>IF('内訳ﾘｽﾄ(4～3月)'!$D$5="製造",SUMIF('内訳ﾘｽﾄ(4～3月)'!$D$26:$D$1004,$B61,'内訳ﾘｽﾄ(4～3月)'!M$26:M$1004),IF('内訳ﾘｽﾄ(4～3月)'!$D$5="部内間接",-SUM(J$14:J$60,J$65),0))</f>
        <v>-101679511</v>
      </c>
      <c r="K61" s="160">
        <f>IF('内訳ﾘｽﾄ(4～3月)'!$D$5="製造",SUMIF('内訳ﾘｽﾄ(4～3月)'!$D$26:$D$1004,$B61,'内訳ﾘｽﾄ(4～3月)'!N$26:N$1004),IF('内訳ﾘｽﾄ(4～3月)'!$D$5="部内間接",-SUM(K$14:K$60,K$65),0))</f>
        <v>-125469873</v>
      </c>
      <c r="L61" s="160">
        <f>IF('内訳ﾘｽﾄ(4～3月)'!$D$5="製造",SUMIF('内訳ﾘｽﾄ(4～3月)'!$D$26:$D$1004,$B61,'内訳ﾘｽﾄ(4～3月)'!O$26:O$1004),IF('内訳ﾘｽﾄ(4～3月)'!$D$5="部内間接",-SUM(L$14:L$60,L$65),0))</f>
        <v>-79434677</v>
      </c>
      <c r="M61" s="160">
        <f>IF('内訳ﾘｽﾄ(4～3月)'!$D$5="製造",SUMIF('内訳ﾘｽﾄ(4～3月)'!$D$26:$D$1004,$B61,'内訳ﾘｽﾄ(4～3月)'!P$26:P$1004),IF('内訳ﾘｽﾄ(4～3月)'!$D$5="部内間接",-SUM(M$14:M$60,M$65),0))</f>
        <v>-98247648</v>
      </c>
      <c r="N61" s="160">
        <f>IF('内訳ﾘｽﾄ(4～3月)'!$D$5="製造",SUMIF('内訳ﾘｽﾄ(4～3月)'!$D$26:$D$1004,$B61,'内訳ﾘｽﾄ(4～3月)'!Q$26:Q$1004),IF('内訳ﾘｽﾄ(4～3月)'!$D$5="部内間接",-SUM(N$14:N$60,N$65),0))</f>
        <v>-79669917</v>
      </c>
      <c r="O61" s="160">
        <f>IF('内訳ﾘｽﾄ(4～3月)'!$D$5="部内間接",-SUM(O$65,O$14:O$60),IF('内訳ﾘｽﾄ(4～3月)'!$D$5="製造",SUMIF('内訳ﾘｽﾄ(4～3月)'!$D$26:$D$803,'採算表(VND)'!$B61,'内訳ﾘｽﾄ(4～3月)'!R$26:R$803),0))</f>
        <v>-2714812100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IF('内訳ﾘｽﾄ(4～3月)'!$D$5="製造",SUMIF('内訳ﾘｽﾄ(4～3月)'!$D$26:$D$1004,$B62,'内訳ﾘｽﾄ(4～3月)'!F$26:F$1004),IF('内訳ﾘｽﾄ(4～3月)'!$D$5="部外間接1",-SUM(C$14:C$60,C$65),0))</f>
        <v>0</v>
      </c>
      <c r="D62" s="160">
        <f>IF('内訳ﾘｽﾄ(4～3月)'!$D$5="製造",SUMIF('内訳ﾘｽﾄ(4～3月)'!$D$26:$D$1004,$B62,'内訳ﾘｽﾄ(4～3月)'!G$26:G$1004),IF('内訳ﾘｽﾄ(4～3月)'!$D$5="部外間接1",-SUM(D$14:D$60,D$65),0))</f>
        <v>0</v>
      </c>
      <c r="E62" s="160">
        <f>IF('内訳ﾘｽﾄ(4～3月)'!$D$5="製造",SUMIF('内訳ﾘｽﾄ(4～3月)'!$D$26:$D$1004,$B62,'内訳ﾘｽﾄ(4～3月)'!H$26:H$1004),IF('内訳ﾘｽﾄ(4～3月)'!$D$5="部外間接1",-SUM(E$14:E$60,E$65),0))</f>
        <v>0</v>
      </c>
      <c r="F62" s="160">
        <f>IF('内訳ﾘｽﾄ(4～3月)'!$D$5="製造",SUMIF('内訳ﾘｽﾄ(4～3月)'!$D$26:$D$1004,$B62,'内訳ﾘｽﾄ(4～3月)'!I$26:I$1004),IF('内訳ﾘｽﾄ(4～3月)'!$D$5="部外間接1",-SUM(F$14:F$60,F$65),0))</f>
        <v>0</v>
      </c>
      <c r="G62" s="160">
        <f>IF('内訳ﾘｽﾄ(4～3月)'!$D$5="製造",SUMIF('内訳ﾘｽﾄ(4～3月)'!$D$26:$D$1004,$B62,'内訳ﾘｽﾄ(4～3月)'!J$26:J$1004),IF('内訳ﾘｽﾄ(4～3月)'!$D$5="部外間接1",-SUM(G$14:G$60,G$65),0))</f>
        <v>0</v>
      </c>
      <c r="H62" s="160">
        <f>IF('内訳ﾘｽﾄ(4～3月)'!$D$5="製造",SUMIF('内訳ﾘｽﾄ(4～3月)'!$D$26:$D$1004,$B62,'内訳ﾘｽﾄ(4～3月)'!K$26:K$1004),IF('内訳ﾘｽﾄ(4～3月)'!$D$5="部外間接1",-SUM(H$14:H$60,H$65),0))</f>
        <v>0</v>
      </c>
      <c r="I62" s="160">
        <f>IF('内訳ﾘｽﾄ(4～3月)'!$D$5="製造",SUMIF('内訳ﾘｽﾄ(4～3月)'!$D$26:$D$1004,$B62,'内訳ﾘｽﾄ(4～3月)'!L$26:L$1004),IF('内訳ﾘｽﾄ(4～3月)'!$D$5="部外間接1",-SUM(I$14:I$60,I$65),0))</f>
        <v>0</v>
      </c>
      <c r="J62" s="160">
        <f>IF('内訳ﾘｽﾄ(4～3月)'!$D$5="製造",SUMIF('内訳ﾘｽﾄ(4～3月)'!$D$26:$D$1004,$B62,'内訳ﾘｽﾄ(4～3月)'!M$26:M$1004),IF('内訳ﾘｽﾄ(4～3月)'!$D$5="部外間接1",-SUM(J$14:J$60,J$65),0))</f>
        <v>0</v>
      </c>
      <c r="K62" s="160">
        <f>IF('内訳ﾘｽﾄ(4～3月)'!$D$5="製造",SUMIF('内訳ﾘｽﾄ(4～3月)'!$D$26:$D$1004,$B62,'内訳ﾘｽﾄ(4～3月)'!N$26:N$1004),IF('内訳ﾘｽﾄ(4～3月)'!$D$5="部外間接1",-SUM(K$14:K$60,K$65),0))</f>
        <v>0</v>
      </c>
      <c r="L62" s="160">
        <f>IF('内訳ﾘｽﾄ(4～3月)'!$D$5="製造",SUMIF('内訳ﾘｽﾄ(4～3月)'!$D$26:$D$1004,$B62,'内訳ﾘｽﾄ(4～3月)'!O$26:O$1004),IF('内訳ﾘｽﾄ(4～3月)'!$D$5="部外間接1",-SUM(L$14:L$60,L$65),0))</f>
        <v>0</v>
      </c>
      <c r="M62" s="160">
        <f>IF('内訳ﾘｽﾄ(4～3月)'!$D$5="製造",SUMIF('内訳ﾘｽﾄ(4～3月)'!$D$26:$D$1004,$B62,'内訳ﾘｽﾄ(4～3月)'!P$26:P$1004),IF('内訳ﾘｽﾄ(4～3月)'!$D$5="部外間接1",-SUM(M$14:M$60,M$65),0))</f>
        <v>0</v>
      </c>
      <c r="N62" s="160">
        <f>IF('内訳ﾘｽﾄ(4～3月)'!$D$5="製造",SUMIF('内訳ﾘｽﾄ(4～3月)'!$D$26:$D$1004,$B62,'内訳ﾘｽﾄ(4～3月)'!Q$26:Q$1004),IF('内訳ﾘｽﾄ(4～3月)'!$D$5="部外間接1",-SUM(N$14:N$60,N$65),0))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IF('内訳ﾘｽﾄ(4～3月)'!$D$5="部外間接1",-SUM(O$65,O$14:O$60),IF('内訳ﾘｽﾄ(4～3月)'!$D$5="製造",SUMIF('内訳ﾘｽﾄ(4～3月)'!$D$26:$D$803,'採算表(VND)'!$B62,'内訳ﾘｽﾄ(4～3月)'!R$26:R$803),0))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IF('内訳ﾘｽﾄ(4～3月)'!$D$5="製造",SUMIF('内訳ﾘｽﾄ(4～3月)'!$D$26:$D$1004,$B63,'内訳ﾘｽﾄ(4～3月)'!F$26:F$1004),IF('内訳ﾘｽﾄ(4～3月)'!$D$5="部外間接2",-SUM(C$14:C$60,C$65),0))</f>
        <v>0</v>
      </c>
      <c r="D63" s="160">
        <f>IF('内訳ﾘｽﾄ(4～3月)'!$D$5="製造",SUMIF('内訳ﾘｽﾄ(4～3月)'!$D$26:$D$1004,$B63,'内訳ﾘｽﾄ(4～3月)'!G$26:G$1004),IF('内訳ﾘｽﾄ(4～3月)'!$D$5="部外間接2",-SUM(D$14:D$60,D$65),0))</f>
        <v>0</v>
      </c>
      <c r="E63" s="160">
        <f>IF('内訳ﾘｽﾄ(4～3月)'!$D$5="製造",SUMIF('内訳ﾘｽﾄ(4～3月)'!$D$26:$D$1004,$B63,'内訳ﾘｽﾄ(4～3月)'!H$26:H$1004),IF('内訳ﾘｽﾄ(4～3月)'!$D$5="部外間接2",-SUM(E$14:E$60,E$65),0))</f>
        <v>0</v>
      </c>
      <c r="F63" s="160">
        <f>IF('内訳ﾘｽﾄ(4～3月)'!$D$5="製造",SUMIF('内訳ﾘｽﾄ(4～3月)'!$D$26:$D$1004,$B63,'内訳ﾘｽﾄ(4～3月)'!I$26:I$1004),IF('内訳ﾘｽﾄ(4～3月)'!$D$5="部外間接2",-SUM(F$14:F$60,F$65),0))</f>
        <v>0</v>
      </c>
      <c r="G63" s="160">
        <f>IF('内訳ﾘｽﾄ(4～3月)'!$D$5="製造",SUMIF('内訳ﾘｽﾄ(4～3月)'!$D$26:$D$1004,$B63,'内訳ﾘｽﾄ(4～3月)'!J$26:J$1004),IF('内訳ﾘｽﾄ(4～3月)'!$D$5="部外間接2",-SUM(G$14:G$60,G$65),0))</f>
        <v>0</v>
      </c>
      <c r="H63" s="160">
        <f>IF('内訳ﾘｽﾄ(4～3月)'!$D$5="製造",SUMIF('内訳ﾘｽﾄ(4～3月)'!$D$26:$D$1004,$B63,'内訳ﾘｽﾄ(4～3月)'!K$26:K$1004),IF('内訳ﾘｽﾄ(4～3月)'!$D$5="部外間接2",-SUM(H$14:H$60,H$65),0))</f>
        <v>0</v>
      </c>
      <c r="I63" s="160">
        <f>IF('内訳ﾘｽﾄ(4～3月)'!$D$5="製造",SUMIF('内訳ﾘｽﾄ(4～3月)'!$D$26:$D$1004,$B63,'内訳ﾘｽﾄ(4～3月)'!L$26:L$1004),IF('内訳ﾘｽﾄ(4～3月)'!$D$5="部外間接2",-SUM(I$14:I$60,I$65),0))</f>
        <v>0</v>
      </c>
      <c r="J63" s="160">
        <f>IF('内訳ﾘｽﾄ(4～3月)'!$D$5="製造",SUMIF('内訳ﾘｽﾄ(4～3月)'!$D$26:$D$1004,$B63,'内訳ﾘｽﾄ(4～3月)'!M$26:M$1004),IF('内訳ﾘｽﾄ(4～3月)'!$D$5="部外間接2",-SUM(J$14:J$60,J$65),0))</f>
        <v>0</v>
      </c>
      <c r="K63" s="160">
        <f>IF('内訳ﾘｽﾄ(4～3月)'!$D$5="製造",SUMIF('内訳ﾘｽﾄ(4～3月)'!$D$26:$D$1004,$B63,'内訳ﾘｽﾄ(4～3月)'!N$26:N$1004),IF('内訳ﾘｽﾄ(4～3月)'!$D$5="部外間接2",-SUM(K$14:K$60,K$65),0))</f>
        <v>0</v>
      </c>
      <c r="L63" s="160">
        <f>IF('内訳ﾘｽﾄ(4～3月)'!$D$5="製造",SUMIF('内訳ﾘｽﾄ(4～3月)'!$D$26:$D$1004,$B63,'内訳ﾘｽﾄ(4～3月)'!O$26:O$1004),IF('内訳ﾘｽﾄ(4～3月)'!$D$5="部外間接2",-SUM(L$14:L$60,L$65),0))</f>
        <v>0</v>
      </c>
      <c r="M63" s="160">
        <f>IF('内訳ﾘｽﾄ(4～3月)'!$D$5="製造",SUMIF('内訳ﾘｽﾄ(4～3月)'!$D$26:$D$1004,$B63,'内訳ﾘｽﾄ(4～3月)'!P$26:P$1004),IF('内訳ﾘｽﾄ(4～3月)'!$D$5="部外間接2",-SUM(M$14:M$60,M$65),0))</f>
        <v>0</v>
      </c>
      <c r="N63" s="160">
        <f>IF('内訳ﾘｽﾄ(4～3月)'!$D$5="製造",SUMIF('内訳ﾘｽﾄ(4～3月)'!$D$26:$D$1004,$B63,'内訳ﾘｽﾄ(4～3月)'!Q$26:Q$1004),IF('内訳ﾘｽﾄ(4～3月)'!$D$5="部外間接2",-SUM(N$14:N$60,N$65),0))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IF('内訳ﾘｽﾄ(4～3月)'!$D$5="部外間接2",-SUM(O$65,O$14:O$60),IF('内訳ﾘｽﾄ(4～3月)'!$D$5="製造",SUMIF('内訳ﾘｽﾄ(4～3月)'!$D$26:$D$803,'採算表(VND)'!$B63,'内訳ﾘｽﾄ(4～3月)'!R$26:R$803),0))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IF('内訳ﾘｽﾄ(4～3月)'!$D$5="製造",SUMIF('内訳ﾘｽﾄ(4～3月)'!$D$26:$D$1004,$B64,'内訳ﾘｽﾄ(4～3月)'!F$26:F$1004),IF('内訳ﾘｽﾄ(4～3月)'!$D$5="工場間接",-SUM(C$14:C$60,C$65),0))</f>
        <v>0</v>
      </c>
      <c r="D64" s="160">
        <f>IF('内訳ﾘｽﾄ(4～3月)'!$D$5="製造",SUMIF('内訳ﾘｽﾄ(4～3月)'!$D$26:$D$1004,$B64,'内訳ﾘｽﾄ(4～3月)'!G$26:G$1004),IF('内訳ﾘｽﾄ(4～3月)'!$D$5="工場間接",-SUM(D$14:D$60,D$65),0))</f>
        <v>0</v>
      </c>
      <c r="E64" s="160">
        <f>IF('内訳ﾘｽﾄ(4～3月)'!$D$5="製造",SUMIF('内訳ﾘｽﾄ(4～3月)'!$D$26:$D$1004,$B64,'内訳ﾘｽﾄ(4～3月)'!H$26:H$1004),IF('内訳ﾘｽﾄ(4～3月)'!$D$5="工場間接",-SUM(E$14:E$60,E$65),0))</f>
        <v>0</v>
      </c>
      <c r="F64" s="160">
        <f>IF('内訳ﾘｽﾄ(4～3月)'!$D$5="製造",SUMIF('内訳ﾘｽﾄ(4～3月)'!$D$26:$D$1004,$B64,'内訳ﾘｽﾄ(4～3月)'!I$26:I$1004),IF('内訳ﾘｽﾄ(4～3月)'!$D$5="工場間接",-SUM(F$14:F$60,F$65),0))</f>
        <v>0</v>
      </c>
      <c r="G64" s="160">
        <f>IF('内訳ﾘｽﾄ(4～3月)'!$D$5="製造",SUMIF('内訳ﾘｽﾄ(4～3月)'!$D$26:$D$1004,$B64,'内訳ﾘｽﾄ(4～3月)'!J$26:J$1004),IF('内訳ﾘｽﾄ(4～3月)'!$D$5="工場間接",-SUM(G$14:G$60,G$65),0))</f>
        <v>0</v>
      </c>
      <c r="H64" s="160">
        <f>IF('内訳ﾘｽﾄ(4～3月)'!$D$5="製造",SUMIF('内訳ﾘｽﾄ(4～3月)'!$D$26:$D$1004,$B64,'内訳ﾘｽﾄ(4～3月)'!K$26:K$1004),IF('内訳ﾘｽﾄ(4～3月)'!$D$5="工場間接",-SUM(H$14:H$60,H$65),0))</f>
        <v>0</v>
      </c>
      <c r="I64" s="160">
        <f>IF('内訳ﾘｽﾄ(4～3月)'!$D$5="製造",SUMIF('内訳ﾘｽﾄ(4～3月)'!$D$26:$D$1004,$B64,'内訳ﾘｽﾄ(4～3月)'!L$26:L$1004),IF('内訳ﾘｽﾄ(4～3月)'!$D$5="工場間接",-SUM(I$14:I$60,I$65),0))</f>
        <v>0</v>
      </c>
      <c r="J64" s="160">
        <f>IF('内訳ﾘｽﾄ(4～3月)'!$D$5="製造",SUMIF('内訳ﾘｽﾄ(4～3月)'!$D$26:$D$1004,$B64,'内訳ﾘｽﾄ(4～3月)'!M$26:M$1004),IF('内訳ﾘｽﾄ(4～3月)'!$D$5="工場間接",-SUM(J$14:J$60,J$65),0))</f>
        <v>0</v>
      </c>
      <c r="K64" s="160">
        <f>IF('内訳ﾘｽﾄ(4～3月)'!$D$5="製造",SUMIF('内訳ﾘｽﾄ(4～3月)'!$D$26:$D$1004,$B64,'内訳ﾘｽﾄ(4～3月)'!N$26:N$1004),IF('内訳ﾘｽﾄ(4～3月)'!$D$5="工場間接",-SUM(K$14:K$60,K$65),0))</f>
        <v>0</v>
      </c>
      <c r="L64" s="160">
        <f>IF('内訳ﾘｽﾄ(4～3月)'!$D$5="製造",SUMIF('内訳ﾘｽﾄ(4～3月)'!$D$26:$D$1004,$B64,'内訳ﾘｽﾄ(4～3月)'!O$26:O$1004),IF('内訳ﾘｽﾄ(4～3月)'!$D$5="工場間接",-SUM(L$14:L$60,L$65),0))</f>
        <v>0</v>
      </c>
      <c r="M64" s="160">
        <f>IF('内訳ﾘｽﾄ(4～3月)'!$D$5="製造",SUMIF('内訳ﾘｽﾄ(4～3月)'!$D$26:$D$1004,$B64,'内訳ﾘｽﾄ(4～3月)'!P$26:P$1004),IF('内訳ﾘｽﾄ(4～3月)'!$D$5="工場間接",-SUM(M$14:M$60,M$65),0))</f>
        <v>0</v>
      </c>
      <c r="N64" s="160">
        <f>IF('内訳ﾘｽﾄ(4～3月)'!$D$5="製造",SUMIF('内訳ﾘｽﾄ(4～3月)'!$D$26:$D$1004,$B64,'内訳ﾘｽﾄ(4～3月)'!Q$26:Q$1004),IF('内訳ﾘｽﾄ(4～3月)'!$D$5="工場間接",-SUM(N$14:N$60,N$65),0))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IF('内訳ﾘｽﾄ(4～3月)'!$D$5="工場間接",-SUM(O$65,O$14:O$60),IF('内訳ﾘｽﾄ(4～3月)'!$D$5="製造",SUMIF('内訳ﾘｽﾄ(4～3月)'!$D$26:$D$803,'採算表(VND)'!$B64,'内訳ﾘｽﾄ(4～3月)'!R$26:R$803),0))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SUMIF('内訳ﾘｽﾄ(4～3月)'!$D$26:$D$1004,$B65,'内訳ﾘｽﾄ(4～3月)'!F$26:F$1004)</f>
        <v>0</v>
      </c>
      <c r="D65" s="158">
        <f>SUMIF('内訳ﾘｽﾄ(4～3月)'!$D$26:$D$1004,$B65,'内訳ﾘｽﾄ(4～3月)'!G$26:G$1004)</f>
        <v>0</v>
      </c>
      <c r="E65" s="158">
        <f>SUMIF('内訳ﾘｽﾄ(4～3月)'!$D$26:$D$1004,$B65,'内訳ﾘｽﾄ(4～3月)'!H$26:H$1004)</f>
        <v>0</v>
      </c>
      <c r="F65" s="158">
        <f>SUMIF('内訳ﾘｽﾄ(4～3月)'!$D$26:$D$1004,$B65,'内訳ﾘｽﾄ(4～3月)'!I$26:I$1004)</f>
        <v>0</v>
      </c>
      <c r="G65" s="158">
        <f>SUMIF('内訳ﾘｽﾄ(4～3月)'!$D$26:$D$1004,$B65,'内訳ﾘｽﾄ(4～3月)'!J$26:J$1004)</f>
        <v>0</v>
      </c>
      <c r="H65" s="158">
        <f>SUMIF('内訳ﾘｽﾄ(4～3月)'!$D$26:$D$1004,$B65,'内訳ﾘｽﾄ(4～3月)'!K$26:K$1004)</f>
        <v>0</v>
      </c>
      <c r="I65" s="158">
        <f>SUMIF('内訳ﾘｽﾄ(4～3月)'!$D$26:$D$1004,$B65,'内訳ﾘｽﾄ(4～3月)'!L$26:L$1004)</f>
        <v>0</v>
      </c>
      <c r="J65" s="158">
        <f>SUMIF('内訳ﾘｽﾄ(4～3月)'!$D$26:$D$1004,$B65,'内訳ﾘｽﾄ(4～3月)'!M$26:M$1004)</f>
        <v>0</v>
      </c>
      <c r="K65" s="158">
        <f>SUMIF('内訳ﾘｽﾄ(4～3月)'!$D$26:$D$1004,$B65,'内訳ﾘｽﾄ(4～3月)'!N$26:N$1004)</f>
        <v>0</v>
      </c>
      <c r="L65" s="158">
        <f>SUMIF('内訳ﾘｽﾄ(4～3月)'!$D$26:$D$1004,$B65,'内訳ﾘｽﾄ(4～3月)'!O$26:O$1004)</f>
        <v>0</v>
      </c>
      <c r="M65" s="158">
        <f>SUMIF('内訳ﾘｽﾄ(4～3月)'!$D$26:$D$1004,$B65,'内訳ﾘｽﾄ(4～3月)'!P$26:P$1004)</f>
        <v>0</v>
      </c>
      <c r="N65" s="158">
        <f>SUMIF('内訳ﾘｽﾄ(4～3月)'!$D$26:$D$1004,$B65,'内訳ﾘｽﾄ(4～3月)'!Q$26:Q$1004)</f>
        <v>0</v>
      </c>
      <c r="O65" s="158">
        <f>SUMIF('内訳ﾘｽﾄ(4～3月)'!$D$26:$D$803,'採算表(VND)'!$B65,'内訳ﾘｽﾄ(4～3月)'!R$26:R$803)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31644</v>
      </c>
      <c r="D68" s="162">
        <f>SUMIF('内訳ﾘｽﾄ(4～3月)'!$D$8:$D$15,'採算表(VND)'!$B68,'内訳ﾘｽﾄ(4～3月)'!G$8:G$15)</f>
        <v>30078</v>
      </c>
      <c r="E68" s="162">
        <f>SUMIF('内訳ﾘｽﾄ(4～3月)'!$D$8:$D$15,'採算表(VND)'!$B68,'内訳ﾘｽﾄ(4～3月)'!H$8:H$15)</f>
        <v>33244</v>
      </c>
      <c r="F68" s="162">
        <f>SUMIF('内訳ﾘｽﾄ(4～3月)'!$D$8:$D$15,'採算表(VND)'!$B68,'内訳ﾘｽﾄ(4～3月)'!I$8:I$15)</f>
        <v>5169</v>
      </c>
      <c r="G68" s="162">
        <f>SUMIF('内訳ﾘｽﾄ(4～3月)'!$D$8:$D$15,'採算表(VND)'!$B68,'内訳ﾘｽﾄ(4～3月)'!J$8:J$15)</f>
        <v>4452.5</v>
      </c>
      <c r="H68" s="162">
        <f>SUMIF('内訳ﾘｽﾄ(4～3月)'!$D$8:$D$15,'採算表(VND)'!$B68,'内訳ﾘｽﾄ(4～3月)'!K$8:K$15)</f>
        <v>4253</v>
      </c>
      <c r="I68" s="162">
        <f>SUMIF('内訳ﾘｽﾄ(4～3月)'!$D$8:$D$15,'採算表(VND)'!$B68,'内訳ﾘｽﾄ(4～3月)'!L$8:L$15)</f>
        <v>5904</v>
      </c>
      <c r="J68" s="162">
        <f>SUMIF('内訳ﾘｽﾄ(4～3月)'!$D$8:$D$15,'採算表(VND)'!$B68,'内訳ﾘｽﾄ(4～3月)'!M$8:M$15)</f>
        <v>5134</v>
      </c>
      <c r="K68" s="162">
        <f>SUMIF('内訳ﾘｽﾄ(4～3月)'!$D$8:$D$15,'採算表(VND)'!$B68,'内訳ﾘｽﾄ(4～3月)'!N$8:N$15)</f>
        <v>5630</v>
      </c>
      <c r="L68" s="162">
        <f>SUMIF('内訳ﾘｽﾄ(4～3月)'!$D$8:$D$15,'採算表(VND)'!$B68,'内訳ﾘｽﾄ(4～3月)'!O$8:O$15)</f>
        <v>5260</v>
      </c>
      <c r="M68" s="162">
        <f>SUMIF('内訳ﾘｽﾄ(4～3月)'!$D$8:$D$15,'採算表(VND)'!$B68,'内訳ﾘｽﾄ(4～3月)'!P$8:P$15)</f>
        <v>4330</v>
      </c>
      <c r="N68" s="162">
        <f>SUMIF('内訳ﾘｽﾄ(4～3月)'!$D$8:$D$15,'採算表(VND)'!$B68,'内訳ﾘｽﾄ(4～3月)'!Q$8:Q$15)</f>
        <v>5773</v>
      </c>
      <c r="O68" s="162">
        <f>SUMIF('内訳ﾘｽﾄ(4～3月)'!$D$8:$D$15,'採算表(VND)'!$B68,'内訳ﾘｽﾄ(4～3月)'!$R$8:$R$15)</f>
        <v>140871.5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-31644</v>
      </c>
      <c r="D69" s="163">
        <f>IF('内訳ﾘｽﾄ(4～3月)'!$D$5="製造",SUMIF('内訳ﾘｽﾄ(4～3月)'!$D$8:$D$15,$B69,'内訳ﾘｽﾄ(4～3月)'!G$8:G$15),IF('内訳ﾘｽﾄ(4～3月)'!$D$5="部内間接",-D$68,0))</f>
        <v>-30078</v>
      </c>
      <c r="E69" s="163">
        <f>IF('内訳ﾘｽﾄ(4～3月)'!$D$5="製造",SUMIF('内訳ﾘｽﾄ(4～3月)'!$D$8:$D$15,$B69,'内訳ﾘｽﾄ(4～3月)'!H$8:H$15),IF('内訳ﾘｽﾄ(4～3月)'!$D$5="部内間接",-E$68,0))</f>
        <v>-33244</v>
      </c>
      <c r="F69" s="163">
        <f>IF('内訳ﾘｽﾄ(4～3月)'!$D$5="製造",SUMIF('内訳ﾘｽﾄ(4～3月)'!$D$8:$D$15,$B69,'内訳ﾘｽﾄ(4～3月)'!I$8:I$15),IF('内訳ﾘｽﾄ(4～3月)'!$D$5="部内間接",-F$68,0))</f>
        <v>-5169</v>
      </c>
      <c r="G69" s="163">
        <f>IF('内訳ﾘｽﾄ(4～3月)'!$D$5="製造",SUMIF('内訳ﾘｽﾄ(4～3月)'!$D$8:$D$15,$B69,'内訳ﾘｽﾄ(4～3月)'!J$8:J$15),IF('内訳ﾘｽﾄ(4～3月)'!$D$5="部内間接",-G$68,0))</f>
        <v>-4452.5</v>
      </c>
      <c r="H69" s="163">
        <f>IF('内訳ﾘｽﾄ(4～3月)'!$D$5="製造",SUMIF('内訳ﾘｽﾄ(4～3月)'!$D$8:$D$15,$B69,'内訳ﾘｽﾄ(4～3月)'!K$8:K$15),IF('内訳ﾘｽﾄ(4～3月)'!$D$5="部内間接",-H$68,0))</f>
        <v>-4253</v>
      </c>
      <c r="I69" s="163">
        <f>IF('内訳ﾘｽﾄ(4～3月)'!$D$5="製造",SUMIF('内訳ﾘｽﾄ(4～3月)'!$D$8:$D$15,$B69,'内訳ﾘｽﾄ(4～3月)'!L$8:L$15),IF('内訳ﾘｽﾄ(4～3月)'!$D$5="部内間接",-I$68,0))</f>
        <v>-5904</v>
      </c>
      <c r="J69" s="163">
        <f>IF('内訳ﾘｽﾄ(4～3月)'!$D$5="製造",SUMIF('内訳ﾘｽﾄ(4～3月)'!$D$8:$D$15,$B69,'内訳ﾘｽﾄ(4～3月)'!M$8:M$15),IF('内訳ﾘｽﾄ(4～3月)'!$D$5="部内間接",-J$68,0))</f>
        <v>-5134</v>
      </c>
      <c r="K69" s="163">
        <f>IF('内訳ﾘｽﾄ(4～3月)'!$D$5="製造",SUMIF('内訳ﾘｽﾄ(4～3月)'!$D$8:$D$15,$B69,'内訳ﾘｽﾄ(4～3月)'!N$8:N$15),IF('内訳ﾘｽﾄ(4～3月)'!$D$5="部内間接",-K$68,0))</f>
        <v>-5630</v>
      </c>
      <c r="L69" s="163">
        <f>IF('内訳ﾘｽﾄ(4～3月)'!$D$5="製造",SUMIF('内訳ﾘｽﾄ(4～3月)'!$D$8:$D$15,$B69,'内訳ﾘｽﾄ(4～3月)'!O$8:O$15),IF('内訳ﾘｽﾄ(4～3月)'!$D$5="部内間接",-L$68,0))</f>
        <v>-5260</v>
      </c>
      <c r="M69" s="163">
        <f>IF('内訳ﾘｽﾄ(4～3月)'!$D$5="製造",SUMIF('内訳ﾘｽﾄ(4～3月)'!$D$8:$D$15,$B69,'内訳ﾘｽﾄ(4～3月)'!P$8:P$15),IF('内訳ﾘｽﾄ(4～3月)'!$D$5="部内間接",-M$68,0))</f>
        <v>-4330</v>
      </c>
      <c r="N69" s="163">
        <f>IF('内訳ﾘｽﾄ(4～3月)'!$D$5="製造",SUMIF('内訳ﾘｽﾄ(4～3月)'!$D$8:$D$15,$B69,'内訳ﾘｽﾄ(4～3月)'!Q$8:Q$15),IF('内訳ﾘｽﾄ(4～3月)'!$D$5="部内間接",-N$68,0))</f>
        <v>-5773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-140871.5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5021</v>
      </c>
      <c r="D74" s="162">
        <f>SUMIF('内訳ﾘｽﾄ(4～3月)'!$D$16:$D$23,'採算表(VND)'!$B74,'内訳ﾘｽﾄ(4～3月)'!G$16:G$23)</f>
        <v>5015</v>
      </c>
      <c r="E74" s="162">
        <f>SUMIF('内訳ﾘｽﾄ(4～3月)'!$D$16:$D$23,'採算表(VND)'!$B74,'内訳ﾘｽﾄ(4～3月)'!H$16:H$23)</f>
        <v>5035</v>
      </c>
      <c r="F74" s="162">
        <f>SUMIF('内訳ﾘｽﾄ(4～3月)'!$D$16:$D$23,'採算表(VND)'!$B74,'内訳ﾘｽﾄ(4～3月)'!I$16:I$23)</f>
        <v>763</v>
      </c>
      <c r="G74" s="162">
        <f>SUMIF('内訳ﾘｽﾄ(4～3月)'!$D$16:$D$23,'採算表(VND)'!$B74,'内訳ﾘｽﾄ(4～3月)'!J$16:J$23)</f>
        <v>735</v>
      </c>
      <c r="H74" s="162">
        <f>SUMIF('内訳ﾘｽﾄ(4～3月)'!$D$16:$D$23,'採算表(VND)'!$B74,'内訳ﾘｽﾄ(4～3月)'!K$16:K$23)</f>
        <v>735</v>
      </c>
      <c r="I74" s="162">
        <f>SUMIF('内訳ﾘｽﾄ(4～3月)'!$D$16:$D$23,'採算表(VND)'!$B74,'内訳ﾘｽﾄ(4～3月)'!L$16:L$23)</f>
        <v>863</v>
      </c>
      <c r="J74" s="162">
        <f>SUMIF('内訳ﾘｽﾄ(4～3月)'!$D$16:$D$23,'採算表(VND)'!$B74,'内訳ﾘｽﾄ(4～3月)'!M$16:M$23)</f>
        <v>845</v>
      </c>
      <c r="K74" s="162">
        <f>SUMIF('内訳ﾘｽﾄ(4～3月)'!$D$16:$D$23,'採算表(VND)'!$B74,'内訳ﾘｽﾄ(4～3月)'!N$16:N$23)</f>
        <v>853</v>
      </c>
      <c r="L74" s="162">
        <f>SUMIF('内訳ﾘｽﾄ(4～3月)'!$D$16:$D$23,'採算表(VND)'!$B74,'内訳ﾘｽﾄ(4～3月)'!O$16:O$23)</f>
        <v>862</v>
      </c>
      <c r="M74" s="162">
        <f>SUMIF('内訳ﾘｽﾄ(4～3月)'!$D$16:$D$23,'採算表(VND)'!$B74,'内訳ﾘｽﾄ(4～3月)'!P$16:P$23)</f>
        <v>915</v>
      </c>
      <c r="N74" s="162">
        <f>SUMIF('内訳ﾘｽﾄ(4～3月)'!$D$16:$D$23,'採算表(VND)'!$B74,'内訳ﾘｽﾄ(4～3月)'!Q$16:Q$23)</f>
        <v>945</v>
      </c>
      <c r="O74" s="162">
        <f>SUMIF('内訳ﾘｽﾄ(4～3月)'!$D$16:$D$23,'採算表(VND)'!$B74,'内訳ﾘｽﾄ(4～3月)'!$R$16:$R$23)</f>
        <v>22587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-5021</v>
      </c>
      <c r="D75" s="163">
        <f>IF('内訳ﾘｽﾄ(4～3月)'!$D$5="製造",SUMIF('内訳ﾘｽﾄ(4～3月)'!$D$16:$D$23,$B75,'内訳ﾘｽﾄ(4～3月)'!G$16:G$23),IF('内訳ﾘｽﾄ(4～3月)'!$D$5="部内間接",-D$74,0))</f>
        <v>-5015</v>
      </c>
      <c r="E75" s="163">
        <f>IF('内訳ﾘｽﾄ(4～3月)'!$D$5="製造",SUMIF('内訳ﾘｽﾄ(4～3月)'!$D$16:$D$23,$B75,'内訳ﾘｽﾄ(4～3月)'!H$16:H$23),IF('内訳ﾘｽﾄ(4～3月)'!$D$5="部内間接",-E$74,0))</f>
        <v>-5035</v>
      </c>
      <c r="F75" s="163">
        <f>IF('内訳ﾘｽﾄ(4～3月)'!$D$5="製造",SUMIF('内訳ﾘｽﾄ(4～3月)'!$D$16:$D$23,$B75,'内訳ﾘｽﾄ(4～3月)'!I$16:I$23),IF('内訳ﾘｽﾄ(4～3月)'!$D$5="部内間接",-F$74,0))</f>
        <v>-763</v>
      </c>
      <c r="G75" s="163">
        <f>IF('内訳ﾘｽﾄ(4～3月)'!$D$5="製造",SUMIF('内訳ﾘｽﾄ(4～3月)'!$D$16:$D$23,$B75,'内訳ﾘｽﾄ(4～3月)'!J$16:J$23),IF('内訳ﾘｽﾄ(4～3月)'!$D$5="部内間接",-G$74,0))</f>
        <v>-735</v>
      </c>
      <c r="H75" s="163">
        <f>IF('内訳ﾘｽﾄ(4～3月)'!$D$5="製造",SUMIF('内訳ﾘｽﾄ(4～3月)'!$D$16:$D$23,$B75,'内訳ﾘｽﾄ(4～3月)'!K$16:K$23),IF('内訳ﾘｽﾄ(4～3月)'!$D$5="部内間接",-H$74,0))</f>
        <v>-735</v>
      </c>
      <c r="I75" s="163">
        <f>IF('内訳ﾘｽﾄ(4～3月)'!$D$5="製造",SUMIF('内訳ﾘｽﾄ(4～3月)'!$D$16:$D$23,$B75,'内訳ﾘｽﾄ(4～3月)'!L$16:L$23),IF('内訳ﾘｽﾄ(4～3月)'!$D$5="部内間接",-I$74,0))</f>
        <v>-863</v>
      </c>
      <c r="J75" s="163">
        <f>IF('内訳ﾘｽﾄ(4～3月)'!$D$5="製造",SUMIF('内訳ﾘｽﾄ(4～3月)'!$D$16:$D$23,$B75,'内訳ﾘｽﾄ(4～3月)'!M$16:M$23),IF('内訳ﾘｽﾄ(4～3月)'!$D$5="部内間接",-J$74,0))</f>
        <v>-845</v>
      </c>
      <c r="K75" s="163">
        <f>IF('内訳ﾘｽﾄ(4～3月)'!$D$5="製造",SUMIF('内訳ﾘｽﾄ(4～3月)'!$D$16:$D$23,$B75,'内訳ﾘｽﾄ(4～3月)'!N$16:N$23),IF('内訳ﾘｽﾄ(4～3月)'!$D$5="部内間接",-K$74,0))</f>
        <v>-853</v>
      </c>
      <c r="L75" s="163">
        <f>IF('内訳ﾘｽﾄ(4～3月)'!$D$5="製造",SUMIF('内訳ﾘｽﾄ(4～3月)'!$D$16:$D$23,$B75,'内訳ﾘｽﾄ(4～3月)'!O$16:O$23),IF('内訳ﾘｽﾄ(4～3月)'!$D$5="部内間接",-L$74,0))</f>
        <v>-862</v>
      </c>
      <c r="M75" s="163">
        <f>IF('内訳ﾘｽﾄ(4～3月)'!$D$5="製造",SUMIF('内訳ﾘｽﾄ(4～3月)'!$D$16:$D$23,$B75,'内訳ﾘｽﾄ(4～3月)'!P$16:P$23),IF('内訳ﾘｽﾄ(4～3月)'!$D$5="部内間接",-M$74,0))</f>
        <v>-915</v>
      </c>
      <c r="N75" s="163">
        <f>IF('内訳ﾘｽﾄ(4～3月)'!$D$5="製造",SUMIF('内訳ﾘｽﾄ(4～3月)'!$D$16:$D$23,$B75,'内訳ﾘｽﾄ(4～3月)'!Q$16:Q$23),IF('内訳ﾘｽﾄ(4～3月)'!$D$5="部内間接",-N$74,0))</f>
        <v>-945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-22587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196</v>
      </c>
      <c r="D88" s="150">
        <f>SUMIF('内訳ﾘｽﾄ(4～3月)'!$D$24:$D$25,'採算表(VND)'!$B88,'内訳ﾘｽﾄ(4～3月)'!G$24:G$25)</f>
        <v>196</v>
      </c>
      <c r="E88" s="150">
        <f>SUMIF('内訳ﾘｽﾄ(4～3月)'!$D$24:$D$25,'採算表(VND)'!$B88,'内訳ﾘｽﾄ(4～3月)'!H$24:H$25)</f>
        <v>196</v>
      </c>
      <c r="F88" s="150">
        <f>SUMIF('内訳ﾘｽﾄ(4～3月)'!$D$24:$D$25,'採算表(VND)'!$B88,'内訳ﾘｽﾄ(4～3月)'!I$24:I$25)</f>
        <v>26</v>
      </c>
      <c r="G88" s="150">
        <f>SUMIF('内訳ﾘｽﾄ(4～3月)'!$D$24:$D$25,'採算表(VND)'!$B88,'内訳ﾘｽﾄ(4～3月)'!J$24:J$25)</f>
        <v>26</v>
      </c>
      <c r="H88" s="150">
        <f>SUMIF('内訳ﾘｽﾄ(4～3月)'!$D$24:$D$25,'採算表(VND)'!$B88,'内訳ﾘｽﾄ(4～3月)'!K$24:K$25)</f>
        <v>26</v>
      </c>
      <c r="I88" s="150">
        <f>SUMIF('内訳ﾘｽﾄ(4～3月)'!$D$24:$D$25,'採算表(VND)'!$B88,'内訳ﾘｽﾄ(4～3月)'!L$24:L$25)</f>
        <v>30</v>
      </c>
      <c r="J88" s="150">
        <f>SUMIF('内訳ﾘｽﾄ(4～3月)'!$D$24:$D$25,'採算表(VND)'!$B88,'内訳ﾘｽﾄ(4～3月)'!M$24:M$25)</f>
        <v>30</v>
      </c>
      <c r="K88" s="150">
        <f>SUMIF('内訳ﾘｽﾄ(4～3月)'!$D$24:$D$25,'採算表(VND)'!$B88,'内訳ﾘｽﾄ(4～3月)'!N$24:N$25)</f>
        <v>30</v>
      </c>
      <c r="L88" s="150">
        <f>SUMIF('内訳ﾘｽﾄ(4～3月)'!$D$24:$D$25,'採算表(VND)'!$B88,'内訳ﾘｽﾄ(4～3月)'!O$24:O$25)</f>
        <v>31</v>
      </c>
      <c r="M88" s="150">
        <f>SUMIF('内訳ﾘｽﾄ(4～3月)'!$D$24:$D$25,'採算表(VND)'!$B88,'内訳ﾘｽﾄ(4～3月)'!P$24:P$25)</f>
        <v>34</v>
      </c>
      <c r="N88" s="150">
        <f>SUMIF('内訳ﾘｽﾄ(4～3月)'!$D$24:$D$25,'採算表(VND)'!$B88,'内訳ﾘｽﾄ(4～3月)'!Q$24:Q$25)</f>
        <v>34</v>
      </c>
      <c r="O88" s="150">
        <f>SUMIF('内訳ﾘｽﾄ(4～3月)'!$D$24:$D$25,'採算表(VND)'!$B88,'内訳ﾘｽﾄ(4～3月)'!R$24:R$25)</f>
        <v>34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198</v>
      </c>
      <c r="D89" s="151">
        <f t="shared" si="10"/>
        <v>198</v>
      </c>
      <c r="E89" s="151">
        <f t="shared" si="10"/>
        <v>198</v>
      </c>
      <c r="F89" s="151">
        <f t="shared" si="10"/>
        <v>28</v>
      </c>
      <c r="G89" s="151">
        <f t="shared" si="10"/>
        <v>28</v>
      </c>
      <c r="H89" s="151">
        <f t="shared" si="10"/>
        <v>28</v>
      </c>
      <c r="I89" s="151">
        <f t="shared" si="10"/>
        <v>32</v>
      </c>
      <c r="J89" s="151">
        <f t="shared" si="10"/>
        <v>32</v>
      </c>
      <c r="K89" s="151">
        <f t="shared" si="10"/>
        <v>32</v>
      </c>
      <c r="L89" s="151">
        <f t="shared" si="10"/>
        <v>33</v>
      </c>
      <c r="M89" s="151">
        <f t="shared" si="10"/>
        <v>36</v>
      </c>
      <c r="N89" s="151">
        <f t="shared" si="10"/>
        <v>36</v>
      </c>
      <c r="O89" s="151">
        <f>O87+O88</f>
        <v>36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323</v>
      </c>
      <c r="D92" s="161">
        <f>SUMIF('内訳ﾘｽﾄ(4～3月)'!$B$8:$B$15,$B92,'内訳ﾘｽﾄ(4～3月)'!G$8:G$15)</f>
        <v>323</v>
      </c>
      <c r="E92" s="161">
        <f>SUMIF('内訳ﾘｽﾄ(4～3月)'!$B$8:$B$15,$B92,'内訳ﾘｽﾄ(4～3月)'!H$8:H$15)</f>
        <v>357</v>
      </c>
      <c r="F92" s="161">
        <f>SUMIF('内訳ﾘｽﾄ(4～3月)'!$B$8:$B$15,$B92,'内訳ﾘｽﾄ(4～3月)'!I$8:I$15)</f>
        <v>391</v>
      </c>
      <c r="G92" s="161">
        <f>SUMIF('内訳ﾘｽﾄ(4～3月)'!$B$8:$B$15,$B92,'内訳ﾘｽﾄ(4～3月)'!J$8:J$15)</f>
        <v>297.5</v>
      </c>
      <c r="H92" s="161">
        <f>SUMIF('内訳ﾘｽﾄ(4～3月)'!$B$8:$B$15,$B92,'内訳ﾘｽﾄ(4～3月)'!K$8:K$15)</f>
        <v>306</v>
      </c>
      <c r="I92" s="161">
        <f>SUMIF('内訳ﾘｽﾄ(4～3月)'!$B$8:$B$15,$B92,'内訳ﾘｽﾄ(4～3月)'!L$8:L$15)</f>
        <v>391</v>
      </c>
      <c r="J92" s="161">
        <f>SUMIF('内訳ﾘｽﾄ(4～3月)'!$B$8:$B$15,$B92,'内訳ﾘｽﾄ(4～3月)'!M$8:M$15)</f>
        <v>340</v>
      </c>
      <c r="K92" s="161">
        <f>SUMIF('内訳ﾘｽﾄ(4～3月)'!$B$8:$B$15,$B92,'内訳ﾘｽﾄ(4～3月)'!N$8:N$15)</f>
        <v>357</v>
      </c>
      <c r="L92" s="161">
        <f>SUMIF('内訳ﾘｽﾄ(4～3月)'!$B$8:$B$15,$B92,'内訳ﾘｽﾄ(4～3月)'!O$8:O$15)</f>
        <v>306</v>
      </c>
      <c r="M92" s="161">
        <f>SUMIF('内訳ﾘｽﾄ(4～3月)'!$B$8:$B$15,$B92,'内訳ﾘｽﾄ(4～3月)'!P$8:P$15)</f>
        <v>255</v>
      </c>
      <c r="N92" s="161">
        <f>SUMIF('内訳ﾘｽﾄ(4～3月)'!$B$8:$B$15,$B92,'内訳ﾘｽﾄ(4～3月)'!Q$8:Q$15)</f>
        <v>340</v>
      </c>
      <c r="O92" s="161">
        <f>SUMIF('内訳ﾘｽﾄ(4～3月)'!$B$8:$B$15,$B92,'内訳ﾘｽﾄ(4～3月)'!R$8:R$15)</f>
        <v>3986.5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31321</v>
      </c>
      <c r="D93" s="161">
        <f>SUMIF('内訳ﾘｽﾄ(4～3月)'!$B$8:$B$15,$B93,'内訳ﾘｽﾄ(4～3月)'!G$8:G$15)</f>
        <v>29755</v>
      </c>
      <c r="E93" s="161">
        <f>SUMIF('内訳ﾘｽﾄ(4～3月)'!$B$8:$B$15,$B93,'内訳ﾘｽﾄ(4～3月)'!H$8:H$15)</f>
        <v>32887</v>
      </c>
      <c r="F93" s="161">
        <f>SUMIF('内訳ﾘｽﾄ(4～3月)'!$B$8:$B$15,$B93,'内訳ﾘｽﾄ(4～3月)'!I$8:I$15)</f>
        <v>4778</v>
      </c>
      <c r="G93" s="161">
        <f>SUMIF('内訳ﾘｽﾄ(4～3月)'!$B$8:$B$15,$B93,'内訳ﾘｽﾄ(4～3月)'!J$8:J$15)</f>
        <v>4155</v>
      </c>
      <c r="H93" s="161">
        <f>SUMIF('内訳ﾘｽﾄ(4～3月)'!$B$8:$B$15,$B93,'内訳ﾘｽﾄ(4～3月)'!K$8:K$15)</f>
        <v>3947</v>
      </c>
      <c r="I93" s="161">
        <f>SUMIF('内訳ﾘｽﾄ(4～3月)'!$B$8:$B$15,$B93,'内訳ﾘｽﾄ(4～3月)'!L$8:L$15)</f>
        <v>5513</v>
      </c>
      <c r="J93" s="161">
        <f>SUMIF('内訳ﾘｽﾄ(4～3月)'!$B$8:$B$15,$B93,'内訳ﾘｽﾄ(4～3月)'!M$8:M$15)</f>
        <v>4794</v>
      </c>
      <c r="K93" s="161">
        <f>SUMIF('内訳ﾘｽﾄ(4～3月)'!$B$8:$B$15,$B93,'内訳ﾘｽﾄ(4～3月)'!N$8:N$15)</f>
        <v>5273</v>
      </c>
      <c r="L93" s="161">
        <f>SUMIF('内訳ﾘｽﾄ(4～3月)'!$B$8:$B$15,$B93,'内訳ﾘｽﾄ(4～3月)'!O$8:O$15)</f>
        <v>4954</v>
      </c>
      <c r="M93" s="161">
        <f>SUMIF('内訳ﾘｽﾄ(4～3月)'!$B$8:$B$15,$B93,'内訳ﾘｽﾄ(4～3月)'!P$8:P$15)</f>
        <v>4075</v>
      </c>
      <c r="N93" s="161">
        <f>SUMIF('内訳ﾘｽﾄ(4～3月)'!$B$8:$B$15,$B93,'内訳ﾘｽﾄ(4～3月)'!Q$8:Q$15)</f>
        <v>5433</v>
      </c>
      <c r="O93" s="161">
        <f>SUMIF('内訳ﾘｽﾄ(4～3月)'!$B$8:$B$15,$B93,'内訳ﾘｽﾄ(4～3月)'!R$8:R$15)</f>
        <v>136885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31644</v>
      </c>
      <c r="D94" s="169">
        <f t="shared" si="11"/>
        <v>30078</v>
      </c>
      <c r="E94" s="169">
        <f t="shared" si="11"/>
        <v>33244</v>
      </c>
      <c r="F94" s="169">
        <f t="shared" si="11"/>
        <v>5169</v>
      </c>
      <c r="G94" s="169">
        <f t="shared" si="11"/>
        <v>4452.5</v>
      </c>
      <c r="H94" s="169">
        <f t="shared" si="11"/>
        <v>4253</v>
      </c>
      <c r="I94" s="169">
        <f t="shared" si="11"/>
        <v>5904</v>
      </c>
      <c r="J94" s="169">
        <f t="shared" si="11"/>
        <v>5134</v>
      </c>
      <c r="K94" s="169">
        <f t="shared" si="11"/>
        <v>5630</v>
      </c>
      <c r="L94" s="169">
        <f t="shared" si="11"/>
        <v>5260</v>
      </c>
      <c r="M94" s="169">
        <f t="shared" si="11"/>
        <v>4330</v>
      </c>
      <c r="N94" s="169">
        <f t="shared" si="11"/>
        <v>5773</v>
      </c>
      <c r="O94" s="169">
        <f>O92+O93</f>
        <v>140871.5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76</v>
      </c>
      <c r="D97" s="161">
        <f>SUMIF('内訳ﾘｽﾄ(4～3月)'!$B$16:$B$23,$B97,'内訳ﾘｽﾄ(4～3月)'!G$16:G$23)</f>
        <v>76</v>
      </c>
      <c r="E97" s="161">
        <f>SUMIF('内訳ﾘｽﾄ(4～3月)'!$B$16:$B$23,$B97,'内訳ﾘｽﾄ(4～3月)'!H$16:H$23)</f>
        <v>84</v>
      </c>
      <c r="F97" s="161">
        <f>SUMIF('内訳ﾘｽﾄ(4～3月)'!$B$16:$B$23,$B97,'内訳ﾘｽﾄ(4～3月)'!I$16:I$23)</f>
        <v>92</v>
      </c>
      <c r="G97" s="161">
        <f>SUMIF('内訳ﾘｽﾄ(4～3月)'!$B$16:$B$23,$B97,'内訳ﾘｽﾄ(4～3月)'!J$16:J$23)</f>
        <v>70</v>
      </c>
      <c r="H97" s="161">
        <f>SUMIF('内訳ﾘｽﾄ(4～3月)'!$B$16:$B$23,$B97,'内訳ﾘｽﾄ(4～3月)'!K$16:K$23)</f>
        <v>72</v>
      </c>
      <c r="I97" s="161">
        <f>SUMIF('内訳ﾘｽﾄ(4～3月)'!$B$16:$B$23,$B97,'内訳ﾘｽﾄ(4～3月)'!L$16:L$23)</f>
        <v>92</v>
      </c>
      <c r="J97" s="161">
        <f>SUMIF('内訳ﾘｽﾄ(4～3月)'!$B$16:$B$23,$B97,'内訳ﾘｽﾄ(4～3月)'!M$16:M$23)</f>
        <v>80</v>
      </c>
      <c r="K97" s="161">
        <f>SUMIF('内訳ﾘｽﾄ(4～3月)'!$B$16:$B$23,$B97,'内訳ﾘｽﾄ(4～3月)'!N$16:N$23)</f>
        <v>84</v>
      </c>
      <c r="L97" s="161">
        <f>SUMIF('内訳ﾘｽﾄ(4～3月)'!$B$16:$B$23,$B97,'内訳ﾘｽﾄ(4～3月)'!O$16:O$23)</f>
        <v>72</v>
      </c>
      <c r="M97" s="161">
        <f>SUMIF('内訳ﾘｽﾄ(4～3月)'!$B$16:$B$23,$B97,'内訳ﾘｽﾄ(4～3月)'!P$16:P$23)</f>
        <v>60</v>
      </c>
      <c r="N97" s="161">
        <f>SUMIF('内訳ﾘｽﾄ(4～3月)'!$B$16:$B$23,$B97,'内訳ﾘｽﾄ(4～3月)'!Q$16:Q$23)</f>
        <v>80</v>
      </c>
      <c r="O97" s="161">
        <f>SUMIF('内訳ﾘｽﾄ(4～3月)'!$B$16:$B$23,$B97,'内訳ﾘｽﾄ(4～3月)'!R$16:R$23)</f>
        <v>938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4945</v>
      </c>
      <c r="D98" s="161">
        <f>SUMIF('内訳ﾘｽﾄ(4～3月)'!$B$16:$B$23,$B98,'内訳ﾘｽﾄ(4～3月)'!G$16:G$23)</f>
        <v>4939</v>
      </c>
      <c r="E98" s="161">
        <f>SUMIF('内訳ﾘｽﾄ(4～3月)'!$B$16:$B$23,$B98,'内訳ﾘｽﾄ(4～3月)'!H$16:H$23)</f>
        <v>4951</v>
      </c>
      <c r="F98" s="161">
        <f>SUMIF('内訳ﾘｽﾄ(4～3月)'!$B$16:$B$23,$B98,'内訳ﾘｽﾄ(4～3月)'!I$16:I$23)</f>
        <v>671</v>
      </c>
      <c r="G98" s="161">
        <f>SUMIF('内訳ﾘｽﾄ(4～3月)'!$B$16:$B$23,$B98,'内訳ﾘｽﾄ(4～3月)'!J$16:J$23)</f>
        <v>665</v>
      </c>
      <c r="H98" s="161">
        <f>SUMIF('内訳ﾘｽﾄ(4～3月)'!$B$16:$B$23,$B98,'内訳ﾘｽﾄ(4～3月)'!K$16:K$23)</f>
        <v>663</v>
      </c>
      <c r="I98" s="161">
        <f>SUMIF('内訳ﾘｽﾄ(4～3月)'!$B$16:$B$23,$B98,'内訳ﾘｽﾄ(4～3月)'!L$16:L$23)</f>
        <v>771</v>
      </c>
      <c r="J98" s="161">
        <f>SUMIF('内訳ﾘｽﾄ(4～3月)'!$B$16:$B$23,$B98,'内訳ﾘｽﾄ(4～3月)'!M$16:M$23)</f>
        <v>765</v>
      </c>
      <c r="K98" s="161">
        <f>SUMIF('内訳ﾘｽﾄ(4～3月)'!$B$16:$B$23,$B98,'内訳ﾘｽﾄ(4～3月)'!N$16:N$23)</f>
        <v>769</v>
      </c>
      <c r="L98" s="161">
        <f>SUMIF('内訳ﾘｽﾄ(4～3月)'!$B$16:$B$23,$B98,'内訳ﾘｽﾄ(4～3月)'!O$16:O$23)</f>
        <v>790</v>
      </c>
      <c r="M98" s="161">
        <f>SUMIF('内訳ﾘｽﾄ(4～3月)'!$B$16:$B$23,$B98,'内訳ﾘｽﾄ(4～3月)'!P$16:P$23)</f>
        <v>855</v>
      </c>
      <c r="N98" s="161">
        <f>SUMIF('内訳ﾘｽﾄ(4～3月)'!$B$16:$B$23,$B98,'内訳ﾘｽﾄ(4～3月)'!Q$16:Q$23)</f>
        <v>865</v>
      </c>
      <c r="O98" s="161">
        <f>SUMIF('内訳ﾘｽﾄ(4～3月)'!$B$16:$B$23,$B98,'内訳ﾘｽﾄ(4～3月)'!R$16:R$23)</f>
        <v>21649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5021</v>
      </c>
      <c r="D99" s="169">
        <f t="shared" si="12"/>
        <v>5015</v>
      </c>
      <c r="E99" s="169">
        <f t="shared" si="12"/>
        <v>5035</v>
      </c>
      <c r="F99" s="169">
        <f t="shared" si="12"/>
        <v>763</v>
      </c>
      <c r="G99" s="169">
        <f t="shared" si="12"/>
        <v>735</v>
      </c>
      <c r="H99" s="169">
        <f t="shared" si="12"/>
        <v>735</v>
      </c>
      <c r="I99" s="169">
        <f t="shared" si="12"/>
        <v>863</v>
      </c>
      <c r="J99" s="169">
        <f t="shared" si="12"/>
        <v>845</v>
      </c>
      <c r="K99" s="169">
        <f t="shared" si="12"/>
        <v>853</v>
      </c>
      <c r="L99" s="169">
        <f t="shared" si="12"/>
        <v>862</v>
      </c>
      <c r="M99" s="169">
        <f t="shared" si="12"/>
        <v>915</v>
      </c>
      <c r="N99" s="169">
        <f t="shared" si="12"/>
        <v>945</v>
      </c>
      <c r="O99" s="169">
        <f>O97+O98</f>
        <v>22587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E1031"/>
  <sheetViews>
    <sheetView tabSelected="1" zoomScaleNormal="100" zoomScaleSheetLayoutView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N804" sqref="N804"/>
    </sheetView>
  </sheetViews>
  <sheetFormatPr defaultRowHeight="11.25"/>
  <cols>
    <col min="1" max="1" width="2" style="1" customWidth="1"/>
    <col min="2" max="2" width="12.375" style="181" customWidth="1"/>
    <col min="3" max="3" width="24.625" style="4" customWidth="1"/>
    <col min="4" max="4" width="14.5" style="4" customWidth="1"/>
    <col min="5" max="5" width="7.625" style="3" customWidth="1"/>
    <col min="6" max="6" width="12.25" style="124" hidden="1" customWidth="1"/>
    <col min="7" max="8" width="12.25" style="125" hidden="1" customWidth="1"/>
    <col min="9" max="17" width="12.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4" t="str">
        <f t="array" ref="F3">IF(SUM((F8:F25)-ROUNDDOWN((F8:F25)*4,0)/4)&lt;&gt;0,"時間➝0.25の倍数では無い",IF(SUM(ROUND((F26:F1004),0)-ROUND((F26:F1004),4))&lt;&gt;0,"経費➝小数点",IF(F5&lt;&gt;IF($D$5="製造",'採算表(VND)'!C13,-VLOOKUP($D$5&amp;"経費",'採算表(VND)'!$B:$N,'採算表(VND)'!C3,0)),"経費➝NG","OK")))</f>
        <v>OK</v>
      </c>
      <c r="G3" s="274" t="str">
        <f t="array" ref="G3">IF(SUM((G8:G25)-ROUNDDOWN((G8:G25)*4,0)/4)&lt;&gt;0,"時間➝0.25の倍数では無い",IF(SUM(ROUND((G26:G1004),0)-ROUND((G26:G1004),4))&lt;&gt;0,"経費➝小数点",IF(G5&lt;&gt;IF($D$5="製造",'採算表(VND)'!D13,-VLOOKUP($D$5&amp;"経費",'採算表(VND)'!$B:$N,'採算表(VND)'!D3,0)),"経費➝NG","OK")))</f>
        <v>OK</v>
      </c>
      <c r="H3" s="274" t="str">
        <f t="array" ref="H3">IF(SUM((H8:H25)-ROUNDDOWN((H8:H25)*4,0)/4)&lt;&gt;0,"時間➝0.25の倍数では無い",IF(SUM(ROUND((H26:H1004),0)-ROUND((H26:H1004),4))&lt;&gt;0,"経費➝小数点",IF(H5&lt;&gt;IF($D$5="製造",'採算表(VND)'!E13,-VLOOKUP($D$5&amp;"経費",'採算表(VND)'!$B:$N,'採算表(VND)'!E3,0)),"経費➝NG","OK")))</f>
        <v>OK</v>
      </c>
      <c r="I3" s="274" t="str">
        <f t="array" ref="I3">IF(SUM((I8:I25)-ROUNDDOWN((I8:I25)*4,0)/4)&lt;&gt;0,"時間➝0.25の倍数では無い",IF(SUM(ROUND((I26:I1004),0)-ROUND((I26:I1004),4))&lt;&gt;0,"経費➝小数点",IF(I5&lt;&gt;IF($D$5="製造",'採算表(VND)'!F13,-VLOOKUP($D$5&amp;"経費",'採算表(VND)'!$B:$N,'採算表(VND)'!F3,0)),"経費➝NG","OK")))</f>
        <v>OK</v>
      </c>
      <c r="J3" s="274" t="str">
        <f t="array" ref="J3">IF(SUM((J8:J25)-ROUNDDOWN((J8:J25)*4,0)/4)&lt;&gt;0,"時間➝0.25の倍数では無い",IF(SUM(ROUND((J26:J1004),0)-ROUND((J26:J1004),4))&lt;&gt;0,"経費➝小数点",IF(J5&lt;&gt;IF($D$5="製造",'採算表(VND)'!G13,-VLOOKUP($D$5&amp;"経費",'採算表(VND)'!$B:$N,'採算表(VND)'!G3,0)),"経費➝NG","OK")))</f>
        <v>OK</v>
      </c>
      <c r="K3" s="274" t="str">
        <f t="array" ref="K3">IF(SUM((K8:K25)-ROUNDDOWN((K8:K25)*4,0)/4)&lt;&gt;0,"時間➝0.25の倍数では無い",IF(SUM(ROUND((K26:K1004),0)-ROUND((K26:K1004),4))&lt;&gt;0,"経費➝小数点",IF(K5&lt;&gt;IF($D$5="製造",'採算表(VND)'!H13,-VLOOKUP($D$5&amp;"経費",'採算表(VND)'!$B:$N,'採算表(VND)'!H3,0)),"経費➝NG","OK")))</f>
        <v>OK</v>
      </c>
      <c r="L3" s="274" t="str">
        <f t="array" ref="L3">IF(SUM((L8:L25)-ROUNDDOWN((L8:L25)*4,0)/4)&lt;&gt;0,"時間➝0.25の倍数では無い",IF(SUM(ROUND((L26:L1004),0)-ROUND((L26:L1004),4))&lt;&gt;0,"経費➝小数点",IF(L5&lt;&gt;IF($D$5="製造",'採算表(VND)'!I13,-VLOOKUP($D$5&amp;"経費",'採算表(VND)'!$B:$N,'採算表(VND)'!I3,0)),"経費➝NG","OK")))</f>
        <v>OK</v>
      </c>
      <c r="M3" s="274" t="str">
        <f t="array" ref="M3">IF(SUM((M8:M25)-ROUNDDOWN((M8:M25)*4,0)/4)&lt;&gt;0,"時間➝0.25の倍数では無い",IF(SUM(ROUND((M26:M1004),0)-ROUND((M26:M1004),4))&lt;&gt;0,"経費➝小数点",IF(M5&lt;&gt;IF($D$5="製造",'採算表(VND)'!J13,-VLOOKUP($D$5&amp;"経費",'採算表(VND)'!$B:$N,'採算表(VND)'!J3,0)),"経費➝NG","OK")))</f>
        <v>OK</v>
      </c>
      <c r="N3" s="274" t="str">
        <f t="array" ref="N3">IF(SUM((N8:N25)-ROUNDDOWN((N8:N25)*4,0)/4)&lt;&gt;0,"時間➝0.25の倍数では無い",IF(SUM(ROUND((N26:N1004),0)-ROUND((N26:N1004),4))&lt;&gt;0,"経費➝小数点",IF(N5&lt;&gt;IF($D$5="製造",'採算表(VND)'!K13,-VLOOKUP($D$5&amp;"経費",'採算表(VND)'!$B:$N,'採算表(VND)'!K3,0)),"経費➝NG","OK")))</f>
        <v>OK</v>
      </c>
      <c r="O3" s="274" t="str">
        <f t="array" ref="O3">IF(SUM((O8:O25)-ROUNDDOWN((O8:O25)*4,0)/4)&lt;&gt;0,"時間➝0.25の倍数では無い",IF(SUM(ROUND((O26:O1004),0)-ROUND((O26:O1004),4))&lt;&gt;0,"経費➝小数点",IF(O5&lt;&gt;IF($D$5="製造",'採算表(VND)'!L13,-VLOOKUP($D$5&amp;"経費",'採算表(VND)'!$B:$N,'採算表(VND)'!L3,0)),"経費➝NG","OK")))</f>
        <v>OK</v>
      </c>
      <c r="P3" s="274" t="str">
        <f t="array" ref="P3">IF(SUM((P8:P25)-ROUNDDOWN((P8:P25)*4,0)/4)&lt;&gt;0,"時間➝0.25の倍数では無い",IF(SUM(ROUND((P26:P1004),0)-ROUND((P26:P1004),4))&lt;&gt;0,"経費➝小数点",IF(P5&lt;&gt;IF($D$5="製造",'採算表(VND)'!M13,-VLOOKUP($D$5&amp;"経費",'採算表(VND)'!$B:$N,'採算表(VND)'!M3,0)),"経費➝NG","OK")))</f>
        <v>OK</v>
      </c>
      <c r="Q3" s="274" t="str">
        <f t="array" ref="Q3">IF(SUM((Q8:Q25)-ROUNDDOWN((Q8:Q25)*4,0)/4)&lt;&gt;0,"時間➝0.25の倍数では無い",IF(SUM(ROUND((Q26:Q1004),0)-ROUND((Q26:Q1004)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1412000053</v>
      </c>
      <c r="C5" s="7" t="str">
        <f>VLOOKUP($B$5,原価センタ!$A:$E,2,0)</f>
        <v>工程品質管理1課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SUM(F29:F1004)</f>
        <v>511006405</v>
      </c>
      <c r="G5" s="252">
        <f t="shared" si="0"/>
        <v>736447527</v>
      </c>
      <c r="H5" s="252">
        <f t="shared" si="0"/>
        <v>329640069</v>
      </c>
      <c r="I5" s="252">
        <f t="shared" si="0"/>
        <v>295575098</v>
      </c>
      <c r="J5" s="252">
        <f t="shared" si="0"/>
        <v>122869681</v>
      </c>
      <c r="K5" s="252">
        <f t="shared" si="0"/>
        <v>127855273</v>
      </c>
      <c r="L5" s="252">
        <f t="shared" si="0"/>
        <v>106916421</v>
      </c>
      <c r="M5" s="252">
        <f t="shared" si="0"/>
        <v>101679511</v>
      </c>
      <c r="N5" s="252">
        <f t="shared" si="0"/>
        <v>125469873</v>
      </c>
      <c r="O5" s="252">
        <f t="shared" si="0"/>
        <v>79434677</v>
      </c>
      <c r="P5" s="252">
        <f t="shared" si="0"/>
        <v>98247648</v>
      </c>
      <c r="Q5" s="252">
        <f t="shared" si="0"/>
        <v>79669917</v>
      </c>
      <c r="R5" s="253">
        <f t="shared" si="0"/>
        <v>2714812100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323</v>
      </c>
      <c r="G8" s="186">
        <v>323</v>
      </c>
      <c r="H8" s="186">
        <v>357</v>
      </c>
      <c r="I8" s="194">
        <v>391</v>
      </c>
      <c r="J8" s="194">
        <v>297.5</v>
      </c>
      <c r="K8" s="194">
        <v>306</v>
      </c>
      <c r="L8" s="194">
        <v>391</v>
      </c>
      <c r="M8" s="194">
        <v>340</v>
      </c>
      <c r="N8" s="194">
        <v>357</v>
      </c>
      <c r="O8" s="194">
        <v>306</v>
      </c>
      <c r="P8" s="194">
        <v>255</v>
      </c>
      <c r="Q8" s="194">
        <v>340</v>
      </c>
      <c r="R8" s="187">
        <f>SUM(F8:Q8)</f>
        <v>3986.5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31321</v>
      </c>
      <c r="G9" s="194">
        <v>29755</v>
      </c>
      <c r="H9" s="194">
        <v>32887</v>
      </c>
      <c r="I9" s="194">
        <v>4778</v>
      </c>
      <c r="J9" s="194">
        <v>4155</v>
      </c>
      <c r="K9" s="194">
        <v>3947</v>
      </c>
      <c r="L9" s="194">
        <v>5513</v>
      </c>
      <c r="M9" s="194">
        <v>4794</v>
      </c>
      <c r="N9" s="194">
        <v>5273</v>
      </c>
      <c r="O9" s="194">
        <v>4954</v>
      </c>
      <c r="P9" s="194">
        <v>4075</v>
      </c>
      <c r="Q9" s="194">
        <v>5433</v>
      </c>
      <c r="R9" s="195">
        <f>SUM(F9:Q9)</f>
        <v>136885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ref="R10:R23" si="1">SUM(F10:Q10)</f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76</v>
      </c>
      <c r="G16" s="194">
        <v>76</v>
      </c>
      <c r="H16" s="194">
        <v>84</v>
      </c>
      <c r="I16" s="194">
        <v>92</v>
      </c>
      <c r="J16" s="194">
        <v>70</v>
      </c>
      <c r="K16" s="194">
        <v>72</v>
      </c>
      <c r="L16" s="194">
        <v>92</v>
      </c>
      <c r="M16" s="194">
        <v>80</v>
      </c>
      <c r="N16" s="194">
        <v>84</v>
      </c>
      <c r="O16" s="194">
        <v>72</v>
      </c>
      <c r="P16" s="194">
        <v>60</v>
      </c>
      <c r="Q16" s="194">
        <v>80</v>
      </c>
      <c r="R16" s="205">
        <f>SUM(F16:Q16)</f>
        <v>938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4945</v>
      </c>
      <c r="G17" s="194">
        <v>4939</v>
      </c>
      <c r="H17" s="194">
        <v>4951</v>
      </c>
      <c r="I17" s="194">
        <v>671</v>
      </c>
      <c r="J17" s="194">
        <v>665</v>
      </c>
      <c r="K17" s="194">
        <v>663</v>
      </c>
      <c r="L17" s="194">
        <v>771</v>
      </c>
      <c r="M17" s="194">
        <v>765</v>
      </c>
      <c r="N17" s="194">
        <v>769</v>
      </c>
      <c r="O17" s="194">
        <v>790</v>
      </c>
      <c r="P17" s="194">
        <v>855</v>
      </c>
      <c r="Q17" s="194">
        <v>865</v>
      </c>
      <c r="R17" s="205">
        <f>SUM(F17:Q17)</f>
        <v>21649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2</v>
      </c>
      <c r="G24" s="267">
        <v>2</v>
      </c>
      <c r="H24" s="267">
        <v>2</v>
      </c>
      <c r="I24" s="267">
        <v>2</v>
      </c>
      <c r="J24" s="267">
        <v>2</v>
      </c>
      <c r="K24" s="267">
        <v>2</v>
      </c>
      <c r="L24" s="267">
        <v>2</v>
      </c>
      <c r="M24" s="267">
        <v>2</v>
      </c>
      <c r="N24" s="267">
        <v>2</v>
      </c>
      <c r="O24" s="267">
        <v>2</v>
      </c>
      <c r="P24" s="267">
        <v>2</v>
      </c>
      <c r="Q24" s="267">
        <v>2</v>
      </c>
      <c r="R24" s="200">
        <f>Q24</f>
        <v>2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196</v>
      </c>
      <c r="G25" s="271">
        <v>196</v>
      </c>
      <c r="H25" s="271">
        <v>196</v>
      </c>
      <c r="I25" s="267">
        <v>26</v>
      </c>
      <c r="J25" s="267">
        <v>26</v>
      </c>
      <c r="K25" s="267">
        <v>26</v>
      </c>
      <c r="L25" s="267">
        <v>30</v>
      </c>
      <c r="M25" s="267">
        <v>30</v>
      </c>
      <c r="N25" s="267">
        <v>30</v>
      </c>
      <c r="O25" s="267">
        <v>31</v>
      </c>
      <c r="P25" s="267">
        <v>34</v>
      </c>
      <c r="Q25" s="267">
        <v>34</v>
      </c>
      <c r="R25" s="272">
        <f>Q25</f>
        <v>34</v>
      </c>
      <c r="S25" s="201"/>
      <c r="T25" s="238"/>
      <c r="U25" s="268"/>
      <c r="V25" s="273">
        <v>4</v>
      </c>
      <c r="W25" s="273">
        <v>5</v>
      </c>
      <c r="X25" s="273">
        <v>6</v>
      </c>
      <c r="Y25" s="273">
        <v>7</v>
      </c>
      <c r="Z25" s="273">
        <v>8</v>
      </c>
      <c r="AA25" s="273">
        <v>9</v>
      </c>
      <c r="AB25" s="273">
        <v>10</v>
      </c>
      <c r="AC25" s="273">
        <v>11</v>
      </c>
      <c r="AD25" s="273">
        <v>12</v>
      </c>
      <c r="AE25" s="273">
        <v>1</v>
      </c>
      <c r="AF25" s="273">
        <v>2</v>
      </c>
      <c r="AG25" s="273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89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>SUM(F30:Q30)</f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6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6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6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6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 t="s">
        <v>693</v>
      </c>
      <c r="T36" s="202"/>
      <c r="U36" s="246"/>
      <c r="V36" s="246"/>
      <c r="W36" s="246"/>
      <c r="BA36"/>
      <c r="BB36"/>
    </row>
    <row r="37" spans="1:56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6" s="191" customFormat="1" ht="13.5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6" s="191" customFormat="1" ht="13.5">
      <c r="A39" s="226"/>
      <c r="B39" s="180">
        <v>9114120007</v>
      </c>
      <c r="C39" s="183" t="str">
        <f>IFERROR(IF(VLOOKUP($B39,勘定科目!$A:$H,HLOOKUP($E$5,勘定科目!$F$1:$H$2,2,0),0)="","",VLOOKUP($B39,勘定科目!$A:$E,2,0)),"")</f>
        <v>社内金利（固定資産）</v>
      </c>
      <c r="D39" s="239" t="str">
        <f>IF(C39="","",VLOOKUP($B39,勘定科目!$A:$E,4,0))</f>
        <v>固定資産金利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 t="s">
        <v>694</v>
      </c>
      <c r="T39" s="202"/>
      <c r="U39" s="246"/>
      <c r="V39" s="246"/>
      <c r="W39" s="246"/>
      <c r="BA39"/>
      <c r="BB39"/>
    </row>
    <row r="40" spans="1:56" s="191" customFormat="1" ht="13.5">
      <c r="A40" s="226"/>
      <c r="B40" s="180">
        <v>9114120007</v>
      </c>
      <c r="C40" s="183" t="str">
        <f>IFERROR(IF(VLOOKUP($B40,勘定科目!$A:$H,HLOOKUP($E$5,勘定科目!$F$1:$H$2,2,0),0)="","",VLOOKUP($B40,勘定科目!$A:$E,2,0)),"")</f>
        <v>社内金利（固定資産）</v>
      </c>
      <c r="D40" s="239" t="str">
        <f>IF(C40="","",VLOOKUP($B40,勘定科目!$A:$E,4,0))</f>
        <v>固定資産金利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3"/>
        <v>0</v>
      </c>
      <c r="S40" s="201" t="s">
        <v>695</v>
      </c>
      <c r="T40" s="202"/>
      <c r="U40" s="246"/>
      <c r="V40" s="246"/>
      <c r="W40" s="246"/>
      <c r="BA40"/>
      <c r="BB40"/>
    </row>
    <row r="41" spans="1:56" s="191" customFormat="1" ht="13.5">
      <c r="A41" s="226"/>
      <c r="B41" s="180">
        <v>9114120007</v>
      </c>
      <c r="C41" s="183" t="str">
        <f>IFERROR(IF(VLOOKUP($B41,勘定科目!$A:$H,HLOOKUP($E$5,勘定科目!$F$1:$H$2,2,0),0)="","",VLOOKUP($B41,勘定科目!$A:$E,2,0)),"")</f>
        <v>社内金利（固定資産）</v>
      </c>
      <c r="D41" s="239" t="str">
        <f>IF(C41="","",VLOOKUP($B41,勘定科目!$A:$E,4,0))</f>
        <v>固定資産金利</v>
      </c>
      <c r="E41" s="245"/>
      <c r="F41" s="194">
        <f>ROUND(1619.79*25390,0)</f>
        <v>41126468</v>
      </c>
      <c r="G41" s="194">
        <f>ROUND(1529.32*25390,0)</f>
        <v>38829435</v>
      </c>
      <c r="H41" s="194">
        <f>ROUND(1534.83*25390,0)</f>
        <v>38969334</v>
      </c>
      <c r="I41" s="300">
        <f>ROUND(1493.85*25390,0)</f>
        <v>37928852</v>
      </c>
      <c r="J41" s="300">
        <f>ROUND(737.76*25390,0)</f>
        <v>18731726</v>
      </c>
      <c r="K41" s="300">
        <f>ROUND(720.04*25390,0)-254</f>
        <v>18281562</v>
      </c>
      <c r="L41" s="300">
        <f>ROUND(711.72*25390,0)-254</f>
        <v>18070317</v>
      </c>
      <c r="M41" s="300">
        <f>ROUND(710.23*25390,0)+253</f>
        <v>18032993</v>
      </c>
      <c r="N41" s="300">
        <f>ROUND(711.31*25390,0)+1</f>
        <v>18060162</v>
      </c>
      <c r="O41" s="300">
        <f>ROUND(708.23*25390,0)</f>
        <v>17981960</v>
      </c>
      <c r="P41" s="300">
        <f>ROUND(710.48*25390,0)</f>
        <v>18039087</v>
      </c>
      <c r="Q41" s="300">
        <f>ROUND(722.6*25390,0)+254</f>
        <v>18347068</v>
      </c>
      <c r="R41" s="200">
        <f t="shared" si="3"/>
        <v>302398964</v>
      </c>
      <c r="S41" s="201" t="s">
        <v>696</v>
      </c>
      <c r="T41" s="202"/>
      <c r="U41" s="246"/>
      <c r="V41" s="246"/>
      <c r="W41" s="246"/>
      <c r="BA41"/>
      <c r="BB41"/>
      <c r="BD41" s="191" t="e">
        <v>#REF!</v>
      </c>
    </row>
    <row r="42" spans="1:56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194">
        <f>ROUND(200.28*25390,0)</f>
        <v>5085109</v>
      </c>
      <c r="G42" s="194">
        <f>ROUND(193.9*25390,0)</f>
        <v>4923121</v>
      </c>
      <c r="H42" s="194">
        <f>ROUND(194.6*25390,0)</f>
        <v>4940894</v>
      </c>
      <c r="I42" s="300">
        <f>ROUND(189.41*25390,0)</f>
        <v>4809120</v>
      </c>
      <c r="J42" s="300">
        <f>ROUND(93.54*25390,0)</f>
        <v>2374981</v>
      </c>
      <c r="K42" s="300">
        <f>ROUND(91.29*25390,0)</f>
        <v>2317853</v>
      </c>
      <c r="L42" s="300">
        <f>ROUND(90.24*25390,0)</f>
        <v>2291194</v>
      </c>
      <c r="M42" s="300">
        <f>ROUND(90.05*25390,0)-1</f>
        <v>2286369</v>
      </c>
      <c r="N42" s="300">
        <f>ROUND(90.19*25390,0)+1</f>
        <v>2289925</v>
      </c>
      <c r="O42" s="300">
        <f>ROUND(89.79*25390,0)+253</f>
        <v>2280021</v>
      </c>
      <c r="P42" s="300">
        <f>ROUND(90.08*25390,0)</f>
        <v>2287131</v>
      </c>
      <c r="Q42" s="300">
        <f>ROUND(91.62*25390,0)</f>
        <v>2326232</v>
      </c>
      <c r="R42" s="200">
        <f t="shared" si="3"/>
        <v>38211950</v>
      </c>
      <c r="S42" s="201" t="s">
        <v>697</v>
      </c>
      <c r="T42" s="202"/>
      <c r="U42" s="246"/>
      <c r="V42" s="246"/>
      <c r="W42" s="246"/>
      <c r="BA42"/>
      <c r="BB42"/>
      <c r="BD42" s="191" t="e">
        <v>#REF!</v>
      </c>
    </row>
    <row r="43" spans="1:56" s="191" customFormat="1" ht="13.5">
      <c r="A43" s="226"/>
      <c r="B43" s="180"/>
      <c r="C43" s="183" t="str">
        <f>IFERROR(IF(VLOOKUP($B43,勘定科目!$A:$H,HLOOKUP($E$5,勘定科目!$F$1:$H$2,2,0),0)="","",VLOOKUP($B43,勘定科目!$A:$E,2,0)),"")</f>
        <v/>
      </c>
      <c r="D43" s="239" t="str">
        <f>IF(C43="","",VLOOKUP($B43,勘定科目!$A:$E,4,0))</f>
        <v/>
      </c>
      <c r="E43" s="245"/>
      <c r="F43" s="194"/>
      <c r="G43" s="194"/>
      <c r="H43" s="194"/>
      <c r="I43" s="300"/>
      <c r="J43" s="300"/>
      <c r="K43" s="300"/>
      <c r="L43" s="300"/>
      <c r="M43" s="300"/>
      <c r="N43" s="300"/>
      <c r="O43" s="300"/>
      <c r="P43" s="300"/>
      <c r="Q43" s="300"/>
      <c r="R43" s="200">
        <f t="shared" si="3"/>
        <v>0</v>
      </c>
      <c r="S43" s="201"/>
      <c r="T43" s="202"/>
      <c r="U43" s="246"/>
      <c r="V43" s="246"/>
      <c r="W43" s="246"/>
      <c r="BA43"/>
      <c r="BB43"/>
      <c r="BD43" s="191" t="e">
        <v>#REF!</v>
      </c>
    </row>
    <row r="44" spans="1:56" s="191" customFormat="1" ht="13.5">
      <c r="A44" s="226"/>
      <c r="B44" s="180">
        <v>5005246282</v>
      </c>
      <c r="C44" s="183" t="str">
        <f>IFERROR(IF(VLOOKUP($B44,勘定科目!$A:$H,HLOOKUP($E$5,勘定科目!$F$1:$H$2,2,0),0)="","",VLOOKUP($B44,勘定科目!$A:$E,2,0)),"")</f>
        <v>ＫＤＣシステム使用料（製）</v>
      </c>
      <c r="D44" s="239" t="str">
        <f>IF(C44="","",VLOOKUP($B44,勘定科目!$A:$E,4,0))</f>
        <v>図書及び事務費</v>
      </c>
      <c r="E44" s="245"/>
      <c r="F44" s="194">
        <f>ROUND((3.18+11.46*36+91.58+34.98*3)*25359,0)</f>
        <v>15526301</v>
      </c>
      <c r="G44" s="194">
        <f t="shared" ref="G44:I44" si="5">ROUND((3.18+11.46*36+91.58+34.98*3)*25359,0)</f>
        <v>15526301</v>
      </c>
      <c r="H44" s="194">
        <f t="shared" si="5"/>
        <v>15526301</v>
      </c>
      <c r="I44" s="300">
        <f t="shared" si="5"/>
        <v>15526301</v>
      </c>
      <c r="J44" s="300">
        <f>ROUND((3.18+11.46*16+91.58+34.98*3)*25359,0)</f>
        <v>9714019</v>
      </c>
      <c r="K44" s="300">
        <f>ROUND((3.18+11.46*16+91.58+34.98*3)*25359,0)</f>
        <v>9714019</v>
      </c>
      <c r="L44" s="300">
        <f>ROUND((3.18+11.46*16+91.58+34.98*3)*25359,0)</f>
        <v>9714019</v>
      </c>
      <c r="M44" s="300">
        <f>ROUND((3.18+11.46*(16+2)+91.58+34.98*3)*25359,0)+1</f>
        <v>10295248</v>
      </c>
      <c r="N44" s="300">
        <f>ROUND((3.18+11.46*(16+2)+91.58+34.98*3)*25359,0)+1</f>
        <v>10295248</v>
      </c>
      <c r="O44" s="300">
        <f>ROUND((3.18+11.46*(16+2)+91.58+34.98*3)*25359,0)+1</f>
        <v>10295248</v>
      </c>
      <c r="P44" s="300">
        <f>ROUND((3.18+11.46*(16+2+1)+91.58+34.98*3)*25359,0)+1</f>
        <v>10585862</v>
      </c>
      <c r="Q44" s="300">
        <f>ROUND((3.18+11.46*(16+2+1)+91.58+34.98*3)*25359,0)+1</f>
        <v>10585862</v>
      </c>
      <c r="R44" s="200">
        <f t="shared" si="3"/>
        <v>143304729</v>
      </c>
      <c r="S44" s="201" t="s">
        <v>698</v>
      </c>
      <c r="T44" s="202"/>
      <c r="U44" s="246"/>
      <c r="V44" s="246"/>
      <c r="W44" s="246"/>
      <c r="BA44"/>
      <c r="BB44"/>
      <c r="BD44" s="191" t="e">
        <v>#REF!</v>
      </c>
    </row>
    <row r="45" spans="1:56" s="191" customFormat="1" ht="13.5">
      <c r="A45" s="226"/>
      <c r="B45" s="180">
        <v>5005246283</v>
      </c>
      <c r="C45" s="183" t="str">
        <f>IFERROR(IF(VLOOKUP($B45,勘定科目!$A:$H,HLOOKUP($E$5,勘定科目!$F$1:$H$2,2,0),0)="","",VLOOKUP($B45,勘定科目!$A:$E,2,0)),"")</f>
        <v>ライセンス料（製）</v>
      </c>
      <c r="D45" s="239" t="str">
        <f>IF(C45="","",VLOOKUP($B45,勘定科目!$A:$E,4,0))</f>
        <v>図書及び事務費</v>
      </c>
      <c r="E45" s="245"/>
      <c r="F45" s="194"/>
      <c r="G45" s="194"/>
      <c r="H45" s="194"/>
      <c r="I45" s="300"/>
      <c r="J45" s="300"/>
      <c r="K45" s="300"/>
      <c r="L45" s="300"/>
      <c r="M45" s="300"/>
      <c r="N45" s="300"/>
      <c r="O45" s="300"/>
      <c r="P45" s="300"/>
      <c r="Q45" s="300"/>
      <c r="R45" s="200">
        <f t="shared" si="3"/>
        <v>0</v>
      </c>
      <c r="S45" s="201" t="s">
        <v>699</v>
      </c>
      <c r="T45" s="202"/>
      <c r="U45" s="246"/>
      <c r="V45" s="246"/>
      <c r="W45" s="246"/>
      <c r="BA45"/>
      <c r="BB45"/>
      <c r="BD45" s="191" t="e">
        <v>#REF!</v>
      </c>
    </row>
    <row r="46" spans="1:56" s="191" customFormat="1" ht="13.5">
      <c r="A46" s="226"/>
      <c r="B46" s="180"/>
      <c r="C46" s="183" t="str">
        <f>IFERROR(IF(VLOOKUP($B46,勘定科目!$A:$H,HLOOKUP($E$5,勘定科目!$F$1:$H$2,2,0),0)="","",VLOOKUP($B46,勘定科目!$A:$E,2,0)),"")</f>
        <v/>
      </c>
      <c r="D46" s="239" t="str">
        <f>IF(C46="","",VLOOKUP($B46,勘定科目!$A:$E,4,0))</f>
        <v/>
      </c>
      <c r="E46" s="245"/>
      <c r="F46" s="194"/>
      <c r="G46" s="194"/>
      <c r="H46" s="194"/>
      <c r="I46" s="300"/>
      <c r="J46" s="300"/>
      <c r="K46" s="300"/>
      <c r="L46" s="300"/>
      <c r="M46" s="300"/>
      <c r="N46" s="300"/>
      <c r="O46" s="300"/>
      <c r="P46" s="300"/>
      <c r="Q46" s="300"/>
      <c r="R46" s="200">
        <f t="shared" si="3"/>
        <v>0</v>
      </c>
      <c r="S46" s="201"/>
      <c r="T46" s="202"/>
      <c r="U46" s="246"/>
      <c r="V46" s="246"/>
      <c r="W46" s="246"/>
      <c r="BA46"/>
      <c r="BB46"/>
      <c r="BD46" s="191" t="e">
        <v>#REF!</v>
      </c>
    </row>
    <row r="47" spans="1:56" s="191" customFormat="1" ht="13.5">
      <c r="A47" s="226"/>
      <c r="B47" s="180">
        <v>5006016244</v>
      </c>
      <c r="C47" s="183" t="str">
        <f>IFERROR(IF(VLOOKUP($B47,勘定科目!$A:$H,HLOOKUP($E$5,勘定科目!$F$1:$H$2,2,0),0)="","",VLOOKUP($B47,勘定科目!$A:$E,2,0)),"")</f>
        <v>減価償却費（製）　工具器具備品</v>
      </c>
      <c r="D47" s="239" t="str">
        <f>IF(C47="","",VLOOKUP($B47,勘定科目!$A:$E,4,0))</f>
        <v>減価償却費</v>
      </c>
      <c r="E47" s="245"/>
      <c r="F47" s="194"/>
      <c r="G47" s="194"/>
      <c r="H47" s="194"/>
      <c r="I47" s="300"/>
      <c r="J47" s="300"/>
      <c r="K47" s="300"/>
      <c r="L47" s="300"/>
      <c r="M47" s="300"/>
      <c r="N47" s="300"/>
      <c r="O47" s="300"/>
      <c r="P47" s="300"/>
      <c r="Q47" s="300"/>
      <c r="R47" s="200">
        <f t="shared" si="3"/>
        <v>0</v>
      </c>
      <c r="S47" s="201"/>
      <c r="T47" s="202"/>
      <c r="U47" s="246"/>
      <c r="V47" s="246"/>
      <c r="W47" s="246"/>
      <c r="BA47"/>
      <c r="BB47"/>
      <c r="BD47" s="191" t="e">
        <v>#REF!</v>
      </c>
    </row>
    <row r="48" spans="1:56" s="191" customFormat="1" ht="13.5">
      <c r="A48" s="226"/>
      <c r="B48" s="180">
        <v>5006016244</v>
      </c>
      <c r="C48" s="183" t="str">
        <f>IFERROR(IF(VLOOKUP($B48,勘定科目!$A:$H,HLOOKUP($E$5,勘定科目!$F$1:$H$2,2,0),0)="","",VLOOKUP($B48,勘定科目!$A:$E,2,0)),"")</f>
        <v>減価償却費（製）　工具器具備品</v>
      </c>
      <c r="D48" s="239" t="str">
        <f>IF(C48="","",VLOOKUP($B48,勘定科目!$A:$E,4,0))</f>
        <v>減価償却費</v>
      </c>
      <c r="E48" s="245"/>
      <c r="F48" s="194"/>
      <c r="G48" s="194"/>
      <c r="H48" s="194"/>
      <c r="I48" s="300"/>
      <c r="J48" s="300"/>
      <c r="K48" s="300"/>
      <c r="L48" s="300"/>
      <c r="M48" s="300"/>
      <c r="N48" s="300"/>
      <c r="O48" s="300"/>
      <c r="P48" s="300"/>
      <c r="Q48" s="300"/>
      <c r="R48" s="200">
        <f t="shared" si="3"/>
        <v>0</v>
      </c>
      <c r="S48" s="201" t="s">
        <v>694</v>
      </c>
      <c r="T48" s="202"/>
      <c r="U48" s="246"/>
      <c r="V48" s="246"/>
      <c r="W48" s="246"/>
      <c r="BA48"/>
      <c r="BB48"/>
      <c r="BD48" s="191" t="e">
        <v>#REF!</v>
      </c>
    </row>
    <row r="49" spans="1:56" s="191" customFormat="1" ht="13.5">
      <c r="A49" s="226"/>
      <c r="B49" s="180">
        <v>5006016247</v>
      </c>
      <c r="C49" s="183" t="str">
        <f>IFERROR(IF(VLOOKUP($B49,勘定科目!$A:$H,HLOOKUP($E$5,勘定科目!$F$1:$H$2,2,0),0)="","",VLOOKUP($B49,勘定科目!$A:$E,2,0)),"")</f>
        <v>減価償却費（製）　その他有形固定資産</v>
      </c>
      <c r="D49" s="239" t="str">
        <f>IF(C49="","",VLOOKUP($B49,勘定科目!$A:$E,4,0))</f>
        <v>減価償却費</v>
      </c>
      <c r="E49" s="245"/>
      <c r="F49" s="194"/>
      <c r="G49" s="194"/>
      <c r="H49" s="194"/>
      <c r="I49" s="300"/>
      <c r="J49" s="300"/>
      <c r="K49" s="300"/>
      <c r="L49" s="300"/>
      <c r="M49" s="300"/>
      <c r="N49" s="300"/>
      <c r="O49" s="300"/>
      <c r="P49" s="300"/>
      <c r="Q49" s="300"/>
      <c r="R49" s="200">
        <f t="shared" si="3"/>
        <v>0</v>
      </c>
      <c r="S49" s="201" t="s">
        <v>700</v>
      </c>
      <c r="T49" s="202"/>
      <c r="U49" s="246"/>
      <c r="V49" s="246"/>
      <c r="W49" s="246"/>
      <c r="BA49"/>
      <c r="BB49"/>
      <c r="BD49" s="191" t="e">
        <v>#REF!</v>
      </c>
    </row>
    <row r="50" spans="1:56" s="191" customFormat="1" ht="13.5">
      <c r="A50" s="226"/>
      <c r="B50" s="180">
        <v>5006016260</v>
      </c>
      <c r="C50" s="183" t="str">
        <f>IFERROR(IF(VLOOKUP($B50,勘定科目!$A:$H,HLOOKUP($E$5,勘定科目!$F$1:$H$2,2,0),0)="","",VLOOKUP($B50,勘定科目!$A:$E,2,0)),"")</f>
        <v>減価償却費配賦（製）　建物</v>
      </c>
      <c r="D50" s="239" t="str">
        <f>IF(C50="","",VLOOKUP($B50,勘定科目!$A:$E,4,0))</f>
        <v>減価償却費</v>
      </c>
      <c r="E50" s="245"/>
      <c r="F50" s="194">
        <f>ROUND(2386.32*25390,0)</f>
        <v>60588665</v>
      </c>
      <c r="G50" s="194">
        <f>ROUND(2379.22*25390,0)</f>
        <v>60408396</v>
      </c>
      <c r="H50" s="194">
        <f>ROUND(2387.79*25390,0)</f>
        <v>60625988</v>
      </c>
      <c r="I50" s="300">
        <f>ROUND(2324.04*25390,0)</f>
        <v>59007376</v>
      </c>
      <c r="J50" s="300">
        <f>ROUND(1147.76*25390,0)</f>
        <v>29141626</v>
      </c>
      <c r="K50" s="300">
        <f>ROUND(1120.19*25390,0)-1</f>
        <v>28441623</v>
      </c>
      <c r="L50" s="300">
        <f>ROUND(1107.25*25390,0)-1</f>
        <v>28113077</v>
      </c>
      <c r="M50" s="300">
        <f>ROUND(1104.93*25390,0)</f>
        <v>28054173</v>
      </c>
      <c r="N50" s="300">
        <f>ROUND(1106.62*25390,0)-1</f>
        <v>28097081</v>
      </c>
      <c r="O50" s="300">
        <f>ROUND(1101.83*25390,0)</f>
        <v>27975464</v>
      </c>
      <c r="P50" s="300">
        <f>ROUND(1105.31*25390,0)-1</f>
        <v>28063820</v>
      </c>
      <c r="Q50" s="300">
        <f>ROUND(1124.18*25390,0)</f>
        <v>28542930</v>
      </c>
      <c r="R50" s="200">
        <f t="shared" si="3"/>
        <v>467060219</v>
      </c>
      <c r="S50" s="201" t="s">
        <v>787</v>
      </c>
      <c r="T50" s="202"/>
      <c r="U50" s="246"/>
      <c r="V50" s="246"/>
      <c r="W50" s="246"/>
      <c r="BA50"/>
      <c r="BB50"/>
      <c r="BD50" s="191" t="e">
        <v>#REF!</v>
      </c>
    </row>
    <row r="51" spans="1:56" s="191" customFormat="1" ht="13.5">
      <c r="A51" s="226"/>
      <c r="B51" s="180">
        <v>5006016261</v>
      </c>
      <c r="C51" s="183" t="str">
        <f>IFERROR(IF(VLOOKUP($B51,勘定科目!$A:$H,HLOOKUP($E$5,勘定科目!$F$1:$H$2,2,0),0)="","",VLOOKUP($B51,勘定科目!$A:$E,2,0)),"")</f>
        <v>減価償却費配賦（製）　土地使用権</v>
      </c>
      <c r="D51" s="239" t="str">
        <f>IF(C51="","",VLOOKUP($B51,勘定科目!$A:$E,4,0))</f>
        <v>減価償却費</v>
      </c>
      <c r="E51" s="245"/>
      <c r="F51" s="194">
        <f>ROUND(161.07*25390,0)</f>
        <v>4089567</v>
      </c>
      <c r="G51" s="194">
        <f>ROUND(160.59*25390,0)</f>
        <v>4077380</v>
      </c>
      <c r="H51" s="194">
        <f>ROUND(161.17*25390,0)</f>
        <v>4092106</v>
      </c>
      <c r="I51" s="300">
        <f>ROUND(156.86*25390,0)</f>
        <v>3982675</v>
      </c>
      <c r="J51" s="300">
        <f>ROUND(77.46*25390,0)</f>
        <v>1966709</v>
      </c>
      <c r="K51" s="300">
        <f>ROUND(75.61*25390,0)</f>
        <v>1919738</v>
      </c>
      <c r="L51" s="300">
        <f>ROUND(74.73*25390,0)</f>
        <v>1897395</v>
      </c>
      <c r="M51" s="300">
        <f>ROUND(74.58*25390,0)</f>
        <v>1893586</v>
      </c>
      <c r="N51" s="300">
        <f>ROUND(74.69*25390,0)-1</f>
        <v>1896378</v>
      </c>
      <c r="O51" s="300">
        <f>ROUND(74.37*25390,0)</f>
        <v>1888254</v>
      </c>
      <c r="P51" s="300">
        <f>ROUND(74.6*25390,0)</f>
        <v>1894094</v>
      </c>
      <c r="Q51" s="300">
        <f>ROUND(75.88*25390,0)</f>
        <v>1926593</v>
      </c>
      <c r="R51" s="200">
        <f t="shared" si="3"/>
        <v>31524475</v>
      </c>
      <c r="S51" s="201" t="s">
        <v>788</v>
      </c>
      <c r="T51" s="202"/>
      <c r="U51" s="246"/>
      <c r="V51" s="246"/>
      <c r="W51" s="246"/>
      <c r="BA51"/>
      <c r="BB51"/>
      <c r="BD51" s="191" t="e">
        <v>#REF!</v>
      </c>
    </row>
    <row r="52" spans="1:56" s="191" customFormat="1" ht="13.5">
      <c r="A52" s="226"/>
      <c r="B52" s="180"/>
      <c r="C52" s="183" t="str">
        <f>IFERROR(IF(VLOOKUP($B52,勘定科目!$A:$H,HLOOKUP($E$5,勘定科目!$F$1:$H$2,2,0),0)="","",VLOOKUP($B52,勘定科目!$A:$E,2,0)),"")</f>
        <v/>
      </c>
      <c r="D52" s="239" t="str">
        <f>IF(C52="","",VLOOKUP($B52,勘定科目!$A:$E,4,0))</f>
        <v/>
      </c>
      <c r="E52" s="245"/>
      <c r="F52" s="194"/>
      <c r="G52" s="194"/>
      <c r="H52" s="194"/>
      <c r="I52" s="300"/>
      <c r="J52" s="300"/>
      <c r="K52" s="300"/>
      <c r="L52" s="300"/>
      <c r="M52" s="300"/>
      <c r="N52" s="300"/>
      <c r="O52" s="300"/>
      <c r="P52" s="300"/>
      <c r="Q52" s="300"/>
      <c r="R52" s="200">
        <f t="shared" si="3"/>
        <v>0</v>
      </c>
      <c r="S52" s="201"/>
      <c r="T52" s="202"/>
      <c r="U52" s="246"/>
      <c r="V52" s="246"/>
      <c r="W52" s="246"/>
      <c r="BA52"/>
      <c r="BB52"/>
      <c r="BD52" s="191" t="e">
        <v>#REF!</v>
      </c>
    </row>
    <row r="53" spans="1:56" s="191" customFormat="1" ht="13.5">
      <c r="A53" s="226"/>
      <c r="B53" s="180">
        <v>5005016372</v>
      </c>
      <c r="C53" s="183" t="str">
        <f>IFERROR(IF(VLOOKUP($B53,勘定科目!$A:$H,HLOOKUP($E$5,勘定科目!$F$1:$H$2,2,0),0)="","",VLOOKUP($B53,勘定科目!$A:$E,2,0)),"")</f>
        <v>その他消耗品（製）</v>
      </c>
      <c r="D53" s="239" t="str">
        <f>IF(C53="","",VLOOKUP($B53,勘定科目!$A:$E,4,0))</f>
        <v>消耗品費</v>
      </c>
      <c r="E53" s="245"/>
      <c r="F53" s="194">
        <f>ROUND(1430*5300,0)</f>
        <v>7579000</v>
      </c>
      <c r="G53" s="194">
        <f>ROUND(1350*5300,0)</f>
        <v>7155000</v>
      </c>
      <c r="H53" s="194">
        <f>ROUND(1510*5300,0)</f>
        <v>8003000</v>
      </c>
      <c r="I53" s="300">
        <f>ROUND(1670*5300,0)</f>
        <v>8851000</v>
      </c>
      <c r="J53" s="300">
        <f>ROUND(40*5300,0)</f>
        <v>212000</v>
      </c>
      <c r="K53" s="300">
        <f>ROUND(40*5300,0)</f>
        <v>212000</v>
      </c>
      <c r="L53" s="300">
        <f>ROUND(60*5300,0)</f>
        <v>318000</v>
      </c>
      <c r="M53" s="300">
        <f>ROUND(40*5300,0)</f>
        <v>212000</v>
      </c>
      <c r="N53" s="300">
        <f>ROUND(60*5300,0)</f>
        <v>318000</v>
      </c>
      <c r="O53" s="300">
        <f>ROUND(40*5300,0)</f>
        <v>212000</v>
      </c>
      <c r="P53" s="300">
        <f>ROUND(30*5300,0)</f>
        <v>159000</v>
      </c>
      <c r="Q53" s="300">
        <f>ROUND(60*5300,0)</f>
        <v>318000</v>
      </c>
      <c r="R53" s="200">
        <f t="shared" si="3"/>
        <v>33549000</v>
      </c>
      <c r="S53" s="201" t="s">
        <v>701</v>
      </c>
      <c r="T53" s="202"/>
      <c r="U53" s="246"/>
      <c r="V53" s="246"/>
      <c r="W53" s="246"/>
      <c r="BA53"/>
      <c r="BB53"/>
      <c r="BD53" s="191" t="e">
        <v>#REF!</v>
      </c>
    </row>
    <row r="54" spans="1:56" s="191" customFormat="1" ht="13.5">
      <c r="A54" s="226"/>
      <c r="B54" s="180">
        <v>5005016372</v>
      </c>
      <c r="C54" s="183" t="str">
        <f>IFERROR(IF(VLOOKUP($B54,勘定科目!$A:$H,HLOOKUP($E$5,勘定科目!$F$1:$H$2,2,0),0)="","",VLOOKUP($B54,勘定科目!$A:$E,2,0)),"")</f>
        <v>その他消耗品（製）</v>
      </c>
      <c r="D54" s="239" t="str">
        <f>IF(C54="","",VLOOKUP($B54,勘定科目!$A:$E,4,0))</f>
        <v>消耗品費</v>
      </c>
      <c r="E54" s="245"/>
      <c r="F54" s="194">
        <f>ROUND(42*50000,0)</f>
        <v>2100000</v>
      </c>
      <c r="G54" s="194">
        <f>ROUND(40*50000,0)</f>
        <v>2000000</v>
      </c>
      <c r="H54" s="194">
        <f>ROUND(44*50000,0)</f>
        <v>2200000</v>
      </c>
      <c r="I54" s="300">
        <f>ROUND(48*50000,0)</f>
        <v>2400000</v>
      </c>
      <c r="J54" s="300">
        <f>ROUND(5*50000,0)</f>
        <v>250000</v>
      </c>
      <c r="K54" s="300">
        <f>ROUND(5*50000,0)</f>
        <v>250000</v>
      </c>
      <c r="L54" s="300">
        <f>ROUND(7*50000,0)</f>
        <v>350000</v>
      </c>
      <c r="M54" s="300">
        <f>ROUND(5*50000,0)</f>
        <v>250000</v>
      </c>
      <c r="N54" s="300">
        <f>ROUND(7*50000,0)</f>
        <v>350000</v>
      </c>
      <c r="O54" s="300">
        <f>ROUND(5*50000,0)</f>
        <v>250000</v>
      </c>
      <c r="P54" s="300">
        <f>ROUND(4*50000,0)</f>
        <v>200000</v>
      </c>
      <c r="Q54" s="300">
        <f>ROUND(6*50000,0)</f>
        <v>300000</v>
      </c>
      <c r="R54" s="200">
        <f t="shared" si="3"/>
        <v>10900000</v>
      </c>
      <c r="S54" s="201" t="s">
        <v>702</v>
      </c>
      <c r="T54" s="202"/>
      <c r="U54" s="246"/>
      <c r="V54" s="246"/>
      <c r="W54" s="246"/>
      <c r="BA54"/>
      <c r="BB54"/>
      <c r="BD54" s="191" t="e">
        <v>#REF!</v>
      </c>
    </row>
    <row r="55" spans="1:56" s="191" customFormat="1" ht="13.5">
      <c r="A55" s="226"/>
      <c r="B55" s="180">
        <v>5005016372</v>
      </c>
      <c r="C55" s="183" t="str">
        <f>IFERROR(IF(VLOOKUP($B55,勘定科目!$A:$H,HLOOKUP($E$5,勘定科目!$F$1:$H$2,2,0),0)="","",VLOOKUP($B55,勘定科目!$A:$E,2,0)),"")</f>
        <v>その他消耗品（製）</v>
      </c>
      <c r="D55" s="239" t="str">
        <f>IF(C55="","",VLOOKUP($B55,勘定科目!$A:$E,4,0))</f>
        <v>消耗品費</v>
      </c>
      <c r="E55" s="245"/>
      <c r="F55" s="194">
        <f>ROUND((196-1)*18424,0)</f>
        <v>3592680</v>
      </c>
      <c r="G55" s="194">
        <f>ROUND((F24+F25)*17736,0)</f>
        <v>3511728</v>
      </c>
      <c r="H55" s="194">
        <f>ROUND((G24+G25)*19401,0)</f>
        <v>3841398</v>
      </c>
      <c r="I55" s="300">
        <f>ROUND((H24+H25)*21138,0)</f>
        <v>4185324</v>
      </c>
      <c r="J55" s="300">
        <f>ROUND((I24+I25)*18404,0)</f>
        <v>515312</v>
      </c>
      <c r="K55" s="300">
        <f>ROUND((J24+J25)*17500,0)</f>
        <v>490000</v>
      </c>
      <c r="L55" s="300">
        <f>ROUND((K24+K25)*21110,0)</f>
        <v>591080</v>
      </c>
      <c r="M55" s="300">
        <f>ROUND((L24+L25)*18421,0)</f>
        <v>589472</v>
      </c>
      <c r="N55" s="300">
        <f>ROUND((M24+M25)*20254,0)</f>
        <v>648128</v>
      </c>
      <c r="O55" s="300">
        <f>ROUND((N24+N25)*18399,0)</f>
        <v>588768</v>
      </c>
      <c r="P55" s="300">
        <f>ROUND((O24+O25)*13863,0)</f>
        <v>457479</v>
      </c>
      <c r="Q55" s="300">
        <f>ROUND((P24+P25)*18435,0)</f>
        <v>663660</v>
      </c>
      <c r="R55" s="200">
        <f t="shared" si="3"/>
        <v>19675029</v>
      </c>
      <c r="S55" s="201" t="s">
        <v>703</v>
      </c>
      <c r="T55" s="202"/>
      <c r="U55" s="246"/>
      <c r="V55" s="246"/>
      <c r="W55" s="246"/>
      <c r="BA55"/>
      <c r="BB55"/>
      <c r="BD55" s="191" t="e">
        <v>#REF!</v>
      </c>
    </row>
    <row r="56" spans="1:56" s="191" customFormat="1" ht="13.5">
      <c r="A56" s="226"/>
      <c r="B56" s="180">
        <v>5005016372</v>
      </c>
      <c r="C56" s="183" t="str">
        <f>IFERROR(IF(VLOOKUP($B56,勘定科目!$A:$H,HLOOKUP($E$5,勘定科目!$F$1:$H$2,2,0),0)="","",VLOOKUP($B56,勘定科目!$A:$E,2,0)),"")</f>
        <v>その他消耗品（製）</v>
      </c>
      <c r="D56" s="239" t="str">
        <f>IF(C56="","",VLOOKUP($B56,勘定科目!$A:$E,4,0))</f>
        <v>消耗品費</v>
      </c>
      <c r="E56" s="245"/>
      <c r="F56" s="194">
        <f>ROUND((196-1)*1122,0)</f>
        <v>218790</v>
      </c>
      <c r="G56" s="194">
        <f>ROUND((F24+F25)*1130,0)</f>
        <v>223740</v>
      </c>
      <c r="H56" s="194">
        <f>ROUND((G24+G25)*1157,0)</f>
        <v>229086</v>
      </c>
      <c r="I56" s="300">
        <f>ROUND((H24+H25)*1113,0)</f>
        <v>220374</v>
      </c>
      <c r="J56" s="300">
        <f>ROUND((I24+I25)*1080,0)</f>
        <v>30240</v>
      </c>
      <c r="K56" s="300">
        <f>ROUND((J24+J25)*1093,0)</f>
        <v>30604</v>
      </c>
      <c r="L56" s="300">
        <f>ROUND((K24+K25)*1131,0)</f>
        <v>31668</v>
      </c>
      <c r="M56" s="300">
        <f>ROUND((L24+L25)*1114,0)</f>
        <v>35648</v>
      </c>
      <c r="N56" s="300">
        <f>ROUND((M24+M25)*1124,0)</f>
        <v>35968</v>
      </c>
      <c r="O56" s="300">
        <f>ROUND((N24+N25)*1128,0)</f>
        <v>36096</v>
      </c>
      <c r="P56" s="300">
        <f>ROUND((O24+O25)*1146,0)</f>
        <v>37818</v>
      </c>
      <c r="Q56" s="300">
        <f>ROUND((P24+P25)*1085,0)</f>
        <v>39060</v>
      </c>
      <c r="R56" s="200">
        <f t="shared" si="3"/>
        <v>1169092</v>
      </c>
      <c r="S56" s="201" t="s">
        <v>704</v>
      </c>
      <c r="T56" s="202"/>
      <c r="U56" s="246"/>
      <c r="V56" s="246"/>
      <c r="W56" s="246"/>
      <c r="BA56"/>
      <c r="BB56"/>
      <c r="BD56" s="191" t="e">
        <v>#REF!</v>
      </c>
    </row>
    <row r="57" spans="1:56" s="191" customFormat="1" ht="13.5">
      <c r="A57" s="226"/>
      <c r="B57" s="180">
        <v>5005016372</v>
      </c>
      <c r="C57" s="183" t="str">
        <f>IFERROR(IF(VLOOKUP($B57,勘定科目!$A:$H,HLOOKUP($E$5,勘定科目!$F$1:$H$2,2,0),0)="","",VLOOKUP($B57,勘定科目!$A:$E,2,0)),"")</f>
        <v>その他消耗品（製）</v>
      </c>
      <c r="D57" s="239" t="str">
        <f>IF(C57="","",VLOOKUP($B57,勘定科目!$A:$E,4,0))</f>
        <v>消耗品費</v>
      </c>
      <c r="E57" s="245"/>
      <c r="F57" s="194"/>
      <c r="G57" s="194"/>
      <c r="H57" s="194"/>
      <c r="I57" s="300"/>
      <c r="J57" s="300"/>
      <c r="K57" s="300"/>
      <c r="L57" s="300"/>
      <c r="M57" s="300"/>
      <c r="N57" s="300"/>
      <c r="O57" s="300"/>
      <c r="P57" s="300"/>
      <c r="Q57" s="300"/>
      <c r="R57" s="200">
        <f t="shared" si="3"/>
        <v>0</v>
      </c>
      <c r="S57" s="201" t="s">
        <v>705</v>
      </c>
      <c r="T57" s="202"/>
      <c r="U57" s="246"/>
      <c r="V57" s="246"/>
      <c r="W57" s="246"/>
      <c r="BA57"/>
      <c r="BB57"/>
      <c r="BD57" s="191" t="e">
        <v>#REF!</v>
      </c>
    </row>
    <row r="58" spans="1:56" s="191" customFormat="1" ht="13.5">
      <c r="A58" s="226"/>
      <c r="B58" s="180">
        <v>5005016372</v>
      </c>
      <c r="C58" s="183" t="str">
        <f>IFERROR(IF(VLOOKUP($B58,勘定科目!$A:$H,HLOOKUP($E$5,勘定科目!$F$1:$H$2,2,0),0)="","",VLOOKUP($B58,勘定科目!$A:$E,2,0)),"")</f>
        <v>その他消耗品（製）</v>
      </c>
      <c r="D58" s="239" t="str">
        <f>IF(C58="","",VLOOKUP($B58,勘定科目!$A:$E,4,0))</f>
        <v>消耗品費</v>
      </c>
      <c r="E58" s="245"/>
      <c r="F58" s="194"/>
      <c r="G58" s="194"/>
      <c r="H58" s="194"/>
      <c r="I58" s="300"/>
      <c r="J58" s="300"/>
      <c r="K58" s="300"/>
      <c r="L58" s="300"/>
      <c r="M58" s="300"/>
      <c r="N58" s="300"/>
      <c r="O58" s="300"/>
      <c r="P58" s="300"/>
      <c r="Q58" s="300"/>
      <c r="R58" s="200">
        <f t="shared" si="3"/>
        <v>0</v>
      </c>
      <c r="S58" s="201" t="s">
        <v>706</v>
      </c>
      <c r="T58" s="202"/>
      <c r="U58" s="246"/>
      <c r="V58" s="246"/>
      <c r="W58" s="246"/>
      <c r="BA58"/>
      <c r="BB58"/>
      <c r="BD58" s="191" t="e">
        <v>#REF!</v>
      </c>
    </row>
    <row r="59" spans="1:56" s="191" customFormat="1" ht="13.5">
      <c r="A59" s="226"/>
      <c r="B59" s="180">
        <v>5005016372</v>
      </c>
      <c r="C59" s="183" t="str">
        <f>IFERROR(IF(VLOOKUP($B59,勘定科目!$A:$H,HLOOKUP($E$5,勘定科目!$F$1:$H$2,2,0),0)="","",VLOOKUP($B59,勘定科目!$A:$E,2,0)),"")</f>
        <v>その他消耗品（製）</v>
      </c>
      <c r="D59" s="239" t="str">
        <f>IF(C59="","",VLOOKUP($B59,勘定科目!$A:$E,4,0))</f>
        <v>消耗品費</v>
      </c>
      <c r="E59" s="245"/>
      <c r="F59" s="194"/>
      <c r="G59" s="194"/>
      <c r="H59" s="194"/>
      <c r="I59" s="300"/>
      <c r="J59" s="300"/>
      <c r="K59" s="300"/>
      <c r="L59" s="300"/>
      <c r="M59" s="300"/>
      <c r="N59" s="300"/>
      <c r="O59" s="300"/>
      <c r="P59" s="300"/>
      <c r="Q59" s="300"/>
      <c r="R59" s="200">
        <f t="shared" si="3"/>
        <v>0</v>
      </c>
      <c r="S59" s="201" t="s">
        <v>707</v>
      </c>
      <c r="T59" s="202"/>
      <c r="U59" s="246"/>
      <c r="V59" s="246"/>
      <c r="W59" s="246"/>
      <c r="BA59"/>
      <c r="BB59"/>
      <c r="BD59" s="191" t="e">
        <v>#REF!</v>
      </c>
    </row>
    <row r="60" spans="1:56" s="191" customFormat="1" ht="13.5">
      <c r="A60" s="226"/>
      <c r="B60" s="180">
        <v>5005016372</v>
      </c>
      <c r="C60" s="183" t="str">
        <f>IFERROR(IF(VLOOKUP($B60,勘定科目!$A:$H,HLOOKUP($E$5,勘定科目!$F$1:$H$2,2,0),0)="","",VLOOKUP($B60,勘定科目!$A:$E,2,0)),"")</f>
        <v>その他消耗品（製）</v>
      </c>
      <c r="D60" s="239" t="str">
        <f>IF(C60="","",VLOOKUP($B60,勘定科目!$A:$E,4,0))</f>
        <v>消耗品費</v>
      </c>
      <c r="E60" s="245"/>
      <c r="F60" s="194"/>
      <c r="G60" s="194"/>
      <c r="H60" s="194"/>
      <c r="I60" s="300"/>
      <c r="J60" s="300"/>
      <c r="K60" s="300"/>
      <c r="L60" s="300"/>
      <c r="M60" s="300"/>
      <c r="N60" s="300"/>
      <c r="O60" s="300"/>
      <c r="P60" s="300"/>
      <c r="Q60" s="300"/>
      <c r="R60" s="200">
        <f t="shared" si="3"/>
        <v>0</v>
      </c>
      <c r="S60" s="201" t="s">
        <v>708</v>
      </c>
      <c r="T60" s="202"/>
      <c r="U60" s="246"/>
      <c r="V60" s="246"/>
      <c r="W60" s="246"/>
      <c r="BA60"/>
      <c r="BB60"/>
      <c r="BD60" s="191" t="e">
        <v>#REF!</v>
      </c>
    </row>
    <row r="61" spans="1:56" s="191" customFormat="1" ht="13.5">
      <c r="A61" s="226"/>
      <c r="B61" s="180"/>
      <c r="C61" s="183" t="str">
        <f>IFERROR(IF(VLOOKUP($B61,勘定科目!$A:$H,HLOOKUP($E$5,勘定科目!$F$1:$H$2,2,0),0)="","",VLOOKUP($B61,勘定科目!$A:$E,2,0)),"")</f>
        <v/>
      </c>
      <c r="D61" s="239" t="str">
        <f>IF(C61="","",VLOOKUP($B61,勘定科目!$A:$E,4,0))</f>
        <v/>
      </c>
      <c r="E61" s="245"/>
      <c r="F61" s="194"/>
      <c r="G61" s="194"/>
      <c r="H61" s="194"/>
      <c r="I61" s="300"/>
      <c r="J61" s="300"/>
      <c r="K61" s="300"/>
      <c r="L61" s="300"/>
      <c r="M61" s="300"/>
      <c r="N61" s="300"/>
      <c r="O61" s="300"/>
      <c r="P61" s="300"/>
      <c r="Q61" s="300"/>
      <c r="R61" s="200">
        <f t="shared" si="3"/>
        <v>0</v>
      </c>
      <c r="S61" s="201"/>
      <c r="T61" s="202"/>
      <c r="U61" s="246"/>
      <c r="V61" s="246"/>
      <c r="W61" s="246"/>
      <c r="BA61"/>
      <c r="BB61"/>
      <c r="BD61" s="191" t="e">
        <v>#REF!</v>
      </c>
    </row>
    <row r="62" spans="1:56" s="191" customFormat="1" ht="13.5">
      <c r="A62" s="226"/>
      <c r="B62" s="180">
        <v>5005026371</v>
      </c>
      <c r="C62" s="183" t="str">
        <f>IFERROR(IF(VLOOKUP($B62,勘定科目!$A:$H,HLOOKUP($E$5,勘定科目!$F$1:$H$2,2,0),0)="","",VLOOKUP($B62,勘定科目!$A:$E,2,0)),"")</f>
        <v>消耗工具器具備品費（製）</v>
      </c>
      <c r="D62" s="239" t="str">
        <f>IF(C62="","",VLOOKUP($B62,勘定科目!$A:$E,4,0))</f>
        <v>消耗工具器具備品費</v>
      </c>
      <c r="E62" s="245"/>
      <c r="F62" s="194">
        <f>4*16750000</f>
        <v>67000000</v>
      </c>
      <c r="G62" s="194">
        <f>4*16750000</f>
        <v>67000000</v>
      </c>
      <c r="H62" s="194">
        <f>4*16750000</f>
        <v>67000000</v>
      </c>
      <c r="I62" s="300">
        <f>4*16750000</f>
        <v>67000000</v>
      </c>
      <c r="J62" s="300">
        <v>0</v>
      </c>
      <c r="K62" s="300">
        <f>2*(16750000+4200000)</f>
        <v>41900000</v>
      </c>
      <c r="L62" s="300"/>
      <c r="M62" s="300"/>
      <c r="N62" s="300">
        <f>1*(16750000+4200000)</f>
        <v>20950000</v>
      </c>
      <c r="O62" s="300"/>
      <c r="P62" s="300"/>
      <c r="Q62" s="300"/>
      <c r="R62" s="200">
        <f t="shared" si="3"/>
        <v>330850000</v>
      </c>
      <c r="S62" s="299" t="s">
        <v>796</v>
      </c>
      <c r="T62" s="202"/>
      <c r="U62" s="246"/>
      <c r="V62" s="246"/>
      <c r="W62" s="246"/>
      <c r="BA62"/>
      <c r="BB62"/>
      <c r="BD62" s="191" t="e">
        <v>#REF!</v>
      </c>
    </row>
    <row r="63" spans="1:56" s="191" customFormat="1" ht="13.5">
      <c r="A63" s="226"/>
      <c r="B63" s="180">
        <v>5005026371</v>
      </c>
      <c r="C63" s="183" t="str">
        <f>IFERROR(IF(VLOOKUP($B63,勘定科目!$A:$H,HLOOKUP($E$5,勘定科目!$F$1:$H$2,2,0),0)="","",VLOOKUP($B63,勘定科目!$A:$E,2,0)),"")</f>
        <v>消耗工具器具備品費（製）</v>
      </c>
      <c r="D63" s="239" t="str">
        <f>IF(C63="","",VLOOKUP($B63,勘定科目!$A:$E,4,0))</f>
        <v>消耗工具器具備品費</v>
      </c>
      <c r="E63" s="245"/>
      <c r="F63" s="194"/>
      <c r="G63" s="194"/>
      <c r="H63" s="194"/>
      <c r="I63" s="300"/>
      <c r="J63" s="300"/>
      <c r="K63" s="300">
        <f>2*270000</f>
        <v>540000</v>
      </c>
      <c r="L63" s="300"/>
      <c r="M63" s="300"/>
      <c r="N63" s="300">
        <f>270000</f>
        <v>270000</v>
      </c>
      <c r="O63" s="300"/>
      <c r="P63" s="300"/>
      <c r="Q63" s="300"/>
      <c r="R63" s="200">
        <f t="shared" si="3"/>
        <v>810000</v>
      </c>
      <c r="S63" s="299" t="s">
        <v>792</v>
      </c>
      <c r="T63" s="202"/>
      <c r="U63" s="246"/>
      <c r="V63" s="246"/>
      <c r="W63" s="246"/>
      <c r="BA63"/>
      <c r="BB63"/>
      <c r="BD63" s="191" t="e">
        <v>#REF!</v>
      </c>
    </row>
    <row r="64" spans="1:56" s="191" customFormat="1" ht="13.5">
      <c r="A64" s="226"/>
      <c r="B64" s="180">
        <v>5005026371</v>
      </c>
      <c r="C64" s="183" t="str">
        <f>IFERROR(IF(VLOOKUP($B64,勘定科目!$A:$H,HLOOKUP($E$5,勘定科目!$F$1:$H$2,2,0),0)="","",VLOOKUP($B64,勘定科目!$A:$E,2,0)),"")</f>
        <v>消耗工具器具備品費（製）</v>
      </c>
      <c r="D64" s="239" t="str">
        <f>IF(C64="","",VLOOKUP($B64,勘定科目!$A:$E,4,0))</f>
        <v>消耗工具器具備品費</v>
      </c>
      <c r="E64" s="245"/>
      <c r="F64" s="194">
        <v>5000000</v>
      </c>
      <c r="G64" s="194">
        <v>5000000</v>
      </c>
      <c r="H64" s="194">
        <v>5000000</v>
      </c>
      <c r="I64" s="300"/>
      <c r="J64" s="300"/>
      <c r="K64" s="300"/>
      <c r="L64" s="300"/>
      <c r="M64" s="300"/>
      <c r="N64" s="300"/>
      <c r="O64" s="300"/>
      <c r="P64" s="300"/>
      <c r="Q64" s="300"/>
      <c r="R64" s="200">
        <f t="shared" si="3"/>
        <v>15000000</v>
      </c>
      <c r="S64" s="299" t="s">
        <v>793</v>
      </c>
      <c r="T64" s="202"/>
      <c r="U64" s="246"/>
      <c r="V64" s="246"/>
      <c r="W64" s="246"/>
      <c r="BA64"/>
      <c r="BB64"/>
    </row>
    <row r="65" spans="1:56" s="191" customFormat="1" ht="13.5">
      <c r="A65" s="226"/>
      <c r="B65" s="180">
        <v>5005026371</v>
      </c>
      <c r="C65" s="183" t="str">
        <f>IFERROR(IF(VLOOKUP($B65,勘定科目!$A:$H,HLOOKUP($E$5,勘定科目!$F$1:$H$2,2,0),0)="","",VLOOKUP($B65,勘定科目!$A:$E,2,0)),"")</f>
        <v>消耗工具器具備品費（製）</v>
      </c>
      <c r="D65" s="239" t="str">
        <f>IF(C65="","",VLOOKUP($B65,勘定科目!$A:$E,4,0))</f>
        <v>消耗工具器具備品費</v>
      </c>
      <c r="E65" s="245"/>
      <c r="F65" s="194">
        <f>2*14*25390</f>
        <v>710920</v>
      </c>
      <c r="G65" s="194"/>
      <c r="H65" s="194"/>
      <c r="I65" s="300"/>
      <c r="J65" s="300"/>
      <c r="K65" s="300"/>
      <c r="L65" s="300"/>
      <c r="M65" s="300"/>
      <c r="N65" s="300"/>
      <c r="O65" s="300"/>
      <c r="P65" s="300"/>
      <c r="Q65" s="300"/>
      <c r="R65" s="200">
        <f t="shared" si="3"/>
        <v>710920</v>
      </c>
      <c r="S65" s="299" t="s">
        <v>760</v>
      </c>
      <c r="T65" s="202"/>
      <c r="U65" s="246"/>
      <c r="V65" s="246"/>
      <c r="W65" s="246"/>
      <c r="BA65"/>
      <c r="BB65"/>
      <c r="BD65" s="191" t="e">
        <v>#REF!</v>
      </c>
    </row>
    <row r="66" spans="1:56" s="191" customFormat="1" ht="13.5">
      <c r="A66" s="226"/>
      <c r="B66" s="180">
        <v>5005026371</v>
      </c>
      <c r="C66" s="183" t="str">
        <f>IFERROR(IF(VLOOKUP($B66,勘定科目!$A:$H,HLOOKUP($E$5,勘定科目!$F$1:$H$2,2,0),0)="","",VLOOKUP($B66,勘定科目!$A:$E,2,0)),"")</f>
        <v>消耗工具器具備品費（製）</v>
      </c>
      <c r="D66" s="239" t="str">
        <f>IF(C66="","",VLOOKUP($B66,勘定科目!$A:$E,4,0))</f>
        <v>消耗工具器具備品費</v>
      </c>
      <c r="E66" s="245"/>
      <c r="F66" s="194">
        <v>3224000</v>
      </c>
      <c r="G66" s="194"/>
      <c r="H66" s="194"/>
      <c r="I66" s="300"/>
      <c r="J66" s="300"/>
      <c r="K66" s="300"/>
      <c r="L66" s="300"/>
      <c r="M66" s="300"/>
      <c r="N66" s="300"/>
      <c r="O66" s="300"/>
      <c r="P66" s="300"/>
      <c r="Q66" s="300"/>
      <c r="R66" s="200">
        <f t="shared" si="3"/>
        <v>3224000</v>
      </c>
      <c r="S66" s="299" t="s">
        <v>761</v>
      </c>
      <c r="T66" s="202"/>
      <c r="U66" s="246"/>
      <c r="V66" s="246"/>
      <c r="W66" s="246"/>
      <c r="BA66"/>
      <c r="BB66"/>
      <c r="BD66" s="191" t="e">
        <v>#REF!</v>
      </c>
    </row>
    <row r="67" spans="1:56" s="191" customFormat="1" ht="13.5">
      <c r="A67" s="226"/>
      <c r="B67" s="180">
        <v>5005026371</v>
      </c>
      <c r="C67" s="183" t="str">
        <f>IFERROR(IF(VLOOKUP($B67,勘定科目!$A:$H,HLOOKUP($E$5,勘定科目!$F$1:$H$2,2,0),0)="","",VLOOKUP($B67,勘定科目!$A:$E,2,0)),"")</f>
        <v>消耗工具器具備品費（製）</v>
      </c>
      <c r="D67" s="239" t="str">
        <f>IF(C67="","",VLOOKUP($B67,勘定科目!$A:$E,4,0))</f>
        <v>消耗工具器具備品費</v>
      </c>
      <c r="E67" s="245"/>
      <c r="F67" s="194">
        <f>14500000+300000</f>
        <v>14800000</v>
      </c>
      <c r="G67" s="194"/>
      <c r="H67" s="194">
        <f>14500000+300000</f>
        <v>14800000</v>
      </c>
      <c r="I67" s="300"/>
      <c r="J67" s="300"/>
      <c r="K67" s="300"/>
      <c r="L67" s="300"/>
      <c r="M67" s="300"/>
      <c r="N67" s="300"/>
      <c r="O67" s="300"/>
      <c r="P67" s="300">
        <f>5060800+550000</f>
        <v>5610800</v>
      </c>
      <c r="Q67" s="300"/>
      <c r="R67" s="200">
        <f t="shared" si="3"/>
        <v>35210800</v>
      </c>
      <c r="S67" s="299" t="s">
        <v>794</v>
      </c>
      <c r="T67" s="202"/>
      <c r="U67" s="246"/>
      <c r="V67" s="246"/>
      <c r="W67" s="246"/>
      <c r="BA67"/>
      <c r="BB67"/>
      <c r="BD67" s="191" t="e">
        <v>#REF!</v>
      </c>
    </row>
    <row r="68" spans="1:56" s="191" customFormat="1" ht="13.5">
      <c r="A68" s="226"/>
      <c r="B68" s="180">
        <v>5005026371</v>
      </c>
      <c r="C68" s="183" t="str">
        <f>IFERROR(IF(VLOOKUP($B68,勘定科目!$A:$H,HLOOKUP($E$5,勘定科目!$F$1:$H$2,2,0),0)="","",VLOOKUP($B68,勘定科目!$A:$E,2,0)),"")</f>
        <v>消耗工具器具備品費（製）</v>
      </c>
      <c r="D68" s="239" t="str">
        <f>IF(C68="","",VLOOKUP($B68,勘定科目!$A:$E,4,0))</f>
        <v>消耗工具器具備品費</v>
      </c>
      <c r="E68" s="245"/>
      <c r="F68" s="194"/>
      <c r="G68" s="194"/>
      <c r="H68" s="194"/>
      <c r="I68" s="300"/>
      <c r="J68" s="300"/>
      <c r="K68" s="300"/>
      <c r="L68" s="300">
        <f>2*8620000</f>
        <v>17240000</v>
      </c>
      <c r="M68" s="300">
        <f>2*8620000</f>
        <v>17240000</v>
      </c>
      <c r="N68" s="300">
        <f>2*8620000</f>
        <v>17240000</v>
      </c>
      <c r="O68" s="300"/>
      <c r="P68" s="300"/>
      <c r="Q68" s="300"/>
      <c r="R68" s="200">
        <f t="shared" si="3"/>
        <v>51720000</v>
      </c>
      <c r="S68" s="299" t="s">
        <v>777</v>
      </c>
      <c r="T68" s="202"/>
      <c r="U68" s="246"/>
      <c r="V68" s="246"/>
      <c r="W68" s="246"/>
      <c r="BA68"/>
      <c r="BB68"/>
      <c r="BC68" s="191" t="s">
        <v>709</v>
      </c>
      <c r="BD68" s="191" t="e">
        <v>#REF!</v>
      </c>
    </row>
    <row r="69" spans="1:56" s="191" customFormat="1" ht="13.5">
      <c r="A69" s="226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9" t="str">
        <f>IF(C69="","",VLOOKUP($B69,勘定科目!$A:$E,4,0))</f>
        <v>消耗工具器具備品費</v>
      </c>
      <c r="E69" s="245"/>
      <c r="F69" s="194"/>
      <c r="G69" s="194"/>
      <c r="H69" s="194"/>
      <c r="I69" s="300"/>
      <c r="J69" s="300"/>
      <c r="K69" s="300"/>
      <c r="L69" s="300"/>
      <c r="M69" s="300"/>
      <c r="N69" s="300"/>
      <c r="O69" s="300"/>
      <c r="P69" s="300"/>
      <c r="Q69" s="300"/>
      <c r="R69" s="200">
        <f t="shared" si="3"/>
        <v>0</v>
      </c>
      <c r="S69" s="299" t="s">
        <v>710</v>
      </c>
      <c r="T69" s="202"/>
      <c r="U69" s="246"/>
      <c r="V69" s="246"/>
      <c r="W69" s="246"/>
      <c r="BA69"/>
      <c r="BB69"/>
      <c r="BD69" s="191" t="e">
        <v>#REF!</v>
      </c>
    </row>
    <row r="70" spans="1:56" s="191" customFormat="1" ht="13.5">
      <c r="A70" s="226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9" t="str">
        <f>IF(C70="","",VLOOKUP($B70,勘定科目!$A:$E,4,0))</f>
        <v>消耗工具器具備品費</v>
      </c>
      <c r="E70" s="245"/>
      <c r="F70" s="194"/>
      <c r="G70" s="194"/>
      <c r="H70" s="194"/>
      <c r="I70" s="300"/>
      <c r="J70" s="300"/>
      <c r="K70" s="300"/>
      <c r="L70" s="300"/>
      <c r="M70" s="300"/>
      <c r="N70" s="300"/>
      <c r="O70" s="300"/>
      <c r="P70" s="300"/>
      <c r="Q70" s="300"/>
      <c r="R70" s="200">
        <f t="shared" si="3"/>
        <v>0</v>
      </c>
      <c r="S70" s="299" t="s">
        <v>711</v>
      </c>
      <c r="T70" s="202"/>
      <c r="U70" s="246"/>
      <c r="V70" s="246"/>
      <c r="W70" s="246"/>
      <c r="BA70"/>
      <c r="BB70"/>
      <c r="BD70" s="191" t="e">
        <v>#REF!</v>
      </c>
    </row>
    <row r="71" spans="1:56" s="191" customFormat="1" ht="13.5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194"/>
      <c r="H71" s="194"/>
      <c r="I71" s="300"/>
      <c r="J71" s="300"/>
      <c r="K71" s="300"/>
      <c r="L71" s="300"/>
      <c r="M71" s="300"/>
      <c r="N71" s="300"/>
      <c r="O71" s="300"/>
      <c r="P71" s="300"/>
      <c r="Q71" s="300"/>
      <c r="R71" s="200">
        <f t="shared" si="3"/>
        <v>0</v>
      </c>
      <c r="S71" s="299"/>
      <c r="T71" s="202"/>
      <c r="U71" s="246"/>
      <c r="V71" s="246"/>
      <c r="W71" s="246"/>
      <c r="BA71"/>
      <c r="BB71"/>
      <c r="BD71" s="191" t="e">
        <v>#REF!</v>
      </c>
    </row>
    <row r="72" spans="1:56" s="191" customFormat="1" ht="13.5">
      <c r="A72" s="226"/>
      <c r="B72" s="180">
        <v>5005046283</v>
      </c>
      <c r="C72" s="183" t="str">
        <f>IFERROR(IF(VLOOKUP($B72,勘定科目!$A:$H,HLOOKUP($E$5,勘定科目!$F$1:$H$2,2,0),0)="","",VLOOKUP($B72,勘定科目!$A:$E,2,0)),"")</f>
        <v>年間保守料（製）</v>
      </c>
      <c r="D72" s="239" t="str">
        <f>IF(C72="","",VLOOKUP($B72,勘定科目!$A:$E,4,0))</f>
        <v>修繕費</v>
      </c>
      <c r="E72" s="245"/>
      <c r="F72" s="194"/>
      <c r="G72" s="194"/>
      <c r="H72" s="194">
        <v>1000000</v>
      </c>
      <c r="I72" s="300"/>
      <c r="J72" s="300">
        <f>500000</f>
        <v>500000</v>
      </c>
      <c r="K72" s="300"/>
      <c r="L72" s="300"/>
      <c r="M72" s="300"/>
      <c r="N72" s="300"/>
      <c r="O72" s="300"/>
      <c r="P72" s="300"/>
      <c r="Q72" s="300"/>
      <c r="R72" s="200">
        <f t="shared" si="3"/>
        <v>1500000</v>
      </c>
      <c r="S72" s="299" t="s">
        <v>712</v>
      </c>
      <c r="T72" s="202"/>
      <c r="U72" s="246"/>
      <c r="V72" s="246"/>
      <c r="W72" s="246"/>
      <c r="BA72"/>
      <c r="BB72"/>
      <c r="BD72" s="191" t="e">
        <v>#REF!</v>
      </c>
    </row>
    <row r="73" spans="1:56" s="191" customFormat="1" ht="13.5">
      <c r="A73" s="226"/>
      <c r="B73" s="180"/>
      <c r="C73" s="183" t="str">
        <f>IFERROR(IF(VLOOKUP($B73,勘定科目!$A:$H,HLOOKUP($E$5,勘定科目!$F$1:$H$2,2,0),0)="","",VLOOKUP($B73,勘定科目!$A:$E,2,0)),"")</f>
        <v/>
      </c>
      <c r="D73" s="239" t="str">
        <f>IF(C73="","",VLOOKUP($B73,勘定科目!$A:$E,4,0))</f>
        <v/>
      </c>
      <c r="E73" s="245"/>
      <c r="F73" s="194"/>
      <c r="G73" s="194"/>
      <c r="H73" s="194"/>
      <c r="I73" s="300"/>
      <c r="J73" s="300"/>
      <c r="K73" s="300"/>
      <c r="L73" s="300"/>
      <c r="M73" s="300"/>
      <c r="N73" s="300"/>
      <c r="O73" s="300"/>
      <c r="P73" s="300"/>
      <c r="Q73" s="300"/>
      <c r="R73" s="200">
        <f t="shared" si="3"/>
        <v>0</v>
      </c>
      <c r="S73" s="299"/>
      <c r="T73" s="202"/>
      <c r="U73" s="246"/>
      <c r="V73" s="246"/>
      <c r="W73" s="246"/>
      <c r="BA73"/>
      <c r="BB73"/>
      <c r="BD73" s="191" t="e">
        <v>#REF!</v>
      </c>
    </row>
    <row r="74" spans="1:56" s="191" customFormat="1" ht="13.5">
      <c r="A74" s="226"/>
      <c r="B74" s="180">
        <v>5005056281</v>
      </c>
      <c r="C74" s="183" t="str">
        <f>IFERROR(IF(VLOOKUP($B74,勘定科目!$A:$H,HLOOKUP($E$5,勘定科目!$F$1:$H$2,2,0),0)="","",VLOOKUP($B74,勘定科目!$A:$E,2,0)),"")</f>
        <v>ガス代（製）</v>
      </c>
      <c r="D74" s="239" t="str">
        <f>IF(C74="","",VLOOKUP($B74,勘定科目!$A:$E,4,0))</f>
        <v>水道光熱費</v>
      </c>
      <c r="E74" s="245"/>
      <c r="F74" s="194">
        <f>ROUND((196-1)*40366,0)</f>
        <v>7871370</v>
      </c>
      <c r="G74" s="194">
        <f>ROUND((F24+F25)*39111,0)</f>
        <v>7743978</v>
      </c>
      <c r="H74" s="194">
        <f>ROUND((G24+G25)*44856,0)</f>
        <v>8881488</v>
      </c>
      <c r="I74" s="300">
        <f>ROUND((H24+H25)*46929,0)</f>
        <v>9291942</v>
      </c>
      <c r="J74" s="300">
        <f>ROUND((I24+I25)*42688,0)</f>
        <v>1195264</v>
      </c>
      <c r="K74" s="300">
        <f>ROUND((J24+J25)*38491,0)</f>
        <v>1077748</v>
      </c>
      <c r="L74" s="300">
        <f>ROUND((K24+K25)*46977,0)</f>
        <v>1315356</v>
      </c>
      <c r="M74" s="300">
        <f>ROUND((L24+L25)*41126,0)</f>
        <v>1316032</v>
      </c>
      <c r="N74" s="300">
        <f>ROUND((M24+M25)*44086,0)</f>
        <v>1410752</v>
      </c>
      <c r="O74" s="300">
        <f>ROUND((N24+N25)*42459,0)</f>
        <v>1358688</v>
      </c>
      <c r="P74" s="300">
        <f>ROUND((O24+O25)*32894,0)</f>
        <v>1085502</v>
      </c>
      <c r="Q74" s="300">
        <f>ROUND((P24+P25)*42542,0)</f>
        <v>1531512</v>
      </c>
      <c r="R74" s="200">
        <f t="shared" si="3"/>
        <v>44079632</v>
      </c>
      <c r="S74" s="299" t="s">
        <v>713</v>
      </c>
      <c r="T74" s="202"/>
      <c r="U74" s="246"/>
      <c r="V74" s="246"/>
      <c r="W74" s="246"/>
      <c r="BA74"/>
      <c r="BB74"/>
      <c r="BD74" s="191" t="e">
        <v>#REF!</v>
      </c>
    </row>
    <row r="75" spans="1:56" s="191" customFormat="1" ht="13.5">
      <c r="A75" s="226"/>
      <c r="B75" s="180">
        <v>5005066281</v>
      </c>
      <c r="C75" s="183" t="str">
        <f>IFERROR(IF(VLOOKUP($B75,勘定科目!$A:$H,HLOOKUP($E$5,勘定科目!$F$1:$H$2,2,0),0)="","",VLOOKUP($B75,勘定科目!$A:$E,2,0)),"")</f>
        <v>電気代（製）</v>
      </c>
      <c r="D75" s="239" t="str">
        <f>IF(C75="","",VLOOKUP($B75,勘定科目!$A:$E,4,0))</f>
        <v>水道光熱費</v>
      </c>
      <c r="E75" s="245"/>
      <c r="F75" s="194">
        <v>5698137</v>
      </c>
      <c r="G75" s="194">
        <v>5847114</v>
      </c>
      <c r="H75" s="194">
        <v>7337765</v>
      </c>
      <c r="I75" s="300">
        <v>7902209</v>
      </c>
      <c r="J75" s="300">
        <v>4856647</v>
      </c>
      <c r="K75" s="300">
        <v>4454718</v>
      </c>
      <c r="L75" s="300">
        <v>4492693</v>
      </c>
      <c r="M75" s="300">
        <v>4019295</v>
      </c>
      <c r="N75" s="300">
        <v>3851824</v>
      </c>
      <c r="O75" s="300">
        <v>3378426</v>
      </c>
      <c r="P75" s="300">
        <v>3384824</v>
      </c>
      <c r="Q75" s="300">
        <v>2679530</v>
      </c>
      <c r="R75" s="200">
        <f t="shared" si="3"/>
        <v>57903182</v>
      </c>
      <c r="S75" s="299" t="s">
        <v>714</v>
      </c>
      <c r="T75" s="202"/>
      <c r="U75" s="246"/>
      <c r="V75" s="246"/>
      <c r="W75" s="246"/>
      <c r="BA75"/>
      <c r="BB75"/>
      <c r="BD75" s="191" t="e">
        <v>#REF!</v>
      </c>
    </row>
    <row r="76" spans="1:56" s="191" customFormat="1" ht="13.5">
      <c r="A76" s="226"/>
      <c r="B76" s="180">
        <v>5005066282</v>
      </c>
      <c r="C76" s="183" t="str">
        <f>IFERROR(IF(VLOOKUP($B76,勘定科目!$A:$H,HLOOKUP($E$5,勘定科目!$F$1:$H$2,2,0),0)="","",VLOOKUP($B76,勘定科目!$A:$E,2,0)),"")</f>
        <v>水道代（製）</v>
      </c>
      <c r="D76" s="239" t="str">
        <f>IF(C76="","",VLOOKUP($B76,勘定科目!$A:$E,4,0))</f>
        <v>水道光熱費</v>
      </c>
      <c r="E76" s="245"/>
      <c r="F76" s="194">
        <v>5754494</v>
      </c>
      <c r="G76" s="194">
        <v>6359651</v>
      </c>
      <c r="H76" s="194">
        <v>7182875</v>
      </c>
      <c r="I76" s="300">
        <v>10257665</v>
      </c>
      <c r="J76" s="300">
        <f>ROUND(1299197,0)</f>
        <v>1299197</v>
      </c>
      <c r="K76" s="300">
        <f>ROUND(1127303.8989899,0)</f>
        <v>1127304</v>
      </c>
      <c r="L76" s="300">
        <f>ROUND(882554.138613861,0)</f>
        <v>882554</v>
      </c>
      <c r="M76" s="300">
        <f>ROUND(1229290.77227723,0)</f>
        <v>1229291</v>
      </c>
      <c r="N76" s="300">
        <f>ROUND(1227743.36633663,0)</f>
        <v>1227743</v>
      </c>
      <c r="O76" s="300">
        <f>ROUND(858543.118226601,0)+1</f>
        <v>858544</v>
      </c>
      <c r="P76" s="300">
        <f>ROUND(702317.127272727,0)</f>
        <v>702317</v>
      </c>
      <c r="Q76" s="300">
        <f>ROUND(816013.309090909,0)+1</f>
        <v>816014</v>
      </c>
      <c r="R76" s="200">
        <f t="shared" si="3"/>
        <v>37697649</v>
      </c>
      <c r="S76" s="299" t="s">
        <v>715</v>
      </c>
      <c r="T76" s="202"/>
      <c r="U76" s="246"/>
      <c r="V76" s="246"/>
      <c r="W76" s="246"/>
      <c r="BA76"/>
      <c r="BB76"/>
      <c r="BD76" s="191" t="e">
        <v>#REF!</v>
      </c>
    </row>
    <row r="77" spans="1:56" s="191" customFormat="1" ht="13.5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194"/>
      <c r="H77" s="194"/>
      <c r="I77" s="300"/>
      <c r="J77" s="300"/>
      <c r="K77" s="300"/>
      <c r="L77" s="300"/>
      <c r="M77" s="300"/>
      <c r="N77" s="300"/>
      <c r="O77" s="300"/>
      <c r="P77" s="300"/>
      <c r="Q77" s="300"/>
      <c r="R77" s="200">
        <f t="shared" si="3"/>
        <v>0</v>
      </c>
      <c r="S77" s="299"/>
      <c r="T77" s="202"/>
      <c r="U77" s="246"/>
      <c r="V77" s="246"/>
      <c r="W77" s="246"/>
      <c r="BA77"/>
      <c r="BB77"/>
      <c r="BD77" s="191" t="e">
        <v>#REF!</v>
      </c>
    </row>
    <row r="78" spans="1:56" s="191" customFormat="1" ht="13.5">
      <c r="A78" s="226"/>
      <c r="B78" s="180">
        <v>5005076281</v>
      </c>
      <c r="C78" s="183" t="str">
        <f>IFERROR(IF(VLOOKUP($B78,勘定科目!$A:$H,HLOOKUP($E$5,勘定科目!$F$1:$H$2,2,0),0)="","",VLOOKUP($B78,勘定科目!$A:$E,2,0)),"")</f>
        <v>通関申告費用（製）</v>
      </c>
      <c r="D78" s="239" t="str">
        <f>IF(C78="","",VLOOKUP($B78,勘定科目!$A:$E,4,0))</f>
        <v>荷造運賃</v>
      </c>
      <c r="E78" s="245"/>
      <c r="F78" s="194"/>
      <c r="G78" s="194"/>
      <c r="H78" s="194"/>
      <c r="I78" s="300"/>
      <c r="J78" s="300"/>
      <c r="K78" s="300"/>
      <c r="L78" s="300"/>
      <c r="M78" s="300"/>
      <c r="N78" s="300"/>
      <c r="O78" s="300"/>
      <c r="P78" s="300"/>
      <c r="Q78" s="300"/>
      <c r="R78" s="200">
        <f t="shared" si="3"/>
        <v>0</v>
      </c>
      <c r="S78" s="299" t="s">
        <v>716</v>
      </c>
      <c r="T78" s="202"/>
      <c r="U78" s="246"/>
      <c r="V78" s="246"/>
      <c r="W78" s="246"/>
      <c r="BA78"/>
      <c r="BB78"/>
      <c r="BD78" s="191" t="e">
        <v>#REF!</v>
      </c>
    </row>
    <row r="79" spans="1:56" s="191" customFormat="1" ht="13.5">
      <c r="A79" s="226"/>
      <c r="B79" s="180">
        <v>5005076281</v>
      </c>
      <c r="C79" s="183" t="str">
        <f>IFERROR(IF(VLOOKUP($B79,勘定科目!$A:$H,HLOOKUP($E$5,勘定科目!$F$1:$H$2,2,0),0)="","",VLOOKUP($B79,勘定科目!$A:$E,2,0)),"")</f>
        <v>通関申告費用（製）</v>
      </c>
      <c r="D79" s="239" t="str">
        <f>IF(C79="","",VLOOKUP($B79,勘定科目!$A:$E,4,0))</f>
        <v>荷造運賃</v>
      </c>
      <c r="E79" s="245"/>
      <c r="F79" s="194"/>
      <c r="G79" s="194"/>
      <c r="H79" s="194"/>
      <c r="I79" s="300"/>
      <c r="J79" s="300"/>
      <c r="K79" s="300"/>
      <c r="L79" s="300"/>
      <c r="M79" s="300"/>
      <c r="N79" s="300"/>
      <c r="O79" s="300"/>
      <c r="P79" s="300"/>
      <c r="Q79" s="300"/>
      <c r="R79" s="200">
        <f t="shared" si="3"/>
        <v>0</v>
      </c>
      <c r="S79" s="299" t="s">
        <v>717</v>
      </c>
      <c r="T79" s="202"/>
      <c r="U79" s="246"/>
      <c r="V79" s="246"/>
      <c r="W79" s="246"/>
      <c r="BA79"/>
      <c r="BB79"/>
      <c r="BD79" s="191" t="e">
        <v>#REF!</v>
      </c>
    </row>
    <row r="80" spans="1:56" s="191" customFormat="1" ht="13.5">
      <c r="A80" s="226"/>
      <c r="B80" s="180">
        <v>5005076281</v>
      </c>
      <c r="C80" s="183" t="str">
        <f>IFERROR(IF(VLOOKUP($B80,勘定科目!$A:$H,HLOOKUP($E$5,勘定科目!$F$1:$H$2,2,0),0)="","",VLOOKUP($B80,勘定科目!$A:$E,2,0)),"")</f>
        <v>通関申告費用（製）</v>
      </c>
      <c r="D80" s="239" t="str">
        <f>IF(C80="","",VLOOKUP($B80,勘定科目!$A:$E,4,0))</f>
        <v>荷造運賃</v>
      </c>
      <c r="E80" s="245"/>
      <c r="F80" s="194"/>
      <c r="G80" s="194"/>
      <c r="H80" s="194"/>
      <c r="I80" s="300"/>
      <c r="J80" s="300"/>
      <c r="K80" s="300"/>
      <c r="L80" s="300"/>
      <c r="M80" s="300"/>
      <c r="N80" s="300"/>
      <c r="O80" s="300"/>
      <c r="P80" s="300"/>
      <c r="Q80" s="300"/>
      <c r="R80" s="200">
        <f t="shared" si="3"/>
        <v>0</v>
      </c>
      <c r="S80" s="299" t="s">
        <v>718</v>
      </c>
      <c r="T80" s="202"/>
      <c r="U80" s="246"/>
      <c r="V80" s="246"/>
      <c r="W80" s="246"/>
      <c r="BA80"/>
      <c r="BB80"/>
      <c r="BD80" s="191" t="e">
        <v>#REF!</v>
      </c>
    </row>
    <row r="81" spans="1:56" s="191" customFormat="1" ht="13.5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194"/>
      <c r="H81" s="194"/>
      <c r="I81" s="300"/>
      <c r="J81" s="300"/>
      <c r="K81" s="300"/>
      <c r="L81" s="300"/>
      <c r="M81" s="300"/>
      <c r="N81" s="300"/>
      <c r="O81" s="300"/>
      <c r="P81" s="300"/>
      <c r="Q81" s="300"/>
      <c r="R81" s="200">
        <f t="shared" si="3"/>
        <v>0</v>
      </c>
      <c r="S81" s="299"/>
      <c r="T81" s="202"/>
      <c r="U81" s="246"/>
      <c r="V81" s="246"/>
      <c r="W81" s="246"/>
      <c r="BA81"/>
      <c r="BB81"/>
      <c r="BD81" s="191" t="e">
        <v>#REF!</v>
      </c>
    </row>
    <row r="82" spans="1:56" s="191" customFormat="1" ht="13.5">
      <c r="A82" s="226"/>
      <c r="B82" s="180">
        <v>5005076289</v>
      </c>
      <c r="C82" s="183" t="str">
        <f>IFERROR(IF(VLOOKUP($B82,勘定科目!$A:$H,HLOOKUP($E$5,勘定科目!$F$1:$H$2,2,0),0)="","",VLOOKUP($B82,勘定科目!$A:$E,2,0)),"")</f>
        <v>クーリエ費用（製）</v>
      </c>
      <c r="D82" s="239" t="str">
        <f>IF(C82="","",VLOOKUP($B82,勘定科目!$A:$E,4,0))</f>
        <v>荷造運賃</v>
      </c>
      <c r="E82" s="245"/>
      <c r="F82" s="194"/>
      <c r="G82" s="194"/>
      <c r="H82" s="194"/>
      <c r="I82" s="300"/>
      <c r="J82" s="300"/>
      <c r="K82" s="300"/>
      <c r="L82" s="300"/>
      <c r="M82" s="300"/>
      <c r="N82" s="300"/>
      <c r="O82" s="300"/>
      <c r="P82" s="300"/>
      <c r="Q82" s="300"/>
      <c r="R82" s="200">
        <f t="shared" si="3"/>
        <v>0</v>
      </c>
      <c r="S82" s="299" t="s">
        <v>719</v>
      </c>
      <c r="T82" s="202"/>
      <c r="U82" s="246"/>
      <c r="V82" s="246"/>
      <c r="W82" s="246"/>
      <c r="BA82"/>
      <c r="BB82"/>
      <c r="BD82" s="191" t="e">
        <v>#REF!</v>
      </c>
    </row>
    <row r="83" spans="1:56" s="191" customFormat="1" ht="13.5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194"/>
      <c r="H83" s="194"/>
      <c r="I83" s="300"/>
      <c r="J83" s="300"/>
      <c r="K83" s="300"/>
      <c r="L83" s="300"/>
      <c r="M83" s="300"/>
      <c r="N83" s="300"/>
      <c r="O83" s="300"/>
      <c r="P83" s="300"/>
      <c r="Q83" s="300"/>
      <c r="R83" s="200">
        <f t="shared" si="3"/>
        <v>0</v>
      </c>
      <c r="S83" s="299"/>
      <c r="T83" s="202"/>
      <c r="U83" s="246"/>
      <c r="V83" s="246"/>
      <c r="W83" s="246"/>
      <c r="BA83"/>
      <c r="BB83"/>
      <c r="BD83" s="191" t="e">
        <v>#REF!</v>
      </c>
    </row>
    <row r="84" spans="1:56" s="191" customFormat="1" ht="13.5">
      <c r="A84" s="226"/>
      <c r="B84" s="180">
        <v>5005076284</v>
      </c>
      <c r="C84" s="183" t="str">
        <f>IFERROR(IF(VLOOKUP($B84,勘定科目!$A:$H,HLOOKUP($E$5,勘定科目!$F$1:$H$2,2,0),0)="","",VLOOKUP($B84,勘定科目!$A:$E,2,0)),"")</f>
        <v>輸入海上運賃（製）</v>
      </c>
      <c r="D84" s="239" t="str">
        <f>IF(C84="","",VLOOKUP($B84,勘定科目!$A:$E,4,0))</f>
        <v>荷造運賃</v>
      </c>
      <c r="E84" s="245"/>
      <c r="F84" s="194"/>
      <c r="G84" s="194"/>
      <c r="H84" s="194"/>
      <c r="I84" s="300"/>
      <c r="J84" s="300"/>
      <c r="K84" s="300"/>
      <c r="L84" s="300"/>
      <c r="M84" s="300"/>
      <c r="N84" s="300"/>
      <c r="O84" s="300"/>
      <c r="P84" s="300"/>
      <c r="Q84" s="300"/>
      <c r="R84" s="200">
        <f t="shared" si="3"/>
        <v>0</v>
      </c>
      <c r="S84" s="299" t="s">
        <v>720</v>
      </c>
      <c r="T84" s="202"/>
      <c r="U84" s="246"/>
      <c r="V84" s="246"/>
      <c r="W84" s="246"/>
      <c r="BA84"/>
      <c r="BB84"/>
      <c r="BD84" s="191" t="e">
        <v>#REF!</v>
      </c>
    </row>
    <row r="85" spans="1:56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194"/>
      <c r="H85" s="194"/>
      <c r="I85" s="300"/>
      <c r="J85" s="300"/>
      <c r="K85" s="300"/>
      <c r="L85" s="300"/>
      <c r="M85" s="300"/>
      <c r="N85" s="300"/>
      <c r="O85" s="300"/>
      <c r="P85" s="300"/>
      <c r="Q85" s="300"/>
      <c r="R85" s="200">
        <f t="shared" si="3"/>
        <v>0</v>
      </c>
      <c r="S85" s="299"/>
      <c r="T85" s="202"/>
      <c r="U85" s="246"/>
      <c r="V85" s="246"/>
      <c r="W85" s="246"/>
      <c r="BA85"/>
      <c r="BB85"/>
      <c r="BD85" s="191" t="e">
        <v>#REF!</v>
      </c>
    </row>
    <row r="86" spans="1:56" s="191" customFormat="1" ht="13.5">
      <c r="A86" s="226"/>
      <c r="B86" s="180">
        <v>5005136291</v>
      </c>
      <c r="C86" s="183" t="str">
        <f>IFERROR(IF(VLOOKUP($B86,勘定科目!$A:$H,HLOOKUP($E$5,勘定科目!$F$1:$H$2,2,0),0)="","",VLOOKUP($B86,勘定科目!$A:$E,2,0)),"")</f>
        <v>郵送代（製）</v>
      </c>
      <c r="D86" s="239" t="str">
        <f>IF(C86="","",VLOOKUP($B86,勘定科目!$A:$E,4,0))</f>
        <v>通信費</v>
      </c>
      <c r="E86" s="245"/>
      <c r="F86" s="194"/>
      <c r="G86" s="194"/>
      <c r="H86" s="194"/>
      <c r="I86" s="300"/>
      <c r="J86" s="300"/>
      <c r="K86" s="300"/>
      <c r="L86" s="300"/>
      <c r="M86" s="300"/>
      <c r="N86" s="300"/>
      <c r="O86" s="300"/>
      <c r="P86" s="300"/>
      <c r="Q86" s="300"/>
      <c r="R86" s="200">
        <f t="shared" si="3"/>
        <v>0</v>
      </c>
      <c r="S86" s="299" t="s">
        <v>721</v>
      </c>
      <c r="T86" s="202"/>
      <c r="U86" s="246"/>
      <c r="V86" s="246"/>
      <c r="W86" s="246"/>
      <c r="BA86"/>
      <c r="BB86"/>
      <c r="BD86" s="191" t="e">
        <v>#REF!</v>
      </c>
    </row>
    <row r="87" spans="1:56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194"/>
      <c r="H87" s="194"/>
      <c r="I87" s="300"/>
      <c r="J87" s="300"/>
      <c r="K87" s="300"/>
      <c r="L87" s="300"/>
      <c r="M87" s="300"/>
      <c r="N87" s="300"/>
      <c r="O87" s="300"/>
      <c r="P87" s="300"/>
      <c r="Q87" s="300"/>
      <c r="R87" s="200">
        <f t="shared" si="3"/>
        <v>0</v>
      </c>
      <c r="S87" s="299"/>
      <c r="T87" s="202"/>
      <c r="U87" s="246"/>
      <c r="V87" s="246"/>
      <c r="W87" s="246"/>
      <c r="BA87"/>
      <c r="BB87"/>
      <c r="BD87" s="191" t="e">
        <v>#REF!</v>
      </c>
    </row>
    <row r="88" spans="1:56" s="191" customFormat="1" ht="13.5">
      <c r="A88" s="226"/>
      <c r="B88" s="180">
        <v>5005076283</v>
      </c>
      <c r="C88" s="183" t="str">
        <f>IFERROR(IF(VLOOKUP($B88,勘定科目!$A:$H,HLOOKUP($E$5,勘定科目!$F$1:$H$2,2,0),0)="","",VLOOKUP($B88,勘定科目!$A:$E,2,0)),"")</f>
        <v>輸入航空運賃（製）</v>
      </c>
      <c r="D88" s="239" t="str">
        <f>IF(C88="","",VLOOKUP($B88,勘定科目!$A:$E,4,0))</f>
        <v>荷造運賃</v>
      </c>
      <c r="E88" s="245"/>
      <c r="F88" s="194"/>
      <c r="G88" s="194"/>
      <c r="H88" s="194"/>
      <c r="I88" s="300"/>
      <c r="J88" s="300"/>
      <c r="K88" s="300"/>
      <c r="L88" s="300"/>
      <c r="M88" s="300"/>
      <c r="N88" s="300"/>
      <c r="O88" s="300"/>
      <c r="P88" s="300"/>
      <c r="Q88" s="300"/>
      <c r="R88" s="200">
        <f t="shared" si="3"/>
        <v>0</v>
      </c>
      <c r="S88" s="299" t="s">
        <v>722</v>
      </c>
      <c r="T88" s="202"/>
      <c r="U88" s="246"/>
      <c r="V88" s="246"/>
      <c r="W88" s="246"/>
      <c r="BA88"/>
      <c r="BB88"/>
      <c r="BD88" s="191" t="e">
        <v>#REF!</v>
      </c>
    </row>
    <row r="89" spans="1:56" s="191" customFormat="1" ht="13.5">
      <c r="A89" s="226"/>
      <c r="B89" s="180">
        <v>5005076283</v>
      </c>
      <c r="C89" s="183" t="str">
        <f>IFERROR(IF(VLOOKUP($B89,勘定科目!$A:$H,HLOOKUP($E$5,勘定科目!$F$1:$H$2,2,0),0)="","",VLOOKUP($B89,勘定科目!$A:$E,2,0)),"")</f>
        <v>輸入航空運賃（製）</v>
      </c>
      <c r="D89" s="239" t="str">
        <f>IF(C89="","",VLOOKUP($B89,勘定科目!$A:$E,4,0))</f>
        <v>荷造運賃</v>
      </c>
      <c r="E89" s="245"/>
      <c r="F89" s="194"/>
      <c r="G89" s="194"/>
      <c r="H89" s="194"/>
      <c r="I89" s="300"/>
      <c r="J89" s="300"/>
      <c r="K89" s="300"/>
      <c r="L89" s="300"/>
      <c r="M89" s="300"/>
      <c r="N89" s="300"/>
      <c r="O89" s="300"/>
      <c r="P89" s="300"/>
      <c r="Q89" s="300"/>
      <c r="R89" s="200">
        <f t="shared" si="3"/>
        <v>0</v>
      </c>
      <c r="S89" s="299" t="s">
        <v>723</v>
      </c>
      <c r="T89" s="202"/>
      <c r="U89" s="246"/>
      <c r="V89" s="246"/>
      <c r="W89" s="246"/>
      <c r="BA89"/>
      <c r="BB89"/>
      <c r="BD89" s="191" t="e">
        <v>#REF!</v>
      </c>
    </row>
    <row r="90" spans="1:56" s="191" customFormat="1" ht="13.5">
      <c r="A90" s="226"/>
      <c r="B90" s="180">
        <v>5005076283</v>
      </c>
      <c r="C90" s="183" t="str">
        <f>IFERROR(IF(VLOOKUP($B90,勘定科目!$A:$H,HLOOKUP($E$5,勘定科目!$F$1:$H$2,2,0),0)="","",VLOOKUP($B90,勘定科目!$A:$E,2,0)),"")</f>
        <v>輸入航空運賃（製）</v>
      </c>
      <c r="D90" s="239" t="str">
        <f>IF(C90="","",VLOOKUP($B90,勘定科目!$A:$E,4,0))</f>
        <v>荷造運賃</v>
      </c>
      <c r="E90" s="245"/>
      <c r="F90" s="194"/>
      <c r="G90" s="194"/>
      <c r="H90" s="194"/>
      <c r="I90" s="300"/>
      <c r="J90" s="300"/>
      <c r="K90" s="300"/>
      <c r="L90" s="300"/>
      <c r="M90" s="300"/>
      <c r="N90" s="300"/>
      <c r="O90" s="300"/>
      <c r="P90" s="300"/>
      <c r="Q90" s="300"/>
      <c r="R90" s="200">
        <f t="shared" ref="R90:R153" si="6">SUM(F90:Q90)</f>
        <v>0</v>
      </c>
      <c r="S90" s="299" t="s">
        <v>724</v>
      </c>
      <c r="T90" s="202"/>
      <c r="U90" s="246"/>
      <c r="V90" s="246"/>
      <c r="W90" s="246"/>
      <c r="BA90"/>
      <c r="BB90"/>
      <c r="BD90" s="191" t="e">
        <v>#REF!</v>
      </c>
    </row>
    <row r="91" spans="1:56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194"/>
      <c r="H91" s="194"/>
      <c r="I91" s="300"/>
      <c r="J91" s="300"/>
      <c r="K91" s="300"/>
      <c r="L91" s="300"/>
      <c r="M91" s="300"/>
      <c r="N91" s="300"/>
      <c r="O91" s="300"/>
      <c r="P91" s="300"/>
      <c r="Q91" s="300"/>
      <c r="R91" s="200">
        <f t="shared" si="6"/>
        <v>0</v>
      </c>
      <c r="S91" s="299"/>
      <c r="T91" s="202"/>
      <c r="U91" s="246"/>
      <c r="V91" s="246"/>
      <c r="W91" s="246"/>
      <c r="BA91"/>
      <c r="BB91"/>
      <c r="BD91" s="191" t="e">
        <v>#REF!</v>
      </c>
    </row>
    <row r="92" spans="1:56" s="191" customFormat="1" ht="13.5">
      <c r="A92" s="226"/>
      <c r="B92" s="180">
        <v>5005116292</v>
      </c>
      <c r="C92" s="183" t="str">
        <f>IFERROR(IF(VLOOKUP($B92,勘定科目!$A:$H,HLOOKUP($E$5,勘定科目!$F$1:$H$2,2,0),0)="","",VLOOKUP($B92,勘定科目!$A:$E,2,0)),"")</f>
        <v>海外渡航費（製）</v>
      </c>
      <c r="D92" s="239" t="str">
        <f>IF(C92="","",VLOOKUP($B92,勘定科目!$A:$E,4,0))</f>
        <v>渡航費</v>
      </c>
      <c r="E92" s="245"/>
      <c r="F92" s="194">
        <f>(80000+145*25390+640000)*2</f>
        <v>8803100</v>
      </c>
      <c r="G92" s="194"/>
      <c r="H92" s="194"/>
      <c r="I92" s="300"/>
      <c r="J92" s="300"/>
      <c r="K92" s="300"/>
      <c r="L92" s="300"/>
      <c r="M92" s="300"/>
      <c r="N92" s="300"/>
      <c r="O92" s="300"/>
      <c r="P92" s="300"/>
      <c r="Q92" s="300"/>
      <c r="R92" s="200">
        <f t="shared" si="6"/>
        <v>8803100</v>
      </c>
      <c r="S92" s="299" t="s">
        <v>779</v>
      </c>
      <c r="T92" s="202"/>
      <c r="U92" s="246"/>
      <c r="V92" s="246"/>
      <c r="W92" s="246"/>
      <c r="BA92"/>
      <c r="BB92"/>
      <c r="BD92" s="191" t="e">
        <v>#REF!</v>
      </c>
    </row>
    <row r="93" spans="1:56" s="191" customFormat="1" ht="13.5">
      <c r="A93" s="226"/>
      <c r="B93" s="180">
        <v>5005116292</v>
      </c>
      <c r="C93" s="183" t="str">
        <f>IFERROR(IF(VLOOKUP($B93,勘定科目!$A:$H,HLOOKUP($E$5,勘定科目!$F$1:$H$2,2,0),0)="","",VLOOKUP($B93,勘定科目!$A:$E,2,0)),"")</f>
        <v>海外渡航費（製）</v>
      </c>
      <c r="D93" s="239" t="str">
        <f>IF(C93="","",VLOOKUP($B93,勘定科目!$A:$E,4,0))</f>
        <v>渡航費</v>
      </c>
      <c r="E93" s="245"/>
      <c r="F93" s="194">
        <f>(35*25390)*2</f>
        <v>1777300</v>
      </c>
      <c r="G93" s="194"/>
      <c r="H93" s="194"/>
      <c r="I93" s="300"/>
      <c r="J93" s="300"/>
      <c r="K93" s="300"/>
      <c r="L93" s="300"/>
      <c r="M93" s="300"/>
      <c r="N93" s="300"/>
      <c r="O93" s="300"/>
      <c r="P93" s="300"/>
      <c r="Q93" s="300"/>
      <c r="R93" s="200">
        <f t="shared" si="6"/>
        <v>1777300</v>
      </c>
      <c r="S93" s="299" t="s">
        <v>780</v>
      </c>
      <c r="T93" s="202"/>
      <c r="U93" s="246"/>
      <c r="V93" s="246"/>
      <c r="W93" s="246"/>
      <c r="BA93"/>
      <c r="BB93"/>
      <c r="BD93" s="191" t="e">
        <v>#REF!</v>
      </c>
    </row>
    <row r="94" spans="1:56" s="191" customFormat="1" ht="13.5">
      <c r="A94" s="226"/>
      <c r="B94" s="180">
        <v>5005116292</v>
      </c>
      <c r="C94" s="183" t="str">
        <f>IFERROR(IF(VLOOKUP($B94,勘定科目!$A:$H,HLOOKUP($E$5,勘定科目!$F$1:$H$2,2,0),0)="","",VLOOKUP($B94,勘定科目!$A:$E,2,0)),"")</f>
        <v>海外渡航費（製）</v>
      </c>
      <c r="D94" s="239" t="str">
        <f>IF(C94="","",VLOOKUP($B94,勘定科目!$A:$E,4,0))</f>
        <v>渡航費</v>
      </c>
      <c r="E94" s="245"/>
      <c r="F94" s="194">
        <f>ROUND(88000*161.47*2,0)</f>
        <v>28418720</v>
      </c>
      <c r="G94" s="194"/>
      <c r="H94" s="194"/>
      <c r="I94" s="300"/>
      <c r="J94" s="300"/>
      <c r="K94" s="300"/>
      <c r="L94" s="300"/>
      <c r="M94" s="300"/>
      <c r="N94" s="300"/>
      <c r="O94" s="300"/>
      <c r="P94" s="300"/>
      <c r="Q94" s="300"/>
      <c r="R94" s="200">
        <f t="shared" si="6"/>
        <v>28418720</v>
      </c>
      <c r="S94" s="299" t="s">
        <v>781</v>
      </c>
      <c r="T94" s="202"/>
      <c r="U94" s="246"/>
      <c r="V94" s="246"/>
      <c r="W94" s="246"/>
      <c r="BA94"/>
      <c r="BB94"/>
      <c r="BD94" s="191" t="e">
        <v>#REF!</v>
      </c>
    </row>
    <row r="95" spans="1:56" s="191" customFormat="1" ht="13.5">
      <c r="A95" s="226"/>
      <c r="B95" s="180">
        <v>5005116292</v>
      </c>
      <c r="C95" s="183" t="str">
        <f>IFERROR(IF(VLOOKUP($B95,勘定科目!$A:$H,HLOOKUP($E$5,勘定科目!$F$1:$H$2,2,0),0)="","",VLOOKUP($B95,勘定科目!$A:$E,2,0)),"")</f>
        <v>海外渡航費（製）</v>
      </c>
      <c r="D95" s="239" t="str">
        <f>IF(C95="","",VLOOKUP($B95,勘定科目!$A:$E,4,0))</f>
        <v>渡航費</v>
      </c>
      <c r="E95" s="245"/>
      <c r="F95" s="194">
        <f>ROUND((43*14+52*14)*25390,0)</f>
        <v>33768700</v>
      </c>
      <c r="G95" s="194"/>
      <c r="H95" s="194"/>
      <c r="I95" s="300"/>
      <c r="J95" s="300"/>
      <c r="K95" s="300"/>
      <c r="L95" s="300"/>
      <c r="M95" s="300"/>
      <c r="N95" s="300"/>
      <c r="O95" s="300"/>
      <c r="P95" s="300"/>
      <c r="Q95" s="300"/>
      <c r="R95" s="200">
        <f t="shared" si="6"/>
        <v>33768700</v>
      </c>
      <c r="S95" s="299" t="s">
        <v>789</v>
      </c>
      <c r="T95" s="202"/>
      <c r="U95" s="246"/>
      <c r="V95" s="246"/>
      <c r="W95" s="246"/>
      <c r="BA95"/>
      <c r="BB95"/>
      <c r="BD95" s="191" t="e">
        <v>#REF!</v>
      </c>
    </row>
    <row r="96" spans="1:56" s="191" customFormat="1" ht="13.5">
      <c r="A96" s="226"/>
      <c r="B96" s="180">
        <v>5005116292</v>
      </c>
      <c r="C96" s="183" t="str">
        <f>IFERROR(IF(VLOOKUP($B96,勘定科目!$A:$H,HLOOKUP($E$5,勘定科目!$F$1:$H$2,2,0),0)="","",VLOOKUP($B96,勘定科目!$A:$E,2,0)),"")</f>
        <v>海外渡航費（製）</v>
      </c>
      <c r="D96" s="239" t="str">
        <f>IF(C96="","",VLOOKUP($B96,勘定科目!$A:$E,4,0))</f>
        <v>渡航費</v>
      </c>
      <c r="E96" s="245"/>
      <c r="F96" s="194">
        <f>ROUND(7420*161.47*2,0)</f>
        <v>2396215</v>
      </c>
      <c r="G96" s="194"/>
      <c r="H96" s="194"/>
      <c r="I96" s="300"/>
      <c r="J96" s="300"/>
      <c r="K96" s="300"/>
      <c r="L96" s="300"/>
      <c r="M96" s="300"/>
      <c r="N96" s="300"/>
      <c r="O96" s="300"/>
      <c r="P96" s="300"/>
      <c r="Q96" s="300"/>
      <c r="R96" s="200">
        <f t="shared" si="6"/>
        <v>2396215</v>
      </c>
      <c r="S96" s="299" t="s">
        <v>782</v>
      </c>
      <c r="T96" s="202"/>
      <c r="U96" s="246"/>
      <c r="V96" s="246"/>
      <c r="W96" s="246"/>
      <c r="BA96"/>
      <c r="BB96"/>
    </row>
    <row r="97" spans="1:56" s="191" customFormat="1" ht="13.5">
      <c r="A97" s="226"/>
      <c r="B97" s="180">
        <v>5005116292</v>
      </c>
      <c r="C97" s="183" t="str">
        <f>IFERROR(IF(VLOOKUP($B97,勘定科目!$A:$H,HLOOKUP($E$5,勘定科目!$F$1:$H$2,2,0),0)="","",VLOOKUP($B97,勘定科目!$A:$E,2,0)),"")</f>
        <v>海外渡航費（製）</v>
      </c>
      <c r="D97" s="239" t="str">
        <f>IF(C97="","",VLOOKUP($B97,勘定科目!$A:$E,4,0))</f>
        <v>渡航費</v>
      </c>
      <c r="E97" s="245"/>
      <c r="F97" s="194"/>
      <c r="G97" s="194">
        <f>ROUND(800*2*25390,0)</f>
        <v>40624000</v>
      </c>
      <c r="H97" s="194"/>
      <c r="I97" s="300"/>
      <c r="J97" s="300"/>
      <c r="K97" s="300"/>
      <c r="L97" s="300"/>
      <c r="M97" s="300"/>
      <c r="N97" s="300"/>
      <c r="O97" s="300"/>
      <c r="P97" s="300"/>
      <c r="Q97" s="300"/>
      <c r="R97" s="200">
        <f t="shared" si="6"/>
        <v>40624000</v>
      </c>
      <c r="S97" s="299" t="s">
        <v>783</v>
      </c>
      <c r="T97" s="202"/>
      <c r="U97" s="246"/>
      <c r="V97" s="246"/>
      <c r="W97" s="246"/>
      <c r="BA97"/>
      <c r="BB97"/>
    </row>
    <row r="98" spans="1:56" s="191" customFormat="1" ht="13.5">
      <c r="A98" s="226"/>
      <c r="B98" s="180">
        <v>5005116292</v>
      </c>
      <c r="C98" s="183" t="str">
        <f>IFERROR(IF(VLOOKUP($B98,勘定科目!$A:$H,HLOOKUP($E$5,勘定科目!$F$1:$H$2,2,0),0)="","",VLOOKUP($B98,勘定科目!$A:$E,2,0)),"")</f>
        <v>海外渡航費（製）</v>
      </c>
      <c r="D98" s="239" t="str">
        <f>IF(C98="","",VLOOKUP($B98,勘定科目!$A:$E,4,0))</f>
        <v>渡航費</v>
      </c>
      <c r="E98" s="245"/>
      <c r="F98" s="194"/>
      <c r="G98" s="194"/>
      <c r="H98" s="194"/>
      <c r="I98" s="300"/>
      <c r="J98" s="300"/>
      <c r="K98" s="300"/>
      <c r="L98" s="300"/>
      <c r="M98" s="300"/>
      <c r="N98" s="300"/>
      <c r="O98" s="300"/>
      <c r="P98" s="300"/>
      <c r="Q98" s="300"/>
      <c r="R98" s="200">
        <f t="shared" si="6"/>
        <v>0</v>
      </c>
      <c r="S98" s="299" t="s">
        <v>764</v>
      </c>
      <c r="T98" s="202"/>
      <c r="U98" s="246"/>
      <c r="V98" s="246"/>
      <c r="W98" s="246"/>
      <c r="BA98"/>
      <c r="BB98"/>
    </row>
    <row r="99" spans="1:56" s="191" customFormat="1" ht="13.5">
      <c r="A99" s="226"/>
      <c r="B99" s="180"/>
      <c r="C99" s="183"/>
      <c r="D99" s="239"/>
      <c r="E99" s="245"/>
      <c r="F99" s="194"/>
      <c r="G99" s="194"/>
      <c r="H99" s="194"/>
      <c r="I99" s="300"/>
      <c r="J99" s="300"/>
      <c r="K99" s="300"/>
      <c r="L99" s="300"/>
      <c r="M99" s="300"/>
      <c r="N99" s="300"/>
      <c r="O99" s="300"/>
      <c r="P99" s="300"/>
      <c r="Q99" s="300"/>
      <c r="R99" s="200">
        <f t="shared" si="6"/>
        <v>0</v>
      </c>
      <c r="S99" s="299"/>
      <c r="T99" s="202"/>
      <c r="U99" s="246"/>
      <c r="V99" s="246"/>
      <c r="W99" s="246"/>
      <c r="BA99"/>
      <c r="BB99"/>
    </row>
    <row r="100" spans="1:56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194"/>
      <c r="H100" s="194"/>
      <c r="I100" s="300"/>
      <c r="J100" s="300"/>
      <c r="K100" s="300"/>
      <c r="L100" s="300"/>
      <c r="M100" s="300"/>
      <c r="N100" s="300"/>
      <c r="O100" s="300"/>
      <c r="P100" s="300"/>
      <c r="Q100" s="300"/>
      <c r="R100" s="200">
        <f t="shared" si="6"/>
        <v>0</v>
      </c>
      <c r="S100" s="299"/>
      <c r="T100" s="202"/>
      <c r="U100" s="246"/>
      <c r="V100" s="246"/>
      <c r="W100" s="246"/>
      <c r="BA100"/>
      <c r="BB100"/>
      <c r="BD100" s="191" t="e">
        <v>#REF!</v>
      </c>
    </row>
    <row r="101" spans="1:56" s="191" customFormat="1" ht="13.5">
      <c r="A101" s="226"/>
      <c r="B101" s="180">
        <v>5005136281</v>
      </c>
      <c r="C101" s="183" t="str">
        <f>IFERROR(IF(VLOOKUP($B101,勘定科目!$A:$H,HLOOKUP($E$5,勘定科目!$F$1:$H$2,2,0),0)="","",VLOOKUP($B101,勘定科目!$A:$E,2,0)),"")</f>
        <v>通信費（製）</v>
      </c>
      <c r="D101" s="239" t="str">
        <f>IF(C101="","",VLOOKUP($B101,勘定科目!$A:$E,4,0))</f>
        <v>通信費</v>
      </c>
      <c r="E101" s="245"/>
      <c r="F101" s="194">
        <f>42*99000+16*149000</f>
        <v>6542000</v>
      </c>
      <c r="G101" s="194">
        <f>(42*99000+16*149000)+2*99000+400000*2</f>
        <v>7540000</v>
      </c>
      <c r="H101" s="194">
        <f>42*99000+16*149000+2*99000</f>
        <v>6740000</v>
      </c>
      <c r="I101" s="300">
        <f>(42*99000+16*149000+2*99000)+1*99000</f>
        <v>6839000</v>
      </c>
      <c r="J101" s="300">
        <f>(19*99000+3*149000+1*99000)</f>
        <v>2427000</v>
      </c>
      <c r="K101" s="300">
        <f>(19*99000+3*149000+1*99000)</f>
        <v>2427000</v>
      </c>
      <c r="L101" s="300">
        <f>(19*99000+3*149000+1*99000)</f>
        <v>2427000</v>
      </c>
      <c r="M101" s="300">
        <f>(19*99000+3*149000+1*99000)+3*99000</f>
        <v>2724000</v>
      </c>
      <c r="N101" s="300">
        <f>(19*99000+3*149000+1*99000)+3*99000</f>
        <v>2724000</v>
      </c>
      <c r="O101" s="300">
        <f>(19*99000+3*149000+1*99000)+3*99000</f>
        <v>2724000</v>
      </c>
      <c r="P101" s="300">
        <f>(19*99000+3*149000+1*99000)+3*99000</f>
        <v>2724000</v>
      </c>
      <c r="Q101" s="300">
        <f>(19*99000+3*149000+1*99000)+3*99000</f>
        <v>2724000</v>
      </c>
      <c r="R101" s="200">
        <f t="shared" si="6"/>
        <v>48562000</v>
      </c>
      <c r="S101" s="299" t="s">
        <v>784</v>
      </c>
      <c r="T101" s="202"/>
      <c r="U101" s="246"/>
      <c r="V101" s="246"/>
      <c r="W101" s="246"/>
      <c r="BA101"/>
      <c r="BB101"/>
      <c r="BD101" s="191" t="e">
        <v>#REF!</v>
      </c>
    </row>
    <row r="102" spans="1:56" s="191" customFormat="1" ht="13.5">
      <c r="A102" s="226"/>
      <c r="B102" s="180">
        <v>5005136281</v>
      </c>
      <c r="C102" s="183" t="str">
        <f>IFERROR(IF(VLOOKUP($B102,勘定科目!$A:$H,HLOOKUP($E$5,勘定科目!$F$1:$H$2,2,0),0)="","",VLOOKUP($B102,勘定科目!$A:$E,2,0)),"")</f>
        <v>通信費（製）</v>
      </c>
      <c r="D102" s="239" t="str">
        <f>IF(C102="","",VLOOKUP($B102,勘定科目!$A:$E,4,0))</f>
        <v>通信費</v>
      </c>
      <c r="E102" s="245"/>
      <c r="F102" s="194">
        <f>2*(730000+47500)</f>
        <v>1555000</v>
      </c>
      <c r="G102" s="194"/>
      <c r="H102" s="194">
        <f>1*(730000+47500)</f>
        <v>777500</v>
      </c>
      <c r="I102" s="300"/>
      <c r="J102" s="300"/>
      <c r="K102" s="300"/>
      <c r="L102" s="300">
        <f>3*(730000+47500)</f>
        <v>2332500</v>
      </c>
      <c r="M102" s="300"/>
      <c r="N102" s="300"/>
      <c r="O102" s="300"/>
      <c r="P102" s="300"/>
      <c r="Q102" s="300"/>
      <c r="R102" s="200">
        <f t="shared" si="6"/>
        <v>4665000</v>
      </c>
      <c r="S102" s="299" t="s">
        <v>785</v>
      </c>
      <c r="T102" s="202"/>
      <c r="U102" s="246"/>
      <c r="V102" s="246"/>
      <c r="W102" s="246"/>
      <c r="BA102"/>
      <c r="BB102"/>
      <c r="BD102" s="191" t="e">
        <v>#REF!</v>
      </c>
    </row>
    <row r="103" spans="1:56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194"/>
      <c r="H103" s="194"/>
      <c r="I103" s="300"/>
      <c r="J103" s="300"/>
      <c r="K103" s="300"/>
      <c r="L103" s="300"/>
      <c r="M103" s="300"/>
      <c r="N103" s="300"/>
      <c r="O103" s="300"/>
      <c r="P103" s="300"/>
      <c r="Q103" s="300"/>
      <c r="R103" s="200">
        <f t="shared" si="6"/>
        <v>0</v>
      </c>
      <c r="S103" s="299"/>
      <c r="T103" s="202"/>
      <c r="U103" s="246"/>
      <c r="V103" s="246"/>
      <c r="W103" s="246"/>
      <c r="BA103"/>
      <c r="BB103"/>
      <c r="BD103" s="191" t="e">
        <v>#REF!</v>
      </c>
    </row>
    <row r="104" spans="1:56" s="191" customFormat="1" ht="13.5">
      <c r="A104" s="226"/>
      <c r="B104" s="180">
        <v>5005246286</v>
      </c>
      <c r="C104" s="183" t="str">
        <f>IFERROR(IF(VLOOKUP($B104,勘定科目!$A:$H,HLOOKUP($E$5,勘定科目!$F$1:$H$2,2,0),0)="","",VLOOKUP($B104,勘定科目!$A:$E,2,0)),"")</f>
        <v>その他手数料（製）</v>
      </c>
      <c r="D104" s="239" t="str">
        <f>IF(C104="","",VLOOKUP($B104,勘定科目!$A:$E,4,0))</f>
        <v>手数料</v>
      </c>
      <c r="E104" s="245"/>
      <c r="F104" s="194">
        <f>ROUND((196-1)*56247,0)</f>
        <v>10968165</v>
      </c>
      <c r="G104" s="194">
        <f>ROUND((F25+F24)*56462,0)</f>
        <v>11179476</v>
      </c>
      <c r="H104" s="194">
        <f>ROUND((G25+G24)*58201,0)</f>
        <v>11523798</v>
      </c>
      <c r="I104" s="300">
        <f>ROUND((H25+H24)*53306,0)</f>
        <v>10554588</v>
      </c>
      <c r="J104" s="300">
        <f>ROUND((I25+I24)*51891,0)</f>
        <v>1452948</v>
      </c>
      <c r="K104" s="300">
        <f>ROUND((J25+J24)*49590,0)</f>
        <v>1388520</v>
      </c>
      <c r="L104" s="300">
        <f>ROUND((K25+K24)*47432,0)</f>
        <v>1328096</v>
      </c>
      <c r="M104" s="300">
        <f>ROUND((L25+L24)*46844,0)</f>
        <v>1499008</v>
      </c>
      <c r="N104" s="300">
        <f>ROUND((M25+M24)*46977,0)</f>
        <v>1503264</v>
      </c>
      <c r="O104" s="300">
        <f>ROUND((N25+N24)*44968,0)</f>
        <v>1438976</v>
      </c>
      <c r="P104" s="300">
        <f>ROUND((O25+O24)*42562,0)</f>
        <v>1404546</v>
      </c>
      <c r="Q104" s="300">
        <f>ROUND((P25+P24)*44540,0)</f>
        <v>1603440</v>
      </c>
      <c r="R104" s="200">
        <f t="shared" si="6"/>
        <v>55844825</v>
      </c>
      <c r="S104" s="299" t="s">
        <v>725</v>
      </c>
      <c r="T104" s="202"/>
      <c r="U104" s="246"/>
      <c r="V104" s="246"/>
      <c r="W104" s="246"/>
      <c r="BA104"/>
      <c r="BB104"/>
      <c r="BD104" s="191" t="e">
        <v>#REF!</v>
      </c>
    </row>
    <row r="105" spans="1:56" s="191" customFormat="1" ht="13.5">
      <c r="A105" s="226"/>
      <c r="B105" s="180">
        <v>5005246286</v>
      </c>
      <c r="C105" s="183" t="str">
        <f>IFERROR(IF(VLOOKUP($B105,勘定科目!$A:$H,HLOOKUP($E$5,勘定科目!$F$1:$H$2,2,0),0)="","",VLOOKUP($B105,勘定科目!$A:$E,2,0)),"")</f>
        <v>その他手数料（製）</v>
      </c>
      <c r="D105" s="239" t="str">
        <f>IF(C105="","",VLOOKUP($B105,勘定科目!$A:$E,4,0))</f>
        <v>手数料</v>
      </c>
      <c r="E105" s="245"/>
      <c r="F105" s="194"/>
      <c r="G105" s="194">
        <v>2700000</v>
      </c>
      <c r="H105" s="194">
        <v>2769500</v>
      </c>
      <c r="I105" s="300"/>
      <c r="J105" s="300">
        <v>3700000</v>
      </c>
      <c r="K105" s="300"/>
      <c r="L105" s="300"/>
      <c r="M105" s="300"/>
      <c r="N105" s="300"/>
      <c r="O105" s="300"/>
      <c r="P105" s="300"/>
      <c r="Q105" s="300"/>
      <c r="R105" s="200">
        <f t="shared" si="6"/>
        <v>9169500</v>
      </c>
      <c r="S105" s="299" t="s">
        <v>726</v>
      </c>
      <c r="T105" s="202"/>
      <c r="U105" s="246"/>
      <c r="V105" s="246"/>
      <c r="W105" s="246"/>
      <c r="BA105"/>
      <c r="BB105"/>
      <c r="BD105" s="191" t="e">
        <v>#REF!</v>
      </c>
    </row>
    <row r="106" spans="1:56" s="191" customFormat="1" ht="13.5">
      <c r="A106" s="226"/>
      <c r="B106" s="180">
        <v>5005246286</v>
      </c>
      <c r="C106" s="183" t="str">
        <f>IFERROR(IF(VLOOKUP($B106,勘定科目!$A:$H,HLOOKUP($E$5,勘定科目!$F$1:$H$2,2,0),0)="","",VLOOKUP($B106,勘定科目!$A:$E,2,0)),"")</f>
        <v>その他手数料（製）</v>
      </c>
      <c r="D106" s="239" t="str">
        <f>IF(C106="","",VLOOKUP($B106,勘定科目!$A:$E,4,0))</f>
        <v>手数料</v>
      </c>
      <c r="E106" s="245"/>
      <c r="F106" s="194"/>
      <c r="G106" s="194"/>
      <c r="H106" s="194"/>
      <c r="I106" s="300"/>
      <c r="J106" s="300"/>
      <c r="K106" s="300"/>
      <c r="L106" s="300"/>
      <c r="M106" s="300"/>
      <c r="N106" s="300">
        <v>127500</v>
      </c>
      <c r="O106" s="300"/>
      <c r="P106" s="300"/>
      <c r="Q106" s="300"/>
      <c r="R106" s="200">
        <f t="shared" si="6"/>
        <v>127500</v>
      </c>
      <c r="S106" s="299" t="s">
        <v>727</v>
      </c>
      <c r="T106" s="202"/>
      <c r="U106" s="246"/>
      <c r="V106" s="246"/>
      <c r="W106" s="246"/>
      <c r="BA106"/>
      <c r="BB106"/>
      <c r="BD106" s="191" t="e">
        <v>#REF!</v>
      </c>
    </row>
    <row r="107" spans="1:56" s="191" customFormat="1" ht="13.5">
      <c r="A107" s="226"/>
      <c r="B107" s="180">
        <v>5005246286</v>
      </c>
      <c r="C107" s="183" t="str">
        <f>IFERROR(IF(VLOOKUP($B107,勘定科目!$A:$H,HLOOKUP($E$5,勘定科目!$F$1:$H$2,2,0),0)="","",VLOOKUP($B107,勘定科目!$A:$E,2,0)),"")</f>
        <v>その他手数料（製）</v>
      </c>
      <c r="D107" s="239" t="str">
        <f>IF(C107="","",VLOOKUP($B107,勘定科目!$A:$E,4,0))</f>
        <v>手数料</v>
      </c>
      <c r="E107" s="245"/>
      <c r="F107" s="194"/>
      <c r="G107" s="194"/>
      <c r="H107" s="194"/>
      <c r="I107" s="300"/>
      <c r="J107" s="300"/>
      <c r="K107" s="300"/>
      <c r="L107" s="300"/>
      <c r="M107" s="300"/>
      <c r="N107" s="300"/>
      <c r="O107" s="300"/>
      <c r="P107" s="300"/>
      <c r="Q107" s="300"/>
      <c r="R107" s="200">
        <f t="shared" si="6"/>
        <v>0</v>
      </c>
      <c r="S107" s="299" t="s">
        <v>728</v>
      </c>
      <c r="T107" s="202"/>
      <c r="U107" s="246"/>
      <c r="V107" s="246"/>
      <c r="W107" s="246"/>
      <c r="BA107"/>
      <c r="BB107"/>
    </row>
    <row r="108" spans="1:56" s="191" customFormat="1" ht="13.5">
      <c r="A108" s="226"/>
      <c r="B108" s="180">
        <v>5005246286</v>
      </c>
      <c r="C108" s="183" t="str">
        <f>IFERROR(IF(VLOOKUP($B108,勘定科目!$A:$H,HLOOKUP($E$5,勘定科目!$F$1:$H$2,2,0),0)="","",VLOOKUP($B108,勘定科目!$A:$E,2,0)),"")</f>
        <v>その他手数料（製）</v>
      </c>
      <c r="D108" s="239" t="str">
        <f>IF(C108="","",VLOOKUP($B108,勘定科目!$A:$E,4,0))</f>
        <v>手数料</v>
      </c>
      <c r="E108" s="245"/>
      <c r="F108" s="194"/>
      <c r="G108" s="194"/>
      <c r="H108" s="194"/>
      <c r="I108" s="300"/>
      <c r="J108" s="300"/>
      <c r="K108" s="300"/>
      <c r="L108" s="300"/>
      <c r="M108" s="300"/>
      <c r="N108" s="300"/>
      <c r="O108" s="300"/>
      <c r="P108" s="300"/>
      <c r="Q108" s="300"/>
      <c r="R108" s="200">
        <f t="shared" si="6"/>
        <v>0</v>
      </c>
      <c r="S108" s="299" t="s">
        <v>729</v>
      </c>
      <c r="T108" s="202"/>
      <c r="U108" s="246"/>
      <c r="V108" s="246"/>
      <c r="W108" s="246"/>
      <c r="BA108"/>
      <c r="BB108"/>
    </row>
    <row r="109" spans="1:56" s="191" customFormat="1" ht="13.5">
      <c r="A109" s="226"/>
      <c r="B109" s="180">
        <v>5005246286</v>
      </c>
      <c r="C109" s="183" t="str">
        <f>IFERROR(IF(VLOOKUP($B109,勘定科目!$A:$H,HLOOKUP($E$5,勘定科目!$F$1:$H$2,2,0),0)="","",VLOOKUP($B109,勘定科目!$A:$E,2,0)),"")</f>
        <v>その他手数料（製）</v>
      </c>
      <c r="D109" s="239" t="str">
        <f>IF(C109="","",VLOOKUP($B109,勘定科目!$A:$E,4,0))</f>
        <v>手数料</v>
      </c>
      <c r="E109" s="245"/>
      <c r="F109" s="194"/>
      <c r="G109" s="194"/>
      <c r="H109" s="194"/>
      <c r="I109" s="300"/>
      <c r="J109" s="300"/>
      <c r="K109" s="300"/>
      <c r="L109" s="300"/>
      <c r="M109" s="300"/>
      <c r="N109" s="300"/>
      <c r="O109" s="300"/>
      <c r="P109" s="300"/>
      <c r="Q109" s="300"/>
      <c r="R109" s="200">
        <f t="shared" si="6"/>
        <v>0</v>
      </c>
      <c r="S109" s="299" t="s">
        <v>730</v>
      </c>
      <c r="T109" s="202"/>
      <c r="U109" s="246"/>
      <c r="V109" s="246"/>
      <c r="W109" s="246"/>
      <c r="BA109"/>
      <c r="BB109"/>
    </row>
    <row r="110" spans="1:56" s="191" customFormat="1" ht="13.5">
      <c r="A110" s="226"/>
      <c r="B110" s="180">
        <v>5005246286</v>
      </c>
      <c r="C110" s="183" t="str">
        <f>IFERROR(IF(VLOOKUP($B110,勘定科目!$A:$H,HLOOKUP($E$5,勘定科目!$F$1:$H$2,2,0),0)="","",VLOOKUP($B110,勘定科目!$A:$E,2,0)),"")</f>
        <v>その他手数料（製）</v>
      </c>
      <c r="D110" s="239" t="str">
        <f>IF(C110="","",VLOOKUP($B110,勘定科目!$A:$E,4,0))</f>
        <v>手数料</v>
      </c>
      <c r="E110" s="245"/>
      <c r="F110" s="194"/>
      <c r="G110" s="194"/>
      <c r="H110" s="194"/>
      <c r="I110" s="300"/>
      <c r="J110" s="300"/>
      <c r="K110" s="300"/>
      <c r="L110" s="300"/>
      <c r="M110" s="300"/>
      <c r="N110" s="300"/>
      <c r="O110" s="300"/>
      <c r="P110" s="300"/>
      <c r="Q110" s="300"/>
      <c r="R110" s="200">
        <f t="shared" si="6"/>
        <v>0</v>
      </c>
      <c r="S110" s="299" t="s">
        <v>731</v>
      </c>
      <c r="T110" s="202"/>
      <c r="U110" s="246"/>
      <c r="V110" s="246"/>
      <c r="W110" s="246"/>
      <c r="BA110"/>
      <c r="BB110"/>
    </row>
    <row r="111" spans="1:56" s="191" customFormat="1" ht="13.5">
      <c r="A111" s="226"/>
      <c r="B111" s="180">
        <v>5005246286</v>
      </c>
      <c r="C111" s="183" t="str">
        <f>IFERROR(IF(VLOOKUP($B111,勘定科目!$A:$H,HLOOKUP($E$5,勘定科目!$F$1:$H$2,2,0),0)="","",VLOOKUP($B111,勘定科目!$A:$E,2,0)),"")</f>
        <v>その他手数料（製）</v>
      </c>
      <c r="D111" s="239" t="str">
        <f>IF(C111="","",VLOOKUP($B111,勘定科目!$A:$E,4,0))</f>
        <v>手数料</v>
      </c>
      <c r="E111" s="245"/>
      <c r="F111" s="194"/>
      <c r="G111" s="194"/>
      <c r="H111" s="194"/>
      <c r="I111" s="300"/>
      <c r="J111" s="300"/>
      <c r="K111" s="300"/>
      <c r="L111" s="300"/>
      <c r="M111" s="300"/>
      <c r="N111" s="300"/>
      <c r="O111" s="300"/>
      <c r="P111" s="300"/>
      <c r="Q111" s="300"/>
      <c r="R111" s="200">
        <f t="shared" si="6"/>
        <v>0</v>
      </c>
      <c r="S111" s="299" t="s">
        <v>732</v>
      </c>
      <c r="T111" s="202"/>
      <c r="U111" s="246"/>
      <c r="V111" s="246"/>
      <c r="W111" s="246"/>
      <c r="BA111"/>
      <c r="BB111"/>
    </row>
    <row r="112" spans="1:56" s="191" customFormat="1" ht="13.5">
      <c r="A112" s="226"/>
      <c r="B112" s="180">
        <v>5005246286</v>
      </c>
      <c r="C112" s="183" t="str">
        <f>IFERROR(IF(VLOOKUP($B112,勘定科目!$A:$H,HLOOKUP($E$5,勘定科目!$F$1:$H$2,2,0),0)="","",VLOOKUP($B112,勘定科目!$A:$E,2,0)),"")</f>
        <v>その他手数料（製）</v>
      </c>
      <c r="D112" s="239" t="str">
        <f>IF(C112="","",VLOOKUP($B112,勘定科目!$A:$E,4,0))</f>
        <v>手数料</v>
      </c>
      <c r="E112" s="245"/>
      <c r="F112" s="194"/>
      <c r="G112" s="194"/>
      <c r="H112" s="194"/>
      <c r="I112" s="300"/>
      <c r="J112" s="300"/>
      <c r="K112" s="300"/>
      <c r="L112" s="300"/>
      <c r="M112" s="300"/>
      <c r="N112" s="300"/>
      <c r="O112" s="300"/>
      <c r="P112" s="300"/>
      <c r="Q112" s="300"/>
      <c r="R112" s="200">
        <f t="shared" si="6"/>
        <v>0</v>
      </c>
      <c r="S112" s="299" t="s">
        <v>733</v>
      </c>
      <c r="T112" s="202"/>
      <c r="U112" s="246"/>
      <c r="V112" s="246"/>
      <c r="W112" s="246"/>
      <c r="BA112"/>
      <c r="BB112"/>
      <c r="BD112" s="191" t="e">
        <v>#REF!</v>
      </c>
    </row>
    <row r="113" spans="1:56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194"/>
      <c r="H113" s="194"/>
      <c r="I113" s="300"/>
      <c r="J113" s="300"/>
      <c r="K113" s="300"/>
      <c r="L113" s="300"/>
      <c r="M113" s="300"/>
      <c r="N113" s="300"/>
      <c r="O113" s="300"/>
      <c r="P113" s="300"/>
      <c r="Q113" s="300"/>
      <c r="R113" s="200">
        <f t="shared" si="6"/>
        <v>0</v>
      </c>
      <c r="S113" s="299"/>
      <c r="T113" s="202"/>
      <c r="U113" s="246"/>
      <c r="V113" s="246"/>
      <c r="W113" s="246"/>
      <c r="BA113"/>
      <c r="BB113"/>
      <c r="BD113" s="191" t="e">
        <v>#REF!</v>
      </c>
    </row>
    <row r="114" spans="1:56" s="191" customFormat="1" ht="13.5">
      <c r="A114" s="226"/>
      <c r="B114" s="180">
        <v>5005246281</v>
      </c>
      <c r="C114" s="183" t="str">
        <f>IFERROR(IF(VLOOKUP($B114,勘定科目!$A:$H,HLOOKUP($E$5,勘定科目!$F$1:$H$2,2,0),0)="","",VLOOKUP($B114,勘定科目!$A:$E,2,0)),"")</f>
        <v>図書印刷費（製）</v>
      </c>
      <c r="D114" s="239" t="str">
        <f>IF(C114="","",VLOOKUP($B114,勘定科目!$A:$E,4,0))</f>
        <v>図書及び事務費</v>
      </c>
      <c r="E114" s="245"/>
      <c r="F114" s="194"/>
      <c r="G114" s="194"/>
      <c r="H114" s="194"/>
      <c r="I114" s="300"/>
      <c r="J114" s="300"/>
      <c r="K114" s="300"/>
      <c r="L114" s="300"/>
      <c r="M114" s="300"/>
      <c r="N114" s="300"/>
      <c r="O114" s="300"/>
      <c r="P114" s="300"/>
      <c r="Q114" s="300"/>
      <c r="R114" s="200">
        <f t="shared" si="6"/>
        <v>0</v>
      </c>
      <c r="S114" s="299" t="s">
        <v>765</v>
      </c>
      <c r="T114" s="202"/>
      <c r="U114" s="246"/>
      <c r="V114" s="246"/>
      <c r="W114" s="246"/>
      <c r="BA114"/>
      <c r="BB114"/>
      <c r="BD114" s="191" t="e">
        <v>#REF!</v>
      </c>
    </row>
    <row r="115" spans="1:56" s="191" customFormat="1" ht="13.5">
      <c r="A115" s="226"/>
      <c r="B115" s="180">
        <v>5005246281</v>
      </c>
      <c r="C115" s="183" t="str">
        <f>IFERROR(IF(VLOOKUP($B115,勘定科目!$A:$H,HLOOKUP($E$5,勘定科目!$F$1:$H$2,2,0),0)="","",VLOOKUP($B115,勘定科目!$A:$E,2,0)),"")</f>
        <v>図書印刷費（製）</v>
      </c>
      <c r="D115" s="239" t="str">
        <f>IF(C115="","",VLOOKUP($B115,勘定科目!$A:$E,4,0))</f>
        <v>図書及び事務費</v>
      </c>
      <c r="E115" s="245"/>
      <c r="F115" s="194"/>
      <c r="G115" s="194"/>
      <c r="H115" s="194"/>
      <c r="I115" s="300"/>
      <c r="J115" s="300"/>
      <c r="K115" s="300"/>
      <c r="L115" s="300"/>
      <c r="M115" s="300"/>
      <c r="N115" s="300"/>
      <c r="O115" s="300"/>
      <c r="P115" s="300"/>
      <c r="Q115" s="300"/>
      <c r="R115" s="200">
        <f t="shared" si="6"/>
        <v>0</v>
      </c>
      <c r="S115" s="299" t="s">
        <v>766</v>
      </c>
      <c r="T115" s="202"/>
      <c r="U115" s="246"/>
      <c r="V115" s="246"/>
      <c r="W115" s="246"/>
      <c r="BA115"/>
      <c r="BB115"/>
      <c r="BD115" s="191" t="e">
        <v>#REF!</v>
      </c>
    </row>
    <row r="116" spans="1:56" s="191" customFormat="1" ht="13.5">
      <c r="A116" s="226"/>
      <c r="B116" s="180">
        <v>5005246281</v>
      </c>
      <c r="C116" s="183" t="str">
        <f>IFERROR(IF(VLOOKUP($B116,勘定科目!$A:$H,HLOOKUP($E$5,勘定科目!$F$1:$H$2,2,0),0)="","",VLOOKUP($B116,勘定科目!$A:$E,2,0)),"")</f>
        <v>図書印刷費（製）</v>
      </c>
      <c r="D116" s="239" t="str">
        <f>IF(C116="","",VLOOKUP($B116,勘定科目!$A:$E,4,0))</f>
        <v>図書及び事務費</v>
      </c>
      <c r="E116" s="245"/>
      <c r="F116" s="194"/>
      <c r="G116" s="194"/>
      <c r="H116" s="194"/>
      <c r="I116" s="300"/>
      <c r="J116" s="300"/>
      <c r="K116" s="300"/>
      <c r="L116" s="300"/>
      <c r="M116" s="300">
        <f>32*800</f>
        <v>25600</v>
      </c>
      <c r="N116" s="300"/>
      <c r="O116" s="300"/>
      <c r="P116" s="300"/>
      <c r="Q116" s="300"/>
      <c r="R116" s="200">
        <f t="shared" si="6"/>
        <v>25600</v>
      </c>
      <c r="S116" s="299" t="s">
        <v>767</v>
      </c>
      <c r="T116" s="202"/>
      <c r="U116" s="246"/>
      <c r="V116" s="246"/>
      <c r="W116" s="246"/>
      <c r="BA116"/>
      <c r="BB116"/>
      <c r="BD116" s="191" t="e">
        <v>#REF!</v>
      </c>
    </row>
    <row r="117" spans="1:56" s="191" customFormat="1" ht="13.5">
      <c r="A117" s="226"/>
      <c r="B117" s="180">
        <v>5005246281</v>
      </c>
      <c r="C117" s="183" t="str">
        <f>IFERROR(IF(VLOOKUP($B117,勘定科目!$A:$H,HLOOKUP($E$5,勘定科目!$F$1:$H$2,2,0),0)="","",VLOOKUP($B117,勘定科目!$A:$E,2,0)),"")</f>
        <v>図書印刷費（製）</v>
      </c>
      <c r="D117" s="239" t="str">
        <f>IF(C117="","",VLOOKUP($B117,勘定科目!$A:$E,4,0))</f>
        <v>図書及び事務費</v>
      </c>
      <c r="E117" s="245"/>
      <c r="F117" s="194"/>
      <c r="G117" s="194"/>
      <c r="H117" s="194"/>
      <c r="I117" s="300"/>
      <c r="J117" s="300"/>
      <c r="K117" s="300"/>
      <c r="L117" s="300"/>
      <c r="M117" s="300"/>
      <c r="N117" s="300"/>
      <c r="O117" s="300"/>
      <c r="P117" s="300"/>
      <c r="Q117" s="300"/>
      <c r="R117" s="200">
        <f t="shared" si="6"/>
        <v>0</v>
      </c>
      <c r="S117" s="299" t="s">
        <v>734</v>
      </c>
      <c r="T117" s="202"/>
      <c r="U117" s="246"/>
      <c r="V117" s="246"/>
      <c r="W117" s="246"/>
      <c r="BA117"/>
      <c r="BB117"/>
      <c r="BD117" s="191" t="e">
        <v>#REF!</v>
      </c>
    </row>
    <row r="118" spans="1:56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194"/>
      <c r="H118" s="194"/>
      <c r="I118" s="300"/>
      <c r="J118" s="300"/>
      <c r="K118" s="300"/>
      <c r="L118" s="300"/>
      <c r="M118" s="300"/>
      <c r="N118" s="300"/>
      <c r="O118" s="300"/>
      <c r="P118" s="300"/>
      <c r="Q118" s="300"/>
      <c r="R118" s="200">
        <f t="shared" si="6"/>
        <v>0</v>
      </c>
      <c r="S118" s="299"/>
      <c r="T118" s="202"/>
      <c r="U118" s="246"/>
      <c r="V118" s="246"/>
      <c r="W118" s="246"/>
      <c r="BA118"/>
      <c r="BB118"/>
      <c r="BD118" s="191" t="e">
        <v>#REF!</v>
      </c>
    </row>
    <row r="119" spans="1:56" s="191" customFormat="1" ht="13.5">
      <c r="A119" s="226"/>
      <c r="B119" s="180">
        <v>5005246288</v>
      </c>
      <c r="C119" s="183" t="str">
        <f>IFERROR(IF(VLOOKUP($B119,勘定科目!$A:$H,HLOOKUP($E$5,勘定科目!$F$1:$H$2,2,0),0)="","",VLOOKUP($B119,勘定科目!$A:$E,2,0)),"")</f>
        <v>事務用品費（製）</v>
      </c>
      <c r="D119" s="239" t="str">
        <f>IF(C119="","",VLOOKUP($B119,勘定科目!$A:$E,4,0))</f>
        <v>図書及び事務費</v>
      </c>
      <c r="E119" s="245"/>
      <c r="F119" s="194"/>
      <c r="G119" s="194"/>
      <c r="H119" s="194"/>
      <c r="I119" s="300"/>
      <c r="J119" s="300"/>
      <c r="K119" s="300"/>
      <c r="L119" s="300"/>
      <c r="M119" s="300"/>
      <c r="N119" s="300"/>
      <c r="O119" s="300"/>
      <c r="P119" s="300"/>
      <c r="Q119" s="300"/>
      <c r="R119" s="200">
        <f t="shared" si="6"/>
        <v>0</v>
      </c>
      <c r="S119" s="299" t="s">
        <v>735</v>
      </c>
      <c r="T119" s="202"/>
      <c r="U119" s="246"/>
      <c r="V119" s="246"/>
      <c r="W119" s="246"/>
      <c r="BA119"/>
      <c r="BB119"/>
      <c r="BD119" s="191" t="e">
        <v>#REF!</v>
      </c>
    </row>
    <row r="120" spans="1:56" s="191" customFormat="1" ht="13.5">
      <c r="A120" s="226"/>
      <c r="B120" s="180">
        <v>5005246288</v>
      </c>
      <c r="C120" s="183" t="str">
        <f>IFERROR(IF(VLOOKUP($B120,勘定科目!$A:$H,HLOOKUP($E$5,勘定科目!$F$1:$H$2,2,0),0)="","",VLOOKUP($B120,勘定科目!$A:$E,2,0)),"")</f>
        <v>事務用品費（製）</v>
      </c>
      <c r="D120" s="239" t="str">
        <f>IF(C120="","",VLOOKUP($B120,勘定科目!$A:$E,4,0))</f>
        <v>図書及び事務費</v>
      </c>
      <c r="E120" s="245"/>
      <c r="F120" s="194">
        <v>1500000</v>
      </c>
      <c r="G120" s="194">
        <v>1500000</v>
      </c>
      <c r="H120" s="194">
        <v>1500000</v>
      </c>
      <c r="I120" s="300">
        <v>1500000</v>
      </c>
      <c r="J120" s="300">
        <v>450000</v>
      </c>
      <c r="K120" s="300">
        <v>450000</v>
      </c>
      <c r="L120" s="300">
        <v>450000</v>
      </c>
      <c r="M120" s="300">
        <v>450000</v>
      </c>
      <c r="N120" s="300">
        <v>450000</v>
      </c>
      <c r="O120" s="300">
        <v>450000</v>
      </c>
      <c r="P120" s="300">
        <v>450000</v>
      </c>
      <c r="Q120" s="300">
        <v>450000</v>
      </c>
      <c r="R120" s="200">
        <f t="shared" si="6"/>
        <v>9600000</v>
      </c>
      <c r="S120" s="299" t="s">
        <v>736</v>
      </c>
      <c r="T120" s="202"/>
      <c r="U120" s="246"/>
      <c r="V120" s="246"/>
      <c r="W120" s="246"/>
      <c r="BA120"/>
      <c r="BB120"/>
      <c r="BD120" s="191" t="e">
        <v>#REF!</v>
      </c>
    </row>
    <row r="121" spans="1:56" s="191" customFormat="1" ht="13.5">
      <c r="A121" s="226"/>
      <c r="B121" s="180">
        <v>5005246288</v>
      </c>
      <c r="C121" s="183" t="str">
        <f>IFERROR(IF(VLOOKUP($B121,勘定科目!$A:$H,HLOOKUP($E$5,勘定科目!$F$1:$H$2,2,0),0)="","",VLOOKUP($B121,勘定科目!$A:$E,2,0)),"")</f>
        <v>事務用品費（製）</v>
      </c>
      <c r="D121" s="239" t="str">
        <f>IF(C121="","",VLOOKUP($B121,勘定科目!$A:$E,4,0))</f>
        <v>図書及び事務費</v>
      </c>
      <c r="E121" s="245"/>
      <c r="F121" s="194"/>
      <c r="G121" s="194"/>
      <c r="H121" s="194"/>
      <c r="I121" s="300"/>
      <c r="J121" s="300"/>
      <c r="K121" s="300"/>
      <c r="L121" s="300"/>
      <c r="M121" s="300"/>
      <c r="N121" s="300"/>
      <c r="O121" s="300"/>
      <c r="P121" s="300"/>
      <c r="Q121" s="300"/>
      <c r="R121" s="200">
        <f t="shared" si="6"/>
        <v>0</v>
      </c>
      <c r="S121" s="299" t="s">
        <v>737</v>
      </c>
      <c r="T121" s="202"/>
      <c r="U121" s="246"/>
      <c r="V121" s="246"/>
      <c r="W121" s="246"/>
      <c r="BA121"/>
      <c r="BB121"/>
      <c r="BC121" s="191" t="s">
        <v>709</v>
      </c>
      <c r="BD121" s="191" t="e">
        <v>#REF!</v>
      </c>
    </row>
    <row r="122" spans="1:56" s="191" customFormat="1" ht="13.5">
      <c r="A122" s="226"/>
      <c r="B122" s="180">
        <v>5005246288</v>
      </c>
      <c r="C122" s="183" t="str">
        <f>IFERROR(IF(VLOOKUP($B122,勘定科目!$A:$H,HLOOKUP($E$5,勘定科目!$F$1:$H$2,2,0),0)="","",VLOOKUP($B122,勘定科目!$A:$E,2,0)),"")</f>
        <v>事務用品費（製）</v>
      </c>
      <c r="D122" s="239" t="str">
        <f>IF(C122="","",VLOOKUP($B122,勘定科目!$A:$E,4,0))</f>
        <v>図書及び事務費</v>
      </c>
      <c r="E122" s="245"/>
      <c r="F122" s="194"/>
      <c r="G122" s="194"/>
      <c r="H122" s="194"/>
      <c r="I122" s="300"/>
      <c r="J122" s="300"/>
      <c r="K122" s="300"/>
      <c r="L122" s="300"/>
      <c r="M122" s="300"/>
      <c r="N122" s="300"/>
      <c r="O122" s="300"/>
      <c r="P122" s="300"/>
      <c r="Q122" s="300"/>
      <c r="R122" s="200">
        <f t="shared" si="6"/>
        <v>0</v>
      </c>
      <c r="S122" s="299" t="s">
        <v>738</v>
      </c>
      <c r="T122" s="202"/>
      <c r="U122" s="246"/>
      <c r="V122" s="246"/>
      <c r="W122" s="246"/>
      <c r="BA122"/>
      <c r="BB122"/>
      <c r="BD122" s="191" t="e">
        <v>#REF!</v>
      </c>
    </row>
    <row r="123" spans="1:56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194"/>
      <c r="H123" s="194"/>
      <c r="I123" s="300"/>
      <c r="J123" s="300"/>
      <c r="K123" s="300"/>
      <c r="L123" s="300"/>
      <c r="M123" s="300"/>
      <c r="N123" s="300"/>
      <c r="O123" s="300"/>
      <c r="P123" s="300"/>
      <c r="Q123" s="300"/>
      <c r="R123" s="200">
        <f t="shared" si="6"/>
        <v>0</v>
      </c>
      <c r="S123" s="299"/>
      <c r="T123" s="202"/>
      <c r="U123" s="246"/>
      <c r="V123" s="246"/>
      <c r="W123" s="246"/>
      <c r="BA123"/>
      <c r="BB123"/>
      <c r="BD123" s="191" t="e">
        <v>#REF!</v>
      </c>
    </row>
    <row r="124" spans="1:56" s="191" customFormat="1" ht="13.5">
      <c r="A124" s="226"/>
      <c r="B124" s="180">
        <v>5005046282</v>
      </c>
      <c r="C124" s="183" t="str">
        <f>IFERROR(IF(VLOOKUP($B124,勘定科目!$A:$H,HLOOKUP($E$5,勘定科目!$F$1:$H$2,2,0),0)="","",VLOOKUP($B124,勘定科目!$A:$E,2,0)),"")</f>
        <v>その他修繕費（製）</v>
      </c>
      <c r="D124" s="239" t="str">
        <f>IF(C124="","",VLOOKUP($B124,勘定科目!$A:$E,4,0))</f>
        <v>修繕費</v>
      </c>
      <c r="E124" s="245"/>
      <c r="F124" s="194"/>
      <c r="G124" s="194"/>
      <c r="H124" s="194"/>
      <c r="I124" s="300"/>
      <c r="J124" s="300"/>
      <c r="K124" s="300"/>
      <c r="L124" s="300"/>
      <c r="M124" s="300"/>
      <c r="N124" s="300"/>
      <c r="O124" s="300"/>
      <c r="P124" s="300"/>
      <c r="Q124" s="300"/>
      <c r="R124" s="200">
        <f t="shared" si="6"/>
        <v>0</v>
      </c>
      <c r="S124" s="299" t="s">
        <v>763</v>
      </c>
      <c r="T124" s="202"/>
      <c r="U124" s="246"/>
      <c r="V124" s="246"/>
      <c r="W124" s="246"/>
      <c r="BA124"/>
      <c r="BB124"/>
      <c r="BD124" s="191" t="e">
        <v>#REF!</v>
      </c>
    </row>
    <row r="125" spans="1:56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194"/>
      <c r="H125" s="194"/>
      <c r="I125" s="300"/>
      <c r="J125" s="300"/>
      <c r="K125" s="300"/>
      <c r="L125" s="300"/>
      <c r="M125" s="300"/>
      <c r="N125" s="300"/>
      <c r="O125" s="300"/>
      <c r="P125" s="300"/>
      <c r="Q125" s="300"/>
      <c r="R125" s="200">
        <f t="shared" si="6"/>
        <v>0</v>
      </c>
      <c r="S125" s="299"/>
      <c r="T125" s="202"/>
      <c r="U125" s="246"/>
      <c r="V125" s="246"/>
      <c r="W125" s="246"/>
      <c r="BA125"/>
      <c r="BB125"/>
      <c r="BD125" s="191" t="e">
        <v>#REF!</v>
      </c>
    </row>
    <row r="126" spans="1:56" s="191" customFormat="1" ht="13.5">
      <c r="A126" s="226"/>
      <c r="B126" s="180">
        <v>5004086291</v>
      </c>
      <c r="C126" s="183" t="str">
        <f>IFERROR(IF(VLOOKUP($B126,勘定科目!$A:$H,HLOOKUP($E$5,勘定科目!$F$1:$H$2,2,0),0)="","",VLOOKUP($B126,勘定科目!$A:$E,2,0)),"")</f>
        <v>福利厚生費（製）</v>
      </c>
      <c r="D126" s="239" t="str">
        <f>IF(C126="","",VLOOKUP($B126,勘定科目!$A:$E,4,0))</f>
        <v>福利厚生費</v>
      </c>
      <c r="E126" s="245"/>
      <c r="F126" s="194">
        <v>300000</v>
      </c>
      <c r="G126" s="194">
        <v>300000</v>
      </c>
      <c r="H126" s="194">
        <v>300000</v>
      </c>
      <c r="I126" s="300">
        <v>300000</v>
      </c>
      <c r="J126" s="300"/>
      <c r="K126" s="300"/>
      <c r="L126" s="300"/>
      <c r="M126" s="300"/>
      <c r="N126" s="300"/>
      <c r="O126" s="300"/>
      <c r="P126" s="300"/>
      <c r="Q126" s="300"/>
      <c r="R126" s="200">
        <f t="shared" si="6"/>
        <v>1200000</v>
      </c>
      <c r="S126" s="299" t="s">
        <v>739</v>
      </c>
      <c r="T126" s="202"/>
      <c r="U126" s="246"/>
      <c r="V126" s="246"/>
      <c r="W126" s="246"/>
      <c r="BA126"/>
      <c r="BB126"/>
      <c r="BD126" s="191" t="e">
        <v>#REF!</v>
      </c>
    </row>
    <row r="127" spans="1:56" s="191" customFormat="1" ht="13.5">
      <c r="A127" s="226"/>
      <c r="B127" s="180">
        <v>5004086291</v>
      </c>
      <c r="C127" s="183" t="str">
        <f>IFERROR(IF(VLOOKUP($B127,勘定科目!$A:$H,HLOOKUP($E$5,勘定科目!$F$1:$H$2,2,0),0)="","",VLOOKUP($B127,勘定科目!$A:$E,2,0)),"")</f>
        <v>福利厚生費（製）</v>
      </c>
      <c r="D127" s="239" t="str">
        <f>IF(C127="","",VLOOKUP($B127,勘定科目!$A:$E,4,0))</f>
        <v>福利厚生費</v>
      </c>
      <c r="E127" s="245"/>
      <c r="F127" s="194">
        <v>2000000</v>
      </c>
      <c r="G127" s="194">
        <v>2000000</v>
      </c>
      <c r="H127" s="194">
        <v>2000000</v>
      </c>
      <c r="I127" s="300">
        <v>2000000</v>
      </c>
      <c r="J127" s="300">
        <v>350000</v>
      </c>
      <c r="K127" s="300">
        <v>350000</v>
      </c>
      <c r="L127" s="300">
        <v>350000</v>
      </c>
      <c r="M127" s="300">
        <v>350000</v>
      </c>
      <c r="N127" s="300">
        <v>350000</v>
      </c>
      <c r="O127" s="300">
        <v>350000</v>
      </c>
      <c r="P127" s="300">
        <v>350000</v>
      </c>
      <c r="Q127" s="300">
        <v>350000</v>
      </c>
      <c r="R127" s="200">
        <f t="shared" si="6"/>
        <v>10800000</v>
      </c>
      <c r="S127" s="299" t="s">
        <v>740</v>
      </c>
      <c r="T127" s="202"/>
      <c r="U127" s="246"/>
      <c r="V127" s="246"/>
      <c r="W127" s="246"/>
      <c r="BA127"/>
      <c r="BB127"/>
      <c r="BD127" s="191" t="e">
        <v>#REF!</v>
      </c>
    </row>
    <row r="128" spans="1:56" s="191" customFormat="1" ht="13.5">
      <c r="A128" s="226"/>
      <c r="B128" s="180">
        <v>5004086291</v>
      </c>
      <c r="C128" s="183" t="str">
        <f>IFERROR(IF(VLOOKUP($B128,勘定科目!$A:$H,HLOOKUP($E$5,勘定科目!$F$1:$H$2,2,0),0)="","",VLOOKUP($B128,勘定科目!$A:$E,2,0)),"")</f>
        <v>福利厚生費（製）</v>
      </c>
      <c r="D128" s="239" t="str">
        <f>IF(C128="","",VLOOKUP($B128,勘定科目!$A:$E,4,0))</f>
        <v>福利厚生費</v>
      </c>
      <c r="E128" s="245"/>
      <c r="F128" s="194">
        <f>(2+194-12)*(165000*2+175000*2)</f>
        <v>125120000</v>
      </c>
      <c r="G128" s="194"/>
      <c r="H128" s="194"/>
      <c r="I128" s="300"/>
      <c r="J128" s="300"/>
      <c r="K128" s="300"/>
      <c r="L128" s="300"/>
      <c r="M128" s="300"/>
      <c r="N128" s="300"/>
      <c r="O128" s="300"/>
      <c r="P128" s="300"/>
      <c r="Q128" s="300"/>
      <c r="R128" s="200">
        <f t="shared" si="6"/>
        <v>125120000</v>
      </c>
      <c r="S128" s="299" t="s">
        <v>741</v>
      </c>
      <c r="T128" s="202"/>
      <c r="U128" s="246"/>
      <c r="V128" s="246"/>
      <c r="W128" s="246"/>
      <c r="BA128"/>
      <c r="BB128"/>
      <c r="BD128" s="191" t="e">
        <v>#REF!</v>
      </c>
    </row>
    <row r="129" spans="1:56" s="191" customFormat="1" ht="13.5">
      <c r="A129" s="226"/>
      <c r="B129" s="180">
        <v>5004086291</v>
      </c>
      <c r="C129" s="183" t="str">
        <f>IFERROR(IF(VLOOKUP($B129,勘定科目!$A:$H,HLOOKUP($E$5,勘定科目!$F$1:$H$2,2,0),0)="","",VLOOKUP($B129,勘定科目!$A:$E,2,0)),"")</f>
        <v>福利厚生費（製）</v>
      </c>
      <c r="D129" s="239" t="str">
        <f>IF(C129="","",VLOOKUP($B129,勘定科目!$A:$E,4,0))</f>
        <v>福利厚生費</v>
      </c>
      <c r="E129" s="245"/>
      <c r="F129" s="194"/>
      <c r="G129" s="194">
        <f>(F24+F25-9)*1890000</f>
        <v>357210000</v>
      </c>
      <c r="H129" s="194"/>
      <c r="I129" s="300"/>
      <c r="J129" s="300"/>
      <c r="K129" s="300"/>
      <c r="L129" s="300"/>
      <c r="M129" s="300"/>
      <c r="N129" s="300"/>
      <c r="O129" s="300"/>
      <c r="P129" s="300"/>
      <c r="Q129" s="300"/>
      <c r="R129" s="200">
        <f t="shared" si="6"/>
        <v>357210000</v>
      </c>
      <c r="S129" s="299" t="s">
        <v>790</v>
      </c>
      <c r="T129" s="202"/>
      <c r="U129" s="246"/>
      <c r="V129" s="246"/>
      <c r="W129" s="246"/>
      <c r="BA129"/>
      <c r="BB129"/>
      <c r="BD129" s="191" t="e">
        <v>#REF!</v>
      </c>
    </row>
    <row r="130" spans="1:56" s="191" customFormat="1" ht="13.5">
      <c r="A130" s="226"/>
      <c r="B130" s="180">
        <v>5004086291</v>
      </c>
      <c r="C130" s="183" t="str">
        <f>IFERROR(IF(VLOOKUP($B130,勘定科目!$A:$H,HLOOKUP($E$5,勘定科目!$F$1:$H$2,2,0),0)="","",VLOOKUP($B130,勘定科目!$A:$E,2,0)),"")</f>
        <v>福利厚生費（製）</v>
      </c>
      <c r="D130" s="239" t="str">
        <f>IF(C130="","",VLOOKUP($B130,勘定科目!$A:$E,4,0))</f>
        <v>福利厚生費</v>
      </c>
      <c r="E130" s="245"/>
      <c r="F130" s="194"/>
      <c r="G130" s="194"/>
      <c r="H130" s="194">
        <f>9*1323000</f>
        <v>11907000</v>
      </c>
      <c r="I130" s="300"/>
      <c r="J130" s="300"/>
      <c r="K130" s="300"/>
      <c r="L130" s="300"/>
      <c r="M130" s="300"/>
      <c r="N130" s="300"/>
      <c r="O130" s="300"/>
      <c r="P130" s="300"/>
      <c r="Q130" s="300"/>
      <c r="R130" s="200">
        <f t="shared" si="6"/>
        <v>11907000</v>
      </c>
      <c r="S130" s="299" t="s">
        <v>778</v>
      </c>
      <c r="T130" s="202"/>
      <c r="U130" s="246"/>
      <c r="V130" s="246"/>
      <c r="W130" s="246"/>
      <c r="BA130"/>
      <c r="BB130"/>
      <c r="BD130" s="191" t="e">
        <v>#REF!</v>
      </c>
    </row>
    <row r="131" spans="1:56" s="191" customFormat="1" ht="13.5">
      <c r="A131" s="226"/>
      <c r="B131" s="180">
        <v>5004086291</v>
      </c>
      <c r="C131" s="183" t="str">
        <f>IFERROR(IF(VLOOKUP($B131,勘定科目!$A:$H,HLOOKUP($E$5,勘定科目!$F$1:$H$2,2,0),0)="","",VLOOKUP($B131,勘定科目!$A:$E,2,0)),"")</f>
        <v>福利厚生費（製）</v>
      </c>
      <c r="D131" s="239" t="str">
        <f>IF(C131="","",VLOOKUP($B131,勘定科目!$A:$E,4,0))</f>
        <v>福利厚生費</v>
      </c>
      <c r="E131" s="245"/>
      <c r="F131" s="194">
        <f>17*163000</f>
        <v>2771000</v>
      </c>
      <c r="G131" s="194">
        <f>11*163000</f>
        <v>1793000</v>
      </c>
      <c r="H131" s="194">
        <f>10*163000</f>
        <v>1630000</v>
      </c>
      <c r="I131" s="300">
        <f>1*163000</f>
        <v>163000</v>
      </c>
      <c r="J131" s="300">
        <f>3*163000</f>
        <v>489000</v>
      </c>
      <c r="K131" s="300">
        <f>(3+1)*163000</f>
        <v>652000</v>
      </c>
      <c r="L131" s="300">
        <f>3*163000</f>
        <v>489000</v>
      </c>
      <c r="M131" s="300">
        <f>2*163000</f>
        <v>326000</v>
      </c>
      <c r="N131" s="300"/>
      <c r="O131" s="300">
        <f>2*163000</f>
        <v>326000</v>
      </c>
      <c r="P131" s="300">
        <f>5*163000</f>
        <v>815000</v>
      </c>
      <c r="Q131" s="300">
        <f>2*163000</f>
        <v>326000</v>
      </c>
      <c r="R131" s="200">
        <f t="shared" si="6"/>
        <v>9780000</v>
      </c>
      <c r="S131" s="299" t="s">
        <v>776</v>
      </c>
      <c r="T131" s="202"/>
      <c r="U131" s="246"/>
      <c r="V131" s="246"/>
      <c r="W131" s="246"/>
      <c r="BA131"/>
      <c r="BB131"/>
      <c r="BD131" s="191" t="e">
        <v>#REF!</v>
      </c>
    </row>
    <row r="132" spans="1:56" s="191" customFormat="1" ht="13.5">
      <c r="A132" s="226"/>
      <c r="B132" s="180">
        <v>5004086291</v>
      </c>
      <c r="C132" s="183" t="str">
        <f>IFERROR(IF(VLOOKUP($B132,勘定科目!$A:$H,HLOOKUP($E$5,勘定科目!$F$1:$H$2,2,0),0)="","",VLOOKUP($B132,勘定科目!$A:$E,2,0)),"")</f>
        <v>福利厚生費（製）</v>
      </c>
      <c r="D132" s="239" t="str">
        <f>IF(C132="","",VLOOKUP($B132,勘定科目!$A:$E,4,0))</f>
        <v>福利厚生費</v>
      </c>
      <c r="E132" s="245"/>
      <c r="F132" s="194"/>
      <c r="G132" s="194"/>
      <c r="H132" s="194"/>
      <c r="I132" s="300"/>
      <c r="J132" s="300"/>
      <c r="K132" s="300"/>
      <c r="L132" s="300"/>
      <c r="M132" s="300"/>
      <c r="N132" s="300"/>
      <c r="O132" s="300"/>
      <c r="P132" s="300"/>
      <c r="Q132" s="300"/>
      <c r="R132" s="200">
        <f t="shared" si="6"/>
        <v>0</v>
      </c>
      <c r="S132" s="299" t="s">
        <v>742</v>
      </c>
      <c r="T132" s="202"/>
      <c r="U132" s="246"/>
      <c r="V132" s="246"/>
      <c r="W132" s="246"/>
      <c r="BA132"/>
      <c r="BB132"/>
      <c r="BD132" s="191" t="e">
        <v>#REF!</v>
      </c>
    </row>
    <row r="133" spans="1:56" s="191" customFormat="1" ht="13.5">
      <c r="A133" s="226"/>
      <c r="B133" s="180">
        <v>5004086291</v>
      </c>
      <c r="C133" s="183" t="str">
        <f>IFERROR(IF(VLOOKUP($B133,勘定科目!$A:$H,HLOOKUP($E$5,勘定科目!$F$1:$H$2,2,0),0)="","",VLOOKUP($B133,勘定科目!$A:$E,2,0)),"")</f>
        <v>福利厚生費（製）</v>
      </c>
      <c r="D133" s="239" t="str">
        <f>IF(C133="","",VLOOKUP($B133,勘定科目!$A:$E,4,0))</f>
        <v>福利厚生費</v>
      </c>
      <c r="E133" s="245"/>
      <c r="F133" s="194"/>
      <c r="G133" s="194"/>
      <c r="H133" s="194"/>
      <c r="I133" s="300"/>
      <c r="J133" s="300"/>
      <c r="K133" s="300">
        <f>15*6800</f>
        <v>102000</v>
      </c>
      <c r="L133" s="300"/>
      <c r="M133" s="300"/>
      <c r="N133" s="300"/>
      <c r="O133" s="300"/>
      <c r="P133" s="300">
        <f>(15+8)*6800</f>
        <v>156400</v>
      </c>
      <c r="Q133" s="300"/>
      <c r="R133" s="200">
        <f t="shared" si="6"/>
        <v>258400</v>
      </c>
      <c r="S133" s="299" t="s">
        <v>795</v>
      </c>
      <c r="T133" s="202"/>
      <c r="U133" s="246"/>
      <c r="V133" s="246"/>
      <c r="W133" s="246"/>
      <c r="BA133"/>
      <c r="BB133"/>
      <c r="BD133" s="191" t="e">
        <v>#REF!</v>
      </c>
    </row>
    <row r="134" spans="1:56" s="191" customFormat="1" ht="13.5">
      <c r="A134" s="226"/>
      <c r="B134" s="180">
        <v>5004086291</v>
      </c>
      <c r="C134" s="183" t="str">
        <f>IFERROR(IF(VLOOKUP($B134,勘定科目!$A:$H,HLOOKUP($E$5,勘定科目!$F$1:$H$2,2,0),0)="","",VLOOKUP($B134,勘定科目!$A:$E,2,0)),"")</f>
        <v>福利厚生費（製）</v>
      </c>
      <c r="D134" s="239" t="str">
        <f>IF(C134="","",VLOOKUP($B134,勘定科目!$A:$E,4,0))</f>
        <v>福利厚生費</v>
      </c>
      <c r="E134" s="245"/>
      <c r="F134" s="194"/>
      <c r="G134" s="194"/>
      <c r="H134" s="194"/>
      <c r="I134" s="300">
        <f>24*100000</f>
        <v>2400000</v>
      </c>
      <c r="J134" s="300"/>
      <c r="K134" s="300"/>
      <c r="L134" s="300"/>
      <c r="M134" s="300"/>
      <c r="N134" s="300"/>
      <c r="O134" s="300"/>
      <c r="P134" s="300"/>
      <c r="Q134" s="300"/>
      <c r="R134" s="200">
        <f t="shared" si="6"/>
        <v>2400000</v>
      </c>
      <c r="S134" s="299" t="s">
        <v>786</v>
      </c>
      <c r="T134" s="202"/>
      <c r="U134" s="246"/>
      <c r="V134" s="246"/>
      <c r="W134" s="246"/>
      <c r="BA134"/>
      <c r="BB134"/>
      <c r="BD134" s="191" t="e">
        <v>#REF!</v>
      </c>
    </row>
    <row r="135" spans="1:56" s="191" customFormat="1" ht="13.5">
      <c r="A135" s="226"/>
      <c r="B135" s="180">
        <v>5004086291</v>
      </c>
      <c r="C135" s="183" t="str">
        <f>IFERROR(IF(VLOOKUP($B135,勘定科目!$A:$H,HLOOKUP($E$5,勘定科目!$F$1:$H$2,2,0),0)="","",VLOOKUP($B135,勘定科目!$A:$E,2,0)),"")</f>
        <v>福利厚生費（製）</v>
      </c>
      <c r="D135" s="239" t="str">
        <f>IF(C135="","",VLOOKUP($B135,勘定科目!$A:$E,4,0))</f>
        <v>福利厚生費</v>
      </c>
      <c r="E135" s="245"/>
      <c r="F135" s="194"/>
      <c r="G135" s="194"/>
      <c r="H135" s="194"/>
      <c r="I135" s="300"/>
      <c r="J135" s="300"/>
      <c r="K135" s="300"/>
      <c r="L135" s="300"/>
      <c r="M135" s="300"/>
      <c r="N135" s="300"/>
      <c r="O135" s="300"/>
      <c r="P135" s="300">
        <f>(O24+O25)*300000</f>
        <v>9900000</v>
      </c>
      <c r="Q135" s="300"/>
      <c r="R135" s="200">
        <f t="shared" si="6"/>
        <v>9900000</v>
      </c>
      <c r="S135" s="299" t="s">
        <v>774</v>
      </c>
      <c r="T135" s="202"/>
      <c r="U135" s="246"/>
      <c r="V135" s="246"/>
      <c r="W135" s="246"/>
      <c r="BA135"/>
      <c r="BB135"/>
      <c r="BD135" s="191" t="e">
        <v>#REF!</v>
      </c>
    </row>
    <row r="136" spans="1:56" s="191" customFormat="1" ht="13.5">
      <c r="A136" s="226"/>
      <c r="B136" s="180">
        <v>5004086291</v>
      </c>
      <c r="C136" s="183" t="str">
        <f>IFERROR(IF(VLOOKUP($B136,勘定科目!$A:$H,HLOOKUP($E$5,勘定科目!$F$1:$H$2,2,0),0)="","",VLOOKUP($B136,勘定科目!$A:$E,2,0)),"")</f>
        <v>福利厚生費（製）</v>
      </c>
      <c r="D136" s="239" t="str">
        <f>IF(C136="","",VLOOKUP($B136,勘定科目!$A:$E,4,0))</f>
        <v>福利厚生費</v>
      </c>
      <c r="E136" s="245"/>
      <c r="F136" s="194"/>
      <c r="G136" s="194"/>
      <c r="H136" s="194"/>
      <c r="I136" s="300"/>
      <c r="J136" s="300"/>
      <c r="K136" s="300"/>
      <c r="L136" s="300"/>
      <c r="M136" s="300"/>
      <c r="N136" s="300"/>
      <c r="O136" s="300"/>
      <c r="P136" s="300">
        <f>P25*100000</f>
        <v>3400000</v>
      </c>
      <c r="Q136" s="300"/>
      <c r="R136" s="200">
        <f t="shared" si="6"/>
        <v>3400000</v>
      </c>
      <c r="S136" s="299" t="s">
        <v>775</v>
      </c>
      <c r="T136" s="202"/>
      <c r="U136" s="246"/>
      <c r="V136" s="246"/>
      <c r="W136" s="246"/>
      <c r="BA136"/>
      <c r="BB136"/>
      <c r="BD136" s="191" t="e">
        <v>#REF!</v>
      </c>
    </row>
    <row r="137" spans="1:56" s="191" customFormat="1" ht="13.5">
      <c r="A137" s="226"/>
      <c r="B137" s="180">
        <v>5004086291</v>
      </c>
      <c r="C137" s="183" t="str">
        <f>IFERROR(IF(VLOOKUP($B137,勘定科目!$A:$H,HLOOKUP($E$5,勘定科目!$F$1:$H$2,2,0),0)="","",VLOOKUP($B137,勘定科目!$A:$E,2,0)),"")</f>
        <v>福利厚生費（製）</v>
      </c>
      <c r="D137" s="239" t="str">
        <f>IF(C137="","",VLOOKUP($B137,勘定科目!$A:$E,4,0))</f>
        <v>福利厚生費</v>
      </c>
      <c r="E137" s="245"/>
      <c r="F137" s="194"/>
      <c r="G137" s="194">
        <f>(F24+F25)*200000</f>
        <v>39600000</v>
      </c>
      <c r="H137" s="194"/>
      <c r="I137" s="300"/>
      <c r="J137" s="300"/>
      <c r="K137" s="300"/>
      <c r="L137" s="300"/>
      <c r="M137" s="300"/>
      <c r="N137" s="300"/>
      <c r="O137" s="300"/>
      <c r="P137" s="300"/>
      <c r="Q137" s="300"/>
      <c r="R137" s="200">
        <f t="shared" si="6"/>
        <v>39600000</v>
      </c>
      <c r="S137" s="299" t="s">
        <v>768</v>
      </c>
      <c r="T137" s="202"/>
      <c r="U137" s="246"/>
      <c r="V137" s="246"/>
      <c r="W137" s="246"/>
      <c r="BA137"/>
      <c r="BB137"/>
      <c r="BD137" s="191" t="e">
        <v>#REF!</v>
      </c>
    </row>
    <row r="138" spans="1:56" s="191" customFormat="1" ht="13.5">
      <c r="A138" s="226"/>
      <c r="B138" s="180">
        <v>5004086291</v>
      </c>
      <c r="C138" s="183" t="str">
        <f>IFERROR(IF(VLOOKUP($B138,勘定科目!$A:$H,HLOOKUP($E$5,勘定科目!$F$1:$H$2,2,0),0)="","",VLOOKUP($B138,勘定科目!$A:$E,2,0)),"")</f>
        <v>福利厚生費（製）</v>
      </c>
      <c r="D138" s="239" t="str">
        <f>IF(C138="","",VLOOKUP($B138,勘定科目!$A:$E,4,0))</f>
        <v>福利厚生費</v>
      </c>
      <c r="E138" s="245"/>
      <c r="F138" s="194"/>
      <c r="G138" s="194"/>
      <c r="H138" s="194"/>
      <c r="I138" s="300"/>
      <c r="J138" s="300"/>
      <c r="K138" s="300"/>
      <c r="L138" s="300">
        <f>(L25+L24)*56000</f>
        <v>1792000</v>
      </c>
      <c r="M138" s="300"/>
      <c r="N138" s="300"/>
      <c r="O138" s="300"/>
      <c r="P138" s="300"/>
      <c r="Q138" s="300"/>
      <c r="R138" s="200">
        <f t="shared" si="6"/>
        <v>1792000</v>
      </c>
      <c r="S138" s="299" t="s">
        <v>770</v>
      </c>
      <c r="T138" s="202"/>
      <c r="U138" s="246"/>
      <c r="V138" s="246"/>
      <c r="W138" s="246"/>
      <c r="BA138"/>
      <c r="BB138"/>
      <c r="BD138" s="191" t="e">
        <v>#REF!</v>
      </c>
    </row>
    <row r="139" spans="1:56" s="191" customFormat="1" ht="13.5">
      <c r="A139" s="226"/>
      <c r="B139" s="180">
        <v>5004086291</v>
      </c>
      <c r="C139" s="183" t="str">
        <f>IFERROR(IF(VLOOKUP($B139,勘定科目!$A:$H,HLOOKUP($E$5,勘定科目!$F$1:$H$2,2,0),0)="","",VLOOKUP($B139,勘定科目!$A:$E,2,0)),"")</f>
        <v>福利厚生費（製）</v>
      </c>
      <c r="D139" s="239" t="str">
        <f>IF(C139="","",VLOOKUP($B139,勘定科目!$A:$E,4,0))</f>
        <v>福利厚生費</v>
      </c>
      <c r="E139" s="245"/>
      <c r="F139" s="194"/>
      <c r="G139" s="194"/>
      <c r="H139" s="194"/>
      <c r="I139" s="300"/>
      <c r="J139" s="300"/>
      <c r="K139" s="300">
        <f>(J25+J24)*126000</f>
        <v>3528000</v>
      </c>
      <c r="L139" s="300"/>
      <c r="M139" s="300"/>
      <c r="N139" s="300"/>
      <c r="O139" s="300"/>
      <c r="P139" s="300"/>
      <c r="Q139" s="300"/>
      <c r="R139" s="200">
        <f t="shared" si="6"/>
        <v>3528000</v>
      </c>
      <c r="S139" s="299" t="s">
        <v>769</v>
      </c>
      <c r="T139" s="202"/>
      <c r="U139" s="246"/>
      <c r="V139" s="246"/>
      <c r="W139" s="246"/>
      <c r="BA139"/>
      <c r="BB139"/>
      <c r="BD139" s="191" t="e">
        <v>#REF!</v>
      </c>
    </row>
    <row r="140" spans="1:56" s="191" customFormat="1" ht="13.5">
      <c r="A140" s="226"/>
      <c r="B140" s="180">
        <v>5004086291</v>
      </c>
      <c r="C140" s="183" t="str">
        <f>IFERROR(IF(VLOOKUP($B140,勘定科目!$A:$H,HLOOKUP($E$5,勘定科目!$F$1:$H$2,2,0),0)="","",VLOOKUP($B140,勘定科目!$A:$E,2,0)),"")</f>
        <v>福利厚生費（製）</v>
      </c>
      <c r="D140" s="239" t="str">
        <f>IF(C140="","",VLOOKUP($B140,勘定科目!$A:$E,4,0))</f>
        <v>福利厚生費</v>
      </c>
      <c r="E140" s="245"/>
      <c r="F140" s="194"/>
      <c r="G140" s="194"/>
      <c r="H140" s="194"/>
      <c r="I140" s="300"/>
      <c r="J140" s="300"/>
      <c r="K140" s="300"/>
      <c r="L140" s="300"/>
      <c r="M140" s="300"/>
      <c r="N140" s="300">
        <f>(17+4)*204000+9*189000</f>
        <v>5985000</v>
      </c>
      <c r="O140" s="300"/>
      <c r="P140" s="300"/>
      <c r="Q140" s="300"/>
      <c r="R140" s="200">
        <f t="shared" si="6"/>
        <v>5985000</v>
      </c>
      <c r="S140" s="299" t="s">
        <v>791</v>
      </c>
      <c r="T140" s="202"/>
      <c r="U140" s="246"/>
      <c r="V140" s="246"/>
      <c r="W140" s="246"/>
      <c r="BA140"/>
      <c r="BB140"/>
      <c r="BD140" s="191" t="e">
        <v>#REF!</v>
      </c>
    </row>
    <row r="141" spans="1:56" s="191" customFormat="1" ht="13.5">
      <c r="A141" s="226"/>
      <c r="B141" s="180">
        <v>5004086291</v>
      </c>
      <c r="C141" s="183" t="str">
        <f>IFERROR(IF(VLOOKUP($B141,勘定科目!$A:$H,HLOOKUP($E$5,勘定科目!$F$1:$H$2,2,0),0)="","",VLOOKUP($B141,勘定科目!$A:$E,2,0)),"")</f>
        <v>福利厚生費（製）</v>
      </c>
      <c r="D141" s="239" t="str">
        <f>IF(C141="","",VLOOKUP($B141,勘定科目!$A:$E,4,0))</f>
        <v>福利厚生費</v>
      </c>
      <c r="E141" s="245"/>
      <c r="F141" s="194"/>
      <c r="G141" s="194"/>
      <c r="H141" s="194"/>
      <c r="I141" s="300"/>
      <c r="J141" s="300"/>
      <c r="K141" s="300"/>
      <c r="L141" s="300"/>
      <c r="M141" s="300">
        <f>32*107000</f>
        <v>3424000</v>
      </c>
      <c r="N141" s="300"/>
      <c r="O141" s="300"/>
      <c r="P141" s="300"/>
      <c r="Q141" s="300"/>
      <c r="R141" s="200">
        <f t="shared" si="6"/>
        <v>3424000</v>
      </c>
      <c r="S141" s="299" t="s">
        <v>773</v>
      </c>
      <c r="T141" s="202"/>
      <c r="U141" s="246"/>
      <c r="V141" s="246"/>
      <c r="W141" s="246"/>
      <c r="BA141"/>
      <c r="BB141"/>
      <c r="BD141" s="191" t="e">
        <v>#REF!</v>
      </c>
    </row>
    <row r="142" spans="1:56" s="191" customFormat="1" ht="13.5">
      <c r="A142" s="226"/>
      <c r="B142" s="180">
        <v>5004086291</v>
      </c>
      <c r="C142" s="183" t="str">
        <f>IFERROR(IF(VLOOKUP($B142,勘定科目!$A:$H,HLOOKUP($E$5,勘定科目!$F$1:$H$2,2,0),0)="","",VLOOKUP($B142,勘定科目!$A:$E,2,0)),"")</f>
        <v>福利厚生費（製）</v>
      </c>
      <c r="D142" s="239" t="str">
        <f>IF(C142="","",VLOOKUP($B142,勘定科目!$A:$E,4,0))</f>
        <v>福利厚生費</v>
      </c>
      <c r="E142" s="245"/>
      <c r="F142" s="194">
        <f>ROUND((24*1374678),0)</f>
        <v>32992272</v>
      </c>
      <c r="G142" s="194">
        <f>ROUND((25*1586747),0)</f>
        <v>39668675</v>
      </c>
      <c r="H142" s="194">
        <f>ROUND((26*1418477),0)</f>
        <v>36880402</v>
      </c>
      <c r="I142" s="300">
        <f>ROUND((26*1487463),0)</f>
        <v>38674038</v>
      </c>
      <c r="J142" s="300">
        <f>ROUND((26*1588334),0)</f>
        <v>41296684</v>
      </c>
      <c r="K142" s="300">
        <f>ROUND((4*1593513),0)</f>
        <v>6374052</v>
      </c>
      <c r="L142" s="300">
        <f>ROUND((4*1194735),0)</f>
        <v>4778940</v>
      </c>
      <c r="M142" s="300">
        <f>ROUND((4*1452617),0)</f>
        <v>5810468</v>
      </c>
      <c r="N142" s="300">
        <f>ROUND((4*1465592),0)</f>
        <v>5862368</v>
      </c>
      <c r="O142" s="300">
        <f>ROUND((4*1378925),0)</f>
        <v>5515700</v>
      </c>
      <c r="P142" s="300">
        <f>ROUND((4*1253359),0)</f>
        <v>5013436</v>
      </c>
      <c r="Q142" s="300">
        <f>ROUND((4*1296228),0)</f>
        <v>5184912</v>
      </c>
      <c r="R142" s="200">
        <f t="shared" si="6"/>
        <v>228051947</v>
      </c>
      <c r="S142" s="299" t="s">
        <v>743</v>
      </c>
      <c r="T142" s="202"/>
      <c r="U142" s="246"/>
      <c r="V142" s="246"/>
      <c r="W142" s="246"/>
      <c r="BA142"/>
      <c r="BB142"/>
      <c r="BD142" s="191" t="e">
        <v>#REF!</v>
      </c>
    </row>
    <row r="143" spans="1:56" s="191" customFormat="1" ht="13.5">
      <c r="A143" s="226"/>
      <c r="B143" s="180">
        <v>5004086291</v>
      </c>
      <c r="C143" s="183" t="str">
        <f>IFERROR(IF(VLOOKUP($B143,勘定科目!$A:$H,HLOOKUP($E$5,勘定科目!$F$1:$H$2,2,0),0)="","",VLOOKUP($B143,勘定科目!$A:$E,2,0)),"")</f>
        <v>福利厚生費（製）</v>
      </c>
      <c r="D143" s="239" t="str">
        <f>IF(C143="","",VLOOKUP($B143,勘定科目!$A:$E,4,0))</f>
        <v>福利厚生費</v>
      </c>
      <c r="E143" s="245"/>
      <c r="F143" s="194">
        <f>ROUND(2*748000,0)</f>
        <v>1496000</v>
      </c>
      <c r="G143" s="194">
        <f>ROUND(2*763266,0)</f>
        <v>1526532</v>
      </c>
      <c r="H143" s="194">
        <f>ROUND(2*740817,0)</f>
        <v>1481634</v>
      </c>
      <c r="I143" s="300">
        <f>ROUND(2*740817,0)</f>
        <v>1481634</v>
      </c>
      <c r="J143" s="300">
        <f>ROUND(2*808164,0)</f>
        <v>1616328</v>
      </c>
      <c r="K143" s="300">
        <f>ROUND(2*763266,0)</f>
        <v>1526532</v>
      </c>
      <c r="L143" s="300">
        <f>ROUND(2*763266,0)</f>
        <v>1526532</v>
      </c>
      <c r="M143" s="300">
        <f>ROUND(2*808164,0)</f>
        <v>1616328</v>
      </c>
      <c r="N143" s="300">
        <f t="shared" ref="N143:O143" si="7">ROUND(2*763266,0)</f>
        <v>1526532</v>
      </c>
      <c r="O143" s="300">
        <f t="shared" si="7"/>
        <v>1526532</v>
      </c>
      <c r="P143" s="300">
        <f>ROUND(2*763266,0)</f>
        <v>1526532</v>
      </c>
      <c r="Q143" s="300">
        <f>ROUND(2*477552,0)</f>
        <v>955104</v>
      </c>
      <c r="R143" s="200">
        <f t="shared" si="6"/>
        <v>17806220</v>
      </c>
      <c r="S143" s="299" t="s">
        <v>744</v>
      </c>
      <c r="T143" s="202"/>
      <c r="U143" s="246"/>
      <c r="V143" s="246"/>
      <c r="W143" s="246"/>
      <c r="BA143"/>
      <c r="BB143"/>
      <c r="BD143" s="191" t="e">
        <v>#REF!</v>
      </c>
    </row>
    <row r="144" spans="1:56" s="191" customFormat="1" ht="13.5">
      <c r="A144" s="226"/>
      <c r="B144" s="180">
        <v>5004086291</v>
      </c>
      <c r="C144" s="183" t="str">
        <f>IFERROR(IF(VLOOKUP($B144,勘定科目!$A:$H,HLOOKUP($E$5,勘定科目!$F$1:$H$2,2,0),0)="","",VLOOKUP($B144,勘定科目!$A:$E,2,0)),"")</f>
        <v>福利厚生費（製）</v>
      </c>
      <c r="D144" s="239" t="str">
        <f>IF(C144="","",VLOOKUP($B144,勘定科目!$A:$E,4,0))</f>
        <v>福利厚生費</v>
      </c>
      <c r="E144" s="245"/>
      <c r="F144" s="194">
        <f>2*300000</f>
        <v>600000</v>
      </c>
      <c r="G144" s="194">
        <f>3*300000</f>
        <v>900000</v>
      </c>
      <c r="H144" s="194">
        <f>300000*4</f>
        <v>1200000</v>
      </c>
      <c r="I144" s="300">
        <v>300000</v>
      </c>
      <c r="J144" s="300">
        <v>300000</v>
      </c>
      <c r="K144" s="300">
        <v>300000</v>
      </c>
      <c r="L144" s="300"/>
      <c r="M144" s="300"/>
      <c r="N144" s="300"/>
      <c r="O144" s="300"/>
      <c r="P144" s="300"/>
      <c r="Q144" s="300"/>
      <c r="R144" s="200">
        <f t="shared" si="6"/>
        <v>3600000</v>
      </c>
      <c r="S144" s="299" t="s">
        <v>745</v>
      </c>
      <c r="T144" s="202"/>
      <c r="U144" s="246"/>
      <c r="V144" s="246"/>
      <c r="W144" s="246"/>
      <c r="BA144"/>
      <c r="BB144"/>
      <c r="BD144" s="191" t="e">
        <v>#REF!</v>
      </c>
    </row>
    <row r="145" spans="1:57" s="191" customFormat="1" ht="13.5">
      <c r="A145" s="226"/>
      <c r="B145" s="180">
        <v>5004086291</v>
      </c>
      <c r="C145" s="183" t="str">
        <f>IFERROR(IF(VLOOKUP($B145,勘定科目!$A:$H,HLOOKUP($E$5,勘定科目!$F$1:$H$2,2,0),0)="","",VLOOKUP($B145,勘定科目!$A:$E,2,0)),"")</f>
        <v>福利厚生費（製）</v>
      </c>
      <c r="D145" s="239" t="str">
        <f>IF(C145="","",VLOOKUP($B145,勘定科目!$A:$E,4,0))</f>
        <v>福利厚生費</v>
      </c>
      <c r="E145" s="245"/>
      <c r="F145" s="194"/>
      <c r="G145" s="194"/>
      <c r="H145" s="194"/>
      <c r="I145" s="300"/>
      <c r="J145" s="300"/>
      <c r="K145" s="300"/>
      <c r="L145" s="300"/>
      <c r="M145" s="300"/>
      <c r="N145" s="300"/>
      <c r="O145" s="300"/>
      <c r="P145" s="300"/>
      <c r="Q145" s="300"/>
      <c r="R145" s="200">
        <f t="shared" si="6"/>
        <v>0</v>
      </c>
      <c r="S145" s="299" t="s">
        <v>746</v>
      </c>
      <c r="T145" s="202"/>
      <c r="U145" s="246"/>
      <c r="V145" s="246"/>
      <c r="W145" s="246"/>
      <c r="BA145"/>
      <c r="BB145"/>
      <c r="BD145" s="191" t="e">
        <v>#REF!</v>
      </c>
    </row>
    <row r="146" spans="1:57" s="191" customFormat="1" ht="13.5">
      <c r="A146" s="226"/>
      <c r="B146" s="180">
        <v>5004086291</v>
      </c>
      <c r="C146" s="183" t="str">
        <f>IFERROR(IF(VLOOKUP($B146,勘定科目!$A:$H,HLOOKUP($E$5,勘定科目!$F$1:$H$2,2,0),0)="","",VLOOKUP($B146,勘定科目!$A:$E,2,0)),"")</f>
        <v>福利厚生費（製）</v>
      </c>
      <c r="D146" s="239" t="str">
        <f>IF(C146="","",VLOOKUP($B146,勘定科目!$A:$E,4,0))</f>
        <v>福利厚生費</v>
      </c>
      <c r="E146" s="245"/>
      <c r="F146" s="194"/>
      <c r="G146" s="194"/>
      <c r="H146" s="194"/>
      <c r="I146" s="300"/>
      <c r="J146" s="300"/>
      <c r="K146" s="300"/>
      <c r="L146" s="300"/>
      <c r="M146" s="300"/>
      <c r="N146" s="300"/>
      <c r="O146" s="300"/>
      <c r="P146" s="300"/>
      <c r="Q146" s="300"/>
      <c r="R146" s="200">
        <f t="shared" si="6"/>
        <v>0</v>
      </c>
      <c r="S146" s="299" t="s">
        <v>747</v>
      </c>
      <c r="T146" s="202"/>
      <c r="U146" s="246"/>
      <c r="V146" s="246"/>
      <c r="W146" s="246"/>
      <c r="BA146"/>
      <c r="BB146"/>
      <c r="BD146" s="191" t="e">
        <v>#REF!</v>
      </c>
    </row>
    <row r="147" spans="1:57" s="191" customFormat="1" ht="13.5">
      <c r="A147" s="226"/>
      <c r="B147" s="180">
        <v>5004086291</v>
      </c>
      <c r="C147" s="183" t="str">
        <f>IFERROR(IF(VLOOKUP($B147,勘定科目!$A:$H,HLOOKUP($E$5,勘定科目!$F$1:$H$2,2,0),0)="","",VLOOKUP($B147,勘定科目!$A:$E,2,0)),"")</f>
        <v>福利厚生費（製）</v>
      </c>
      <c r="D147" s="239" t="str">
        <f>IF(C147="","",VLOOKUP($B147,勘定科目!$A:$E,4,0))</f>
        <v>福利厚生費</v>
      </c>
      <c r="E147" s="245"/>
      <c r="F147" s="194"/>
      <c r="G147" s="194"/>
      <c r="H147" s="194"/>
      <c r="I147" s="300"/>
      <c r="J147" s="300"/>
      <c r="K147" s="300"/>
      <c r="L147" s="300"/>
      <c r="M147" s="300"/>
      <c r="N147" s="300"/>
      <c r="O147" s="300"/>
      <c r="P147" s="300"/>
      <c r="Q147" s="300"/>
      <c r="R147" s="200">
        <f t="shared" si="6"/>
        <v>0</v>
      </c>
      <c r="S147" s="299"/>
      <c r="T147" s="202"/>
      <c r="U147" s="246"/>
      <c r="V147" s="246"/>
      <c r="W147" s="246"/>
      <c r="BA147"/>
      <c r="BB147"/>
      <c r="BD147" s="191" t="e">
        <v>#REF!</v>
      </c>
    </row>
    <row r="148" spans="1:57" s="191" customFormat="1" ht="13.5">
      <c r="A148" s="226"/>
      <c r="B148" s="180">
        <v>5004086291</v>
      </c>
      <c r="C148" s="183" t="str">
        <f>IFERROR(IF(VLOOKUP($B148,勘定科目!$A:$H,HLOOKUP($E$5,勘定科目!$F$1:$H$2,2,0),0)="","",VLOOKUP($B148,勘定科目!$A:$E,2,0)),"")</f>
        <v>福利厚生費（製）</v>
      </c>
      <c r="D148" s="239" t="str">
        <f>IF(C148="","",VLOOKUP($B148,勘定科目!$A:$E,4,0))</f>
        <v>福利厚生費</v>
      </c>
      <c r="E148" s="245"/>
      <c r="F148" s="194"/>
      <c r="G148" s="194"/>
      <c r="H148" s="194"/>
      <c r="I148" s="300"/>
      <c r="J148" s="300"/>
      <c r="K148" s="300"/>
      <c r="L148" s="300">
        <f>(6+1)*549000</f>
        <v>3843000</v>
      </c>
      <c r="M148" s="300"/>
      <c r="N148" s="300"/>
      <c r="O148" s="300"/>
      <c r="P148" s="300"/>
      <c r="Q148" s="300"/>
      <c r="R148" s="200">
        <f t="shared" si="6"/>
        <v>3843000</v>
      </c>
      <c r="S148" s="299" t="s">
        <v>772</v>
      </c>
      <c r="T148" s="202"/>
      <c r="U148" s="246"/>
      <c r="V148" s="246"/>
      <c r="W148" s="246"/>
      <c r="BA148"/>
      <c r="BB148"/>
      <c r="BD148" s="191" t="e">
        <v>#REF!</v>
      </c>
    </row>
    <row r="149" spans="1:57" s="191" customFormat="1" ht="13.5">
      <c r="A149" s="226"/>
      <c r="B149" s="180">
        <v>5004086291</v>
      </c>
      <c r="C149" s="183" t="str">
        <f>IFERROR(IF(VLOOKUP($B149,勘定科目!$A:$H,HLOOKUP($E$5,勘定科目!$F$1:$H$2,2,0),0)="","",VLOOKUP($B149,勘定科目!$A:$E,2,0)),"")</f>
        <v>福利厚生費（製）</v>
      </c>
      <c r="D149" s="239" t="str">
        <f>IF(C149="","",VLOOKUP($B149,勘定科目!$A:$E,4,0))</f>
        <v>福利厚生費</v>
      </c>
      <c r="E149" s="245"/>
      <c r="F149" s="194"/>
      <c r="G149" s="194"/>
      <c r="H149" s="194"/>
      <c r="I149" s="300"/>
      <c r="J149" s="300"/>
      <c r="K149" s="300"/>
      <c r="L149" s="300">
        <f>6*382000</f>
        <v>2292000</v>
      </c>
      <c r="M149" s="300"/>
      <c r="N149" s="300"/>
      <c r="O149" s="300"/>
      <c r="P149" s="300"/>
      <c r="Q149" s="300"/>
      <c r="R149" s="200">
        <f t="shared" si="6"/>
        <v>2292000</v>
      </c>
      <c r="S149" s="299" t="s">
        <v>771</v>
      </c>
      <c r="T149" s="202"/>
      <c r="U149" s="246"/>
      <c r="V149" s="246"/>
      <c r="W149" s="246"/>
      <c r="BA149"/>
      <c r="BB149"/>
      <c r="BD149" s="191" t="e">
        <v>#REF!</v>
      </c>
    </row>
    <row r="150" spans="1:57" s="191" customFormat="1" ht="13.5">
      <c r="A150" s="226"/>
      <c r="B150" s="180">
        <v>5004086291</v>
      </c>
      <c r="C150" s="183" t="str">
        <f>IFERROR(IF(VLOOKUP($B150,勘定科目!$A:$H,HLOOKUP($E$5,勘定科目!$F$1:$H$2,2,0),0)="","",VLOOKUP($B150,勘定科目!$A:$E,2,0)),"")</f>
        <v>福利厚生費（製）</v>
      </c>
      <c r="D150" s="239" t="str">
        <f>IF(C150="","",VLOOKUP($B150,勘定科目!$A:$E,4,0))</f>
        <v>福利厚生費</v>
      </c>
      <c r="E150" s="245"/>
      <c r="F150" s="194"/>
      <c r="G150" s="194"/>
      <c r="H150" s="194"/>
      <c r="I150" s="300"/>
      <c r="J150" s="300"/>
      <c r="K150" s="300"/>
      <c r="L150" s="300"/>
      <c r="M150" s="300"/>
      <c r="N150" s="300"/>
      <c r="O150" s="300"/>
      <c r="P150" s="300"/>
      <c r="Q150" s="300"/>
      <c r="R150" s="200">
        <f t="shared" si="6"/>
        <v>0</v>
      </c>
      <c r="S150" s="299" t="s">
        <v>748</v>
      </c>
      <c r="T150" s="202"/>
      <c r="U150" s="246"/>
      <c r="V150" s="246"/>
      <c r="W150" s="246"/>
      <c r="BA150"/>
      <c r="BB150"/>
      <c r="BD150" s="191" t="e">
        <v>#REF!</v>
      </c>
    </row>
    <row r="151" spans="1:57" s="191" customFormat="1" ht="13.5">
      <c r="A151" s="226"/>
      <c r="B151" s="180">
        <v>5004086291</v>
      </c>
      <c r="C151" s="183" t="str">
        <f>IFERROR(IF(VLOOKUP($B151,勘定科目!$A:$H,HLOOKUP($E$5,勘定科目!$F$1:$H$2,2,0),0)="","",VLOOKUP($B151,勘定科目!$A:$E,2,0)),"")</f>
        <v>福利厚生費（製）</v>
      </c>
      <c r="D151" s="239" t="str">
        <f>IF(C151="","",VLOOKUP($B151,勘定科目!$A:$E,4,0))</f>
        <v>福利厚生費</v>
      </c>
      <c r="E151" s="245"/>
      <c r="F151" s="194">
        <f>ROUND((16216*2),0)</f>
        <v>32432</v>
      </c>
      <c r="G151" s="194"/>
      <c r="H151" s="194"/>
      <c r="I151" s="300"/>
      <c r="J151" s="300"/>
      <c r="K151" s="300"/>
      <c r="L151" s="300"/>
      <c r="M151" s="300"/>
      <c r="N151" s="300"/>
      <c r="O151" s="300"/>
      <c r="P151" s="300"/>
      <c r="Q151" s="300"/>
      <c r="R151" s="200">
        <f t="shared" si="6"/>
        <v>32432</v>
      </c>
      <c r="S151" s="299" t="s">
        <v>749</v>
      </c>
      <c r="T151" s="202"/>
      <c r="U151" s="246"/>
      <c r="V151" s="246"/>
      <c r="W151" s="246"/>
      <c r="BA151"/>
      <c r="BB151"/>
      <c r="BD151" s="191" t="e">
        <v>#REF!</v>
      </c>
      <c r="BE151" s="191" t="s">
        <v>750</v>
      </c>
    </row>
    <row r="152" spans="1:57" s="191" customFormat="1" ht="13.5">
      <c r="A152" s="226"/>
      <c r="B152" s="180">
        <v>5004086291</v>
      </c>
      <c r="C152" s="183" t="str">
        <f>IFERROR(IF(VLOOKUP($B152,勘定科目!$A:$H,HLOOKUP($E$5,勘定科目!$F$1:$H$2,2,0),0)="","",VLOOKUP($B152,勘定科目!$A:$E,2,0)),"")</f>
        <v>福利厚生費（製）</v>
      </c>
      <c r="D152" s="239" t="str">
        <f>IF(C152="","",VLOOKUP($B152,勘定科目!$A:$E,4,0))</f>
        <v>福利厚生費</v>
      </c>
      <c r="E152" s="245"/>
      <c r="F152" s="194"/>
      <c r="G152" s="194"/>
      <c r="H152" s="194"/>
      <c r="I152" s="300"/>
      <c r="J152" s="300"/>
      <c r="K152" s="300"/>
      <c r="L152" s="300"/>
      <c r="M152" s="300"/>
      <c r="N152" s="300"/>
      <c r="O152" s="300"/>
      <c r="P152" s="300"/>
      <c r="Q152" s="300"/>
      <c r="R152" s="200">
        <f t="shared" si="6"/>
        <v>0</v>
      </c>
      <c r="S152" s="299" t="s">
        <v>751</v>
      </c>
      <c r="T152" s="202"/>
      <c r="U152" s="246"/>
      <c r="V152" s="246"/>
      <c r="W152" s="246"/>
      <c r="BA152"/>
      <c r="BB152"/>
    </row>
    <row r="153" spans="1:57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194"/>
      <c r="H153" s="194"/>
      <c r="I153" s="300"/>
      <c r="J153" s="300"/>
      <c r="K153" s="300"/>
      <c r="L153" s="300"/>
      <c r="M153" s="300"/>
      <c r="N153" s="300"/>
      <c r="O153" s="300"/>
      <c r="P153" s="300"/>
      <c r="Q153" s="300"/>
      <c r="R153" s="200">
        <f t="shared" si="6"/>
        <v>0</v>
      </c>
      <c r="S153" s="299"/>
      <c r="T153" s="202"/>
      <c r="U153" s="246"/>
      <c r="V153" s="246"/>
      <c r="W153" s="246"/>
      <c r="BA153"/>
      <c r="BB153"/>
    </row>
    <row r="154" spans="1:57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194"/>
      <c r="H154" s="194"/>
      <c r="I154" s="300"/>
      <c r="J154" s="300"/>
      <c r="K154" s="300"/>
      <c r="L154" s="300"/>
      <c r="M154" s="300"/>
      <c r="N154" s="300"/>
      <c r="O154" s="300"/>
      <c r="P154" s="300"/>
      <c r="Q154" s="300"/>
      <c r="R154" s="200">
        <f t="shared" ref="R154:R216" si="8">SUM(F154:Q154)</f>
        <v>0</v>
      </c>
      <c r="S154" s="299"/>
      <c r="T154" s="202"/>
      <c r="U154" s="246"/>
      <c r="V154" s="246"/>
      <c r="W154" s="246"/>
      <c r="BA154"/>
      <c r="BB154"/>
      <c r="BD154" s="191" t="e">
        <v>#REF!</v>
      </c>
    </row>
    <row r="155" spans="1:57" s="191" customFormat="1" ht="13.5">
      <c r="A155" s="226"/>
      <c r="B155" s="180">
        <v>5004086293</v>
      </c>
      <c r="C155" s="183" t="str">
        <f>IFERROR(IF(VLOOKUP($B155,勘定科目!$A:$H,HLOOKUP($E$5,勘定科目!$F$1:$H$2,2,0),0)="","",VLOOKUP($B155,勘定科目!$A:$E,2,0)),"")</f>
        <v>教育訓練費（製）</v>
      </c>
      <c r="D155" s="239" t="str">
        <f>IF(C155="","",VLOOKUP($B155,勘定科目!$A:$E,4,0))</f>
        <v>募集教育費</v>
      </c>
      <c r="E155" s="245"/>
      <c r="F155" s="194"/>
      <c r="G155" s="194"/>
      <c r="H155" s="194"/>
      <c r="I155" s="300"/>
      <c r="J155" s="300"/>
      <c r="K155" s="300"/>
      <c r="L155" s="300"/>
      <c r="M155" s="300"/>
      <c r="N155" s="300"/>
      <c r="O155" s="300"/>
      <c r="P155" s="300"/>
      <c r="Q155" s="300"/>
      <c r="R155" s="200">
        <f t="shared" si="8"/>
        <v>0</v>
      </c>
      <c r="S155" s="299" t="s">
        <v>752</v>
      </c>
      <c r="T155" s="202"/>
      <c r="U155" s="246"/>
      <c r="V155" s="246"/>
      <c r="W155" s="246"/>
      <c r="BA155"/>
      <c r="BB155"/>
      <c r="BD155" s="191" t="e">
        <v>#REF!</v>
      </c>
    </row>
    <row r="156" spans="1:57" s="191" customFormat="1" ht="13.5">
      <c r="A156" s="226"/>
      <c r="B156" s="180">
        <v>5004086293</v>
      </c>
      <c r="C156" s="183" t="str">
        <f>IFERROR(IF(VLOOKUP($B156,勘定科目!$A:$H,HLOOKUP($E$5,勘定科目!$F$1:$H$2,2,0),0)="","",VLOOKUP($B156,勘定科目!$A:$E,2,0)),"")</f>
        <v>教育訓練費（製）</v>
      </c>
      <c r="D156" s="239" t="str">
        <f>IF(C156="","",VLOOKUP($B156,勘定科目!$A:$E,4,0))</f>
        <v>募集教育費</v>
      </c>
      <c r="E156" s="245"/>
      <c r="F156" s="194"/>
      <c r="G156" s="194"/>
      <c r="H156" s="194"/>
      <c r="I156" s="300"/>
      <c r="J156" s="300"/>
      <c r="K156" s="300"/>
      <c r="L156" s="300"/>
      <c r="M156" s="300"/>
      <c r="N156" s="300"/>
      <c r="O156" s="300"/>
      <c r="P156" s="300"/>
      <c r="Q156" s="300"/>
      <c r="R156" s="200">
        <f t="shared" si="8"/>
        <v>0</v>
      </c>
      <c r="S156" s="299" t="s">
        <v>753</v>
      </c>
      <c r="T156" s="202"/>
      <c r="U156" s="246"/>
      <c r="V156" s="246"/>
      <c r="W156" s="246"/>
      <c r="BA156"/>
      <c r="BB156"/>
    </row>
    <row r="157" spans="1:57" s="191" customFormat="1" ht="13.5">
      <c r="A157" s="226"/>
      <c r="B157" s="180"/>
      <c r="C157" s="183"/>
      <c r="D157" s="239"/>
      <c r="E157" s="245"/>
      <c r="F157" s="194"/>
      <c r="G157" s="194"/>
      <c r="H157" s="194"/>
      <c r="I157" s="300"/>
      <c r="J157" s="300"/>
      <c r="K157" s="300"/>
      <c r="L157" s="300"/>
      <c r="M157" s="300"/>
      <c r="N157" s="300"/>
      <c r="O157" s="300"/>
      <c r="P157" s="300"/>
      <c r="Q157" s="300"/>
      <c r="R157" s="200">
        <f t="shared" si="8"/>
        <v>0</v>
      </c>
      <c r="S157" s="299"/>
      <c r="T157" s="202"/>
      <c r="U157" s="246"/>
      <c r="V157" s="246"/>
      <c r="W157" s="246"/>
      <c r="BA157"/>
      <c r="BB157"/>
    </row>
    <row r="158" spans="1:57" s="191" customFormat="1" ht="13.5">
      <c r="A158" s="226"/>
      <c r="B158" s="180">
        <v>5005116291</v>
      </c>
      <c r="C158" s="183" t="str">
        <f>IFERROR(IF(VLOOKUP($B158,勘定科目!$A:$H,HLOOKUP($E$5,勘定科目!$F$1:$H$2,2,0),0)="","",VLOOKUP($B158,勘定科目!$A:$E,2,0)),"")</f>
        <v>ベトナム国内交通費（製）</v>
      </c>
      <c r="D158" s="239" t="str">
        <f>IF(C158="","",VLOOKUP($B158,勘定科目!$A:$E,4,0))</f>
        <v>旅費交通費</v>
      </c>
      <c r="E158" s="245"/>
      <c r="F158" s="194"/>
      <c r="G158" s="194">
        <f>650000*2</f>
        <v>1300000</v>
      </c>
      <c r="H158" s="194">
        <f>650000*2</f>
        <v>1300000</v>
      </c>
      <c r="I158" s="300"/>
      <c r="J158" s="300"/>
      <c r="K158" s="300"/>
      <c r="L158" s="300"/>
      <c r="M158" s="300"/>
      <c r="N158" s="300"/>
      <c r="O158" s="300"/>
      <c r="P158" s="300"/>
      <c r="Q158" s="300"/>
      <c r="R158" s="200">
        <f t="shared" si="8"/>
        <v>2600000</v>
      </c>
      <c r="S158" s="299" t="s">
        <v>762</v>
      </c>
      <c r="T158" s="202"/>
      <c r="U158" s="246"/>
      <c r="V158" s="246"/>
      <c r="W158" s="246"/>
      <c r="BA158"/>
      <c r="BB158"/>
    </row>
    <row r="159" spans="1:57" s="191" customFormat="1" ht="13.5">
      <c r="A159" s="226"/>
      <c r="B159" s="180">
        <v>5005116291</v>
      </c>
      <c r="C159" s="183" t="str">
        <f>IFERROR(IF(VLOOKUP($B159,勘定科目!$A:$H,HLOOKUP($E$5,勘定科目!$F$1:$H$2,2,0),0)="","",VLOOKUP($B159,勘定科目!$A:$E,2,0)),"")</f>
        <v>ベトナム国内交通費（製）</v>
      </c>
      <c r="D159" s="239" t="str">
        <f>IF(C159="","",VLOOKUP($B159,勘定科目!$A:$E,4,0))</f>
        <v>旅費交通費</v>
      </c>
      <c r="E159" s="245"/>
      <c r="F159" s="194"/>
      <c r="G159" s="194"/>
      <c r="H159" s="194"/>
      <c r="I159" s="300"/>
      <c r="J159" s="300"/>
      <c r="K159" s="300"/>
      <c r="L159" s="300"/>
      <c r="M159" s="300"/>
      <c r="N159" s="300"/>
      <c r="O159" s="300"/>
      <c r="P159" s="300"/>
      <c r="Q159" s="300"/>
      <c r="R159" s="200">
        <f t="shared" si="8"/>
        <v>0</v>
      </c>
      <c r="S159" s="299" t="s">
        <v>754</v>
      </c>
      <c r="T159" s="202"/>
      <c r="U159" s="246"/>
      <c r="V159" s="246"/>
      <c r="W159" s="246"/>
      <c r="BA159"/>
      <c r="BB159"/>
      <c r="BD159" s="191" t="e">
        <v>#REF!</v>
      </c>
    </row>
    <row r="160" spans="1:57" s="191" customFormat="1" ht="13.5">
      <c r="A160" s="226"/>
      <c r="B160" s="180">
        <v>5005116291</v>
      </c>
      <c r="C160" s="183" t="str">
        <f>IFERROR(IF(VLOOKUP($B160,勘定科目!$A:$H,HLOOKUP($E$5,勘定科目!$F$1:$H$2,2,0),0)="","",VLOOKUP($B160,勘定科目!$A:$E,2,0)),"")</f>
        <v>ベトナム国内交通費（製）</v>
      </c>
      <c r="D160" s="239" t="str">
        <f>IF(C160="","",VLOOKUP($B160,勘定科目!$A:$E,4,0))</f>
        <v>旅費交通費</v>
      </c>
      <c r="E160" s="245"/>
      <c r="F160" s="194"/>
      <c r="G160" s="194"/>
      <c r="H160" s="194"/>
      <c r="I160" s="300"/>
      <c r="J160" s="300"/>
      <c r="K160" s="300"/>
      <c r="L160" s="300"/>
      <c r="M160" s="300"/>
      <c r="N160" s="300"/>
      <c r="O160" s="300"/>
      <c r="P160" s="300"/>
      <c r="Q160" s="300"/>
      <c r="R160" s="200">
        <f t="shared" si="8"/>
        <v>0</v>
      </c>
      <c r="S160" s="299" t="s">
        <v>755</v>
      </c>
      <c r="T160" s="202"/>
      <c r="U160" s="246"/>
      <c r="V160" s="246"/>
      <c r="W160" s="246"/>
      <c r="BA160"/>
      <c r="BB160"/>
      <c r="BD160" s="191" t="e">
        <v>#REF!</v>
      </c>
    </row>
    <row r="161" spans="1:56" s="191" customFormat="1" ht="13.5">
      <c r="A161" s="226"/>
      <c r="B161" s="180">
        <v>5005116291</v>
      </c>
      <c r="C161" s="183" t="str">
        <f>IFERROR(IF(VLOOKUP($B161,勘定科目!$A:$H,HLOOKUP($E$5,勘定科目!$F$1:$H$2,2,0),0)="","",VLOOKUP($B161,勘定科目!$A:$E,2,0)),"")</f>
        <v>ベトナム国内交通費（製）</v>
      </c>
      <c r="D161" s="239" t="str">
        <f>IF(C161="","",VLOOKUP($B161,勘定科目!$A:$E,4,0))</f>
        <v>旅費交通費</v>
      </c>
      <c r="E161" s="245"/>
      <c r="F161" s="194"/>
      <c r="G161" s="194"/>
      <c r="H161" s="194"/>
      <c r="I161" s="300"/>
      <c r="J161" s="300"/>
      <c r="K161" s="300"/>
      <c r="L161" s="300"/>
      <c r="M161" s="300"/>
      <c r="N161" s="300"/>
      <c r="O161" s="300"/>
      <c r="P161" s="300"/>
      <c r="Q161" s="300"/>
      <c r="R161" s="200">
        <f t="shared" si="8"/>
        <v>0</v>
      </c>
      <c r="S161" s="299" t="s">
        <v>756</v>
      </c>
      <c r="T161" s="202"/>
      <c r="U161" s="246"/>
      <c r="V161" s="246"/>
      <c r="W161" s="246"/>
      <c r="BA161"/>
      <c r="BB161"/>
    </row>
    <row r="162" spans="1:56" s="191" customFormat="1" ht="13.5">
      <c r="A162" s="226"/>
      <c r="B162" s="180">
        <v>5005116291</v>
      </c>
      <c r="C162" s="183" t="str">
        <f>IFERROR(IF(VLOOKUP($B162,勘定科目!$A:$H,HLOOKUP($E$5,勘定科目!$F$1:$H$2,2,0),0)="","",VLOOKUP($B162,勘定科目!$A:$E,2,0)),"")</f>
        <v>ベトナム国内交通費（製）</v>
      </c>
      <c r="D162" s="239" t="str">
        <f>IF(C162="","",VLOOKUP($B162,勘定科目!$A:$E,4,0))</f>
        <v>旅費交通費</v>
      </c>
      <c r="E162" s="245"/>
      <c r="F162" s="194"/>
      <c r="G162" s="194"/>
      <c r="H162" s="194"/>
      <c r="I162" s="300"/>
      <c r="J162" s="300"/>
      <c r="K162" s="300"/>
      <c r="L162" s="300"/>
      <c r="M162" s="300"/>
      <c r="N162" s="300"/>
      <c r="O162" s="300"/>
      <c r="P162" s="300"/>
      <c r="Q162" s="300"/>
      <c r="R162" s="200">
        <f t="shared" si="8"/>
        <v>0</v>
      </c>
      <c r="S162" s="299" t="s">
        <v>757</v>
      </c>
      <c r="T162" s="202"/>
      <c r="U162" s="246"/>
      <c r="V162" s="246"/>
      <c r="W162" s="246"/>
      <c r="BA162"/>
      <c r="BB162"/>
    </row>
    <row r="163" spans="1:56" s="191" customFormat="1" ht="13.5">
      <c r="A163" s="226"/>
      <c r="B163" s="180"/>
      <c r="C163" s="183"/>
      <c r="D163" s="239"/>
      <c r="E163" s="245"/>
      <c r="F163" s="194"/>
      <c r="G163" s="194"/>
      <c r="H163" s="194"/>
      <c r="I163" s="300"/>
      <c r="J163" s="300"/>
      <c r="K163" s="300"/>
      <c r="L163" s="300"/>
      <c r="M163" s="300"/>
      <c r="N163" s="300"/>
      <c r="O163" s="300"/>
      <c r="P163" s="300"/>
      <c r="Q163" s="300"/>
      <c r="R163" s="200">
        <f t="shared" si="8"/>
        <v>0</v>
      </c>
      <c r="S163" s="299"/>
      <c r="T163" s="202"/>
      <c r="U163" s="246"/>
      <c r="V163" s="246"/>
      <c r="W163" s="246"/>
      <c r="BA163"/>
      <c r="BB163"/>
    </row>
    <row r="164" spans="1:56" s="191" customFormat="1" ht="13.5">
      <c r="A164" s="226"/>
      <c r="B164" s="180"/>
      <c r="C164" s="183"/>
      <c r="D164" s="239"/>
      <c r="E164" s="245"/>
      <c r="F164" s="194"/>
      <c r="G164" s="194"/>
      <c r="H164" s="194"/>
      <c r="I164" s="300"/>
      <c r="J164" s="300"/>
      <c r="K164" s="300"/>
      <c r="L164" s="300"/>
      <c r="M164" s="300"/>
      <c r="N164" s="300"/>
      <c r="O164" s="300"/>
      <c r="P164" s="300"/>
      <c r="Q164" s="300"/>
      <c r="R164" s="200">
        <f t="shared" si="8"/>
        <v>0</v>
      </c>
      <c r="S164" s="299"/>
      <c r="T164" s="202"/>
      <c r="U164" s="246"/>
      <c r="V164" s="246"/>
      <c r="W164" s="246"/>
      <c r="BA164"/>
      <c r="BB164"/>
    </row>
    <row r="165" spans="1:56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194"/>
      <c r="H165" s="194"/>
      <c r="I165" s="300"/>
      <c r="J165" s="300"/>
      <c r="K165" s="300"/>
      <c r="L165" s="300"/>
      <c r="M165" s="300"/>
      <c r="N165" s="300"/>
      <c r="O165" s="300"/>
      <c r="P165" s="300"/>
      <c r="Q165" s="300"/>
      <c r="R165" s="200">
        <f t="shared" si="8"/>
        <v>0</v>
      </c>
      <c r="S165" s="299"/>
      <c r="T165" s="202"/>
      <c r="U165" s="246"/>
      <c r="V165" s="246"/>
      <c r="W165" s="246"/>
      <c r="BA165"/>
      <c r="BB165"/>
      <c r="BD165" s="191" t="e">
        <v>#REF!</v>
      </c>
    </row>
    <row r="166" spans="1:56" s="191" customFormat="1" ht="13.5">
      <c r="A166" s="226"/>
      <c r="B166" s="180">
        <v>5005186292</v>
      </c>
      <c r="C166" s="183" t="str">
        <f>IFERROR(IF(VLOOKUP($B166,勘定科目!$A:$H,HLOOKUP($E$5,勘定科目!$F$1:$H$2,2,0),0)="","",VLOOKUP($B166,勘定科目!$A:$E,2,0)),"")</f>
        <v>その他税金（製）</v>
      </c>
      <c r="D166" s="239" t="str">
        <f>IF(C166="","",VLOOKUP($B166,勘定科目!$A:$E,4,0))</f>
        <v>公租公課</v>
      </c>
      <c r="E166" s="245"/>
      <c r="F166" s="194"/>
      <c r="G166" s="194"/>
      <c r="H166" s="194"/>
      <c r="I166" s="300"/>
      <c r="J166" s="300"/>
      <c r="K166" s="300"/>
      <c r="L166" s="300"/>
      <c r="M166" s="300"/>
      <c r="N166" s="300"/>
      <c r="O166" s="300"/>
      <c r="P166" s="300"/>
      <c r="Q166" s="300"/>
      <c r="R166" s="200">
        <f t="shared" si="8"/>
        <v>0</v>
      </c>
      <c r="S166" s="299" t="s">
        <v>758</v>
      </c>
      <c r="T166" s="202"/>
      <c r="U166" s="246"/>
      <c r="V166" s="246"/>
      <c r="W166" s="246"/>
      <c r="BA166"/>
      <c r="BB166"/>
      <c r="BD166" s="191" t="e">
        <v>#REF!</v>
      </c>
    </row>
    <row r="167" spans="1:56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194"/>
      <c r="H167" s="194"/>
      <c r="I167" s="300"/>
      <c r="J167" s="300"/>
      <c r="K167" s="300"/>
      <c r="L167" s="300"/>
      <c r="M167" s="300"/>
      <c r="N167" s="300"/>
      <c r="O167" s="300"/>
      <c r="P167" s="300"/>
      <c r="Q167" s="300"/>
      <c r="R167" s="200">
        <f t="shared" si="8"/>
        <v>0</v>
      </c>
      <c r="S167" s="299"/>
      <c r="T167" s="202"/>
      <c r="U167" s="246"/>
      <c r="V167" s="246"/>
      <c r="W167" s="246"/>
      <c r="BA167"/>
      <c r="BB167"/>
      <c r="BD167" s="191" t="e">
        <v>#REF!</v>
      </c>
    </row>
    <row r="168" spans="1:56" s="191" customFormat="1" ht="13.5">
      <c r="A168" s="226"/>
      <c r="B168" s="180">
        <v>5005246287</v>
      </c>
      <c r="C168" s="183" t="str">
        <f>IFERROR(IF(VLOOKUP($B168,勘定科目!$A:$H,HLOOKUP($E$5,勘定科目!$F$1:$H$2,2,0),0)="","",VLOOKUP($B168,勘定科目!$A:$E,2,0)),"")</f>
        <v>ＫＤＣ手数料（製）</v>
      </c>
      <c r="D168" s="239" t="str">
        <f>IF(C168="","",VLOOKUP($B168,勘定科目!$A:$E,4,0))</f>
        <v>手数料</v>
      </c>
      <c r="E168" s="245"/>
      <c r="F168" s="194"/>
      <c r="G168" s="194"/>
      <c r="H168" s="194"/>
      <c r="I168" s="300"/>
      <c r="J168" s="300"/>
      <c r="K168" s="300"/>
      <c r="L168" s="300"/>
      <c r="M168" s="300"/>
      <c r="N168" s="300"/>
      <c r="O168" s="300"/>
      <c r="P168" s="300"/>
      <c r="Q168" s="300"/>
      <c r="R168" s="200">
        <f t="shared" si="8"/>
        <v>0</v>
      </c>
      <c r="S168" s="299" t="s">
        <v>759</v>
      </c>
      <c r="T168" s="202"/>
      <c r="U168" s="246"/>
      <c r="V168" s="246"/>
      <c r="W168" s="246"/>
      <c r="BA168"/>
      <c r="BB168"/>
      <c r="BD168" s="191" t="e">
        <v>#REF!</v>
      </c>
    </row>
    <row r="169" spans="1:56" s="191" customFormat="1" ht="13.5">
      <c r="A169" s="226"/>
      <c r="B169" s="180">
        <v>5005246287</v>
      </c>
      <c r="C169" s="183" t="str">
        <f>IFERROR(IF(VLOOKUP($B169,勘定科目!$A:$H,HLOOKUP($E$5,勘定科目!$F$1:$H$2,2,0),0)="","",VLOOKUP($B169,勘定科目!$A:$E,2,0)),"")</f>
        <v>ＫＤＣ手数料（製）</v>
      </c>
      <c r="D169" s="239" t="str">
        <f>IF(C169="","",VLOOKUP($B169,勘定科目!$A:$E,4,0))</f>
        <v>手数料</v>
      </c>
      <c r="E169" s="245"/>
      <c r="F169" s="194"/>
      <c r="G169" s="194"/>
      <c r="H169" s="194"/>
      <c r="I169" s="300"/>
      <c r="J169" s="300"/>
      <c r="K169" s="300"/>
      <c r="L169" s="300"/>
      <c r="M169" s="300"/>
      <c r="N169" s="300"/>
      <c r="O169" s="300"/>
      <c r="P169" s="300"/>
      <c r="Q169" s="300"/>
      <c r="R169" s="200">
        <f t="shared" si="8"/>
        <v>0</v>
      </c>
      <c r="S169" s="299" t="s">
        <v>759</v>
      </c>
      <c r="T169" s="202"/>
      <c r="U169" s="246"/>
      <c r="V169" s="246"/>
      <c r="W169" s="246"/>
      <c r="BA169"/>
      <c r="BB169"/>
      <c r="BD169" s="191" t="e">
        <v>#REF!</v>
      </c>
    </row>
    <row r="170" spans="1:56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194"/>
      <c r="H170" s="194"/>
      <c r="I170" s="300"/>
      <c r="J170" s="300"/>
      <c r="K170" s="300"/>
      <c r="L170" s="300"/>
      <c r="M170" s="300"/>
      <c r="N170" s="300"/>
      <c r="O170" s="300"/>
      <c r="P170" s="300"/>
      <c r="Q170" s="300"/>
      <c r="R170" s="200">
        <f t="shared" si="8"/>
        <v>0</v>
      </c>
      <c r="S170" s="299"/>
      <c r="T170" s="202"/>
      <c r="U170" s="246"/>
      <c r="V170" s="246"/>
      <c r="W170" s="246"/>
      <c r="BA170"/>
      <c r="BB170"/>
      <c r="BD170" s="191" t="e">
        <v>#REF!</v>
      </c>
    </row>
    <row r="171" spans="1:56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194"/>
      <c r="H171" s="194"/>
      <c r="I171" s="300"/>
      <c r="J171" s="300"/>
      <c r="K171" s="300"/>
      <c r="L171" s="300"/>
      <c r="M171" s="300"/>
      <c r="N171" s="300"/>
      <c r="O171" s="300"/>
      <c r="P171" s="300"/>
      <c r="Q171" s="300"/>
      <c r="R171" s="200">
        <f t="shared" si="8"/>
        <v>0</v>
      </c>
      <c r="S171" s="299"/>
      <c r="T171" s="202"/>
      <c r="U171" s="246"/>
      <c r="V171" s="246"/>
      <c r="W171" s="246"/>
      <c r="BA171"/>
      <c r="BB171"/>
      <c r="BD171" s="191" t="e">
        <v>#REF!</v>
      </c>
    </row>
    <row r="172" spans="1:56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194"/>
      <c r="H172" s="194"/>
      <c r="I172" s="300"/>
      <c r="J172" s="300"/>
      <c r="K172" s="300"/>
      <c r="L172" s="300"/>
      <c r="M172" s="300"/>
      <c r="N172" s="300"/>
      <c r="O172" s="300"/>
      <c r="P172" s="300"/>
      <c r="Q172" s="300"/>
      <c r="R172" s="200">
        <f t="shared" si="8"/>
        <v>0</v>
      </c>
      <c r="S172" s="299"/>
      <c r="T172" s="202"/>
      <c r="U172" s="246"/>
      <c r="V172" s="246"/>
      <c r="W172" s="246"/>
      <c r="BA172"/>
      <c r="BB172"/>
      <c r="BD172" s="191" t="e">
        <v>#REF!</v>
      </c>
    </row>
    <row r="173" spans="1:56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194"/>
      <c r="H173" s="194"/>
      <c r="I173" s="300"/>
      <c r="J173" s="300"/>
      <c r="K173" s="300"/>
      <c r="L173" s="300"/>
      <c r="M173" s="300"/>
      <c r="N173" s="300"/>
      <c r="O173" s="300"/>
      <c r="P173" s="300"/>
      <c r="Q173" s="300"/>
      <c r="R173" s="200">
        <f t="shared" si="8"/>
        <v>0</v>
      </c>
      <c r="S173" s="299"/>
      <c r="T173" s="202"/>
      <c r="U173" s="246"/>
      <c r="V173" s="246"/>
      <c r="W173" s="246"/>
      <c r="BA173"/>
      <c r="BB173"/>
      <c r="BD173" s="191" t="e">
        <v>#REF!</v>
      </c>
    </row>
    <row r="174" spans="1:56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194"/>
      <c r="H174" s="194"/>
      <c r="I174" s="300"/>
      <c r="J174" s="300"/>
      <c r="K174" s="300"/>
      <c r="L174" s="300"/>
      <c r="M174" s="300"/>
      <c r="N174" s="300"/>
      <c r="O174" s="300"/>
      <c r="P174" s="300"/>
      <c r="Q174" s="300"/>
      <c r="R174" s="200">
        <f t="shared" si="8"/>
        <v>0</v>
      </c>
      <c r="S174" s="299"/>
      <c r="T174" s="202"/>
      <c r="U174" s="246"/>
      <c r="V174" s="246"/>
      <c r="W174" s="246"/>
      <c r="BA174"/>
      <c r="BB174"/>
      <c r="BD174" s="191" t="e">
        <v>#REF!</v>
      </c>
    </row>
    <row r="175" spans="1:56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194"/>
      <c r="H175" s="194"/>
      <c r="I175" s="300"/>
      <c r="J175" s="300"/>
      <c r="K175" s="300"/>
      <c r="L175" s="300"/>
      <c r="M175" s="300"/>
      <c r="N175" s="300"/>
      <c r="O175" s="300"/>
      <c r="P175" s="300"/>
      <c r="Q175" s="300"/>
      <c r="R175" s="200">
        <f t="shared" si="8"/>
        <v>0</v>
      </c>
      <c r="S175" s="299"/>
      <c r="T175" s="202"/>
      <c r="U175" s="246"/>
      <c r="V175" s="246"/>
      <c r="W175" s="246"/>
      <c r="BA175"/>
      <c r="BB175"/>
      <c r="BD175" s="191" t="e">
        <v>#REF!</v>
      </c>
    </row>
    <row r="176" spans="1:56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194"/>
      <c r="H176" s="194"/>
      <c r="I176" s="300"/>
      <c r="J176" s="300"/>
      <c r="K176" s="300"/>
      <c r="L176" s="300"/>
      <c r="M176" s="300"/>
      <c r="N176" s="300"/>
      <c r="O176" s="300"/>
      <c r="P176" s="300"/>
      <c r="Q176" s="300"/>
      <c r="R176" s="200">
        <f t="shared" si="8"/>
        <v>0</v>
      </c>
      <c r="S176" s="299"/>
      <c r="T176" s="202"/>
      <c r="U176" s="246"/>
      <c r="V176" s="246"/>
      <c r="W176" s="246"/>
      <c r="BA176"/>
      <c r="BB176"/>
      <c r="BD176" s="191" t="e">
        <v>#REF!</v>
      </c>
    </row>
    <row r="177" spans="1:56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194"/>
      <c r="H177" s="194"/>
      <c r="I177" s="300"/>
      <c r="J177" s="300"/>
      <c r="K177" s="300"/>
      <c r="L177" s="300"/>
      <c r="M177" s="300"/>
      <c r="N177" s="300"/>
      <c r="O177" s="300"/>
      <c r="P177" s="300"/>
      <c r="Q177" s="300"/>
      <c r="R177" s="200">
        <f t="shared" si="8"/>
        <v>0</v>
      </c>
      <c r="S177" s="299"/>
      <c r="T177" s="202"/>
      <c r="U177" s="246"/>
      <c r="V177" s="246"/>
      <c r="W177" s="246"/>
      <c r="BA177"/>
      <c r="BB177"/>
      <c r="BD177" s="191" t="e">
        <v>#REF!</v>
      </c>
    </row>
    <row r="178" spans="1:56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194"/>
      <c r="H178" s="194"/>
      <c r="I178" s="300"/>
      <c r="J178" s="300"/>
      <c r="K178" s="300"/>
      <c r="L178" s="300"/>
      <c r="M178" s="300"/>
      <c r="N178" s="300"/>
      <c r="O178" s="300"/>
      <c r="P178" s="300"/>
      <c r="Q178" s="300"/>
      <c r="R178" s="200">
        <f t="shared" si="8"/>
        <v>0</v>
      </c>
      <c r="S178" s="299"/>
      <c r="T178" s="202"/>
      <c r="U178" s="246"/>
      <c r="V178" s="246"/>
      <c r="W178" s="246"/>
      <c r="BA178"/>
      <c r="BB178"/>
      <c r="BD178" s="191" t="e">
        <v>#REF!</v>
      </c>
    </row>
    <row r="179" spans="1:56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194"/>
      <c r="H179" s="194"/>
      <c r="I179" s="300"/>
      <c r="J179" s="300"/>
      <c r="K179" s="300"/>
      <c r="L179" s="300"/>
      <c r="M179" s="300"/>
      <c r="N179" s="300"/>
      <c r="O179" s="300"/>
      <c r="P179" s="300"/>
      <c r="Q179" s="300"/>
      <c r="R179" s="200">
        <f t="shared" si="8"/>
        <v>0</v>
      </c>
      <c r="S179" s="299"/>
      <c r="T179" s="202"/>
      <c r="U179" s="246"/>
      <c r="V179" s="246"/>
      <c r="W179" s="246"/>
      <c r="BA179"/>
      <c r="BB179"/>
      <c r="BD179" s="191" t="e">
        <v>#REF!</v>
      </c>
    </row>
    <row r="180" spans="1:56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194"/>
      <c r="H180" s="194"/>
      <c r="I180" s="300"/>
      <c r="J180" s="300"/>
      <c r="K180" s="300"/>
      <c r="L180" s="300"/>
      <c r="M180" s="300"/>
      <c r="N180" s="300"/>
      <c r="O180" s="300"/>
      <c r="P180" s="300"/>
      <c r="Q180" s="300"/>
      <c r="R180" s="200">
        <f t="shared" si="8"/>
        <v>0</v>
      </c>
      <c r="S180" s="299"/>
      <c r="T180" s="202"/>
      <c r="U180" s="246"/>
      <c r="V180" s="246"/>
      <c r="W180" s="246"/>
      <c r="BA180"/>
      <c r="BB180"/>
      <c r="BD180" s="191" t="e">
        <v>#REF!</v>
      </c>
    </row>
    <row r="181" spans="1:56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194"/>
      <c r="H181" s="194"/>
      <c r="I181" s="300"/>
      <c r="J181" s="300"/>
      <c r="K181" s="300"/>
      <c r="L181" s="300"/>
      <c r="M181" s="300"/>
      <c r="N181" s="300"/>
      <c r="O181" s="300"/>
      <c r="P181" s="300"/>
      <c r="Q181" s="300"/>
      <c r="R181" s="200">
        <f t="shared" si="8"/>
        <v>0</v>
      </c>
      <c r="S181" s="299"/>
      <c r="T181" s="202"/>
      <c r="U181" s="246"/>
      <c r="V181" s="246"/>
      <c r="W181" s="246"/>
      <c r="BA181"/>
      <c r="BB181"/>
      <c r="BD181" s="191" t="e">
        <v>#REF!</v>
      </c>
    </row>
    <row r="182" spans="1:56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194"/>
      <c r="H182" s="194"/>
      <c r="I182" s="300"/>
      <c r="J182" s="300"/>
      <c r="K182" s="300"/>
      <c r="L182" s="300"/>
      <c r="M182" s="300"/>
      <c r="N182" s="300"/>
      <c r="O182" s="300"/>
      <c r="P182" s="300"/>
      <c r="Q182" s="300"/>
      <c r="R182" s="200">
        <f t="shared" si="8"/>
        <v>0</v>
      </c>
      <c r="S182" s="299"/>
      <c r="T182" s="202"/>
      <c r="U182" s="246"/>
      <c r="V182" s="246"/>
      <c r="W182" s="246"/>
      <c r="BA182"/>
      <c r="BB182"/>
      <c r="BD182" s="191" t="e">
        <v>#REF!</v>
      </c>
    </row>
    <row r="183" spans="1:56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194"/>
      <c r="H183" s="194"/>
      <c r="I183" s="300"/>
      <c r="J183" s="300"/>
      <c r="K183" s="300"/>
      <c r="L183" s="300"/>
      <c r="M183" s="300"/>
      <c r="N183" s="300"/>
      <c r="O183" s="300"/>
      <c r="P183" s="300"/>
      <c r="Q183" s="300"/>
      <c r="R183" s="200">
        <f t="shared" si="8"/>
        <v>0</v>
      </c>
      <c r="S183" s="299"/>
      <c r="T183" s="202"/>
      <c r="U183" s="246"/>
      <c r="V183" s="246"/>
      <c r="W183" s="246"/>
      <c r="BA183"/>
      <c r="BB183"/>
      <c r="BD183" s="191" t="e">
        <v>#REF!</v>
      </c>
    </row>
    <row r="184" spans="1:56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194"/>
      <c r="H184" s="194"/>
      <c r="I184" s="300"/>
      <c r="J184" s="300"/>
      <c r="K184" s="300"/>
      <c r="L184" s="300"/>
      <c r="M184" s="300"/>
      <c r="N184" s="300"/>
      <c r="O184" s="300"/>
      <c r="P184" s="300"/>
      <c r="Q184" s="300"/>
      <c r="R184" s="200">
        <f t="shared" si="8"/>
        <v>0</v>
      </c>
      <c r="S184" s="201"/>
      <c r="T184" s="202"/>
      <c r="U184" s="246"/>
      <c r="V184" s="246"/>
      <c r="W184" s="246"/>
      <c r="BA184"/>
      <c r="BB184"/>
      <c r="BD184" s="191" t="e">
        <v>#REF!</v>
      </c>
    </row>
    <row r="185" spans="1:56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194"/>
      <c r="H185" s="194"/>
      <c r="I185" s="300"/>
      <c r="J185" s="300"/>
      <c r="K185" s="300"/>
      <c r="L185" s="300"/>
      <c r="M185" s="300"/>
      <c r="N185" s="300"/>
      <c r="O185" s="300"/>
      <c r="P185" s="300"/>
      <c r="Q185" s="300"/>
      <c r="R185" s="200">
        <f t="shared" si="8"/>
        <v>0</v>
      </c>
      <c r="S185" s="201"/>
      <c r="T185" s="202"/>
      <c r="U185" s="246"/>
      <c r="V185" s="246"/>
      <c r="W185" s="246"/>
      <c r="BA185"/>
      <c r="BB185"/>
      <c r="BD185" s="191" t="e">
        <v>#REF!</v>
      </c>
    </row>
    <row r="186" spans="1:56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200">
        <f t="shared" si="8"/>
        <v>0</v>
      </c>
      <c r="S186" s="201"/>
      <c r="T186" s="202"/>
      <c r="U186" s="246"/>
      <c r="V186" s="246"/>
      <c r="W186" s="246"/>
      <c r="BA186"/>
      <c r="BB186"/>
      <c r="BD186" s="191" t="e">
        <v>#REF!</v>
      </c>
    </row>
    <row r="187" spans="1:56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200">
        <f t="shared" si="8"/>
        <v>0</v>
      </c>
      <c r="S187" s="201"/>
      <c r="T187" s="202"/>
      <c r="U187" s="246"/>
      <c r="V187" s="246"/>
      <c r="W187" s="246"/>
      <c r="BA187"/>
      <c r="BB187"/>
      <c r="BD187" s="191" t="e">
        <v>#REF!</v>
      </c>
    </row>
    <row r="188" spans="1:56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200">
        <f t="shared" si="8"/>
        <v>0</v>
      </c>
      <c r="S188" s="201"/>
      <c r="T188" s="202"/>
      <c r="U188" s="246"/>
      <c r="V188" s="246"/>
      <c r="W188" s="246"/>
      <c r="BA188"/>
      <c r="BB188"/>
      <c r="BD188" s="191" t="e">
        <v>#REF!</v>
      </c>
    </row>
    <row r="189" spans="1:56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200">
        <f t="shared" si="8"/>
        <v>0</v>
      </c>
      <c r="S189" s="201"/>
      <c r="T189" s="202"/>
      <c r="U189" s="246"/>
      <c r="V189" s="246"/>
      <c r="W189" s="246"/>
      <c r="BA189"/>
      <c r="BB189"/>
      <c r="BD189" s="191" t="e">
        <v>#REF!</v>
      </c>
    </row>
    <row r="190" spans="1:56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200">
        <f t="shared" si="8"/>
        <v>0</v>
      </c>
      <c r="S190" s="201"/>
      <c r="T190" s="202"/>
      <c r="U190" s="246"/>
      <c r="V190" s="246"/>
      <c r="W190" s="246"/>
      <c r="BA190"/>
      <c r="BB190"/>
      <c r="BD190" s="191" t="e">
        <v>#REF!</v>
      </c>
    </row>
    <row r="191" spans="1:56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200">
        <f t="shared" si="8"/>
        <v>0</v>
      </c>
      <c r="S191" s="201"/>
      <c r="T191" s="202"/>
      <c r="U191" s="246"/>
      <c r="V191" s="246"/>
      <c r="W191" s="246"/>
      <c r="BA191"/>
      <c r="BB191"/>
      <c r="BD191" s="191" t="e">
        <v>#REF!</v>
      </c>
    </row>
    <row r="192" spans="1:56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200">
        <f t="shared" si="8"/>
        <v>0</v>
      </c>
      <c r="S192" s="201"/>
      <c r="T192" s="202"/>
      <c r="U192" s="246"/>
      <c r="V192" s="246"/>
      <c r="W192" s="246"/>
      <c r="BA192"/>
      <c r="BB192"/>
      <c r="BD192" s="191" t="e">
        <v>#REF!</v>
      </c>
    </row>
    <row r="193" spans="1:56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200">
        <f t="shared" si="8"/>
        <v>0</v>
      </c>
      <c r="S193" s="201"/>
      <c r="T193" s="202"/>
      <c r="U193" s="246"/>
      <c r="V193" s="246"/>
      <c r="W193" s="246"/>
      <c r="BA193"/>
      <c r="BB193"/>
      <c r="BD193" s="191" t="e">
        <v>#REF!</v>
      </c>
    </row>
    <row r="194" spans="1:56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200">
        <f t="shared" si="8"/>
        <v>0</v>
      </c>
      <c r="S194" s="201"/>
      <c r="T194" s="202"/>
      <c r="U194" s="246"/>
      <c r="V194" s="246"/>
      <c r="W194" s="246"/>
      <c r="BA194"/>
      <c r="BB194"/>
      <c r="BD194" s="191" t="e">
        <v>#REF!</v>
      </c>
    </row>
    <row r="195" spans="1:56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8"/>
        <v>0</v>
      </c>
      <c r="S195" s="201"/>
      <c r="T195" s="202"/>
      <c r="U195" s="246"/>
      <c r="V195" s="246"/>
      <c r="W195" s="246"/>
      <c r="BA195"/>
      <c r="BB195"/>
      <c r="BD195" s="191" t="e">
        <v>#REF!</v>
      </c>
    </row>
    <row r="196" spans="1:56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8"/>
        <v>0</v>
      </c>
      <c r="S196" s="201"/>
      <c r="T196" s="202"/>
      <c r="U196" s="246"/>
      <c r="V196" s="246"/>
      <c r="W196" s="246"/>
      <c r="BA196"/>
      <c r="BB196"/>
      <c r="BD196" s="191" t="e">
        <v>#REF!</v>
      </c>
    </row>
    <row r="197" spans="1:56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8"/>
        <v>0</v>
      </c>
      <c r="S197" s="201"/>
      <c r="T197" s="202"/>
      <c r="U197" s="246"/>
      <c r="V197" s="246"/>
      <c r="W197" s="246"/>
      <c r="BA197"/>
      <c r="BB197"/>
      <c r="BD197" s="191" t="e">
        <v>#REF!</v>
      </c>
    </row>
    <row r="198" spans="1:56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8"/>
        <v>0</v>
      </c>
      <c r="S198" s="201"/>
      <c r="T198" s="202"/>
      <c r="U198" s="246"/>
      <c r="V198" s="246"/>
      <c r="W198" s="246"/>
      <c r="BA198"/>
      <c r="BB198"/>
      <c r="BD198" s="191" t="e">
        <v>#REF!</v>
      </c>
    </row>
    <row r="199" spans="1:56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8"/>
        <v>0</v>
      </c>
      <c r="S199" s="201"/>
      <c r="T199" s="202"/>
      <c r="U199" s="246"/>
      <c r="V199" s="246"/>
      <c r="W199" s="246"/>
      <c r="BA199"/>
      <c r="BB199"/>
      <c r="BD199" s="191" t="e">
        <v>#REF!</v>
      </c>
    </row>
    <row r="200" spans="1:56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8"/>
        <v>0</v>
      </c>
      <c r="S200" s="201"/>
      <c r="T200" s="202"/>
      <c r="U200" s="246"/>
      <c r="V200" s="246"/>
      <c r="W200" s="246"/>
      <c r="BA200"/>
      <c r="BB200"/>
      <c r="BD200" s="191" t="e">
        <v>#REF!</v>
      </c>
    </row>
    <row r="201" spans="1:56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8"/>
        <v>0</v>
      </c>
      <c r="S201" s="201"/>
      <c r="T201" s="202"/>
      <c r="U201" s="246"/>
      <c r="V201" s="246"/>
      <c r="W201" s="246"/>
      <c r="BA201"/>
      <c r="BB201"/>
      <c r="BD201" s="191" t="e">
        <v>#REF!</v>
      </c>
    </row>
    <row r="202" spans="1:56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8"/>
        <v>0</v>
      </c>
      <c r="S202" s="201"/>
      <c r="T202" s="202"/>
      <c r="U202" s="246"/>
      <c r="V202" s="246"/>
      <c r="W202" s="246"/>
      <c r="BA202"/>
      <c r="BB202"/>
      <c r="BD202" s="191" t="e">
        <v>#REF!</v>
      </c>
    </row>
    <row r="203" spans="1:56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8"/>
        <v>0</v>
      </c>
      <c r="S203" s="201"/>
      <c r="T203" s="202"/>
      <c r="U203" s="246"/>
      <c r="V203" s="246"/>
      <c r="W203" s="246"/>
      <c r="BA203"/>
      <c r="BB203"/>
      <c r="BD203" s="191" t="e">
        <v>#REF!</v>
      </c>
    </row>
    <row r="204" spans="1:56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8"/>
        <v>0</v>
      </c>
      <c r="S204" s="201"/>
      <c r="T204" s="202"/>
      <c r="U204" s="246"/>
      <c r="V204" s="246"/>
      <c r="W204" s="246"/>
      <c r="BA204"/>
      <c r="BB204"/>
      <c r="BD204" s="191" t="e">
        <v>#REF!</v>
      </c>
    </row>
    <row r="205" spans="1:56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8"/>
        <v>0</v>
      </c>
      <c r="S205" s="201"/>
      <c r="T205" s="202"/>
      <c r="U205" s="246"/>
      <c r="V205" s="246"/>
      <c r="W205" s="246"/>
      <c r="BA205"/>
      <c r="BB205"/>
      <c r="BD205" s="191" t="e">
        <v>#REF!</v>
      </c>
    </row>
    <row r="206" spans="1:56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8"/>
        <v>0</v>
      </c>
      <c r="S206" s="201"/>
      <c r="T206" s="202"/>
      <c r="U206" s="246"/>
      <c r="V206" s="246"/>
      <c r="W206" s="246"/>
      <c r="BA206"/>
      <c r="BB206"/>
      <c r="BD206" s="191" t="e">
        <v>#REF!</v>
      </c>
    </row>
    <row r="207" spans="1:56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8"/>
        <v>0</v>
      </c>
      <c r="S207" s="201"/>
      <c r="T207" s="202"/>
      <c r="U207" s="246"/>
      <c r="V207" s="246"/>
      <c r="W207" s="246"/>
      <c r="BA207"/>
      <c r="BB207"/>
      <c r="BD207" s="191" t="e">
        <v>#REF!</v>
      </c>
    </row>
    <row r="208" spans="1:56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8"/>
        <v>0</v>
      </c>
      <c r="S208" s="201"/>
      <c r="T208" s="202"/>
      <c r="U208" s="246"/>
      <c r="V208" s="246"/>
      <c r="W208" s="246"/>
      <c r="BA208"/>
      <c r="BB208"/>
      <c r="BD208" s="191" t="e">
        <v>#REF!</v>
      </c>
    </row>
    <row r="209" spans="1:56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8"/>
        <v>0</v>
      </c>
      <c r="S209" s="201"/>
      <c r="T209" s="202"/>
      <c r="U209" s="246"/>
      <c r="V209" s="246"/>
      <c r="W209" s="246"/>
      <c r="BA209"/>
      <c r="BB209"/>
      <c r="BD209" s="191" t="e">
        <v>#REF!</v>
      </c>
    </row>
    <row r="210" spans="1:56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8"/>
        <v>0</v>
      </c>
      <c r="S210" s="201"/>
      <c r="T210" s="202"/>
      <c r="U210" s="246"/>
      <c r="V210" s="246"/>
      <c r="W210" s="246"/>
      <c r="BA210"/>
      <c r="BB210"/>
      <c r="BD210" s="191" t="e">
        <v>#REF!</v>
      </c>
    </row>
    <row r="211" spans="1:56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8"/>
        <v>0</v>
      </c>
      <c r="S211" s="201"/>
      <c r="T211" s="202"/>
      <c r="U211" s="246"/>
      <c r="V211" s="246"/>
      <c r="W211" s="246"/>
      <c r="BA211"/>
      <c r="BB211"/>
      <c r="BD211" s="191" t="e">
        <v>#REF!</v>
      </c>
    </row>
    <row r="212" spans="1:56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8"/>
        <v>0</v>
      </c>
      <c r="S212" s="201"/>
      <c r="T212" s="202"/>
      <c r="U212" s="246"/>
      <c r="V212" s="246"/>
      <c r="W212" s="246"/>
      <c r="BA212"/>
      <c r="BB212"/>
      <c r="BD212" s="191" t="e">
        <v>#REF!</v>
      </c>
    </row>
    <row r="213" spans="1:56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8"/>
        <v>0</v>
      </c>
      <c r="S213" s="201"/>
      <c r="T213" s="202"/>
      <c r="U213" s="246"/>
      <c r="V213" s="246"/>
      <c r="W213" s="246"/>
      <c r="BA213"/>
      <c r="BB213"/>
      <c r="BD213" s="191" t="e">
        <v>#REF!</v>
      </c>
    </row>
    <row r="214" spans="1:56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8"/>
        <v>0</v>
      </c>
      <c r="S214" s="201"/>
      <c r="T214" s="202"/>
      <c r="U214" s="246"/>
      <c r="V214" s="246"/>
      <c r="W214" s="246"/>
      <c r="BA214"/>
      <c r="BB214"/>
      <c r="BD214" s="191" t="e">
        <v>#REF!</v>
      </c>
    </row>
    <row r="215" spans="1:56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8"/>
        <v>0</v>
      </c>
      <c r="S215" s="201"/>
      <c r="T215" s="202"/>
      <c r="U215" s="246"/>
      <c r="V215" s="246"/>
      <c r="W215" s="246"/>
      <c r="BA215"/>
      <c r="BB215"/>
      <c r="BD215" s="191" t="e">
        <v>#REF!</v>
      </c>
    </row>
    <row r="216" spans="1:56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8"/>
        <v>0</v>
      </c>
      <c r="S216" s="201"/>
      <c r="T216" s="202"/>
      <c r="U216" s="246"/>
      <c r="V216" s="246"/>
      <c r="W216" s="246"/>
      <c r="BA216"/>
      <c r="BB216"/>
      <c r="BD216" s="191" t="e">
        <v>#REF!</v>
      </c>
    </row>
    <row r="217" spans="1:56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/>
      <c r="S217" s="201"/>
      <c r="T217" s="202"/>
      <c r="U217" s="246"/>
      <c r="V217" s="246"/>
      <c r="W217" s="246"/>
      <c r="BA217"/>
      <c r="BB217"/>
      <c r="BD217" s="191" t="e">
        <v>#REF!</v>
      </c>
    </row>
    <row r="218" spans="1:56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/>
      <c r="S218" s="201"/>
      <c r="T218" s="202"/>
      <c r="U218" s="246"/>
      <c r="V218" s="246"/>
      <c r="W218" s="246"/>
      <c r="BA218"/>
      <c r="BB218"/>
      <c r="BD218" s="191" t="e">
        <v>#REF!</v>
      </c>
    </row>
    <row r="219" spans="1:56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/>
      <c r="S219" s="201"/>
      <c r="T219" s="202"/>
      <c r="U219" s="246"/>
      <c r="V219" s="246"/>
      <c r="W219" s="246"/>
      <c r="BA219"/>
      <c r="BB219"/>
      <c r="BD219" s="191" t="e">
        <v>#REF!</v>
      </c>
    </row>
    <row r="220" spans="1:56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/>
      <c r="S220" s="201"/>
      <c r="T220" s="202"/>
      <c r="U220" s="246"/>
      <c r="V220" s="246"/>
      <c r="W220" s="246"/>
      <c r="BA220"/>
      <c r="BB220"/>
      <c r="BD220" s="191" t="e">
        <v>#REF!</v>
      </c>
    </row>
    <row r="221" spans="1:56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/>
      <c r="S221" s="201"/>
      <c r="T221" s="202"/>
      <c r="U221" s="246"/>
      <c r="V221" s="246"/>
      <c r="W221" s="246"/>
      <c r="BA221"/>
      <c r="BB221"/>
      <c r="BD221" s="191" t="e">
        <v>#REF!</v>
      </c>
    </row>
    <row r="222" spans="1:56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/>
      <c r="S222" s="201"/>
      <c r="T222" s="202"/>
      <c r="U222" s="246"/>
      <c r="V222" s="246"/>
      <c r="W222" s="246"/>
      <c r="BA222"/>
      <c r="BB222"/>
      <c r="BD222" s="191" t="e">
        <v>#REF!</v>
      </c>
    </row>
    <row r="223" spans="1:56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/>
      <c r="S223" s="201"/>
      <c r="T223" s="202"/>
      <c r="U223" s="246"/>
      <c r="V223" s="246"/>
      <c r="W223" s="246"/>
      <c r="BA223"/>
      <c r="BB223"/>
      <c r="BD223" s="191" t="e">
        <v>#REF!</v>
      </c>
    </row>
    <row r="224" spans="1:56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/>
      <c r="S224" s="201"/>
      <c r="T224" s="202"/>
      <c r="U224" s="246"/>
      <c r="V224" s="246"/>
      <c r="W224" s="246"/>
      <c r="BA224"/>
      <c r="BB224"/>
      <c r="BD224" s="191" t="e">
        <v>#REF!</v>
      </c>
    </row>
    <row r="225" spans="1:56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/>
      <c r="S225" s="201"/>
      <c r="T225" s="202"/>
      <c r="U225" s="246"/>
      <c r="V225" s="246"/>
      <c r="W225" s="246"/>
      <c r="BA225"/>
      <c r="BB225"/>
      <c r="BD225" s="191" t="e">
        <v>#REF!</v>
      </c>
    </row>
    <row r="226" spans="1:56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/>
      <c r="S226" s="201"/>
      <c r="T226" s="202"/>
      <c r="U226" s="246"/>
      <c r="V226" s="246"/>
      <c r="W226" s="246"/>
      <c r="BA226"/>
      <c r="BB226"/>
      <c r="BD226" s="191" t="e">
        <v>#REF!</v>
      </c>
    </row>
    <row r="227" spans="1:56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/>
      <c r="S227" s="201"/>
      <c r="T227" s="202"/>
      <c r="U227" s="246"/>
      <c r="V227" s="246"/>
      <c r="W227" s="246"/>
      <c r="BA227"/>
      <c r="BB227"/>
      <c r="BD227" s="191" t="e">
        <v>#REF!</v>
      </c>
    </row>
    <row r="228" spans="1:56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/>
      <c r="S228" s="201"/>
      <c r="T228" s="202"/>
      <c r="U228" s="246"/>
      <c r="V228" s="246"/>
      <c r="W228" s="246"/>
      <c r="BA228"/>
      <c r="BB228"/>
      <c r="BD228" s="191" t="e">
        <v>#REF!</v>
      </c>
    </row>
    <row r="229" spans="1:56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/>
      <c r="S229" s="201"/>
      <c r="T229" s="202"/>
      <c r="U229" s="246"/>
      <c r="V229" s="246"/>
      <c r="W229" s="246"/>
      <c r="BA229"/>
      <c r="BB229"/>
      <c r="BD229" s="191" t="e">
        <v>#REF!</v>
      </c>
    </row>
    <row r="230" spans="1:56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/>
      <c r="S230" s="201"/>
      <c r="T230" s="202"/>
      <c r="U230" s="246"/>
      <c r="V230" s="246"/>
      <c r="W230" s="246"/>
      <c r="BA230"/>
      <c r="BB230"/>
      <c r="BD230" s="191" t="e">
        <v>#REF!</v>
      </c>
    </row>
    <row r="231" spans="1:56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/>
      <c r="S231" s="201"/>
      <c r="T231" s="202"/>
      <c r="U231" s="246"/>
      <c r="V231" s="246"/>
      <c r="W231" s="246"/>
      <c r="BA231"/>
      <c r="BB231"/>
      <c r="BD231" s="191" t="e">
        <v>#REF!</v>
      </c>
    </row>
    <row r="232" spans="1:56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/>
      <c r="S232" s="201"/>
      <c r="T232" s="202"/>
      <c r="U232" s="246"/>
      <c r="V232" s="246"/>
      <c r="W232" s="246"/>
      <c r="BA232"/>
      <c r="BB232"/>
      <c r="BD232" s="191" t="e">
        <v>#REF!</v>
      </c>
    </row>
    <row r="233" spans="1:56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/>
      <c r="S233" s="201"/>
      <c r="T233" s="202"/>
      <c r="U233" s="246"/>
      <c r="V233" s="246"/>
      <c r="W233" s="246"/>
      <c r="BA233"/>
      <c r="BB233"/>
      <c r="BD233" s="191" t="e">
        <v>#REF!</v>
      </c>
    </row>
    <row r="234" spans="1:56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/>
      <c r="S234" s="201"/>
      <c r="T234" s="202"/>
      <c r="U234" s="246"/>
      <c r="V234" s="246"/>
      <c r="W234" s="246"/>
      <c r="BA234"/>
      <c r="BB234"/>
      <c r="BD234" s="191" t="e">
        <v>#REF!</v>
      </c>
    </row>
    <row r="235" spans="1:56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/>
      <c r="S235" s="201"/>
      <c r="T235" s="202"/>
      <c r="U235" s="246"/>
      <c r="V235" s="246"/>
      <c r="W235" s="246"/>
      <c r="BA235"/>
      <c r="BB235"/>
      <c r="BD235" s="191" t="e">
        <v>#REF!</v>
      </c>
    </row>
    <row r="236" spans="1:56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/>
      <c r="S236" s="201"/>
      <c r="T236" s="202"/>
      <c r="U236" s="246"/>
      <c r="V236" s="246"/>
      <c r="W236" s="246"/>
      <c r="BA236"/>
      <c r="BB236"/>
      <c r="BD236" s="191" t="e">
        <v>#REF!</v>
      </c>
    </row>
    <row r="237" spans="1:56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/>
      <c r="S237" s="201"/>
      <c r="T237" s="202"/>
      <c r="U237" s="246"/>
      <c r="V237" s="246"/>
      <c r="W237" s="246"/>
      <c r="BA237"/>
      <c r="BB237"/>
      <c r="BD237" s="191" t="e">
        <v>#REF!</v>
      </c>
    </row>
    <row r="238" spans="1:56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/>
      <c r="S238" s="201"/>
      <c r="T238" s="202"/>
      <c r="U238" s="246"/>
      <c r="V238" s="246"/>
      <c r="W238" s="246"/>
      <c r="BA238"/>
      <c r="BB238"/>
      <c r="BD238" s="191" t="e">
        <v>#REF!</v>
      </c>
    </row>
    <row r="239" spans="1:56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/>
      <c r="S239" s="201"/>
      <c r="T239" s="202"/>
      <c r="U239" s="246"/>
      <c r="V239" s="246"/>
      <c r="W239" s="246"/>
      <c r="BA239"/>
      <c r="BB239"/>
      <c r="BD239" s="191" t="e">
        <v>#REF!</v>
      </c>
    </row>
    <row r="240" spans="1:56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/>
      <c r="S240" s="201"/>
      <c r="T240" s="202"/>
      <c r="U240" s="246"/>
      <c r="V240" s="246"/>
      <c r="W240" s="246"/>
      <c r="BA240"/>
      <c r="BB240"/>
      <c r="BD240" s="191" t="e">
        <v>#REF!</v>
      </c>
    </row>
    <row r="241" spans="1:56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/>
      <c r="S241" s="201"/>
      <c r="T241" s="202"/>
      <c r="U241" s="246"/>
      <c r="V241" s="246"/>
      <c r="W241" s="246"/>
      <c r="BA241"/>
      <c r="BB241"/>
      <c r="BD241" s="191" t="e">
        <v>#REF!</v>
      </c>
    </row>
    <row r="242" spans="1:56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/>
      <c r="S242" s="201"/>
      <c r="T242" s="202"/>
      <c r="U242" s="246"/>
      <c r="V242" s="246"/>
      <c r="W242" s="246"/>
      <c r="BA242"/>
      <c r="BB242"/>
      <c r="BD242" s="191" t="e">
        <v>#REF!</v>
      </c>
    </row>
    <row r="243" spans="1:56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/>
      <c r="S243" s="201"/>
      <c r="T243" s="202"/>
      <c r="U243" s="246"/>
      <c r="V243" s="246"/>
      <c r="W243" s="246"/>
      <c r="BA243"/>
      <c r="BB243"/>
      <c r="BD243" s="191" t="e">
        <v>#REF!</v>
      </c>
    </row>
    <row r="244" spans="1:56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/>
      <c r="S244" s="201"/>
      <c r="T244" s="202"/>
      <c r="U244" s="246"/>
      <c r="V244" s="246"/>
      <c r="W244" s="246"/>
      <c r="BA244"/>
      <c r="BB244"/>
      <c r="BD244" s="191" t="e">
        <v>#REF!</v>
      </c>
    </row>
    <row r="245" spans="1:56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/>
      <c r="S245" s="201"/>
      <c r="T245" s="202"/>
      <c r="U245" s="246"/>
      <c r="V245" s="246"/>
      <c r="W245" s="246"/>
      <c r="BA245"/>
      <c r="BB245"/>
      <c r="BD245" s="191" t="e">
        <v>#REF!</v>
      </c>
    </row>
    <row r="246" spans="1:56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/>
      <c r="S246" s="201"/>
      <c r="T246" s="202"/>
      <c r="U246" s="246"/>
      <c r="V246" s="246"/>
      <c r="W246" s="246"/>
      <c r="BA246"/>
      <c r="BB246"/>
      <c r="BD246" s="191" t="e">
        <v>#REF!</v>
      </c>
    </row>
    <row r="247" spans="1:56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/>
      <c r="S247" s="201"/>
      <c r="T247" s="202"/>
      <c r="U247" s="246"/>
      <c r="V247" s="246"/>
      <c r="W247" s="246"/>
      <c r="BA247"/>
      <c r="BB247"/>
      <c r="BD247" s="191" t="e">
        <v>#REF!</v>
      </c>
    </row>
    <row r="248" spans="1:56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/>
      <c r="S248" s="201"/>
      <c r="T248" s="202"/>
      <c r="U248" s="246"/>
      <c r="V248" s="246"/>
      <c r="W248" s="246"/>
      <c r="BA248"/>
      <c r="BB248"/>
      <c r="BD248" s="191" t="e">
        <v>#REF!</v>
      </c>
    </row>
    <row r="249" spans="1:56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/>
      <c r="S249" s="201"/>
      <c r="T249" s="202"/>
      <c r="U249" s="246"/>
      <c r="V249" s="246"/>
      <c r="W249" s="246"/>
      <c r="BA249"/>
      <c r="BB249"/>
      <c r="BD249" s="191" t="e">
        <v>#REF!</v>
      </c>
    </row>
    <row r="250" spans="1:56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/>
      <c r="S250" s="201"/>
      <c r="T250" s="202"/>
      <c r="U250" s="246"/>
      <c r="V250" s="246"/>
      <c r="W250" s="246"/>
      <c r="BA250"/>
      <c r="BB250"/>
      <c r="BD250" s="191" t="e">
        <v>#REF!</v>
      </c>
    </row>
    <row r="251" spans="1:56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/>
      <c r="S251" s="201"/>
      <c r="T251" s="202"/>
      <c r="U251" s="246"/>
      <c r="V251" s="246"/>
      <c r="W251" s="246"/>
      <c r="BA251"/>
      <c r="BB251"/>
      <c r="BD251" s="191" t="e">
        <v>#REF!</v>
      </c>
    </row>
    <row r="252" spans="1:56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/>
      <c r="S252" s="201"/>
      <c r="T252" s="202"/>
      <c r="U252" s="246"/>
      <c r="V252" s="246"/>
      <c r="W252" s="246"/>
      <c r="BA252"/>
      <c r="BB252"/>
      <c r="BD252" s="191" t="e">
        <v>#REF!</v>
      </c>
    </row>
    <row r="253" spans="1:56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/>
      <c r="S253" s="201"/>
      <c r="T253" s="202"/>
      <c r="U253" s="246"/>
      <c r="V253" s="246"/>
      <c r="W253" s="246"/>
      <c r="BA253"/>
      <c r="BB253"/>
      <c r="BD253" s="191" t="e">
        <v>#REF!</v>
      </c>
    </row>
    <row r="254" spans="1:56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/>
      <c r="S254" s="201"/>
      <c r="T254" s="202"/>
      <c r="U254" s="246"/>
      <c r="V254" s="246"/>
      <c r="W254" s="246"/>
      <c r="BA254"/>
      <c r="BB254"/>
      <c r="BD254" s="191" t="e">
        <v>#REF!</v>
      </c>
    </row>
    <row r="255" spans="1:56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/>
      <c r="S255" s="201"/>
      <c r="T255" s="202"/>
      <c r="U255" s="246"/>
      <c r="V255" s="246"/>
      <c r="W255" s="246"/>
      <c r="BA255"/>
      <c r="BB255"/>
      <c r="BD255" s="191" t="e">
        <v>#REF!</v>
      </c>
    </row>
    <row r="256" spans="1:56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/>
      <c r="S256" s="201"/>
      <c r="T256" s="202"/>
      <c r="U256" s="246"/>
      <c r="V256" s="246"/>
      <c r="W256" s="246"/>
      <c r="BA256"/>
      <c r="BB256"/>
      <c r="BD256" s="191" t="e">
        <v>#REF!</v>
      </c>
    </row>
    <row r="257" spans="1:56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/>
      <c r="S257" s="201"/>
      <c r="T257" s="202"/>
      <c r="U257" s="246"/>
      <c r="V257" s="246"/>
      <c r="W257" s="246"/>
      <c r="BA257"/>
      <c r="BB257"/>
      <c r="BD257" s="191" t="e">
        <v>#REF!</v>
      </c>
    </row>
    <row r="258" spans="1:56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/>
      <c r="S258" s="201"/>
      <c r="T258" s="202"/>
      <c r="U258" s="246"/>
      <c r="V258" s="246"/>
      <c r="W258" s="246"/>
      <c r="BA258"/>
      <c r="BB258"/>
      <c r="BD258" s="191" t="e">
        <v>#REF!</v>
      </c>
    </row>
    <row r="259" spans="1:56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/>
      <c r="S259" s="201"/>
      <c r="T259" s="202"/>
      <c r="U259" s="246"/>
      <c r="V259" s="246"/>
      <c r="W259" s="246"/>
      <c r="BA259"/>
      <c r="BB259"/>
      <c r="BD259" s="191" t="e">
        <v>#REF!</v>
      </c>
    </row>
    <row r="260" spans="1:56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/>
      <c r="S260" s="201"/>
      <c r="T260" s="202"/>
      <c r="U260" s="246"/>
      <c r="V260" s="246"/>
      <c r="W260" s="246"/>
      <c r="BA260"/>
      <c r="BB260"/>
      <c r="BD260" s="191" t="e">
        <v>#REF!</v>
      </c>
    </row>
    <row r="261" spans="1:56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/>
      <c r="S261" s="201"/>
      <c r="T261" s="202"/>
      <c r="U261" s="246"/>
      <c r="V261" s="246"/>
      <c r="W261" s="246"/>
      <c r="BA261"/>
      <c r="BB261"/>
      <c r="BD261" s="191" t="e">
        <v>#REF!</v>
      </c>
    </row>
    <row r="262" spans="1:56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/>
      <c r="S262" s="201"/>
      <c r="T262" s="202"/>
      <c r="U262" s="246"/>
      <c r="V262" s="246"/>
      <c r="W262" s="246"/>
      <c r="BA262"/>
      <c r="BB262"/>
      <c r="BD262" s="191" t="e">
        <v>#REF!</v>
      </c>
    </row>
    <row r="263" spans="1:56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/>
      <c r="S263" s="201"/>
      <c r="T263" s="202"/>
      <c r="U263" s="246"/>
      <c r="V263" s="246"/>
      <c r="W263" s="246"/>
      <c r="BA263"/>
      <c r="BB263"/>
      <c r="BD263" s="191" t="e">
        <v>#REF!</v>
      </c>
    </row>
    <row r="264" spans="1:56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/>
      <c r="S264" s="201"/>
      <c r="T264" s="202"/>
      <c r="U264" s="246"/>
      <c r="V264" s="246"/>
      <c r="W264" s="246"/>
      <c r="BA264"/>
      <c r="BB264"/>
      <c r="BD264" s="191" t="e">
        <v>#REF!</v>
      </c>
    </row>
    <row r="265" spans="1:56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/>
      <c r="S265" s="201"/>
      <c r="T265" s="202"/>
      <c r="U265" s="246"/>
      <c r="V265" s="246"/>
      <c r="W265" s="246"/>
      <c r="BA265"/>
      <c r="BB265"/>
      <c r="BD265" s="191" t="e">
        <v>#REF!</v>
      </c>
    </row>
    <row r="266" spans="1:56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/>
      <c r="S266" s="201"/>
      <c r="T266" s="202"/>
      <c r="U266" s="246"/>
      <c r="V266" s="246"/>
      <c r="W266" s="246"/>
      <c r="BA266"/>
      <c r="BB266"/>
      <c r="BD266" s="191" t="e">
        <v>#REF!</v>
      </c>
    </row>
    <row r="267" spans="1:56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/>
      <c r="S267" s="201"/>
      <c r="T267" s="202"/>
      <c r="U267" s="246"/>
      <c r="V267" s="246"/>
      <c r="W267" s="246"/>
      <c r="BA267"/>
      <c r="BB267"/>
      <c r="BD267" s="191" t="e">
        <v>#REF!</v>
      </c>
    </row>
    <row r="268" spans="1:56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/>
      <c r="S268" s="201"/>
      <c r="T268" s="202"/>
      <c r="U268" s="246"/>
      <c r="V268" s="246"/>
      <c r="W268" s="246"/>
      <c r="BA268"/>
      <c r="BB268"/>
      <c r="BD268" s="191" t="e">
        <v>#REF!</v>
      </c>
    </row>
    <row r="269" spans="1:56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/>
      <c r="S269" s="201"/>
      <c r="T269" s="202"/>
      <c r="U269" s="246"/>
      <c r="V269" s="246"/>
      <c r="W269" s="246"/>
      <c r="BA269"/>
      <c r="BB269"/>
      <c r="BD269" s="191" t="e">
        <v>#REF!</v>
      </c>
    </row>
    <row r="270" spans="1:56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/>
      <c r="S270" s="201"/>
      <c r="T270" s="202"/>
      <c r="U270" s="246"/>
      <c r="V270" s="246"/>
      <c r="W270" s="246"/>
      <c r="BA270"/>
      <c r="BB270"/>
      <c r="BD270" s="191" t="e">
        <v>#REF!</v>
      </c>
    </row>
    <row r="271" spans="1:56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/>
      <c r="S271" s="201"/>
      <c r="T271" s="202"/>
      <c r="U271" s="246"/>
      <c r="V271" s="246"/>
      <c r="W271" s="246"/>
      <c r="BA271"/>
      <c r="BB271"/>
      <c r="BD271" s="191" t="e">
        <v>#REF!</v>
      </c>
    </row>
    <row r="272" spans="1:56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/>
      <c r="S272" s="201"/>
      <c r="T272" s="202"/>
      <c r="U272" s="246"/>
      <c r="V272" s="246"/>
      <c r="W272" s="246"/>
      <c r="BA272"/>
      <c r="BB272"/>
      <c r="BD272" s="191" t="e">
        <v>#REF!</v>
      </c>
    </row>
    <row r="273" spans="1:56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/>
      <c r="S273" s="201"/>
      <c r="T273" s="202"/>
      <c r="U273" s="246"/>
      <c r="V273" s="246"/>
      <c r="W273" s="246"/>
      <c r="BA273"/>
      <c r="BB273"/>
      <c r="BD273" s="191" t="e">
        <v>#REF!</v>
      </c>
    </row>
    <row r="274" spans="1:56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/>
      <c r="S274" s="201"/>
      <c r="T274" s="202"/>
      <c r="U274" s="246"/>
      <c r="V274" s="246"/>
      <c r="W274" s="246"/>
      <c r="BA274"/>
      <c r="BB274"/>
      <c r="BD274" s="191" t="e">
        <v>#REF!</v>
      </c>
    </row>
    <row r="275" spans="1:56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/>
      <c r="S275" s="201"/>
      <c r="T275" s="202"/>
      <c r="U275" s="246"/>
      <c r="V275" s="246"/>
      <c r="W275" s="246"/>
      <c r="BA275"/>
      <c r="BB275"/>
      <c r="BD275" s="191" t="e">
        <v>#REF!</v>
      </c>
    </row>
    <row r="276" spans="1:56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/>
      <c r="S276" s="201"/>
      <c r="T276" s="202"/>
      <c r="U276" s="246"/>
      <c r="V276" s="246"/>
      <c r="W276" s="246"/>
      <c r="BA276"/>
      <c r="BB276"/>
      <c r="BD276" s="191" t="e">
        <v>#REF!</v>
      </c>
    </row>
    <row r="277" spans="1:56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/>
      <c r="S277" s="201"/>
      <c r="T277" s="202"/>
      <c r="U277" s="246"/>
      <c r="V277" s="246"/>
      <c r="W277" s="246"/>
      <c r="BA277"/>
      <c r="BB277"/>
      <c r="BD277" s="191" t="e">
        <v>#REF!</v>
      </c>
    </row>
    <row r="278" spans="1:56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/>
      <c r="S278" s="201"/>
      <c r="T278" s="202"/>
      <c r="U278" s="246"/>
      <c r="V278" s="246"/>
      <c r="W278" s="246"/>
      <c r="BA278"/>
      <c r="BB278"/>
      <c r="BD278" s="191" t="e">
        <v>#REF!</v>
      </c>
    </row>
    <row r="279" spans="1:56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/>
      <c r="S279" s="201"/>
      <c r="T279" s="202"/>
      <c r="U279" s="246"/>
      <c r="V279" s="246"/>
      <c r="W279" s="246"/>
      <c r="BA279"/>
      <c r="BB279"/>
      <c r="BD279" s="191" t="e">
        <v>#REF!</v>
      </c>
    </row>
    <row r="280" spans="1:56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/>
      <c r="S280" s="201"/>
      <c r="T280" s="202"/>
      <c r="U280" s="246"/>
      <c r="V280" s="246"/>
      <c r="W280" s="246"/>
      <c r="BA280"/>
      <c r="BB280"/>
      <c r="BD280" s="191" t="e">
        <v>#REF!</v>
      </c>
    </row>
    <row r="281" spans="1:56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/>
      <c r="S281" s="201"/>
      <c r="T281" s="202"/>
      <c r="U281" s="246"/>
      <c r="V281" s="246"/>
      <c r="W281" s="246"/>
      <c r="BA281"/>
      <c r="BB281"/>
      <c r="BD281" s="191" t="e">
        <v>#REF!</v>
      </c>
    </row>
    <row r="282" spans="1:56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/>
      <c r="S282" s="201"/>
      <c r="T282" s="202"/>
      <c r="U282" s="246"/>
      <c r="V282" s="246"/>
      <c r="W282" s="246"/>
      <c r="BA282"/>
      <c r="BB282"/>
      <c r="BD282" s="191" t="e">
        <v>#REF!</v>
      </c>
    </row>
    <row r="283" spans="1:56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/>
      <c r="S283" s="201"/>
      <c r="T283" s="202"/>
      <c r="U283" s="246"/>
      <c r="V283" s="246"/>
      <c r="W283" s="246"/>
      <c r="BA283"/>
      <c r="BB283"/>
      <c r="BD283" s="191" t="e">
        <v>#REF!</v>
      </c>
    </row>
    <row r="284" spans="1:56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/>
      <c r="S284" s="201"/>
      <c r="T284" s="202"/>
      <c r="U284" s="246"/>
      <c r="V284" s="246"/>
      <c r="W284" s="246"/>
      <c r="BA284"/>
      <c r="BB284"/>
      <c r="BD284" s="191" t="e">
        <v>#REF!</v>
      </c>
    </row>
    <row r="285" spans="1:56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/>
      <c r="S285" s="201"/>
      <c r="T285" s="202"/>
      <c r="U285" s="246"/>
      <c r="V285" s="246"/>
      <c r="W285" s="246"/>
      <c r="BA285"/>
      <c r="BB285"/>
      <c r="BD285" s="191" t="e">
        <v>#REF!</v>
      </c>
    </row>
    <row r="286" spans="1:56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/>
      <c r="S286" s="201"/>
      <c r="T286" s="202"/>
      <c r="U286" s="246"/>
      <c r="V286" s="246"/>
      <c r="W286" s="246"/>
      <c r="BA286"/>
      <c r="BB286"/>
      <c r="BD286" s="191" t="e">
        <v>#REF!</v>
      </c>
    </row>
    <row r="287" spans="1:56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/>
      <c r="S287" s="201"/>
      <c r="T287" s="202"/>
      <c r="U287" s="246"/>
      <c r="V287" s="246"/>
      <c r="W287" s="246"/>
      <c r="BA287"/>
      <c r="BB287"/>
      <c r="BD287" s="191" t="e">
        <v>#REF!</v>
      </c>
    </row>
    <row r="288" spans="1:56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/>
      <c r="S288" s="201"/>
      <c r="T288" s="202"/>
      <c r="U288" s="246"/>
      <c r="V288" s="246"/>
      <c r="W288" s="246"/>
      <c r="BA288"/>
      <c r="BB288"/>
      <c r="BD288" s="191" t="e">
        <v>#REF!</v>
      </c>
    </row>
    <row r="289" spans="1:56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/>
      <c r="S289" s="201"/>
      <c r="T289" s="202"/>
      <c r="U289" s="246"/>
      <c r="V289" s="246"/>
      <c r="W289" s="246"/>
      <c r="BA289"/>
      <c r="BB289"/>
      <c r="BD289" s="191" t="e">
        <v>#REF!</v>
      </c>
    </row>
    <row r="290" spans="1:56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/>
      <c r="S290" s="201"/>
      <c r="T290" s="202"/>
      <c r="U290" s="246"/>
      <c r="V290" s="246"/>
      <c r="W290" s="246"/>
      <c r="BA290"/>
      <c r="BB290"/>
      <c r="BD290" s="191" t="e">
        <v>#REF!</v>
      </c>
    </row>
    <row r="291" spans="1:56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/>
      <c r="S291" s="201"/>
      <c r="T291" s="202"/>
      <c r="U291" s="246"/>
      <c r="V291" s="246"/>
      <c r="W291" s="246"/>
      <c r="BA291"/>
      <c r="BB291"/>
      <c r="BD291" s="191" t="e">
        <v>#REF!</v>
      </c>
    </row>
    <row r="292" spans="1:56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/>
      <c r="S292" s="201"/>
      <c r="T292" s="202"/>
      <c r="U292" s="246"/>
      <c r="V292" s="246"/>
      <c r="W292" s="246"/>
      <c r="BA292"/>
      <c r="BB292"/>
      <c r="BD292" s="191" t="e">
        <v>#REF!</v>
      </c>
    </row>
    <row r="293" spans="1:56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/>
      <c r="S293" s="201"/>
      <c r="T293" s="202"/>
      <c r="U293" s="246"/>
      <c r="V293" s="246"/>
      <c r="W293" s="246"/>
      <c r="BA293"/>
      <c r="BB293"/>
      <c r="BD293" s="191" t="e">
        <v>#REF!</v>
      </c>
    </row>
    <row r="294" spans="1:56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/>
      <c r="S294" s="201"/>
      <c r="T294" s="202"/>
      <c r="U294" s="246"/>
      <c r="V294" s="246"/>
      <c r="W294" s="246"/>
      <c r="BA294"/>
      <c r="BB294"/>
      <c r="BD294" s="191" t="e">
        <v>#REF!</v>
      </c>
    </row>
    <row r="295" spans="1:56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/>
      <c r="S295" s="201"/>
      <c r="T295" s="202"/>
      <c r="U295" s="246"/>
      <c r="V295" s="246"/>
      <c r="W295" s="246"/>
      <c r="BA295"/>
      <c r="BB295"/>
      <c r="BD295" s="191" t="e">
        <v>#REF!</v>
      </c>
    </row>
    <row r="296" spans="1:56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/>
      <c r="S296" s="201"/>
      <c r="T296" s="202"/>
      <c r="U296" s="246"/>
      <c r="V296" s="246"/>
      <c r="W296" s="246"/>
      <c r="BA296"/>
      <c r="BB296"/>
      <c r="BD296" s="191" t="e">
        <v>#REF!</v>
      </c>
    </row>
    <row r="297" spans="1:56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/>
      <c r="S297" s="201"/>
      <c r="T297" s="202"/>
      <c r="U297" s="246"/>
      <c r="V297" s="246"/>
      <c r="W297" s="246"/>
      <c r="BA297"/>
      <c r="BB297"/>
      <c r="BD297" s="191" t="e">
        <v>#REF!</v>
      </c>
    </row>
    <row r="298" spans="1:56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/>
      <c r="S298" s="201"/>
      <c r="T298" s="202"/>
      <c r="U298" s="246"/>
      <c r="V298" s="246"/>
      <c r="W298" s="246"/>
      <c r="BA298"/>
      <c r="BB298"/>
      <c r="BD298" s="191" t="e">
        <v>#REF!</v>
      </c>
    </row>
    <row r="299" spans="1:56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/>
      <c r="S299" s="201"/>
      <c r="T299" s="202"/>
      <c r="U299" s="246"/>
      <c r="V299" s="246"/>
      <c r="W299" s="246"/>
      <c r="BA299"/>
      <c r="BB299"/>
      <c r="BD299" s="191" t="e">
        <v>#REF!</v>
      </c>
    </row>
    <row r="300" spans="1:56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/>
      <c r="S300" s="201"/>
      <c r="T300" s="202"/>
      <c r="U300" s="246"/>
      <c r="V300" s="246"/>
      <c r="W300" s="246"/>
      <c r="BA300"/>
      <c r="BB300"/>
      <c r="BD300" s="191" t="e">
        <v>#REF!</v>
      </c>
    </row>
    <row r="301" spans="1:56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/>
      <c r="S301" s="201"/>
      <c r="T301" s="202"/>
      <c r="U301" s="246"/>
      <c r="V301" s="246"/>
      <c r="W301" s="246"/>
      <c r="BA301"/>
      <c r="BB301"/>
      <c r="BD301" s="191" t="e">
        <v>#REF!</v>
      </c>
    </row>
    <row r="302" spans="1:56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/>
      <c r="S302" s="201"/>
      <c r="T302" s="202"/>
      <c r="U302" s="246"/>
      <c r="V302" s="246"/>
      <c r="W302" s="246"/>
      <c r="BA302"/>
      <c r="BB302"/>
      <c r="BD302" s="191" t="e">
        <v>#REF!</v>
      </c>
    </row>
    <row r="303" spans="1:56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/>
      <c r="S303" s="201"/>
      <c r="T303" s="202"/>
      <c r="U303" s="246"/>
      <c r="V303" s="246"/>
      <c r="W303" s="246"/>
      <c r="BA303"/>
      <c r="BB303"/>
      <c r="BD303" s="191" t="e">
        <v>#REF!</v>
      </c>
    </row>
    <row r="304" spans="1:56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/>
      <c r="S304" s="201"/>
      <c r="T304" s="202"/>
      <c r="U304" s="246"/>
      <c r="V304" s="246"/>
      <c r="W304" s="246"/>
      <c r="BA304"/>
      <c r="BB304"/>
      <c r="BD304" s="191" t="e">
        <v>#REF!</v>
      </c>
    </row>
    <row r="305" spans="1:56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/>
      <c r="S305" s="201"/>
      <c r="T305" s="202"/>
      <c r="U305" s="246"/>
      <c r="V305" s="246"/>
      <c r="W305" s="246"/>
      <c r="BA305"/>
      <c r="BB305"/>
      <c r="BD305" s="191" t="e">
        <v>#REF!</v>
      </c>
    </row>
    <row r="306" spans="1:56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/>
      <c r="S306" s="201"/>
      <c r="T306" s="202"/>
      <c r="U306" s="246"/>
      <c r="V306" s="246"/>
      <c r="W306" s="246"/>
      <c r="BA306"/>
      <c r="BB306"/>
      <c r="BD306" s="191" t="e">
        <v>#REF!</v>
      </c>
    </row>
    <row r="307" spans="1:56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/>
      <c r="S307" s="201"/>
      <c r="T307" s="202"/>
      <c r="U307" s="246"/>
      <c r="V307" s="246"/>
      <c r="W307" s="246"/>
      <c r="BA307"/>
      <c r="BB307"/>
      <c r="BD307" s="191" t="e">
        <v>#REF!</v>
      </c>
    </row>
    <row r="308" spans="1:56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/>
      <c r="S308" s="201"/>
      <c r="T308" s="202"/>
      <c r="U308" s="246"/>
      <c r="V308" s="246"/>
      <c r="W308" s="246"/>
      <c r="BA308"/>
      <c r="BB308"/>
      <c r="BD308" s="191" t="e">
        <v>#REF!</v>
      </c>
    </row>
    <row r="309" spans="1:56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/>
      <c r="S309" s="201"/>
      <c r="T309" s="202"/>
      <c r="U309" s="246"/>
      <c r="V309" s="246"/>
      <c r="W309" s="246"/>
      <c r="BA309"/>
      <c r="BB309"/>
      <c r="BD309" s="191" t="e">
        <v>#REF!</v>
      </c>
    </row>
    <row r="310" spans="1:56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/>
      <c r="S310" s="201"/>
      <c r="T310" s="202"/>
      <c r="U310" s="246"/>
      <c r="V310" s="246"/>
      <c r="W310" s="246"/>
      <c r="BA310"/>
      <c r="BB310"/>
      <c r="BD310" s="191" t="e">
        <v>#REF!</v>
      </c>
    </row>
    <row r="311" spans="1:56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/>
      <c r="S311" s="201"/>
      <c r="T311" s="202"/>
      <c r="U311" s="246"/>
      <c r="V311" s="246"/>
      <c r="W311" s="246"/>
      <c r="BA311"/>
      <c r="BB311"/>
      <c r="BD311" s="191" t="e">
        <v>#REF!</v>
      </c>
    </row>
    <row r="312" spans="1:56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/>
      <c r="S312" s="201"/>
      <c r="T312" s="202"/>
      <c r="U312" s="246"/>
      <c r="V312" s="246"/>
      <c r="W312" s="246"/>
      <c r="BA312"/>
      <c r="BB312"/>
      <c r="BD312" s="191" t="e">
        <v>#REF!</v>
      </c>
    </row>
    <row r="313" spans="1:56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/>
      <c r="S313" s="201"/>
      <c r="T313" s="202"/>
      <c r="U313" s="246"/>
      <c r="V313" s="246"/>
      <c r="W313" s="246"/>
      <c r="BA313"/>
      <c r="BB313"/>
      <c r="BD313" s="191" t="e">
        <v>#REF!</v>
      </c>
    </row>
    <row r="314" spans="1:56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/>
      <c r="S314" s="201"/>
      <c r="T314" s="202"/>
      <c r="U314" s="246"/>
      <c r="V314" s="246"/>
      <c r="W314" s="246"/>
      <c r="BA314"/>
      <c r="BB314"/>
      <c r="BD314" s="191" t="e">
        <v>#REF!</v>
      </c>
    </row>
    <row r="315" spans="1:56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/>
      <c r="S315" s="201"/>
      <c r="T315" s="202"/>
      <c r="U315" s="246"/>
      <c r="V315" s="246"/>
      <c r="W315" s="246"/>
      <c r="BA315"/>
      <c r="BB315"/>
      <c r="BD315" s="191" t="e">
        <v>#REF!</v>
      </c>
    </row>
    <row r="316" spans="1:56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/>
      <c r="S316" s="201"/>
      <c r="T316" s="202"/>
      <c r="U316" s="246"/>
      <c r="V316" s="246"/>
      <c r="W316" s="246"/>
      <c r="BA316"/>
      <c r="BB316"/>
      <c r="BD316" s="191" t="e">
        <v>#REF!</v>
      </c>
    </row>
    <row r="317" spans="1:56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/>
      <c r="S317" s="201"/>
      <c r="T317" s="202"/>
      <c r="U317" s="246"/>
      <c r="V317" s="246"/>
      <c r="W317" s="246"/>
      <c r="BA317"/>
      <c r="BB317"/>
      <c r="BD317" s="191" t="e">
        <v>#REF!</v>
      </c>
    </row>
    <row r="318" spans="1:56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/>
      <c r="S318" s="201"/>
      <c r="T318" s="202"/>
      <c r="U318" s="246"/>
      <c r="V318" s="246"/>
      <c r="W318" s="246"/>
      <c r="BA318"/>
      <c r="BB318"/>
      <c r="BD318" s="191" t="e">
        <v>#REF!</v>
      </c>
    </row>
    <row r="319" spans="1:56" s="191" customFormat="1" ht="13.5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/>
      <c r="S319" s="201"/>
      <c r="T319" s="202"/>
      <c r="U319" s="246"/>
      <c r="V319" s="246"/>
      <c r="W319" s="246"/>
      <c r="BA319"/>
      <c r="BB319"/>
      <c r="BD319" s="191" t="e">
        <v>#REF!</v>
      </c>
    </row>
    <row r="320" spans="1:56" s="191" customFormat="1" ht="13.5">
      <c r="A320" s="226"/>
      <c r="B320" s="180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194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00"/>
      <c r="S320" s="201"/>
      <c r="T320" s="202"/>
      <c r="U320" s="246"/>
      <c r="V320" s="246"/>
      <c r="W320" s="246"/>
      <c r="BA320"/>
      <c r="BB320"/>
      <c r="BD320" s="191" t="e">
        <v>#REF!</v>
      </c>
    </row>
    <row r="321" spans="1:56" s="191" customFormat="1" ht="13.5">
      <c r="A321" s="226"/>
      <c r="B321" s="180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194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00"/>
      <c r="S321" s="201"/>
      <c r="T321" s="202"/>
      <c r="U321" s="246"/>
      <c r="V321" s="246"/>
      <c r="W321" s="246"/>
      <c r="BA321"/>
      <c r="BB321"/>
      <c r="BD321" s="191" t="e">
        <v>#REF!</v>
      </c>
    </row>
    <row r="322" spans="1:56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/>
      <c r="S322" s="201"/>
      <c r="T322" s="202"/>
      <c r="U322" s="246"/>
      <c r="V322" s="246"/>
      <c r="W322" s="246"/>
      <c r="BA322"/>
      <c r="BB322"/>
      <c r="BD322" s="191" t="e">
        <v>#REF!</v>
      </c>
    </row>
    <row r="323" spans="1:56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/>
      <c r="S323" s="201"/>
      <c r="T323" s="202"/>
      <c r="U323" s="246"/>
      <c r="V323" s="246"/>
      <c r="W323" s="246"/>
      <c r="BA323"/>
      <c r="BB323"/>
      <c r="BD323" s="191" t="e">
        <v>#REF!</v>
      </c>
    </row>
    <row r="324" spans="1:56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/>
      <c r="S324" s="201"/>
      <c r="T324" s="202"/>
      <c r="U324" s="246"/>
      <c r="V324" s="246"/>
      <c r="W324" s="246"/>
      <c r="BA324"/>
      <c r="BB324"/>
      <c r="BD324" s="191" t="e">
        <v>#REF!</v>
      </c>
    </row>
    <row r="325" spans="1:56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/>
      <c r="S325" s="201"/>
      <c r="T325" s="202"/>
      <c r="U325" s="246"/>
      <c r="V325" s="246"/>
      <c r="W325" s="246"/>
      <c r="BA325"/>
      <c r="BB325"/>
      <c r="BD325" s="191" t="e">
        <v>#REF!</v>
      </c>
    </row>
    <row r="326" spans="1:56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/>
      <c r="S326" s="201"/>
      <c r="T326" s="202"/>
      <c r="U326" s="246"/>
      <c r="V326" s="246"/>
      <c r="W326" s="246"/>
      <c r="BA326"/>
      <c r="BB326"/>
      <c r="BD326" s="191" t="e">
        <v>#REF!</v>
      </c>
    </row>
    <row r="327" spans="1:56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/>
      <c r="S327" s="201"/>
      <c r="T327" s="202"/>
      <c r="U327" s="246"/>
      <c r="V327" s="246"/>
      <c r="W327" s="246"/>
      <c r="BA327"/>
      <c r="BB327"/>
      <c r="BD327" s="191" t="e">
        <v>#REF!</v>
      </c>
    </row>
    <row r="328" spans="1:56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/>
      <c r="S328" s="201"/>
      <c r="T328" s="202"/>
      <c r="U328" s="246"/>
      <c r="V328" s="246"/>
      <c r="W328" s="246"/>
      <c r="BA328"/>
      <c r="BB328"/>
      <c r="BD328" s="191" t="e">
        <v>#REF!</v>
      </c>
    </row>
    <row r="329" spans="1:56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/>
      <c r="S329" s="201"/>
      <c r="T329" s="202"/>
      <c r="U329" s="246"/>
      <c r="V329" s="246"/>
      <c r="W329" s="246"/>
      <c r="BA329"/>
      <c r="BB329"/>
      <c r="BD329" s="191" t="e">
        <v>#REF!</v>
      </c>
    </row>
    <row r="330" spans="1:56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/>
      <c r="S330" s="201"/>
      <c r="T330" s="202"/>
      <c r="U330" s="246"/>
      <c r="V330" s="246"/>
      <c r="W330" s="246"/>
      <c r="BA330"/>
      <c r="BB330"/>
      <c r="BD330" s="191" t="e">
        <v>#REF!</v>
      </c>
    </row>
    <row r="331" spans="1:56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/>
      <c r="S331" s="201"/>
      <c r="T331" s="202"/>
      <c r="U331" s="246"/>
      <c r="V331" s="246"/>
      <c r="W331" s="246"/>
      <c r="BA331"/>
      <c r="BB331"/>
      <c r="BD331" s="191" t="e">
        <v>#REF!</v>
      </c>
    </row>
    <row r="332" spans="1:56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/>
      <c r="S332" s="201"/>
      <c r="T332" s="202"/>
      <c r="U332" s="246"/>
      <c r="V332" s="246"/>
      <c r="W332" s="246"/>
      <c r="BA332"/>
      <c r="BB332"/>
      <c r="BD332" s="191" t="e">
        <v>#REF!</v>
      </c>
    </row>
    <row r="333" spans="1:56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/>
      <c r="S333" s="201"/>
      <c r="T333" s="202"/>
      <c r="U333" s="246"/>
      <c r="V333" s="246"/>
      <c r="W333" s="246"/>
      <c r="BA333"/>
      <c r="BB333"/>
      <c r="BD333" s="191" t="e">
        <v>#REF!</v>
      </c>
    </row>
    <row r="334" spans="1:56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/>
      <c r="S334" s="201"/>
      <c r="T334" s="202"/>
      <c r="U334" s="246"/>
      <c r="V334" s="246"/>
      <c r="W334" s="246"/>
      <c r="BA334"/>
      <c r="BB334"/>
      <c r="BD334" s="191" t="e">
        <v>#REF!</v>
      </c>
    </row>
    <row r="335" spans="1:56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/>
      <c r="S335" s="201"/>
      <c r="T335" s="202"/>
      <c r="U335" s="246"/>
      <c r="V335" s="246"/>
      <c r="W335" s="246"/>
      <c r="BA335"/>
      <c r="BB335"/>
      <c r="BD335" s="191" t="e">
        <v>#REF!</v>
      </c>
    </row>
    <row r="336" spans="1:56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/>
      <c r="S336" s="201"/>
      <c r="T336" s="202"/>
      <c r="U336" s="246"/>
      <c r="V336" s="246"/>
      <c r="W336" s="246"/>
      <c r="BA336"/>
      <c r="BB336"/>
      <c r="BD336" s="191" t="e">
        <v>#REF!</v>
      </c>
    </row>
    <row r="337" spans="1:56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/>
      <c r="S337" s="201"/>
      <c r="T337" s="202"/>
      <c r="U337" s="246"/>
      <c r="V337" s="246"/>
      <c r="W337" s="246"/>
      <c r="BA337"/>
      <c r="BB337"/>
      <c r="BD337" s="191" t="e">
        <v>#REF!</v>
      </c>
    </row>
    <row r="338" spans="1:56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/>
      <c r="S338" s="201"/>
      <c r="T338" s="202"/>
      <c r="U338" s="246"/>
      <c r="V338" s="246"/>
      <c r="W338" s="246"/>
      <c r="BA338"/>
      <c r="BB338"/>
      <c r="BD338" s="191" t="e">
        <v>#REF!</v>
      </c>
    </row>
    <row r="339" spans="1:56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/>
      <c r="S339" s="201"/>
      <c r="T339" s="202"/>
      <c r="U339" s="246"/>
      <c r="V339" s="246"/>
      <c r="W339" s="246"/>
      <c r="BA339"/>
      <c r="BB339"/>
      <c r="BD339" s="191" t="e">
        <v>#REF!</v>
      </c>
    </row>
    <row r="340" spans="1:56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/>
      <c r="S340" s="201"/>
      <c r="T340" s="202"/>
      <c r="U340" s="246"/>
      <c r="V340" s="246"/>
      <c r="W340" s="246"/>
      <c r="BA340"/>
      <c r="BB340"/>
      <c r="BD340" s="191" t="e">
        <v>#REF!</v>
      </c>
    </row>
    <row r="341" spans="1:56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/>
      <c r="S341" s="201"/>
      <c r="T341" s="202"/>
      <c r="U341" s="246"/>
      <c r="V341" s="246"/>
      <c r="W341" s="246"/>
      <c r="BA341"/>
      <c r="BB341"/>
      <c r="BD341" s="191" t="e">
        <v>#REF!</v>
      </c>
    </row>
    <row r="342" spans="1:56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/>
      <c r="S342" s="201"/>
      <c r="T342" s="202"/>
      <c r="U342" s="246"/>
      <c r="V342" s="246"/>
      <c r="W342" s="246"/>
      <c r="BA342"/>
      <c r="BB342"/>
      <c r="BD342" s="191" t="e">
        <v>#REF!</v>
      </c>
    </row>
    <row r="343" spans="1:56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/>
      <c r="S343" s="201"/>
      <c r="T343" s="202"/>
      <c r="U343" s="246"/>
      <c r="V343" s="246"/>
      <c r="W343" s="246"/>
      <c r="BA343"/>
      <c r="BB343"/>
      <c r="BD343" s="191" t="e">
        <v>#REF!</v>
      </c>
    </row>
    <row r="344" spans="1:56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/>
      <c r="S344" s="201"/>
      <c r="T344" s="202"/>
      <c r="U344" s="246"/>
      <c r="V344" s="246"/>
      <c r="W344" s="246"/>
      <c r="BA344"/>
      <c r="BB344"/>
      <c r="BD344" s="191" t="e">
        <v>#REF!</v>
      </c>
    </row>
    <row r="345" spans="1:56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/>
      <c r="S345" s="201"/>
      <c r="T345" s="202"/>
      <c r="U345" s="246"/>
      <c r="V345" s="246"/>
      <c r="W345" s="246"/>
      <c r="BA345"/>
      <c r="BB345"/>
      <c r="BD345" s="191" t="e">
        <v>#REF!</v>
      </c>
    </row>
    <row r="346" spans="1:56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/>
      <c r="S346" s="201"/>
      <c r="T346" s="202"/>
      <c r="U346" s="246"/>
      <c r="V346" s="246"/>
      <c r="W346" s="246"/>
      <c r="BA346"/>
      <c r="BB346"/>
      <c r="BD346" s="191" t="e">
        <v>#REF!</v>
      </c>
    </row>
    <row r="347" spans="1:56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/>
      <c r="S347" s="201"/>
      <c r="T347" s="202"/>
      <c r="U347" s="246"/>
      <c r="V347" s="246"/>
      <c r="W347" s="246"/>
      <c r="BA347"/>
      <c r="BB347"/>
      <c r="BD347" s="191" t="e">
        <v>#REF!</v>
      </c>
    </row>
    <row r="348" spans="1:56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/>
      <c r="S348" s="201"/>
      <c r="T348" s="202"/>
      <c r="U348" s="246"/>
      <c r="V348" s="246"/>
      <c r="W348" s="246"/>
      <c r="BA348"/>
      <c r="BB348"/>
      <c r="BD348" s="191" t="e">
        <v>#REF!</v>
      </c>
    </row>
    <row r="349" spans="1:56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/>
      <c r="S349" s="201"/>
      <c r="T349" s="202"/>
      <c r="U349" s="246"/>
      <c r="V349" s="246"/>
      <c r="W349" s="246"/>
      <c r="BA349"/>
      <c r="BB349"/>
      <c r="BD349" s="191" t="e">
        <v>#REF!</v>
      </c>
    </row>
    <row r="350" spans="1:56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/>
      <c r="S350" s="201"/>
      <c r="T350" s="202"/>
      <c r="U350" s="246"/>
      <c r="V350" s="246"/>
      <c r="W350" s="246"/>
      <c r="BA350"/>
      <c r="BB350"/>
      <c r="BD350" s="191" t="e">
        <v>#REF!</v>
      </c>
    </row>
    <row r="351" spans="1:56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/>
      <c r="S351" s="201"/>
      <c r="T351" s="202"/>
      <c r="U351" s="246"/>
      <c r="V351" s="246"/>
      <c r="W351" s="246"/>
      <c r="BA351"/>
      <c r="BB351"/>
      <c r="BD351" s="191" t="e">
        <v>#REF!</v>
      </c>
    </row>
    <row r="352" spans="1:56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/>
      <c r="S352" s="201"/>
      <c r="T352" s="202"/>
      <c r="U352" s="246"/>
      <c r="V352" s="246"/>
      <c r="W352" s="246"/>
      <c r="BA352"/>
      <c r="BB352"/>
      <c r="BD352" s="191" t="e">
        <v>#REF!</v>
      </c>
    </row>
    <row r="353" spans="1:56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/>
      <c r="S353" s="201"/>
      <c r="T353" s="202"/>
      <c r="U353" s="246"/>
      <c r="V353" s="246"/>
      <c r="W353" s="246"/>
      <c r="BA353"/>
      <c r="BB353"/>
      <c r="BD353" s="191" t="e">
        <v>#REF!</v>
      </c>
    </row>
    <row r="354" spans="1:56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/>
      <c r="S354" s="201"/>
      <c r="T354" s="202"/>
      <c r="U354" s="246"/>
      <c r="V354" s="246"/>
      <c r="W354" s="246"/>
      <c r="BA354"/>
      <c r="BB354"/>
      <c r="BD354" s="191" t="e">
        <v>#REF!</v>
      </c>
    </row>
    <row r="355" spans="1:56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/>
      <c r="S355" s="201"/>
      <c r="T355" s="202"/>
      <c r="U355" s="246"/>
      <c r="V355" s="246"/>
      <c r="W355" s="246"/>
      <c r="BA355"/>
      <c r="BB355"/>
      <c r="BD355" s="191" t="e">
        <v>#REF!</v>
      </c>
    </row>
    <row r="356" spans="1:56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/>
      <c r="S356" s="201"/>
      <c r="T356" s="202"/>
      <c r="U356" s="246"/>
      <c r="V356" s="246"/>
      <c r="W356" s="246"/>
      <c r="BA356"/>
      <c r="BB356"/>
      <c r="BD356" s="191" t="e">
        <v>#REF!</v>
      </c>
    </row>
    <row r="357" spans="1:56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/>
      <c r="S357" s="201"/>
      <c r="T357" s="202"/>
      <c r="U357" s="246"/>
      <c r="V357" s="246"/>
      <c r="W357" s="246"/>
      <c r="BA357"/>
      <c r="BB357"/>
      <c r="BD357" s="191" t="e">
        <v>#REF!</v>
      </c>
    </row>
    <row r="358" spans="1:56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/>
      <c r="S358" s="201"/>
      <c r="T358" s="202"/>
      <c r="U358" s="246"/>
      <c r="V358" s="246"/>
      <c r="W358" s="246"/>
      <c r="BA358"/>
      <c r="BB358"/>
      <c r="BD358" s="191" t="e">
        <v>#REF!</v>
      </c>
    </row>
    <row r="359" spans="1:56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/>
      <c r="S359" s="201"/>
      <c r="T359" s="202"/>
      <c r="U359" s="246"/>
      <c r="V359" s="246"/>
      <c r="W359" s="246"/>
      <c r="BA359"/>
      <c r="BB359"/>
      <c r="BD359" s="191" t="e">
        <v>#REF!</v>
      </c>
    </row>
    <row r="360" spans="1:56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/>
      <c r="S360" s="201"/>
      <c r="T360" s="202"/>
      <c r="U360" s="246"/>
      <c r="V360" s="246"/>
      <c r="W360" s="246"/>
      <c r="BA360"/>
      <c r="BB360"/>
      <c r="BD360" s="191" t="e">
        <v>#REF!</v>
      </c>
    </row>
    <row r="361" spans="1:56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/>
      <c r="S361" s="201"/>
      <c r="T361" s="202"/>
      <c r="U361" s="246"/>
      <c r="V361" s="246"/>
      <c r="W361" s="246"/>
      <c r="BA361"/>
      <c r="BB361"/>
      <c r="BD361" s="191" t="e">
        <v>#REF!</v>
      </c>
    </row>
    <row r="362" spans="1:56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/>
      <c r="S362" s="201"/>
      <c r="T362" s="202"/>
      <c r="U362" s="246"/>
      <c r="V362" s="246"/>
      <c r="W362" s="246"/>
      <c r="BA362"/>
      <c r="BB362"/>
      <c r="BD362" s="191" t="e">
        <v>#REF!</v>
      </c>
    </row>
    <row r="363" spans="1:56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/>
      <c r="S363" s="201"/>
      <c r="T363" s="202"/>
      <c r="U363" s="246"/>
      <c r="V363" s="246"/>
      <c r="W363" s="246"/>
      <c r="BA363"/>
      <c r="BB363"/>
      <c r="BD363" s="191" t="e">
        <v>#REF!</v>
      </c>
    </row>
    <row r="364" spans="1:56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/>
      <c r="S364" s="201"/>
      <c r="T364" s="202"/>
      <c r="U364" s="246"/>
      <c r="V364" s="246"/>
      <c r="W364" s="246"/>
      <c r="BA364"/>
      <c r="BB364"/>
      <c r="BD364" s="191" t="e">
        <v>#REF!</v>
      </c>
    </row>
    <row r="365" spans="1:56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/>
      <c r="S365" s="201"/>
      <c r="T365" s="202"/>
      <c r="U365" s="246"/>
      <c r="V365" s="246"/>
      <c r="W365" s="246"/>
      <c r="BA365"/>
      <c r="BB365"/>
      <c r="BD365" s="191" t="e">
        <v>#REF!</v>
      </c>
    </row>
    <row r="366" spans="1:56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/>
      <c r="S366" s="201"/>
      <c r="T366" s="202"/>
      <c r="U366" s="246"/>
      <c r="V366" s="246"/>
      <c r="W366" s="246"/>
      <c r="BA366"/>
      <c r="BB366"/>
      <c r="BD366" s="191" t="e">
        <v>#REF!</v>
      </c>
    </row>
    <row r="367" spans="1:56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/>
      <c r="S367" s="201"/>
      <c r="T367" s="202"/>
      <c r="U367" s="246"/>
      <c r="V367" s="246"/>
      <c r="W367" s="246"/>
      <c r="BA367"/>
      <c r="BB367"/>
      <c r="BD367" s="191" t="e">
        <v>#REF!</v>
      </c>
    </row>
    <row r="368" spans="1:56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/>
      <c r="S368" s="201"/>
      <c r="T368" s="202"/>
      <c r="U368" s="246"/>
      <c r="V368" s="246"/>
      <c r="W368" s="246"/>
      <c r="BA368"/>
      <c r="BB368"/>
      <c r="BD368" s="191" t="e">
        <v>#REF!</v>
      </c>
    </row>
    <row r="369" spans="1:56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/>
      <c r="S369" s="201"/>
      <c r="T369" s="202"/>
      <c r="U369" s="246"/>
      <c r="V369" s="246"/>
      <c r="W369" s="246"/>
      <c r="BA369"/>
      <c r="BB369"/>
      <c r="BD369" s="191" t="e">
        <v>#REF!</v>
      </c>
    </row>
    <row r="370" spans="1:56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/>
      <c r="S370" s="201"/>
      <c r="T370" s="202"/>
      <c r="U370" s="246"/>
      <c r="V370" s="246"/>
      <c r="W370" s="246"/>
      <c r="BA370"/>
      <c r="BB370"/>
      <c r="BD370" s="191" t="e">
        <v>#REF!</v>
      </c>
    </row>
    <row r="371" spans="1:56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/>
      <c r="S371" s="201"/>
      <c r="T371" s="202"/>
      <c r="U371" s="246"/>
      <c r="V371" s="246"/>
      <c r="W371" s="246"/>
      <c r="BA371"/>
      <c r="BB371"/>
      <c r="BD371" s="191" t="e">
        <v>#REF!</v>
      </c>
    </row>
    <row r="372" spans="1:56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/>
      <c r="S372" s="201"/>
      <c r="T372" s="202"/>
      <c r="U372" s="246"/>
      <c r="V372" s="246"/>
      <c r="W372" s="246"/>
      <c r="BA372"/>
      <c r="BB372"/>
      <c r="BD372" s="191" t="e">
        <v>#REF!</v>
      </c>
    </row>
    <row r="373" spans="1:56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/>
      <c r="S373" s="201"/>
      <c r="T373" s="202"/>
      <c r="U373" s="246"/>
      <c r="V373" s="246"/>
      <c r="W373" s="246"/>
      <c r="BA373"/>
      <c r="BB373"/>
      <c r="BD373" s="191" t="e">
        <v>#REF!</v>
      </c>
    </row>
    <row r="374" spans="1:56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/>
      <c r="S374" s="201"/>
      <c r="T374" s="202"/>
      <c r="U374" s="246"/>
      <c r="V374" s="246"/>
      <c r="W374" s="246"/>
      <c r="BA374"/>
      <c r="BB374"/>
      <c r="BD374" s="191" t="e">
        <v>#REF!</v>
      </c>
    </row>
    <row r="375" spans="1:56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/>
      <c r="S375" s="201"/>
      <c r="T375" s="202"/>
      <c r="U375" s="246"/>
      <c r="V375" s="246"/>
      <c r="W375" s="246"/>
      <c r="BA375"/>
      <c r="BB375"/>
      <c r="BD375" s="191" t="e">
        <v>#REF!</v>
      </c>
    </row>
    <row r="376" spans="1:56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/>
      <c r="S376" s="201"/>
      <c r="T376" s="202"/>
      <c r="U376" s="246"/>
      <c r="V376" s="246"/>
      <c r="W376" s="246"/>
      <c r="BA376"/>
      <c r="BB376"/>
      <c r="BD376" s="191" t="e">
        <v>#REF!</v>
      </c>
    </row>
    <row r="377" spans="1:56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/>
      <c r="S377" s="201"/>
      <c r="T377" s="202"/>
      <c r="U377" s="246"/>
      <c r="V377" s="246"/>
      <c r="W377" s="246"/>
      <c r="BA377"/>
      <c r="BB377"/>
      <c r="BD377" s="191" t="e">
        <v>#REF!</v>
      </c>
    </row>
    <row r="378" spans="1:56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/>
      <c r="S378" s="201"/>
      <c r="T378" s="202"/>
      <c r="U378" s="246"/>
      <c r="V378" s="246"/>
      <c r="W378" s="246"/>
      <c r="BA378"/>
      <c r="BB378"/>
      <c r="BD378" s="191" t="e">
        <v>#REF!</v>
      </c>
    </row>
    <row r="379" spans="1:56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/>
      <c r="S379" s="201"/>
      <c r="T379" s="202"/>
      <c r="U379" s="246"/>
      <c r="V379" s="246"/>
      <c r="W379" s="246"/>
      <c r="BA379"/>
      <c r="BB379"/>
      <c r="BD379" s="191" t="e">
        <v>#REF!</v>
      </c>
    </row>
    <row r="380" spans="1:56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/>
      <c r="S380" s="201"/>
      <c r="T380" s="202"/>
      <c r="U380" s="246"/>
      <c r="V380" s="246"/>
      <c r="W380" s="246"/>
      <c r="BA380"/>
      <c r="BB380"/>
      <c r="BD380" s="191" t="e">
        <v>#REF!</v>
      </c>
    </row>
    <row r="381" spans="1:56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/>
      <c r="S381" s="201"/>
      <c r="T381" s="202"/>
      <c r="U381" s="246"/>
      <c r="V381" s="246"/>
      <c r="W381" s="246"/>
      <c r="BA381"/>
      <c r="BB381"/>
      <c r="BD381" s="191" t="e">
        <v>#REF!</v>
      </c>
    </row>
    <row r="382" spans="1:56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/>
      <c r="S382" s="201"/>
      <c r="T382" s="202"/>
      <c r="U382" s="246"/>
      <c r="V382" s="246"/>
      <c r="W382" s="246"/>
      <c r="BA382"/>
      <c r="BB382"/>
      <c r="BD382" s="191" t="e">
        <v>#REF!</v>
      </c>
    </row>
    <row r="383" spans="1:56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/>
      <c r="S383" s="201"/>
      <c r="T383" s="202"/>
      <c r="U383" s="246"/>
      <c r="V383" s="246"/>
      <c r="W383" s="246"/>
      <c r="BA383"/>
      <c r="BB383"/>
      <c r="BD383" s="191" t="e">
        <v>#REF!</v>
      </c>
    </row>
    <row r="384" spans="1:56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/>
      <c r="S384" s="201"/>
      <c r="T384" s="202"/>
      <c r="U384" s="246"/>
      <c r="V384" s="246"/>
      <c r="W384" s="246"/>
      <c r="BA384"/>
      <c r="BB384"/>
      <c r="BD384" s="191" t="e">
        <v>#REF!</v>
      </c>
    </row>
    <row r="385" spans="1:56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/>
      <c r="S385" s="201"/>
      <c r="T385" s="202"/>
      <c r="U385" s="246"/>
      <c r="V385" s="246"/>
      <c r="W385" s="246"/>
      <c r="BA385"/>
      <c r="BB385"/>
      <c r="BD385" s="191" t="e">
        <v>#REF!</v>
      </c>
    </row>
    <row r="386" spans="1:56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/>
      <c r="S386" s="201"/>
      <c r="T386" s="202"/>
      <c r="U386" s="246"/>
      <c r="V386" s="246"/>
      <c r="W386" s="246"/>
      <c r="BA386"/>
      <c r="BB386"/>
      <c r="BD386" s="191" t="e">
        <v>#REF!</v>
      </c>
    </row>
    <row r="387" spans="1:56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/>
      <c r="S387" s="201"/>
      <c r="T387" s="202"/>
      <c r="U387" s="246"/>
      <c r="V387" s="246"/>
      <c r="W387" s="246"/>
      <c r="BA387"/>
      <c r="BB387"/>
      <c r="BD387" s="191" t="e">
        <v>#REF!</v>
      </c>
    </row>
    <row r="388" spans="1:56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/>
      <c r="S388" s="201"/>
      <c r="T388" s="202"/>
      <c r="U388" s="246"/>
      <c r="V388" s="246"/>
      <c r="W388" s="246"/>
      <c r="BA388"/>
      <c r="BB388"/>
      <c r="BD388" s="191" t="e">
        <v>#REF!</v>
      </c>
    </row>
    <row r="389" spans="1:56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/>
      <c r="S389" s="201"/>
      <c r="T389" s="202"/>
      <c r="U389" s="246"/>
      <c r="V389" s="246"/>
      <c r="W389" s="246"/>
      <c r="BA389"/>
      <c r="BB389"/>
      <c r="BD389" s="191" t="e">
        <v>#REF!</v>
      </c>
    </row>
    <row r="390" spans="1:56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/>
      <c r="S390" s="201"/>
      <c r="T390" s="202"/>
      <c r="U390" s="246"/>
      <c r="V390" s="246"/>
      <c r="W390" s="246"/>
      <c r="BA390"/>
      <c r="BB390"/>
      <c r="BD390" s="191" t="e">
        <v>#REF!</v>
      </c>
    </row>
    <row r="391" spans="1:56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/>
      <c r="S391" s="201"/>
      <c r="T391" s="202"/>
      <c r="U391" s="246"/>
      <c r="V391" s="246"/>
      <c r="W391" s="246"/>
      <c r="BA391"/>
      <c r="BB391"/>
      <c r="BD391" s="191" t="e">
        <v>#REF!</v>
      </c>
    </row>
    <row r="392" spans="1:56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/>
      <c r="S392" s="201"/>
      <c r="T392" s="202"/>
      <c r="U392" s="246"/>
      <c r="V392" s="246"/>
      <c r="W392" s="246"/>
      <c r="BA392"/>
      <c r="BB392"/>
      <c r="BD392" s="191" t="e">
        <v>#REF!</v>
      </c>
    </row>
    <row r="393" spans="1:56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/>
      <c r="S393" s="201"/>
      <c r="T393" s="202"/>
      <c r="U393" s="246"/>
      <c r="V393" s="246"/>
      <c r="W393" s="246"/>
      <c r="BA393"/>
      <c r="BB393"/>
      <c r="BD393" s="191" t="e">
        <v>#REF!</v>
      </c>
    </row>
    <row r="394" spans="1:56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/>
      <c r="S394" s="201"/>
      <c r="T394" s="202"/>
      <c r="U394" s="246"/>
      <c r="V394" s="246"/>
      <c r="W394" s="246"/>
      <c r="BA394"/>
      <c r="BB394"/>
      <c r="BD394" s="191" t="e">
        <v>#REF!</v>
      </c>
    </row>
    <row r="395" spans="1:56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/>
      <c r="S395" s="201"/>
      <c r="T395" s="202"/>
      <c r="U395" s="246"/>
      <c r="V395" s="246"/>
      <c r="W395" s="246"/>
      <c r="BA395"/>
      <c r="BB395"/>
      <c r="BD395" s="191" t="e">
        <v>#REF!</v>
      </c>
    </row>
    <row r="396" spans="1:56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/>
      <c r="S396" s="201"/>
      <c r="T396" s="202"/>
      <c r="U396" s="246"/>
      <c r="V396" s="246"/>
      <c r="W396" s="246"/>
      <c r="BA396"/>
      <c r="BB396"/>
      <c r="BD396" s="191" t="e">
        <v>#REF!</v>
      </c>
    </row>
    <row r="397" spans="1:56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/>
      <c r="S397" s="201"/>
      <c r="T397" s="202"/>
      <c r="U397" s="246"/>
      <c r="V397" s="246"/>
      <c r="W397" s="246"/>
      <c r="BA397"/>
      <c r="BB397"/>
      <c r="BD397" s="191" t="e">
        <v>#REF!</v>
      </c>
    </row>
    <row r="398" spans="1:56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/>
      <c r="S398" s="201"/>
      <c r="T398" s="202"/>
      <c r="U398" s="246"/>
      <c r="V398" s="246"/>
      <c r="W398" s="246"/>
      <c r="BA398"/>
      <c r="BB398"/>
      <c r="BD398" s="191" t="e">
        <v>#REF!</v>
      </c>
    </row>
    <row r="399" spans="1:56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/>
      <c r="S399" s="201"/>
      <c r="T399" s="202"/>
      <c r="U399" s="246"/>
      <c r="V399" s="246"/>
      <c r="W399" s="246"/>
      <c r="BA399"/>
      <c r="BB399"/>
      <c r="BD399" s="191" t="e">
        <v>#REF!</v>
      </c>
    </row>
    <row r="400" spans="1:56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/>
      <c r="S400" s="201"/>
      <c r="T400" s="202"/>
      <c r="U400" s="246"/>
      <c r="V400" s="246"/>
      <c r="W400" s="246"/>
      <c r="BA400"/>
      <c r="BB400"/>
      <c r="BD400" s="191" t="e">
        <v>#REF!</v>
      </c>
    </row>
    <row r="401" spans="1:56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/>
      <c r="S401" s="201"/>
      <c r="T401" s="202"/>
      <c r="U401" s="246"/>
      <c r="V401" s="246"/>
      <c r="W401" s="246"/>
      <c r="BA401"/>
      <c r="BB401"/>
      <c r="BD401" s="191" t="e">
        <v>#REF!</v>
      </c>
    </row>
    <row r="402" spans="1:56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/>
      <c r="S402" s="201"/>
      <c r="T402" s="202"/>
      <c r="U402" s="246"/>
      <c r="V402" s="246"/>
      <c r="W402" s="246"/>
      <c r="BA402"/>
      <c r="BB402"/>
      <c r="BD402" s="191" t="e">
        <v>#REF!</v>
      </c>
    </row>
    <row r="403" spans="1:56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/>
      <c r="S403" s="201"/>
      <c r="T403" s="202"/>
      <c r="U403" s="246"/>
      <c r="V403" s="246"/>
      <c r="W403" s="246"/>
      <c r="BA403"/>
      <c r="BB403"/>
      <c r="BD403" s="191" t="e">
        <v>#REF!</v>
      </c>
    </row>
    <row r="404" spans="1:56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/>
      <c r="S404" s="201"/>
      <c r="T404" s="202"/>
      <c r="U404" s="246"/>
      <c r="V404" s="246"/>
      <c r="W404" s="246"/>
      <c r="BA404"/>
      <c r="BB404"/>
      <c r="BD404" s="191" t="e">
        <v>#REF!</v>
      </c>
    </row>
    <row r="405" spans="1:56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/>
      <c r="S405" s="201"/>
      <c r="T405" s="202"/>
      <c r="U405" s="246"/>
      <c r="V405" s="246"/>
      <c r="W405" s="246"/>
      <c r="BA405"/>
      <c r="BB405"/>
      <c r="BD405" s="191" t="e">
        <v>#REF!</v>
      </c>
    </row>
    <row r="406" spans="1:56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/>
      <c r="S406" s="201"/>
      <c r="T406" s="202"/>
      <c r="U406" s="246"/>
      <c r="V406" s="246"/>
      <c r="W406" s="246"/>
      <c r="BA406"/>
      <c r="BB406"/>
      <c r="BD406" s="191" t="e">
        <v>#REF!</v>
      </c>
    </row>
    <row r="407" spans="1:56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/>
      <c r="S407" s="201"/>
      <c r="T407" s="202"/>
      <c r="U407" s="246"/>
      <c r="V407" s="246"/>
      <c r="W407" s="246"/>
      <c r="BA407"/>
      <c r="BB407"/>
      <c r="BD407" s="191" t="e">
        <v>#REF!</v>
      </c>
    </row>
    <row r="408" spans="1:56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/>
      <c r="S408" s="201"/>
      <c r="T408" s="202"/>
      <c r="U408" s="246"/>
      <c r="V408" s="246"/>
      <c r="W408" s="246"/>
      <c r="BA408"/>
      <c r="BB408"/>
      <c r="BD408" s="191" t="e">
        <v>#REF!</v>
      </c>
    </row>
    <row r="409" spans="1:56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/>
      <c r="S409" s="201"/>
      <c r="T409" s="202"/>
      <c r="U409" s="246"/>
      <c r="V409" s="246"/>
      <c r="W409" s="246"/>
      <c r="BA409"/>
      <c r="BB409"/>
      <c r="BD409" s="191" t="e">
        <v>#REF!</v>
      </c>
    </row>
    <row r="410" spans="1:56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/>
      <c r="S410" s="201"/>
      <c r="T410" s="202"/>
      <c r="U410" s="246"/>
      <c r="V410" s="246"/>
      <c r="W410" s="246"/>
      <c r="BA410"/>
      <c r="BB410"/>
      <c r="BD410" s="191" t="e">
        <v>#REF!</v>
      </c>
    </row>
    <row r="411" spans="1:56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/>
      <c r="S411" s="201"/>
      <c r="T411" s="202"/>
      <c r="U411" s="246"/>
      <c r="V411" s="246"/>
      <c r="W411" s="246"/>
      <c r="BA411"/>
      <c r="BB411"/>
      <c r="BD411" s="191" t="e">
        <v>#REF!</v>
      </c>
    </row>
    <row r="412" spans="1:56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/>
      <c r="S412" s="201"/>
      <c r="T412" s="202"/>
      <c r="U412" s="246"/>
      <c r="V412" s="246"/>
      <c r="W412" s="246"/>
      <c r="BA412"/>
      <c r="BB412"/>
      <c r="BD412" s="191" t="e">
        <v>#REF!</v>
      </c>
    </row>
    <row r="413" spans="1:56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/>
      <c r="S413" s="201"/>
      <c r="T413" s="202"/>
      <c r="U413" s="246"/>
      <c r="V413" s="246"/>
      <c r="W413" s="246"/>
      <c r="BA413"/>
      <c r="BB413"/>
      <c r="BD413" s="191" t="e">
        <v>#REF!</v>
      </c>
    </row>
    <row r="414" spans="1:56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/>
      <c r="S414" s="201"/>
      <c r="T414" s="202"/>
      <c r="U414" s="246"/>
      <c r="V414" s="246"/>
      <c r="W414" s="246"/>
      <c r="BA414"/>
      <c r="BB414"/>
      <c r="BD414" s="191" t="e">
        <v>#REF!</v>
      </c>
    </row>
    <row r="415" spans="1:56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/>
      <c r="S415" s="201"/>
      <c r="T415" s="202"/>
      <c r="U415" s="246"/>
      <c r="V415" s="246"/>
      <c r="W415" s="246"/>
      <c r="BA415"/>
      <c r="BB415"/>
      <c r="BD415" s="191" t="e">
        <v>#REF!</v>
      </c>
    </row>
    <row r="416" spans="1:56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/>
      <c r="S416" s="201"/>
      <c r="T416" s="202"/>
      <c r="U416" s="246"/>
      <c r="V416" s="246"/>
      <c r="W416" s="246"/>
      <c r="BA416"/>
      <c r="BB416"/>
      <c r="BD416" s="191" t="e">
        <v>#REF!</v>
      </c>
    </row>
    <row r="417" spans="1:56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/>
      <c r="S417" s="201"/>
      <c r="T417" s="202"/>
      <c r="U417" s="246"/>
      <c r="V417" s="246"/>
      <c r="W417" s="246"/>
      <c r="BA417"/>
      <c r="BB417"/>
      <c r="BD417" s="191" t="e">
        <v>#REF!</v>
      </c>
    </row>
    <row r="418" spans="1:56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/>
      <c r="S418" s="201"/>
      <c r="T418" s="202"/>
      <c r="U418" s="246"/>
      <c r="V418" s="246"/>
      <c r="W418" s="246"/>
      <c r="BA418"/>
      <c r="BB418"/>
      <c r="BD418" s="191" t="e">
        <v>#REF!</v>
      </c>
    </row>
    <row r="419" spans="1:56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/>
      <c r="S419" s="201"/>
      <c r="T419" s="202"/>
      <c r="U419" s="246"/>
      <c r="V419" s="246"/>
      <c r="W419" s="246"/>
      <c r="BA419"/>
      <c r="BB419"/>
      <c r="BD419" s="191" t="e">
        <v>#REF!</v>
      </c>
    </row>
    <row r="420" spans="1:56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/>
      <c r="S420" s="201"/>
      <c r="T420" s="202"/>
      <c r="U420" s="246"/>
      <c r="V420" s="246"/>
      <c r="W420" s="246"/>
      <c r="BA420"/>
      <c r="BB420"/>
      <c r="BD420" s="191" t="e">
        <v>#REF!</v>
      </c>
    </row>
    <row r="421" spans="1:56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/>
      <c r="S421" s="201"/>
      <c r="T421" s="202"/>
      <c r="U421" s="246"/>
      <c r="V421" s="246"/>
      <c r="W421" s="246"/>
      <c r="BA421"/>
      <c r="BB421"/>
      <c r="BD421" s="191" t="e">
        <v>#REF!</v>
      </c>
    </row>
    <row r="422" spans="1:56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/>
      <c r="S422" s="201"/>
      <c r="T422" s="202"/>
      <c r="U422" s="246"/>
      <c r="V422" s="246"/>
      <c r="W422" s="246"/>
      <c r="BA422"/>
      <c r="BB422"/>
      <c r="BD422" s="191" t="e">
        <v>#REF!</v>
      </c>
    </row>
    <row r="423" spans="1:56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/>
      <c r="S423" s="201"/>
      <c r="T423" s="202"/>
      <c r="U423" s="246"/>
      <c r="V423" s="246"/>
      <c r="W423" s="246"/>
      <c r="BA423"/>
      <c r="BB423"/>
      <c r="BD423" s="191" t="e">
        <v>#REF!</v>
      </c>
    </row>
    <row r="424" spans="1:56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/>
      <c r="S424" s="201"/>
      <c r="T424" s="202"/>
      <c r="U424" s="246"/>
      <c r="V424" s="246"/>
      <c r="W424" s="246"/>
      <c r="BA424"/>
      <c r="BB424"/>
      <c r="BD424" s="191" t="e">
        <v>#REF!</v>
      </c>
    </row>
    <row r="425" spans="1:56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/>
      <c r="S425" s="201"/>
      <c r="T425" s="202"/>
      <c r="U425" s="246"/>
      <c r="V425" s="246"/>
      <c r="W425" s="246"/>
      <c r="BA425"/>
      <c r="BB425"/>
      <c r="BD425" s="191" t="e">
        <v>#REF!</v>
      </c>
    </row>
    <row r="426" spans="1:56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/>
      <c r="S426" s="201"/>
      <c r="T426" s="202"/>
      <c r="U426" s="246"/>
      <c r="V426" s="246"/>
      <c r="W426" s="246"/>
      <c r="BA426"/>
      <c r="BB426"/>
      <c r="BD426" s="191" t="e">
        <v>#REF!</v>
      </c>
    </row>
    <row r="427" spans="1:56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/>
      <c r="S427" s="201"/>
      <c r="T427" s="202"/>
      <c r="U427" s="246"/>
      <c r="V427" s="246"/>
      <c r="W427" s="246"/>
      <c r="BA427"/>
      <c r="BB427"/>
      <c r="BD427" s="191" t="e">
        <v>#REF!</v>
      </c>
    </row>
    <row r="428" spans="1:56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/>
      <c r="S428" s="201"/>
      <c r="T428" s="202"/>
      <c r="U428" s="246"/>
      <c r="V428" s="246"/>
      <c r="W428" s="246"/>
      <c r="BA428"/>
      <c r="BB428"/>
      <c r="BD428" s="191" t="e">
        <v>#REF!</v>
      </c>
    </row>
    <row r="429" spans="1:56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/>
      <c r="S429" s="201"/>
      <c r="T429" s="202"/>
      <c r="U429" s="246"/>
      <c r="V429" s="246"/>
      <c r="W429" s="246"/>
      <c r="BA429"/>
      <c r="BB429"/>
      <c r="BD429" s="191" t="e">
        <v>#REF!</v>
      </c>
    </row>
    <row r="430" spans="1:56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/>
      <c r="S430" s="201"/>
      <c r="T430" s="202"/>
      <c r="U430" s="246"/>
      <c r="V430" s="246"/>
      <c r="W430" s="246"/>
      <c r="BA430"/>
      <c r="BB430"/>
      <c r="BD430" s="191" t="e">
        <v>#REF!</v>
      </c>
    </row>
    <row r="431" spans="1:56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/>
      <c r="S431" s="201"/>
      <c r="T431" s="202"/>
      <c r="U431" s="246"/>
      <c r="V431" s="246"/>
      <c r="W431" s="246"/>
      <c r="BA431"/>
      <c r="BB431"/>
      <c r="BD431" s="191" t="e">
        <v>#REF!</v>
      </c>
    </row>
    <row r="432" spans="1:56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/>
      <c r="S432" s="201"/>
      <c r="T432" s="202"/>
      <c r="U432" s="246"/>
      <c r="V432" s="246"/>
      <c r="W432" s="246"/>
      <c r="BA432"/>
      <c r="BB432"/>
      <c r="BD432" s="191" t="e">
        <v>#REF!</v>
      </c>
    </row>
    <row r="433" spans="1:56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/>
      <c r="S433" s="201"/>
      <c r="T433" s="202"/>
      <c r="U433" s="246"/>
      <c r="V433" s="246"/>
      <c r="W433" s="246"/>
      <c r="BA433"/>
      <c r="BB433"/>
      <c r="BD433" s="191" t="e">
        <v>#REF!</v>
      </c>
    </row>
    <row r="434" spans="1:56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/>
      <c r="S434" s="201"/>
      <c r="T434" s="202"/>
      <c r="U434" s="246"/>
      <c r="V434" s="246"/>
      <c r="W434" s="246"/>
      <c r="BA434"/>
      <c r="BB434"/>
      <c r="BD434" s="191" t="e">
        <v>#REF!</v>
      </c>
    </row>
    <row r="435" spans="1:56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/>
      <c r="S435" s="201"/>
      <c r="T435" s="202"/>
      <c r="U435" s="246"/>
      <c r="V435" s="246"/>
      <c r="W435" s="246"/>
      <c r="BA435"/>
      <c r="BB435"/>
      <c r="BD435" s="191" t="e">
        <v>#REF!</v>
      </c>
    </row>
    <row r="436" spans="1:56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/>
      <c r="S436" s="201"/>
      <c r="T436" s="202"/>
      <c r="U436" s="246"/>
      <c r="V436" s="246"/>
      <c r="W436" s="246"/>
      <c r="BA436"/>
      <c r="BB436"/>
      <c r="BD436" s="191" t="e">
        <v>#REF!</v>
      </c>
    </row>
    <row r="437" spans="1:56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/>
      <c r="S437" s="201"/>
      <c r="T437" s="202"/>
      <c r="U437" s="246"/>
      <c r="V437" s="246"/>
      <c r="W437" s="246"/>
      <c r="BA437"/>
      <c r="BB437"/>
      <c r="BD437" s="191" t="e">
        <v>#REF!</v>
      </c>
    </row>
    <row r="438" spans="1:56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/>
      <c r="S438" s="201"/>
      <c r="T438" s="202"/>
      <c r="U438" s="246"/>
      <c r="V438" s="246"/>
      <c r="W438" s="246"/>
      <c r="BA438"/>
      <c r="BB438"/>
      <c r="BD438" s="191" t="e">
        <v>#REF!</v>
      </c>
    </row>
    <row r="439" spans="1:56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/>
      <c r="S439" s="201"/>
      <c r="T439" s="202"/>
      <c r="U439" s="246"/>
      <c r="V439" s="246"/>
      <c r="W439" s="246"/>
      <c r="BA439"/>
      <c r="BB439"/>
      <c r="BD439" s="191" t="e">
        <v>#REF!</v>
      </c>
    </row>
    <row r="440" spans="1:56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/>
      <c r="S440" s="201"/>
      <c r="T440" s="202"/>
      <c r="U440" s="246"/>
      <c r="V440" s="246"/>
      <c r="W440" s="246"/>
      <c r="BA440"/>
      <c r="BB440"/>
      <c r="BD440" s="191" t="e">
        <v>#REF!</v>
      </c>
    </row>
    <row r="441" spans="1:56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/>
      <c r="S441" s="201"/>
      <c r="T441" s="202"/>
      <c r="U441" s="246"/>
      <c r="V441" s="246"/>
      <c r="W441" s="246"/>
      <c r="BA441"/>
      <c r="BB441"/>
      <c r="BD441" s="191" t="e">
        <v>#REF!</v>
      </c>
    </row>
    <row r="442" spans="1:56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/>
      <c r="S442" s="201"/>
      <c r="T442" s="202"/>
      <c r="U442" s="246"/>
      <c r="V442" s="246"/>
      <c r="W442" s="246"/>
      <c r="BA442"/>
      <c r="BB442"/>
      <c r="BD442" s="191" t="e">
        <v>#REF!</v>
      </c>
    </row>
    <row r="443" spans="1:56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/>
      <c r="S443" s="201"/>
      <c r="T443" s="202"/>
      <c r="U443" s="246"/>
      <c r="V443" s="246"/>
      <c r="W443" s="246"/>
      <c r="BA443"/>
      <c r="BB443"/>
      <c r="BD443" s="191" t="e">
        <v>#REF!</v>
      </c>
    </row>
    <row r="444" spans="1:56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/>
      <c r="S444" s="201"/>
      <c r="T444" s="202"/>
      <c r="U444" s="246"/>
      <c r="V444" s="246"/>
      <c r="W444" s="246"/>
      <c r="BA444"/>
      <c r="BB444"/>
      <c r="BD444" s="191" t="e">
        <v>#REF!</v>
      </c>
    </row>
    <row r="445" spans="1:56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/>
      <c r="S445" s="201"/>
      <c r="T445" s="202"/>
      <c r="U445" s="246"/>
      <c r="V445" s="246"/>
      <c r="W445" s="246"/>
      <c r="BA445"/>
      <c r="BB445"/>
      <c r="BD445" s="191" t="e">
        <v>#REF!</v>
      </c>
    </row>
    <row r="446" spans="1:56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/>
      <c r="S446" s="201"/>
      <c r="T446" s="202"/>
      <c r="U446" s="246"/>
      <c r="V446" s="246"/>
      <c r="W446" s="246"/>
      <c r="BA446"/>
      <c r="BB446"/>
      <c r="BD446" s="191" t="e">
        <v>#REF!</v>
      </c>
    </row>
    <row r="447" spans="1:56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/>
      <c r="S447" s="201"/>
      <c r="T447" s="202"/>
      <c r="U447" s="246"/>
      <c r="V447" s="246"/>
      <c r="W447" s="246"/>
      <c r="BA447"/>
      <c r="BB447"/>
      <c r="BD447" s="191" t="e">
        <v>#REF!</v>
      </c>
    </row>
    <row r="448" spans="1:56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/>
      <c r="S448" s="201"/>
      <c r="T448" s="202"/>
      <c r="U448" s="246"/>
      <c r="V448" s="246"/>
      <c r="W448" s="246"/>
      <c r="BA448"/>
      <c r="BB448"/>
      <c r="BD448" s="191" t="e">
        <v>#REF!</v>
      </c>
    </row>
    <row r="449" spans="1:56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/>
      <c r="S449" s="201"/>
      <c r="T449" s="202"/>
      <c r="U449" s="246"/>
      <c r="V449" s="246"/>
      <c r="W449" s="246"/>
      <c r="BA449"/>
      <c r="BB449"/>
      <c r="BD449" s="191" t="e">
        <v>#REF!</v>
      </c>
    </row>
    <row r="450" spans="1:56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/>
      <c r="S450" s="201"/>
      <c r="T450" s="202"/>
      <c r="U450" s="246"/>
      <c r="V450" s="246"/>
      <c r="W450" s="246"/>
      <c r="BA450"/>
      <c r="BB450"/>
      <c r="BD450" s="191" t="e">
        <v>#REF!</v>
      </c>
    </row>
    <row r="451" spans="1:56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/>
      <c r="S451" s="201"/>
      <c r="T451" s="202"/>
      <c r="U451" s="246"/>
      <c r="V451" s="246"/>
      <c r="W451" s="246"/>
      <c r="BA451"/>
      <c r="BB451"/>
      <c r="BD451" s="191" t="e">
        <v>#REF!</v>
      </c>
    </row>
    <row r="452" spans="1:56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/>
      <c r="S452" s="201"/>
      <c r="T452" s="202"/>
      <c r="U452" s="246"/>
      <c r="V452" s="246"/>
      <c r="W452" s="246"/>
      <c r="BA452"/>
      <c r="BB452"/>
      <c r="BD452" s="191" t="e">
        <v>#REF!</v>
      </c>
    </row>
    <row r="453" spans="1:56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/>
      <c r="S453" s="201"/>
      <c r="T453" s="202"/>
      <c r="U453" s="246"/>
      <c r="V453" s="246"/>
      <c r="W453" s="246"/>
      <c r="BA453"/>
      <c r="BB453"/>
      <c r="BD453" s="191" t="e">
        <v>#REF!</v>
      </c>
    </row>
    <row r="454" spans="1:56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/>
      <c r="S454" s="201"/>
      <c r="T454" s="202"/>
      <c r="U454" s="246"/>
      <c r="V454" s="246"/>
      <c r="W454" s="246"/>
      <c r="BA454"/>
      <c r="BB454"/>
      <c r="BD454" s="191" t="e">
        <v>#REF!</v>
      </c>
    </row>
    <row r="455" spans="1:56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/>
      <c r="S455" s="201"/>
      <c r="T455" s="202"/>
      <c r="U455" s="246"/>
      <c r="V455" s="246"/>
      <c r="W455" s="246"/>
      <c r="BA455"/>
      <c r="BB455"/>
      <c r="BD455" s="191" t="e">
        <v>#REF!</v>
      </c>
    </row>
    <row r="456" spans="1:56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/>
      <c r="S456" s="201"/>
      <c r="T456" s="202"/>
      <c r="U456" s="246"/>
      <c r="V456" s="246"/>
      <c r="W456" s="246"/>
      <c r="BA456"/>
      <c r="BB456"/>
      <c r="BD456" s="191" t="e">
        <v>#REF!</v>
      </c>
    </row>
    <row r="457" spans="1:56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/>
      <c r="S457" s="201"/>
      <c r="T457" s="202"/>
      <c r="U457" s="246"/>
      <c r="V457" s="246"/>
      <c r="W457" s="246"/>
      <c r="BA457"/>
      <c r="BB457"/>
      <c r="BD457" s="191" t="e">
        <v>#REF!</v>
      </c>
    </row>
    <row r="458" spans="1:56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/>
      <c r="S458" s="201"/>
      <c r="T458" s="202"/>
      <c r="U458" s="246"/>
      <c r="V458" s="246"/>
      <c r="W458" s="246"/>
      <c r="BA458"/>
      <c r="BB458"/>
      <c r="BD458" s="191" t="e">
        <v>#REF!</v>
      </c>
    </row>
    <row r="459" spans="1:56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/>
      <c r="S459" s="201"/>
      <c r="T459" s="202"/>
      <c r="U459" s="246"/>
      <c r="V459" s="246"/>
      <c r="W459" s="246"/>
      <c r="BA459"/>
      <c r="BB459"/>
      <c r="BD459" s="191" t="e">
        <v>#REF!</v>
      </c>
    </row>
    <row r="460" spans="1:56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/>
      <c r="S460" s="201"/>
      <c r="T460" s="202"/>
      <c r="U460" s="246"/>
      <c r="V460" s="246"/>
      <c r="W460" s="246"/>
      <c r="BA460"/>
      <c r="BB460"/>
      <c r="BD460" s="191" t="e">
        <v>#REF!</v>
      </c>
    </row>
    <row r="461" spans="1:56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/>
      <c r="S461" s="201"/>
      <c r="T461" s="202"/>
      <c r="U461" s="246"/>
      <c r="V461" s="246"/>
      <c r="W461" s="246"/>
      <c r="BA461"/>
      <c r="BB461"/>
      <c r="BD461" s="191" t="e">
        <v>#REF!</v>
      </c>
    </row>
    <row r="462" spans="1:56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/>
      <c r="S462" s="201"/>
      <c r="T462" s="202"/>
      <c r="U462" s="246"/>
      <c r="V462" s="246"/>
      <c r="W462" s="246"/>
      <c r="BA462"/>
      <c r="BB462"/>
      <c r="BD462" s="191" t="e">
        <v>#REF!</v>
      </c>
    </row>
    <row r="463" spans="1:56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/>
      <c r="S463" s="201"/>
      <c r="T463" s="202"/>
      <c r="U463" s="246"/>
      <c r="V463" s="246"/>
      <c r="W463" s="246"/>
      <c r="BA463"/>
      <c r="BB463"/>
      <c r="BD463" s="191" t="e">
        <v>#REF!</v>
      </c>
    </row>
    <row r="464" spans="1:56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/>
      <c r="S464" s="201"/>
      <c r="T464" s="202"/>
      <c r="U464" s="246"/>
      <c r="V464" s="246"/>
      <c r="W464" s="246"/>
      <c r="BA464"/>
      <c r="BB464"/>
      <c r="BD464" s="191" t="e">
        <v>#REF!</v>
      </c>
    </row>
    <row r="465" spans="1:56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/>
      <c r="S465" s="201"/>
      <c r="T465" s="202"/>
      <c r="U465" s="246"/>
      <c r="V465" s="246"/>
      <c r="W465" s="246"/>
      <c r="BA465"/>
      <c r="BB465"/>
      <c r="BD465" s="191" t="e">
        <v>#REF!</v>
      </c>
    </row>
    <row r="466" spans="1:56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/>
      <c r="S466" s="201"/>
      <c r="T466" s="202"/>
      <c r="U466" s="246"/>
      <c r="V466" s="246"/>
      <c r="W466" s="246"/>
      <c r="BA466"/>
      <c r="BB466"/>
      <c r="BD466" s="191" t="e">
        <v>#REF!</v>
      </c>
    </row>
    <row r="467" spans="1:56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/>
      <c r="S467" s="201"/>
      <c r="T467" s="202"/>
      <c r="U467" s="246"/>
      <c r="V467" s="246"/>
      <c r="W467" s="246"/>
      <c r="BA467"/>
      <c r="BB467"/>
      <c r="BD467" s="191" t="e">
        <v>#REF!</v>
      </c>
    </row>
    <row r="468" spans="1:56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/>
      <c r="S468" s="201"/>
      <c r="T468" s="202"/>
      <c r="U468" s="246"/>
      <c r="V468" s="246"/>
      <c r="W468" s="246"/>
      <c r="BA468"/>
      <c r="BB468"/>
      <c r="BD468" s="191" t="e">
        <v>#REF!</v>
      </c>
    </row>
    <row r="469" spans="1:56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/>
      <c r="S469" s="201"/>
      <c r="T469" s="202"/>
      <c r="U469" s="246"/>
      <c r="V469" s="246"/>
      <c r="W469" s="246"/>
      <c r="BA469"/>
      <c r="BB469"/>
      <c r="BD469" s="191" t="e">
        <v>#REF!</v>
      </c>
    </row>
    <row r="470" spans="1:56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/>
      <c r="S470" s="201"/>
      <c r="T470" s="202"/>
      <c r="U470" s="246"/>
      <c r="V470" s="246"/>
      <c r="W470" s="246"/>
      <c r="BA470"/>
      <c r="BB470"/>
      <c r="BD470" s="191" t="e">
        <v>#REF!</v>
      </c>
    </row>
    <row r="471" spans="1:56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/>
      <c r="S471" s="201"/>
      <c r="T471" s="202"/>
      <c r="U471" s="246"/>
      <c r="V471" s="246"/>
      <c r="W471" s="246"/>
      <c r="BA471"/>
      <c r="BB471"/>
      <c r="BD471" s="191" t="e">
        <v>#REF!</v>
      </c>
    </row>
    <row r="472" spans="1:56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/>
      <c r="S472" s="201"/>
      <c r="T472" s="202"/>
      <c r="U472" s="246"/>
      <c r="V472" s="246"/>
      <c r="W472" s="246"/>
      <c r="BA472"/>
      <c r="BB472"/>
      <c r="BD472" s="191" t="e">
        <v>#REF!</v>
      </c>
    </row>
    <row r="473" spans="1:56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/>
      <c r="S473" s="201"/>
      <c r="T473" s="202"/>
      <c r="U473" s="246"/>
      <c r="V473" s="246"/>
      <c r="W473" s="246"/>
      <c r="BA473"/>
      <c r="BB473"/>
      <c r="BD473" s="191" t="e">
        <v>#REF!</v>
      </c>
    </row>
    <row r="474" spans="1:56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/>
      <c r="S474" s="201"/>
      <c r="T474" s="202"/>
      <c r="U474" s="246"/>
      <c r="V474" s="246"/>
      <c r="W474" s="246"/>
      <c r="BA474"/>
      <c r="BB474"/>
      <c r="BD474" s="191" t="e">
        <v>#REF!</v>
      </c>
    </row>
    <row r="475" spans="1:56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/>
      <c r="S475" s="201"/>
      <c r="T475" s="202"/>
      <c r="U475" s="246"/>
      <c r="V475" s="246"/>
      <c r="W475" s="246"/>
      <c r="BA475"/>
      <c r="BB475"/>
      <c r="BD475" s="191" t="e">
        <v>#REF!</v>
      </c>
    </row>
    <row r="476" spans="1:56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/>
      <c r="S476" s="201"/>
      <c r="T476" s="202"/>
      <c r="U476" s="246"/>
      <c r="V476" s="246"/>
      <c r="W476" s="246"/>
      <c r="BA476"/>
      <c r="BB476"/>
      <c r="BD476" s="191" t="e">
        <v>#REF!</v>
      </c>
    </row>
    <row r="477" spans="1:56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/>
      <c r="S477" s="201"/>
      <c r="T477" s="202"/>
      <c r="U477" s="246"/>
      <c r="V477" s="246"/>
      <c r="W477" s="246"/>
      <c r="BA477"/>
      <c r="BB477"/>
      <c r="BD477" s="191" t="e">
        <v>#REF!</v>
      </c>
    </row>
    <row r="478" spans="1:56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/>
      <c r="S478" s="201"/>
      <c r="T478" s="202"/>
      <c r="U478" s="246"/>
      <c r="V478" s="246"/>
      <c r="W478" s="246"/>
      <c r="BA478"/>
      <c r="BB478"/>
      <c r="BD478" s="191" t="e">
        <v>#REF!</v>
      </c>
    </row>
    <row r="479" spans="1:56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/>
      <c r="S479" s="201"/>
      <c r="T479" s="202"/>
      <c r="U479" s="246"/>
      <c r="V479" s="246"/>
      <c r="W479" s="246"/>
      <c r="BA479"/>
      <c r="BB479"/>
      <c r="BD479" s="191" t="e">
        <v>#REF!</v>
      </c>
    </row>
    <row r="480" spans="1:56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/>
      <c r="S480" s="201"/>
      <c r="T480" s="202"/>
      <c r="U480" s="246"/>
      <c r="V480" s="246"/>
      <c r="W480" s="246"/>
      <c r="BA480"/>
      <c r="BB480"/>
      <c r="BD480" s="191" t="e">
        <v>#REF!</v>
      </c>
    </row>
    <row r="481" spans="1:56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/>
      <c r="S481" s="201"/>
      <c r="T481" s="202"/>
      <c r="U481" s="246"/>
      <c r="V481" s="246"/>
      <c r="W481" s="246"/>
      <c r="BA481"/>
      <c r="BB481"/>
      <c r="BD481" s="191" t="e">
        <v>#REF!</v>
      </c>
    </row>
    <row r="482" spans="1:56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/>
      <c r="S482" s="201"/>
      <c r="T482" s="202"/>
      <c r="U482" s="246"/>
      <c r="V482" s="246"/>
      <c r="W482" s="246"/>
      <c r="BA482"/>
      <c r="BB482"/>
      <c r="BD482" s="191" t="e">
        <v>#REF!</v>
      </c>
    </row>
    <row r="483" spans="1:56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/>
      <c r="S483" s="201"/>
      <c r="T483" s="202"/>
      <c r="U483" s="246"/>
      <c r="V483" s="246"/>
      <c r="W483" s="246"/>
      <c r="BA483"/>
      <c r="BB483"/>
      <c r="BD483" s="191" t="e">
        <v>#REF!</v>
      </c>
    </row>
    <row r="484" spans="1:56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/>
      <c r="S484" s="201"/>
      <c r="T484" s="202"/>
      <c r="U484" s="246"/>
      <c r="V484" s="246"/>
      <c r="W484" s="246"/>
      <c r="BA484"/>
      <c r="BB484"/>
      <c r="BD484" s="191" t="e">
        <v>#REF!</v>
      </c>
    </row>
    <row r="485" spans="1:56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/>
      <c r="S485" s="201"/>
      <c r="T485" s="202"/>
      <c r="U485" s="246"/>
      <c r="V485" s="246"/>
      <c r="W485" s="246"/>
      <c r="BA485"/>
      <c r="BB485"/>
      <c r="BD485" s="191" t="e">
        <v>#REF!</v>
      </c>
    </row>
    <row r="486" spans="1:56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/>
      <c r="S486" s="201"/>
      <c r="T486" s="202"/>
      <c r="U486" s="246"/>
      <c r="V486" s="246"/>
      <c r="W486" s="246"/>
      <c r="BA486"/>
      <c r="BB486"/>
      <c r="BD486" s="191" t="e">
        <v>#REF!</v>
      </c>
    </row>
    <row r="487" spans="1:56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/>
      <c r="S487" s="201"/>
      <c r="T487" s="202"/>
      <c r="U487" s="246"/>
      <c r="V487" s="246"/>
      <c r="W487" s="246"/>
      <c r="BA487"/>
      <c r="BB487"/>
      <c r="BD487" s="191" t="e">
        <v>#REF!</v>
      </c>
    </row>
    <row r="488" spans="1:56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/>
      <c r="S488" s="201"/>
      <c r="T488" s="202"/>
      <c r="U488" s="246"/>
      <c r="V488" s="246"/>
      <c r="W488" s="246"/>
      <c r="BA488"/>
      <c r="BB488"/>
      <c r="BD488" s="191" t="e">
        <v>#REF!</v>
      </c>
    </row>
    <row r="489" spans="1:56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/>
      <c r="S489" s="201"/>
      <c r="T489" s="202"/>
      <c r="U489" s="246"/>
      <c r="V489" s="246"/>
      <c r="W489" s="246"/>
      <c r="BA489"/>
      <c r="BB489"/>
      <c r="BD489" s="191" t="e">
        <v>#REF!</v>
      </c>
    </row>
    <row r="490" spans="1:56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/>
      <c r="S490" s="201"/>
      <c r="T490" s="202"/>
      <c r="U490" s="246"/>
      <c r="V490" s="246"/>
      <c r="W490" s="246"/>
      <c r="BA490"/>
      <c r="BB490"/>
      <c r="BD490" s="191" t="e">
        <v>#REF!</v>
      </c>
    </row>
    <row r="491" spans="1:56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/>
      <c r="S491" s="201"/>
      <c r="T491" s="202"/>
      <c r="U491" s="246"/>
      <c r="V491" s="246"/>
      <c r="W491" s="246"/>
      <c r="BA491"/>
      <c r="BB491"/>
      <c r="BD491" s="191" t="e">
        <v>#REF!</v>
      </c>
    </row>
    <row r="492" spans="1:56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/>
      <c r="S492" s="201"/>
      <c r="T492" s="202"/>
      <c r="U492" s="246"/>
      <c r="V492" s="246"/>
      <c r="W492" s="246"/>
      <c r="BA492"/>
      <c r="BB492"/>
      <c r="BD492" s="191" t="e">
        <v>#REF!</v>
      </c>
    </row>
    <row r="493" spans="1:56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/>
      <c r="S493" s="201"/>
      <c r="T493" s="202"/>
      <c r="U493" s="246"/>
      <c r="V493" s="246"/>
      <c r="W493" s="246"/>
      <c r="BA493"/>
      <c r="BB493"/>
      <c r="BD493" s="191" t="e">
        <v>#REF!</v>
      </c>
    </row>
    <row r="494" spans="1:56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/>
      <c r="S494" s="201"/>
      <c r="T494" s="202"/>
      <c r="U494" s="246"/>
      <c r="V494" s="246"/>
      <c r="W494" s="246"/>
      <c r="BA494"/>
      <c r="BB494"/>
      <c r="BD494" s="191" t="e">
        <v>#REF!</v>
      </c>
    </row>
    <row r="495" spans="1:56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/>
      <c r="S495" s="201"/>
      <c r="T495" s="202"/>
      <c r="U495" s="246"/>
      <c r="V495" s="246"/>
      <c r="W495" s="246"/>
      <c r="BA495"/>
      <c r="BB495"/>
      <c r="BD495" s="191" t="e">
        <v>#REF!</v>
      </c>
    </row>
    <row r="496" spans="1:56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/>
      <c r="S496" s="201"/>
      <c r="T496" s="202"/>
      <c r="U496" s="246"/>
      <c r="V496" s="246"/>
      <c r="W496" s="246"/>
      <c r="BA496"/>
      <c r="BB496"/>
      <c r="BD496" s="191" t="e">
        <v>#REF!</v>
      </c>
    </row>
    <row r="497" spans="1:56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/>
      <c r="S497" s="201"/>
      <c r="T497" s="202"/>
      <c r="U497" s="246"/>
      <c r="V497" s="246"/>
      <c r="W497" s="246"/>
      <c r="BA497"/>
      <c r="BB497"/>
      <c r="BD497" s="191" t="e">
        <v>#REF!</v>
      </c>
    </row>
    <row r="498" spans="1:56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/>
      <c r="S498" s="201"/>
      <c r="T498" s="202"/>
      <c r="U498" s="246"/>
      <c r="V498" s="246"/>
      <c r="W498" s="246"/>
      <c r="BA498"/>
      <c r="BB498"/>
      <c r="BD498" s="191" t="e">
        <v>#REF!</v>
      </c>
    </row>
    <row r="499" spans="1:56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/>
      <c r="S499" s="201"/>
      <c r="T499" s="202"/>
      <c r="U499" s="246"/>
      <c r="V499" s="246"/>
      <c r="W499" s="246"/>
      <c r="BA499"/>
      <c r="BB499"/>
      <c r="BD499" s="191" t="e">
        <v>#REF!</v>
      </c>
    </row>
    <row r="500" spans="1:56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/>
      <c r="S500" s="201"/>
      <c r="T500" s="202"/>
      <c r="U500" s="246"/>
      <c r="V500" s="246"/>
      <c r="W500" s="246"/>
      <c r="BA500"/>
      <c r="BB500"/>
      <c r="BD500" s="191" t="e">
        <v>#REF!</v>
      </c>
    </row>
    <row r="501" spans="1:56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/>
      <c r="S501" s="201"/>
      <c r="T501" s="202"/>
      <c r="U501" s="246"/>
      <c r="V501" s="246"/>
      <c r="W501" s="246"/>
      <c r="BA501"/>
      <c r="BB501"/>
      <c r="BD501" s="191" t="e">
        <v>#REF!</v>
      </c>
    </row>
    <row r="502" spans="1:56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/>
      <c r="S502" s="201"/>
      <c r="T502" s="202"/>
      <c r="U502" s="246"/>
      <c r="V502" s="246"/>
      <c r="W502" s="246"/>
      <c r="BA502"/>
      <c r="BB502"/>
      <c r="BD502" s="191" t="e">
        <v>#REF!</v>
      </c>
    </row>
    <row r="503" spans="1:56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/>
      <c r="S503" s="201"/>
      <c r="T503" s="202"/>
      <c r="U503" s="246"/>
      <c r="V503" s="246"/>
      <c r="W503" s="246"/>
      <c r="BA503"/>
      <c r="BB503"/>
      <c r="BD503" s="191" t="e">
        <v>#REF!</v>
      </c>
    </row>
    <row r="504" spans="1:56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/>
      <c r="S504" s="201"/>
      <c r="T504" s="202"/>
      <c r="U504" s="246"/>
      <c r="V504" s="246"/>
      <c r="W504" s="246"/>
      <c r="BA504"/>
      <c r="BB504"/>
      <c r="BD504" s="191" t="e">
        <v>#REF!</v>
      </c>
    </row>
    <row r="505" spans="1:56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/>
      <c r="S505" s="201"/>
      <c r="T505" s="202"/>
      <c r="U505" s="246"/>
      <c r="V505" s="246"/>
      <c r="W505" s="246"/>
      <c r="BA505"/>
      <c r="BB505"/>
      <c r="BD505" s="191" t="e">
        <v>#REF!</v>
      </c>
    </row>
    <row r="506" spans="1:56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/>
      <c r="S506" s="201"/>
      <c r="T506" s="202"/>
      <c r="U506" s="246"/>
      <c r="V506" s="246"/>
      <c r="W506" s="246"/>
      <c r="BA506"/>
      <c r="BB506"/>
      <c r="BD506" s="191" t="e">
        <v>#REF!</v>
      </c>
    </row>
    <row r="507" spans="1:56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/>
      <c r="S507" s="201"/>
      <c r="T507" s="202"/>
      <c r="U507" s="246"/>
      <c r="V507" s="246"/>
      <c r="W507" s="246"/>
      <c r="BA507"/>
      <c r="BB507"/>
      <c r="BD507" s="191" t="e">
        <v>#REF!</v>
      </c>
    </row>
    <row r="508" spans="1:56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/>
      <c r="S508" s="201"/>
      <c r="T508" s="202"/>
      <c r="U508" s="246"/>
      <c r="V508" s="246"/>
      <c r="W508" s="246"/>
      <c r="BA508"/>
      <c r="BB508"/>
      <c r="BD508" s="191" t="e">
        <v>#REF!</v>
      </c>
    </row>
    <row r="509" spans="1:56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/>
      <c r="S509" s="201"/>
      <c r="T509" s="202"/>
      <c r="U509" s="246"/>
      <c r="V509" s="246"/>
      <c r="W509" s="246"/>
      <c r="BA509"/>
      <c r="BB509"/>
      <c r="BD509" s="191" t="e">
        <v>#REF!</v>
      </c>
    </row>
    <row r="510" spans="1:56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/>
      <c r="S510" s="201"/>
      <c r="T510" s="202"/>
      <c r="U510" s="246"/>
      <c r="V510" s="246"/>
      <c r="W510" s="246"/>
      <c r="BA510"/>
      <c r="BB510"/>
      <c r="BD510" s="191" t="e">
        <v>#REF!</v>
      </c>
    </row>
    <row r="511" spans="1:56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/>
      <c r="S511" s="201"/>
      <c r="T511" s="202"/>
      <c r="U511" s="246"/>
      <c r="V511" s="246"/>
      <c r="W511" s="246"/>
      <c r="BA511"/>
      <c r="BB511"/>
      <c r="BD511" s="191" t="e">
        <v>#REF!</v>
      </c>
    </row>
    <row r="512" spans="1:56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/>
      <c r="S512" s="201"/>
      <c r="T512" s="202"/>
      <c r="U512" s="246"/>
      <c r="V512" s="246"/>
      <c r="W512" s="246"/>
      <c r="BA512"/>
      <c r="BB512"/>
      <c r="BD512" s="191" t="e">
        <v>#REF!</v>
      </c>
    </row>
    <row r="513" spans="1:56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/>
      <c r="S513" s="201"/>
      <c r="T513" s="202"/>
      <c r="U513" s="246"/>
      <c r="V513" s="246"/>
      <c r="W513" s="246"/>
      <c r="BA513"/>
      <c r="BB513"/>
      <c r="BD513" s="191" t="e">
        <v>#REF!</v>
      </c>
    </row>
    <row r="514" spans="1:56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/>
      <c r="S514" s="201"/>
      <c r="T514" s="202"/>
      <c r="U514" s="246"/>
      <c r="V514" s="246"/>
      <c r="W514" s="246"/>
      <c r="BA514"/>
      <c r="BB514"/>
      <c r="BD514" s="191" t="e">
        <v>#REF!</v>
      </c>
    </row>
    <row r="515" spans="1:56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/>
      <c r="S515" s="201"/>
      <c r="T515" s="202"/>
      <c r="U515" s="246"/>
      <c r="V515" s="246"/>
      <c r="W515" s="246"/>
      <c r="BA515"/>
      <c r="BB515"/>
      <c r="BD515" s="191" t="e">
        <v>#REF!</v>
      </c>
    </row>
    <row r="516" spans="1:56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/>
      <c r="S516" s="201"/>
      <c r="T516" s="202"/>
      <c r="U516" s="246"/>
      <c r="V516" s="246"/>
      <c r="W516" s="246"/>
      <c r="BA516"/>
      <c r="BB516"/>
      <c r="BD516" s="191" t="e">
        <v>#REF!</v>
      </c>
    </row>
    <row r="517" spans="1:56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/>
      <c r="S517" s="201"/>
      <c r="T517" s="202"/>
      <c r="U517" s="246"/>
      <c r="V517" s="246"/>
      <c r="W517" s="246"/>
      <c r="BA517"/>
      <c r="BB517"/>
      <c r="BD517" s="191" t="e">
        <v>#REF!</v>
      </c>
    </row>
    <row r="518" spans="1:56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/>
      <c r="S518" s="201"/>
      <c r="T518" s="202"/>
      <c r="U518" s="246"/>
      <c r="V518" s="246"/>
      <c r="W518" s="246"/>
      <c r="BA518"/>
      <c r="BB518"/>
      <c r="BD518" s="191" t="e">
        <v>#REF!</v>
      </c>
    </row>
    <row r="519" spans="1:56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/>
      <c r="S519" s="201"/>
      <c r="T519" s="202"/>
      <c r="U519" s="246"/>
      <c r="V519" s="246"/>
      <c r="W519" s="246"/>
      <c r="BA519"/>
      <c r="BB519"/>
      <c r="BD519" s="191" t="e">
        <v>#REF!</v>
      </c>
    </row>
    <row r="520" spans="1:56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/>
      <c r="S520" s="201"/>
      <c r="T520" s="202"/>
      <c r="U520" s="246"/>
      <c r="V520" s="246"/>
      <c r="W520" s="246"/>
      <c r="BA520"/>
      <c r="BB520"/>
      <c r="BD520" s="191" t="e">
        <v>#REF!</v>
      </c>
    </row>
    <row r="521" spans="1:56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/>
      <c r="S521" s="201"/>
      <c r="T521" s="202"/>
      <c r="U521" s="246"/>
      <c r="V521" s="246"/>
      <c r="W521" s="246"/>
      <c r="BA521"/>
      <c r="BB521"/>
      <c r="BD521" s="191" t="e">
        <v>#REF!</v>
      </c>
    </row>
    <row r="522" spans="1:56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/>
      <c r="S522" s="201"/>
      <c r="T522" s="202"/>
      <c r="U522" s="246"/>
      <c r="V522" s="246"/>
      <c r="W522" s="246"/>
      <c r="BA522"/>
      <c r="BB522"/>
      <c r="BD522" s="191" t="e">
        <v>#REF!</v>
      </c>
    </row>
    <row r="523" spans="1:56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/>
      <c r="S523" s="201"/>
      <c r="T523" s="202"/>
      <c r="U523" s="246"/>
      <c r="V523" s="246"/>
      <c r="W523" s="246"/>
      <c r="BA523"/>
      <c r="BB523"/>
      <c r="BD523" s="191" t="e">
        <v>#REF!</v>
      </c>
    </row>
    <row r="524" spans="1:56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/>
      <c r="S524" s="201"/>
      <c r="T524" s="202"/>
      <c r="U524" s="246"/>
      <c r="V524" s="246"/>
      <c r="W524" s="246"/>
      <c r="BA524"/>
      <c r="BB524"/>
      <c r="BD524" s="191" t="e">
        <v>#REF!</v>
      </c>
    </row>
    <row r="525" spans="1:56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/>
      <c r="S525" s="201"/>
      <c r="T525" s="202"/>
      <c r="U525" s="246"/>
      <c r="V525" s="246"/>
      <c r="W525" s="246"/>
      <c r="BA525"/>
      <c r="BB525"/>
      <c r="BD525" s="191" t="e">
        <v>#REF!</v>
      </c>
    </row>
    <row r="526" spans="1:56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/>
      <c r="S526" s="201"/>
      <c r="T526" s="202"/>
      <c r="U526" s="246"/>
      <c r="V526" s="246"/>
      <c r="W526" s="246"/>
      <c r="BA526"/>
      <c r="BB526"/>
      <c r="BD526" s="191" t="e">
        <v>#REF!</v>
      </c>
    </row>
    <row r="527" spans="1:56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/>
      <c r="S527" s="201"/>
      <c r="T527" s="202"/>
      <c r="U527" s="246"/>
      <c r="V527" s="246"/>
      <c r="W527" s="246"/>
      <c r="BA527"/>
      <c r="BB527"/>
      <c r="BD527" s="191" t="e">
        <v>#REF!</v>
      </c>
    </row>
    <row r="528" spans="1:56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/>
      <c r="S528" s="201"/>
      <c r="T528" s="202"/>
      <c r="U528" s="246"/>
      <c r="V528" s="246"/>
      <c r="W528" s="246"/>
      <c r="BA528"/>
      <c r="BB528"/>
      <c r="BD528" s="191" t="e">
        <v>#REF!</v>
      </c>
    </row>
    <row r="529" spans="1:56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/>
      <c r="S529" s="201"/>
      <c r="T529" s="202"/>
      <c r="U529" s="246"/>
      <c r="V529" s="246"/>
      <c r="W529" s="246"/>
      <c r="BA529"/>
      <c r="BB529"/>
      <c r="BD529" s="191" t="e">
        <v>#REF!</v>
      </c>
    </row>
    <row r="530" spans="1:56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/>
      <c r="S530" s="201"/>
      <c r="T530" s="202"/>
      <c r="U530" s="246"/>
      <c r="V530" s="246"/>
      <c r="W530" s="246"/>
      <c r="BA530"/>
      <c r="BB530"/>
      <c r="BD530" s="191" t="e">
        <v>#REF!</v>
      </c>
    </row>
    <row r="531" spans="1:56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/>
      <c r="S531" s="201"/>
      <c r="T531" s="202"/>
      <c r="U531" s="246"/>
      <c r="V531" s="246"/>
      <c r="W531" s="246"/>
      <c r="BA531"/>
      <c r="BB531"/>
      <c r="BD531" s="191" t="e">
        <v>#REF!</v>
      </c>
    </row>
    <row r="532" spans="1:56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/>
      <c r="S532" s="201"/>
      <c r="T532" s="202"/>
      <c r="U532" s="246"/>
      <c r="V532" s="246"/>
      <c r="W532" s="246"/>
      <c r="BA532"/>
      <c r="BB532"/>
      <c r="BD532" s="191" t="e">
        <v>#REF!</v>
      </c>
    </row>
    <row r="533" spans="1:56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/>
      <c r="S533" s="201"/>
      <c r="T533" s="202"/>
      <c r="U533" s="246"/>
      <c r="V533" s="246"/>
      <c r="W533" s="246"/>
      <c r="BA533"/>
      <c r="BB533"/>
      <c r="BD533" s="191" t="e">
        <v>#REF!</v>
      </c>
    </row>
    <row r="534" spans="1:56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/>
      <c r="S534" s="201"/>
      <c r="T534" s="202"/>
      <c r="U534" s="246"/>
      <c r="V534" s="246"/>
      <c r="W534" s="246"/>
      <c r="BA534"/>
      <c r="BB534"/>
      <c r="BD534" s="191" t="e">
        <v>#REF!</v>
      </c>
    </row>
    <row r="535" spans="1:56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/>
      <c r="S535" s="201"/>
      <c r="T535" s="202"/>
      <c r="U535" s="246"/>
      <c r="V535" s="246"/>
      <c r="W535" s="246"/>
      <c r="BA535"/>
      <c r="BB535"/>
      <c r="BD535" s="191" t="e">
        <v>#REF!</v>
      </c>
    </row>
    <row r="536" spans="1:56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/>
      <c r="S536" s="201"/>
      <c r="T536" s="202"/>
      <c r="U536" s="246"/>
      <c r="V536" s="246"/>
      <c r="W536" s="246"/>
      <c r="BA536"/>
      <c r="BB536"/>
      <c r="BD536" s="191" t="e">
        <v>#REF!</v>
      </c>
    </row>
    <row r="537" spans="1:56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/>
      <c r="S537" s="201"/>
      <c r="T537" s="202"/>
      <c r="U537" s="246"/>
      <c r="V537" s="246"/>
      <c r="W537" s="246"/>
      <c r="BA537"/>
      <c r="BB537"/>
      <c r="BD537" s="191" t="e">
        <v>#REF!</v>
      </c>
    </row>
    <row r="538" spans="1:56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/>
      <c r="S538" s="201"/>
      <c r="T538" s="202"/>
      <c r="U538" s="246"/>
      <c r="V538" s="246"/>
      <c r="W538" s="246"/>
      <c r="BA538"/>
      <c r="BB538"/>
      <c r="BD538" s="191" t="e">
        <v>#REF!</v>
      </c>
    </row>
    <row r="539" spans="1:56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/>
      <c r="S539" s="201"/>
      <c r="T539" s="202"/>
      <c r="U539" s="246"/>
      <c r="V539" s="246"/>
      <c r="W539" s="246"/>
      <c r="BA539"/>
      <c r="BB539"/>
      <c r="BD539" s="191" t="e">
        <v>#REF!</v>
      </c>
    </row>
    <row r="540" spans="1:56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/>
      <c r="S540" s="201"/>
      <c r="T540" s="202"/>
      <c r="U540" s="246"/>
      <c r="V540" s="246"/>
      <c r="W540" s="246"/>
      <c r="BA540"/>
      <c r="BB540"/>
      <c r="BD540" s="191" t="e">
        <v>#REF!</v>
      </c>
    </row>
    <row r="541" spans="1:56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/>
      <c r="S541" s="201"/>
      <c r="T541" s="202"/>
      <c r="U541" s="246"/>
      <c r="V541" s="246"/>
      <c r="W541" s="246"/>
      <c r="BA541"/>
      <c r="BB541"/>
      <c r="BD541" s="191" t="e">
        <v>#REF!</v>
      </c>
    </row>
    <row r="542" spans="1:56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/>
      <c r="S542" s="201"/>
      <c r="T542" s="202"/>
      <c r="U542" s="246"/>
      <c r="V542" s="246"/>
      <c r="W542" s="246"/>
      <c r="BA542"/>
      <c r="BB542"/>
      <c r="BD542" s="191" t="e">
        <v>#REF!</v>
      </c>
    </row>
    <row r="543" spans="1:56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/>
      <c r="S543" s="201"/>
      <c r="T543" s="202"/>
      <c r="U543" s="246"/>
      <c r="V543" s="246"/>
      <c r="W543" s="246"/>
      <c r="BA543"/>
      <c r="BB543"/>
      <c r="BD543" s="191" t="e">
        <v>#REF!</v>
      </c>
    </row>
    <row r="544" spans="1:56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/>
      <c r="S544" s="201"/>
      <c r="T544" s="202"/>
      <c r="U544" s="246"/>
      <c r="V544" s="246"/>
      <c r="W544" s="246"/>
      <c r="BA544"/>
      <c r="BB544"/>
      <c r="BD544" s="191" t="e">
        <v>#REF!</v>
      </c>
    </row>
    <row r="545" spans="1:56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/>
      <c r="S545" s="201"/>
      <c r="T545" s="202"/>
      <c r="U545" s="246"/>
      <c r="V545" s="246"/>
      <c r="W545" s="246"/>
      <c r="BA545"/>
      <c r="BB545"/>
      <c r="BD545" s="191" t="e">
        <v>#REF!</v>
      </c>
    </row>
    <row r="546" spans="1:56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/>
      <c r="S546" s="201"/>
      <c r="T546" s="202"/>
      <c r="U546" s="246"/>
      <c r="V546" s="246"/>
      <c r="W546" s="246"/>
      <c r="BA546"/>
      <c r="BB546"/>
      <c r="BD546" s="191" t="e">
        <v>#REF!</v>
      </c>
    </row>
    <row r="547" spans="1:56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/>
      <c r="S547" s="201"/>
      <c r="T547" s="202"/>
      <c r="U547" s="246"/>
      <c r="V547" s="246"/>
      <c r="W547" s="246"/>
      <c r="BA547"/>
      <c r="BB547"/>
      <c r="BD547" s="191" t="e">
        <v>#REF!</v>
      </c>
    </row>
    <row r="548" spans="1:56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/>
      <c r="S548" s="201"/>
      <c r="T548" s="202"/>
      <c r="U548" s="246"/>
      <c r="V548" s="246"/>
      <c r="W548" s="246"/>
      <c r="BA548"/>
      <c r="BB548"/>
      <c r="BD548" s="191" t="e">
        <v>#REF!</v>
      </c>
    </row>
    <row r="549" spans="1:56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/>
      <c r="S549" s="201"/>
      <c r="T549" s="202"/>
      <c r="U549" s="246"/>
      <c r="V549" s="246"/>
      <c r="W549" s="246"/>
      <c r="BA549"/>
      <c r="BB549"/>
      <c r="BD549" s="191" t="e">
        <v>#REF!</v>
      </c>
    </row>
    <row r="550" spans="1:56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/>
      <c r="S550" s="201"/>
      <c r="T550" s="202"/>
      <c r="U550" s="246"/>
      <c r="V550" s="246"/>
      <c r="W550" s="246"/>
      <c r="BA550"/>
      <c r="BB550"/>
      <c r="BD550" s="191" t="e">
        <v>#REF!</v>
      </c>
    </row>
    <row r="551" spans="1:56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/>
      <c r="S551" s="201"/>
      <c r="T551" s="202"/>
      <c r="U551" s="246"/>
      <c r="V551" s="246"/>
      <c r="W551" s="246"/>
      <c r="BA551"/>
      <c r="BB551"/>
      <c r="BD551" s="191" t="e">
        <v>#REF!</v>
      </c>
    </row>
    <row r="552" spans="1:56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/>
      <c r="S552" s="201"/>
      <c r="T552" s="202"/>
      <c r="U552" s="246"/>
      <c r="V552" s="246"/>
      <c r="W552" s="246"/>
      <c r="BA552"/>
      <c r="BB552"/>
      <c r="BD552" s="191" t="e">
        <v>#REF!</v>
      </c>
    </row>
    <row r="553" spans="1:56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/>
      <c r="S553" s="201"/>
      <c r="T553" s="202"/>
      <c r="U553" s="246"/>
      <c r="V553" s="246"/>
      <c r="W553" s="246"/>
      <c r="BA553"/>
      <c r="BB553"/>
      <c r="BD553" s="191" t="e">
        <v>#REF!</v>
      </c>
    </row>
    <row r="554" spans="1:56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/>
      <c r="S554" s="201"/>
      <c r="T554" s="202"/>
      <c r="U554" s="246"/>
      <c r="V554" s="246"/>
      <c r="W554" s="246"/>
      <c r="BA554"/>
      <c r="BB554"/>
      <c r="BD554" s="191" t="e">
        <v>#REF!</v>
      </c>
    </row>
    <row r="555" spans="1:56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/>
      <c r="S555" s="201"/>
      <c r="T555" s="202"/>
      <c r="U555" s="246"/>
      <c r="V555" s="246"/>
      <c r="W555" s="246"/>
      <c r="BA555"/>
      <c r="BB555"/>
      <c r="BD555" s="191" t="e">
        <v>#REF!</v>
      </c>
    </row>
    <row r="556" spans="1:56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/>
      <c r="S556" s="201"/>
      <c r="T556" s="202"/>
      <c r="U556" s="246"/>
      <c r="V556" s="246"/>
      <c r="W556" s="246"/>
      <c r="BA556"/>
      <c r="BB556"/>
      <c r="BD556" s="191" t="e">
        <v>#REF!</v>
      </c>
    </row>
    <row r="557" spans="1:56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/>
      <c r="S557" s="201"/>
      <c r="T557" s="202"/>
      <c r="U557" s="246"/>
      <c r="V557" s="246"/>
      <c r="W557" s="246"/>
      <c r="BA557"/>
      <c r="BB557"/>
      <c r="BD557" s="191" t="e">
        <v>#REF!</v>
      </c>
    </row>
    <row r="558" spans="1:56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/>
      <c r="S558" s="201"/>
      <c r="T558" s="202"/>
      <c r="U558" s="246"/>
      <c r="V558" s="246"/>
      <c r="W558" s="246"/>
      <c r="BA558"/>
      <c r="BB558"/>
      <c r="BD558" s="191" t="e">
        <v>#REF!</v>
      </c>
    </row>
    <row r="559" spans="1:56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/>
      <c r="S559" s="201"/>
      <c r="T559" s="202"/>
      <c r="U559" s="246"/>
      <c r="V559" s="246"/>
      <c r="W559" s="246"/>
      <c r="BA559"/>
      <c r="BB559"/>
      <c r="BD559" s="191" t="e">
        <v>#REF!</v>
      </c>
    </row>
    <row r="560" spans="1:56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/>
      <c r="S560" s="201"/>
      <c r="T560" s="202"/>
      <c r="U560" s="246"/>
      <c r="V560" s="246"/>
      <c r="W560" s="246"/>
      <c r="BA560"/>
      <c r="BB560"/>
      <c r="BD560" s="191" t="e">
        <v>#REF!</v>
      </c>
    </row>
    <row r="561" spans="1:56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/>
      <c r="S561" s="201"/>
      <c r="T561" s="202"/>
      <c r="U561" s="246"/>
      <c r="V561" s="246"/>
      <c r="W561" s="246"/>
      <c r="BA561"/>
      <c r="BB561"/>
      <c r="BD561" s="191" t="e">
        <v>#REF!</v>
      </c>
    </row>
    <row r="562" spans="1:56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/>
      <c r="S562" s="201"/>
      <c r="T562" s="202"/>
      <c r="U562" s="246"/>
      <c r="V562" s="246"/>
      <c r="W562" s="246"/>
      <c r="BA562"/>
      <c r="BB562"/>
      <c r="BD562" s="191" t="e">
        <v>#REF!</v>
      </c>
    </row>
    <row r="563" spans="1:56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/>
      <c r="S563" s="201"/>
      <c r="T563" s="202"/>
      <c r="U563" s="246"/>
      <c r="V563" s="246"/>
      <c r="W563" s="246"/>
      <c r="BA563"/>
      <c r="BB563"/>
      <c r="BD563" s="191" t="e">
        <v>#REF!</v>
      </c>
    </row>
    <row r="564" spans="1:56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/>
      <c r="S564" s="201"/>
      <c r="T564" s="202"/>
      <c r="U564" s="246"/>
      <c r="V564" s="246"/>
      <c r="W564" s="246"/>
      <c r="BA564"/>
      <c r="BB564"/>
      <c r="BD564" s="191" t="e">
        <v>#REF!</v>
      </c>
    </row>
    <row r="565" spans="1:56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/>
      <c r="S565" s="201"/>
      <c r="T565" s="202"/>
      <c r="U565" s="246"/>
      <c r="V565" s="246"/>
      <c r="W565" s="246"/>
      <c r="BA565"/>
      <c r="BB565"/>
      <c r="BD565" s="191" t="e">
        <v>#REF!</v>
      </c>
    </row>
    <row r="566" spans="1:56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/>
      <c r="S566" s="201"/>
      <c r="T566" s="202"/>
      <c r="U566" s="246"/>
      <c r="V566" s="246"/>
      <c r="W566" s="246"/>
      <c r="BA566"/>
      <c r="BB566"/>
      <c r="BD566" s="191" t="e">
        <v>#REF!</v>
      </c>
    </row>
    <row r="567" spans="1:56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/>
      <c r="S567" s="201"/>
      <c r="T567" s="202"/>
      <c r="U567" s="246"/>
      <c r="V567" s="246"/>
      <c r="W567" s="246"/>
      <c r="BA567"/>
      <c r="BB567"/>
      <c r="BD567" s="191" t="e">
        <v>#REF!</v>
      </c>
    </row>
    <row r="568" spans="1:56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/>
      <c r="S568" s="201"/>
      <c r="T568" s="202"/>
      <c r="U568" s="246"/>
      <c r="V568" s="246"/>
      <c r="W568" s="246"/>
      <c r="BA568"/>
      <c r="BB568"/>
      <c r="BD568" s="191" t="e">
        <v>#REF!</v>
      </c>
    </row>
    <row r="569" spans="1:56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/>
      <c r="S569" s="201"/>
      <c r="T569" s="202"/>
      <c r="U569" s="246"/>
      <c r="V569" s="246"/>
      <c r="W569" s="246"/>
      <c r="BA569"/>
      <c r="BB569"/>
      <c r="BD569" s="191" t="e">
        <v>#REF!</v>
      </c>
    </row>
    <row r="570" spans="1:56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/>
      <c r="S570" s="201"/>
      <c r="T570" s="202"/>
      <c r="U570" s="246"/>
      <c r="V570" s="246"/>
      <c r="W570" s="246"/>
      <c r="BA570"/>
      <c r="BB570"/>
      <c r="BD570" s="191" t="e">
        <v>#REF!</v>
      </c>
    </row>
    <row r="571" spans="1:56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/>
      <c r="S571" s="201"/>
      <c r="T571" s="202"/>
      <c r="U571" s="246"/>
      <c r="V571" s="246"/>
      <c r="W571" s="246"/>
      <c r="BA571"/>
      <c r="BB571"/>
      <c r="BD571" s="191" t="e">
        <v>#REF!</v>
      </c>
    </row>
    <row r="572" spans="1:56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/>
      <c r="S572" s="201"/>
      <c r="T572" s="202"/>
      <c r="U572" s="246"/>
      <c r="V572" s="246"/>
      <c r="W572" s="246"/>
      <c r="BA572"/>
      <c r="BB572"/>
      <c r="BD572" s="191" t="e">
        <v>#REF!</v>
      </c>
    </row>
    <row r="573" spans="1:56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/>
      <c r="S573" s="201"/>
      <c r="T573" s="202"/>
      <c r="U573" s="246"/>
      <c r="V573" s="246"/>
      <c r="W573" s="246"/>
      <c r="BA573"/>
      <c r="BB573"/>
      <c r="BD573" s="191" t="e">
        <v>#REF!</v>
      </c>
    </row>
    <row r="574" spans="1:56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/>
      <c r="S574" s="201"/>
      <c r="T574" s="202"/>
      <c r="U574" s="246"/>
      <c r="V574" s="246"/>
      <c r="W574" s="246"/>
      <c r="BA574"/>
      <c r="BB574"/>
      <c r="BD574" s="191" t="e">
        <v>#REF!</v>
      </c>
    </row>
    <row r="575" spans="1:56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/>
      <c r="S575" s="201"/>
      <c r="T575" s="202"/>
      <c r="U575" s="246"/>
      <c r="V575" s="246"/>
      <c r="W575" s="246"/>
      <c r="BA575"/>
      <c r="BB575"/>
      <c r="BD575" s="191" t="e">
        <v>#REF!</v>
      </c>
    </row>
    <row r="576" spans="1:56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/>
      <c r="S576" s="201"/>
      <c r="T576" s="202"/>
      <c r="U576" s="246"/>
      <c r="V576" s="246"/>
      <c r="W576" s="246"/>
      <c r="BA576"/>
      <c r="BB576"/>
      <c r="BD576" s="191" t="e">
        <v>#REF!</v>
      </c>
    </row>
    <row r="577" spans="1:56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/>
      <c r="S577" s="201"/>
      <c r="T577" s="202"/>
      <c r="U577" s="246"/>
      <c r="V577" s="246"/>
      <c r="W577" s="246"/>
      <c r="BA577"/>
      <c r="BB577"/>
      <c r="BD577" s="191" t="e">
        <v>#REF!</v>
      </c>
    </row>
    <row r="578" spans="1:56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/>
      <c r="S578" s="201"/>
      <c r="T578" s="202"/>
      <c r="U578" s="246"/>
      <c r="V578" s="246"/>
      <c r="W578" s="246"/>
      <c r="BA578"/>
      <c r="BB578"/>
      <c r="BD578" s="191" t="e">
        <v>#REF!</v>
      </c>
    </row>
    <row r="579" spans="1:56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/>
      <c r="S579" s="201"/>
      <c r="T579" s="202"/>
      <c r="U579" s="246"/>
      <c r="V579" s="246"/>
      <c r="W579" s="246"/>
      <c r="BA579"/>
      <c r="BB579"/>
      <c r="BD579" s="191" t="e">
        <v>#REF!</v>
      </c>
    </row>
    <row r="580" spans="1:56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/>
      <c r="S580" s="201"/>
      <c r="T580" s="202"/>
      <c r="U580" s="246"/>
      <c r="V580" s="246"/>
      <c r="W580" s="246"/>
      <c r="BA580"/>
      <c r="BB580"/>
      <c r="BD580" s="191" t="e">
        <v>#REF!</v>
      </c>
    </row>
    <row r="581" spans="1:56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/>
      <c r="S581" s="201"/>
      <c r="T581" s="202"/>
      <c r="U581" s="246"/>
      <c r="V581" s="246"/>
      <c r="W581" s="246"/>
      <c r="BA581"/>
      <c r="BB581"/>
      <c r="BD581" s="191" t="e">
        <v>#REF!</v>
      </c>
    </row>
    <row r="582" spans="1:56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/>
      <c r="S582" s="201"/>
      <c r="T582" s="202"/>
      <c r="U582" s="246"/>
      <c r="V582" s="246"/>
      <c r="W582" s="246"/>
      <c r="BA582"/>
      <c r="BB582"/>
      <c r="BD582" s="191" t="e">
        <v>#REF!</v>
      </c>
    </row>
    <row r="583" spans="1:56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/>
      <c r="S583" s="201"/>
      <c r="T583" s="202"/>
      <c r="U583" s="246"/>
      <c r="V583" s="246"/>
      <c r="W583" s="246"/>
      <c r="BA583"/>
      <c r="BB583"/>
      <c r="BD583" s="191" t="e">
        <v>#REF!</v>
      </c>
    </row>
    <row r="584" spans="1:56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/>
      <c r="S584" s="201"/>
      <c r="T584" s="202"/>
      <c r="U584" s="246"/>
      <c r="V584" s="246"/>
      <c r="W584" s="246"/>
      <c r="BA584"/>
      <c r="BB584"/>
      <c r="BD584" s="191" t="e">
        <v>#REF!</v>
      </c>
    </row>
    <row r="585" spans="1:56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/>
      <c r="S585" s="201"/>
      <c r="T585" s="202"/>
      <c r="U585" s="246"/>
      <c r="V585" s="246"/>
      <c r="W585" s="246"/>
      <c r="BA585"/>
      <c r="BB585"/>
      <c r="BD585" s="191" t="e">
        <v>#REF!</v>
      </c>
    </row>
    <row r="586" spans="1:56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/>
      <c r="S586" s="201"/>
      <c r="T586" s="202"/>
      <c r="U586" s="246"/>
      <c r="V586" s="246"/>
      <c r="W586" s="246"/>
      <c r="BA586"/>
      <c r="BB586"/>
      <c r="BD586" s="191" t="e">
        <v>#REF!</v>
      </c>
    </row>
    <row r="587" spans="1:56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/>
      <c r="S587" s="201"/>
      <c r="T587" s="202"/>
      <c r="U587" s="246"/>
      <c r="V587" s="246"/>
      <c r="W587" s="246"/>
      <c r="BA587"/>
      <c r="BB587"/>
      <c r="BD587" s="191" t="e">
        <v>#REF!</v>
      </c>
    </row>
    <row r="588" spans="1:56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/>
      <c r="S588" s="201"/>
      <c r="T588" s="202"/>
      <c r="U588" s="246"/>
      <c r="V588" s="246"/>
      <c r="W588" s="246"/>
      <c r="BA588"/>
      <c r="BB588"/>
      <c r="BD588" s="191" t="e">
        <v>#REF!</v>
      </c>
    </row>
    <row r="589" spans="1:56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/>
      <c r="S589" s="201"/>
      <c r="T589" s="202"/>
      <c r="U589" s="246"/>
      <c r="V589" s="246"/>
      <c r="W589" s="246"/>
      <c r="BA589"/>
      <c r="BB589"/>
      <c r="BD589" s="191" t="e">
        <v>#REF!</v>
      </c>
    </row>
    <row r="590" spans="1:56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/>
      <c r="S590" s="201"/>
      <c r="T590" s="202"/>
      <c r="U590" s="246"/>
      <c r="V590" s="246"/>
      <c r="W590" s="246"/>
      <c r="BA590"/>
      <c r="BB590"/>
      <c r="BD590" s="191" t="e">
        <v>#REF!</v>
      </c>
    </row>
    <row r="591" spans="1:56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/>
      <c r="S591" s="201"/>
      <c r="T591" s="202"/>
      <c r="U591" s="246"/>
      <c r="V591" s="246"/>
      <c r="W591" s="246"/>
      <c r="BA591"/>
      <c r="BB591"/>
      <c r="BD591" s="191" t="e">
        <v>#REF!</v>
      </c>
    </row>
    <row r="592" spans="1:56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/>
      <c r="S592" s="201"/>
      <c r="T592" s="202"/>
      <c r="U592" s="246"/>
      <c r="V592" s="246"/>
      <c r="W592" s="246"/>
      <c r="BA592"/>
      <c r="BB592"/>
      <c r="BD592" s="191" t="e">
        <v>#REF!</v>
      </c>
    </row>
    <row r="593" spans="1:56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/>
      <c r="S593" s="201"/>
      <c r="T593" s="202"/>
      <c r="U593" s="246"/>
      <c r="V593" s="246"/>
      <c r="W593" s="246"/>
      <c r="BA593"/>
      <c r="BB593"/>
      <c r="BD593" s="191" t="e">
        <v>#REF!</v>
      </c>
    </row>
    <row r="594" spans="1:56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/>
      <c r="S594" s="201"/>
      <c r="T594" s="202"/>
      <c r="U594" s="246"/>
      <c r="V594" s="246"/>
      <c r="W594" s="246"/>
      <c r="BA594"/>
      <c r="BB594"/>
      <c r="BD594" s="191" t="e">
        <v>#REF!</v>
      </c>
    </row>
    <row r="595" spans="1:56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/>
      <c r="S595" s="201"/>
      <c r="T595" s="202"/>
      <c r="U595" s="246"/>
      <c r="V595" s="246"/>
      <c r="W595" s="246"/>
      <c r="BA595"/>
      <c r="BB595"/>
      <c r="BD595" s="191" t="e">
        <v>#REF!</v>
      </c>
    </row>
    <row r="596" spans="1:56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/>
      <c r="S596" s="201"/>
      <c r="T596" s="202"/>
      <c r="U596" s="246"/>
      <c r="V596" s="246"/>
      <c r="W596" s="246"/>
      <c r="BA596"/>
      <c r="BB596"/>
      <c r="BD596" s="191" t="e">
        <v>#REF!</v>
      </c>
    </row>
    <row r="597" spans="1:56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/>
      <c r="S597" s="201"/>
      <c r="T597" s="202"/>
      <c r="U597" s="246"/>
      <c r="V597" s="246"/>
      <c r="W597" s="246"/>
      <c r="BA597"/>
      <c r="BB597"/>
      <c r="BD597" s="191" t="e">
        <v>#REF!</v>
      </c>
    </row>
    <row r="598" spans="1:56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/>
      <c r="S598" s="201"/>
      <c r="T598" s="202"/>
      <c r="U598" s="246"/>
      <c r="V598" s="246"/>
      <c r="W598" s="246"/>
      <c r="BA598"/>
      <c r="BB598"/>
      <c r="BD598" s="191" t="e">
        <v>#REF!</v>
      </c>
    </row>
    <row r="599" spans="1:56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/>
      <c r="S599" s="201"/>
      <c r="T599" s="202"/>
      <c r="U599" s="246"/>
      <c r="V599" s="246"/>
      <c r="W599" s="246"/>
      <c r="BA599"/>
      <c r="BB599"/>
      <c r="BD599" s="191" t="e">
        <v>#REF!</v>
      </c>
    </row>
    <row r="600" spans="1:56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/>
      <c r="S600" s="201"/>
      <c r="T600" s="202"/>
      <c r="U600" s="246"/>
      <c r="V600" s="246"/>
      <c r="W600" s="246"/>
      <c r="BA600"/>
      <c r="BB600"/>
      <c r="BD600" s="191" t="e">
        <v>#REF!</v>
      </c>
    </row>
    <row r="601" spans="1:56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/>
      <c r="S601" s="201"/>
      <c r="T601" s="202"/>
      <c r="U601" s="246"/>
      <c r="V601" s="246"/>
      <c r="W601" s="246"/>
      <c r="BA601"/>
      <c r="BB601"/>
      <c r="BD601" s="191" t="e">
        <v>#REF!</v>
      </c>
    </row>
    <row r="602" spans="1:56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/>
      <c r="S602" s="201"/>
      <c r="T602" s="202"/>
      <c r="U602" s="246"/>
      <c r="V602" s="246"/>
      <c r="W602" s="246"/>
      <c r="BA602"/>
      <c r="BB602"/>
      <c r="BD602" s="191" t="e">
        <v>#REF!</v>
      </c>
    </row>
    <row r="603" spans="1:56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/>
      <c r="S603" s="201"/>
      <c r="T603" s="202"/>
      <c r="U603" s="246"/>
      <c r="V603" s="246"/>
      <c r="W603" s="246"/>
      <c r="BA603"/>
      <c r="BB603"/>
      <c r="BD603" s="191" t="e">
        <v>#REF!</v>
      </c>
    </row>
    <row r="604" spans="1:56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/>
      <c r="S604" s="201"/>
      <c r="T604" s="202"/>
      <c r="U604" s="246"/>
      <c r="V604" s="246"/>
      <c r="W604" s="246"/>
      <c r="BA604"/>
      <c r="BB604"/>
      <c r="BD604" s="191" t="e">
        <v>#REF!</v>
      </c>
    </row>
    <row r="605" spans="1:56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/>
      <c r="S605" s="201"/>
      <c r="T605" s="202"/>
      <c r="U605" s="246"/>
      <c r="V605" s="246"/>
      <c r="W605" s="246"/>
      <c r="BA605"/>
      <c r="BB605"/>
      <c r="BD605" s="191" t="e">
        <v>#REF!</v>
      </c>
    </row>
    <row r="606" spans="1:56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/>
      <c r="S606" s="201"/>
      <c r="T606" s="202"/>
      <c r="U606" s="246"/>
      <c r="V606" s="246"/>
      <c r="W606" s="246"/>
      <c r="BA606"/>
      <c r="BB606"/>
      <c r="BD606" s="191" t="e">
        <v>#REF!</v>
      </c>
    </row>
    <row r="607" spans="1:56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/>
      <c r="S607" s="201"/>
      <c r="T607" s="202"/>
      <c r="U607" s="246"/>
      <c r="V607" s="246"/>
      <c r="W607" s="246"/>
      <c r="BA607"/>
      <c r="BB607"/>
      <c r="BD607" s="191" t="e">
        <v>#REF!</v>
      </c>
    </row>
    <row r="608" spans="1:56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/>
      <c r="S608" s="201"/>
      <c r="T608" s="202"/>
      <c r="U608" s="246"/>
      <c r="V608" s="246"/>
      <c r="W608" s="246"/>
      <c r="BA608"/>
      <c r="BB608"/>
      <c r="BD608" s="191" t="e">
        <v>#REF!</v>
      </c>
    </row>
    <row r="609" spans="1:56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/>
      <c r="S609" s="201"/>
      <c r="T609" s="202"/>
      <c r="U609" s="246"/>
      <c r="V609" s="246"/>
      <c r="W609" s="246"/>
      <c r="BA609"/>
      <c r="BB609"/>
      <c r="BD609" s="191" t="e">
        <v>#REF!</v>
      </c>
    </row>
    <row r="610" spans="1:56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/>
      <c r="S610" s="201"/>
      <c r="T610" s="202"/>
      <c r="U610" s="246"/>
      <c r="V610" s="246"/>
      <c r="W610" s="246"/>
      <c r="BA610"/>
      <c r="BB610"/>
      <c r="BD610" s="191" t="e">
        <v>#REF!</v>
      </c>
    </row>
    <row r="611" spans="1:56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/>
      <c r="S611" s="201"/>
      <c r="T611" s="202"/>
      <c r="U611" s="246"/>
      <c r="V611" s="246"/>
      <c r="W611" s="246"/>
      <c r="BA611"/>
      <c r="BB611"/>
      <c r="BD611" s="191" t="e">
        <v>#REF!</v>
      </c>
    </row>
    <row r="612" spans="1:56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/>
      <c r="S612" s="201"/>
      <c r="T612" s="202"/>
      <c r="U612" s="246"/>
      <c r="V612" s="246"/>
      <c r="W612" s="246"/>
      <c r="BA612"/>
      <c r="BB612"/>
      <c r="BD612" s="191" t="e">
        <v>#REF!</v>
      </c>
    </row>
    <row r="613" spans="1:56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/>
      <c r="S613" s="201"/>
      <c r="T613" s="202"/>
      <c r="U613" s="246"/>
      <c r="V613" s="246"/>
      <c r="W613" s="246"/>
      <c r="BA613"/>
      <c r="BB613"/>
      <c r="BD613" s="191" t="e">
        <v>#REF!</v>
      </c>
    </row>
    <row r="614" spans="1:56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/>
      <c r="S614" s="201"/>
      <c r="T614" s="202"/>
      <c r="U614" s="246"/>
      <c r="V614" s="246"/>
      <c r="W614" s="246"/>
      <c r="BA614"/>
      <c r="BB614"/>
      <c r="BD614" s="191" t="e">
        <v>#REF!</v>
      </c>
    </row>
    <row r="615" spans="1:56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/>
      <c r="S615" s="201"/>
      <c r="T615" s="202"/>
      <c r="U615" s="246"/>
      <c r="V615" s="246"/>
      <c r="W615" s="246"/>
      <c r="BA615"/>
      <c r="BB615"/>
      <c r="BD615" s="191" t="e">
        <v>#REF!</v>
      </c>
    </row>
    <row r="616" spans="1:56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/>
      <c r="S616" s="201"/>
      <c r="T616" s="202"/>
      <c r="U616" s="246"/>
      <c r="V616" s="246"/>
      <c r="W616" s="246"/>
      <c r="BA616"/>
      <c r="BB616"/>
      <c r="BD616" s="191" t="e">
        <v>#REF!</v>
      </c>
    </row>
    <row r="617" spans="1:56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/>
      <c r="S617" s="201"/>
      <c r="T617" s="202"/>
      <c r="U617" s="246"/>
      <c r="V617" s="246"/>
      <c r="W617" s="246"/>
      <c r="BA617"/>
      <c r="BB617"/>
      <c r="BD617" s="191" t="e">
        <v>#REF!</v>
      </c>
    </row>
    <row r="618" spans="1:56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/>
      <c r="S618" s="201"/>
      <c r="T618" s="202"/>
      <c r="U618" s="246"/>
      <c r="V618" s="246"/>
      <c r="W618" s="246"/>
      <c r="BA618"/>
      <c r="BB618"/>
      <c r="BD618" s="191" t="e">
        <v>#REF!</v>
      </c>
    </row>
    <row r="619" spans="1:56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/>
      <c r="S619" s="201"/>
      <c r="T619" s="202"/>
      <c r="U619" s="246"/>
      <c r="V619" s="246"/>
      <c r="W619" s="246"/>
      <c r="BA619"/>
      <c r="BB619"/>
      <c r="BD619" s="191" t="e">
        <v>#REF!</v>
      </c>
    </row>
    <row r="620" spans="1:56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/>
      <c r="S620" s="201"/>
      <c r="T620" s="202"/>
      <c r="U620" s="246"/>
      <c r="V620" s="246"/>
      <c r="W620" s="246"/>
      <c r="BA620"/>
      <c r="BB620"/>
      <c r="BD620" s="191" t="e">
        <v>#REF!</v>
      </c>
    </row>
    <row r="621" spans="1:56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/>
      <c r="S621" s="201"/>
      <c r="T621" s="202"/>
      <c r="U621" s="246"/>
      <c r="V621" s="246"/>
      <c r="W621" s="246"/>
      <c r="BA621"/>
      <c r="BB621"/>
      <c r="BD621" s="191" t="e">
        <v>#REF!</v>
      </c>
    </row>
    <row r="622" spans="1:56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/>
      <c r="S622" s="201"/>
      <c r="T622" s="202"/>
      <c r="U622" s="246"/>
      <c r="V622" s="246"/>
      <c r="W622" s="246"/>
      <c r="BA622"/>
      <c r="BB622"/>
      <c r="BD622" s="191" t="e">
        <v>#REF!</v>
      </c>
    </row>
    <row r="623" spans="1:56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/>
      <c r="S623" s="201"/>
      <c r="T623" s="202"/>
      <c r="U623" s="246"/>
      <c r="V623" s="246"/>
      <c r="W623" s="246"/>
      <c r="BA623"/>
      <c r="BB623"/>
      <c r="BD623" s="191" t="e">
        <v>#REF!</v>
      </c>
    </row>
    <row r="624" spans="1:56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/>
      <c r="S624" s="201"/>
      <c r="T624" s="202"/>
      <c r="U624" s="246"/>
      <c r="V624" s="246"/>
      <c r="W624" s="246"/>
      <c r="BA624"/>
      <c r="BB624"/>
      <c r="BD624" s="191" t="e">
        <v>#REF!</v>
      </c>
    </row>
    <row r="625" spans="1:56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/>
      <c r="S625" s="201"/>
      <c r="T625" s="202"/>
      <c r="U625" s="246"/>
      <c r="V625" s="246"/>
      <c r="W625" s="246"/>
      <c r="BA625"/>
      <c r="BB625"/>
      <c r="BD625" s="191" t="e">
        <v>#REF!</v>
      </c>
    </row>
    <row r="626" spans="1:56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/>
      <c r="S626" s="201"/>
      <c r="T626" s="202"/>
      <c r="U626" s="246"/>
      <c r="V626" s="246"/>
      <c r="W626" s="246"/>
      <c r="BA626"/>
      <c r="BB626"/>
      <c r="BD626" s="191" t="e">
        <v>#REF!</v>
      </c>
    </row>
    <row r="627" spans="1:56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/>
      <c r="S627" s="201"/>
      <c r="T627" s="202"/>
      <c r="U627" s="246"/>
      <c r="V627" s="246"/>
      <c r="W627" s="246"/>
      <c r="BA627"/>
      <c r="BB627"/>
      <c r="BD627" s="191" t="e">
        <v>#REF!</v>
      </c>
    </row>
    <row r="628" spans="1:56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/>
      <c r="S628" s="201"/>
      <c r="T628" s="202"/>
      <c r="U628" s="246"/>
      <c r="V628" s="246"/>
      <c r="W628" s="246"/>
      <c r="BA628"/>
      <c r="BB628"/>
      <c r="BD628" s="191" t="e">
        <v>#REF!</v>
      </c>
    </row>
    <row r="629" spans="1:56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/>
      <c r="S629" s="201"/>
      <c r="T629" s="202"/>
      <c r="U629" s="246"/>
      <c r="V629" s="246"/>
      <c r="W629" s="246"/>
      <c r="BA629"/>
      <c r="BB629"/>
      <c r="BD629" s="191" t="e">
        <v>#REF!</v>
      </c>
    </row>
    <row r="630" spans="1:56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/>
      <c r="S630" s="201"/>
      <c r="T630" s="202"/>
      <c r="U630" s="246"/>
      <c r="V630" s="246"/>
      <c r="W630" s="246"/>
      <c r="BA630"/>
      <c r="BB630"/>
      <c r="BD630" s="191" t="e">
        <v>#REF!</v>
      </c>
    </row>
    <row r="631" spans="1:56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/>
      <c r="S631" s="201"/>
      <c r="T631" s="202"/>
      <c r="U631" s="246"/>
      <c r="V631" s="246"/>
      <c r="W631" s="246"/>
      <c r="BA631"/>
      <c r="BB631"/>
      <c r="BD631" s="191" t="e">
        <v>#REF!</v>
      </c>
    </row>
    <row r="632" spans="1:56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/>
      <c r="S632" s="201"/>
      <c r="T632" s="202"/>
      <c r="U632" s="246"/>
      <c r="V632" s="246"/>
      <c r="W632" s="246"/>
      <c r="BA632"/>
      <c r="BB632"/>
      <c r="BD632" s="191" t="e">
        <v>#REF!</v>
      </c>
    </row>
    <row r="633" spans="1:56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/>
      <c r="S633" s="201"/>
      <c r="T633" s="202"/>
      <c r="U633" s="246"/>
      <c r="V633" s="246"/>
      <c r="W633" s="246"/>
      <c r="BA633"/>
      <c r="BB633"/>
      <c r="BD633" s="191" t="e">
        <v>#REF!</v>
      </c>
    </row>
    <row r="634" spans="1:56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/>
      <c r="S634" s="201"/>
      <c r="T634" s="202"/>
      <c r="U634" s="246"/>
      <c r="V634" s="246"/>
      <c r="W634" s="246"/>
      <c r="BA634"/>
      <c r="BB634"/>
      <c r="BD634" s="191" t="e">
        <v>#REF!</v>
      </c>
    </row>
    <row r="635" spans="1:56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/>
      <c r="S635" s="201"/>
      <c r="T635" s="202"/>
      <c r="U635" s="246"/>
      <c r="V635" s="246"/>
      <c r="W635" s="246"/>
      <c r="BA635"/>
      <c r="BB635"/>
      <c r="BD635" s="191" t="e">
        <v>#REF!</v>
      </c>
    </row>
    <row r="636" spans="1:56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/>
      <c r="S636" s="201"/>
      <c r="T636" s="202"/>
      <c r="U636" s="246"/>
      <c r="V636" s="246"/>
      <c r="W636" s="246"/>
      <c r="BA636"/>
      <c r="BB636"/>
      <c r="BD636" s="191" t="e">
        <v>#REF!</v>
      </c>
    </row>
    <row r="637" spans="1:56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/>
      <c r="S637" s="201"/>
      <c r="T637" s="202"/>
      <c r="U637" s="246"/>
      <c r="V637" s="246"/>
      <c r="W637" s="246"/>
      <c r="BA637"/>
      <c r="BB637"/>
      <c r="BD637" s="191" t="e">
        <v>#REF!</v>
      </c>
    </row>
    <row r="638" spans="1:56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/>
      <c r="S638" s="201"/>
      <c r="T638" s="202"/>
      <c r="U638" s="246"/>
      <c r="V638" s="246"/>
      <c r="W638" s="246"/>
      <c r="BA638"/>
      <c r="BB638"/>
      <c r="BD638" s="191" t="e">
        <v>#REF!</v>
      </c>
    </row>
    <row r="639" spans="1:56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/>
      <c r="S639" s="201"/>
      <c r="T639" s="202"/>
      <c r="U639" s="246"/>
      <c r="V639" s="246"/>
      <c r="W639" s="246"/>
      <c r="BA639"/>
      <c r="BB639"/>
      <c r="BD639" s="191" t="e">
        <v>#REF!</v>
      </c>
    </row>
    <row r="640" spans="1:56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/>
      <c r="S640" s="201"/>
      <c r="T640" s="202"/>
      <c r="U640" s="246"/>
      <c r="V640" s="246"/>
      <c r="W640" s="246"/>
      <c r="BA640"/>
      <c r="BB640"/>
      <c r="BD640" s="191" t="e">
        <v>#REF!</v>
      </c>
    </row>
    <row r="641" spans="1:56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/>
      <c r="S641" s="201"/>
      <c r="T641" s="202"/>
      <c r="U641" s="246"/>
      <c r="V641" s="246"/>
      <c r="W641" s="246"/>
      <c r="BA641"/>
      <c r="BB641"/>
      <c r="BD641" s="191" t="e">
        <v>#REF!</v>
      </c>
    </row>
    <row r="642" spans="1:56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/>
      <c r="S642" s="201"/>
      <c r="T642" s="202"/>
      <c r="U642" s="246"/>
      <c r="V642" s="246"/>
      <c r="W642" s="246"/>
      <c r="BA642"/>
      <c r="BB642"/>
      <c r="BD642" s="191" t="e">
        <v>#REF!</v>
      </c>
    </row>
    <row r="643" spans="1:56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/>
      <c r="S643" s="201"/>
      <c r="T643" s="202"/>
      <c r="U643" s="246"/>
      <c r="V643" s="246"/>
      <c r="W643" s="246"/>
      <c r="BA643"/>
      <c r="BB643"/>
      <c r="BD643" s="191" t="e">
        <v>#REF!</v>
      </c>
    </row>
    <row r="644" spans="1:56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/>
      <c r="S644" s="201"/>
      <c r="T644" s="202"/>
      <c r="U644" s="246"/>
      <c r="V644" s="246"/>
      <c r="W644" s="246"/>
      <c r="BA644"/>
      <c r="BB644"/>
      <c r="BD644" s="191" t="e">
        <v>#REF!</v>
      </c>
    </row>
    <row r="645" spans="1:56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/>
      <c r="S645" s="201"/>
      <c r="T645" s="202"/>
      <c r="U645" s="246"/>
      <c r="V645" s="246"/>
      <c r="W645" s="246"/>
      <c r="BA645"/>
      <c r="BB645"/>
      <c r="BD645" s="191" t="e">
        <v>#REF!</v>
      </c>
    </row>
    <row r="646" spans="1:56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/>
      <c r="S646" s="201"/>
      <c r="T646" s="202"/>
      <c r="U646" s="246"/>
      <c r="V646" s="246"/>
      <c r="W646" s="246"/>
      <c r="BA646"/>
      <c r="BB646"/>
      <c r="BD646" s="191" t="e">
        <v>#REF!</v>
      </c>
    </row>
    <row r="647" spans="1:56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/>
      <c r="S647" s="201"/>
      <c r="T647" s="202"/>
      <c r="U647" s="246"/>
      <c r="V647" s="246"/>
      <c r="W647" s="246"/>
      <c r="BA647"/>
      <c r="BB647"/>
      <c r="BD647" s="191" t="e">
        <v>#REF!</v>
      </c>
    </row>
    <row r="648" spans="1:56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/>
      <c r="S648" s="201"/>
      <c r="T648" s="202"/>
      <c r="U648" s="246"/>
      <c r="V648" s="246"/>
      <c r="W648" s="246"/>
      <c r="BA648"/>
      <c r="BB648"/>
      <c r="BD648" s="191" t="e">
        <v>#REF!</v>
      </c>
    </row>
    <row r="649" spans="1:56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/>
      <c r="S649" s="201"/>
      <c r="T649" s="202"/>
      <c r="U649" s="246"/>
      <c r="V649" s="246"/>
      <c r="W649" s="246"/>
      <c r="BA649"/>
      <c r="BB649"/>
      <c r="BD649" s="191" t="e">
        <v>#REF!</v>
      </c>
    </row>
    <row r="650" spans="1:56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/>
      <c r="S650" s="201"/>
      <c r="T650" s="202"/>
      <c r="U650" s="246"/>
      <c r="V650" s="246"/>
      <c r="W650" s="246"/>
      <c r="BA650"/>
      <c r="BB650"/>
      <c r="BD650" s="191" t="e">
        <v>#REF!</v>
      </c>
    </row>
    <row r="651" spans="1:56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/>
      <c r="S651" s="201"/>
      <c r="T651" s="202"/>
      <c r="U651" s="246"/>
      <c r="V651" s="246"/>
      <c r="W651" s="246"/>
      <c r="BA651"/>
      <c r="BB651"/>
      <c r="BD651" s="191" t="e">
        <v>#REF!</v>
      </c>
    </row>
    <row r="652" spans="1:56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/>
      <c r="S652" s="201"/>
      <c r="T652" s="202"/>
      <c r="U652" s="246"/>
      <c r="V652" s="246"/>
      <c r="W652" s="246"/>
      <c r="BA652"/>
      <c r="BB652"/>
      <c r="BD652" s="191" t="e">
        <v>#REF!</v>
      </c>
    </row>
    <row r="653" spans="1:56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/>
      <c r="S653" s="201"/>
      <c r="T653" s="202"/>
      <c r="U653" s="246"/>
      <c r="V653" s="246"/>
      <c r="W653" s="246"/>
      <c r="BA653"/>
      <c r="BB653"/>
      <c r="BD653" s="191" t="e">
        <v>#REF!</v>
      </c>
    </row>
    <row r="654" spans="1:56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/>
      <c r="S654" s="201"/>
      <c r="T654" s="202"/>
      <c r="U654" s="246"/>
      <c r="V654" s="246"/>
      <c r="W654" s="246"/>
      <c r="BA654"/>
      <c r="BB654"/>
      <c r="BD654" s="191" t="e">
        <v>#REF!</v>
      </c>
    </row>
    <row r="655" spans="1:56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/>
      <c r="S655" s="201"/>
      <c r="T655" s="202"/>
      <c r="U655" s="246"/>
      <c r="V655" s="246"/>
      <c r="W655" s="246"/>
      <c r="BA655"/>
      <c r="BB655"/>
      <c r="BD655" s="191" t="e">
        <v>#REF!</v>
      </c>
    </row>
    <row r="656" spans="1:56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/>
      <c r="S656" s="201"/>
      <c r="T656" s="202"/>
      <c r="U656" s="246"/>
      <c r="V656" s="246"/>
      <c r="W656" s="246"/>
      <c r="BA656"/>
      <c r="BB656"/>
      <c r="BD656" s="191" t="e">
        <v>#REF!</v>
      </c>
    </row>
    <row r="657" spans="1:56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/>
      <c r="S657" s="201"/>
      <c r="T657" s="202"/>
      <c r="U657" s="246"/>
      <c r="V657" s="246"/>
      <c r="W657" s="246"/>
      <c r="BA657"/>
      <c r="BB657"/>
      <c r="BD657" s="191" t="e">
        <v>#REF!</v>
      </c>
    </row>
    <row r="658" spans="1:56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/>
      <c r="S658" s="201"/>
      <c r="T658" s="202"/>
      <c r="U658" s="246"/>
      <c r="V658" s="246"/>
      <c r="W658" s="246"/>
      <c r="BA658"/>
      <c r="BB658"/>
      <c r="BD658" s="191" t="e">
        <v>#REF!</v>
      </c>
    </row>
    <row r="659" spans="1:56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/>
      <c r="S659" s="201"/>
      <c r="T659" s="202"/>
      <c r="U659" s="246"/>
      <c r="V659" s="246"/>
      <c r="W659" s="246"/>
      <c r="BA659"/>
      <c r="BB659"/>
      <c r="BD659" s="191" t="e">
        <v>#REF!</v>
      </c>
    </row>
    <row r="660" spans="1:56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/>
      <c r="S660" s="201"/>
      <c r="T660" s="202"/>
      <c r="U660" s="246"/>
      <c r="V660" s="246"/>
      <c r="W660" s="246"/>
      <c r="BA660"/>
      <c r="BB660"/>
      <c r="BD660" s="191" t="e">
        <v>#REF!</v>
      </c>
    </row>
    <row r="661" spans="1:56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/>
      <c r="S661" s="201"/>
      <c r="T661" s="202"/>
      <c r="U661" s="246"/>
      <c r="V661" s="246"/>
      <c r="W661" s="246"/>
      <c r="BA661"/>
      <c r="BB661"/>
      <c r="BD661" s="191" t="e">
        <v>#REF!</v>
      </c>
    </row>
    <row r="662" spans="1:56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/>
      <c r="S662" s="201"/>
      <c r="T662" s="202"/>
      <c r="U662" s="246"/>
      <c r="V662" s="246"/>
      <c r="W662" s="246"/>
      <c r="BA662"/>
      <c r="BB662"/>
      <c r="BD662" s="191" t="e">
        <v>#REF!</v>
      </c>
    </row>
    <row r="663" spans="1:56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/>
      <c r="S663" s="201"/>
      <c r="T663" s="202"/>
      <c r="U663" s="246"/>
      <c r="V663" s="246"/>
      <c r="W663" s="246"/>
      <c r="BA663"/>
      <c r="BB663"/>
      <c r="BD663" s="191" t="e">
        <v>#REF!</v>
      </c>
    </row>
    <row r="664" spans="1:56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/>
      <c r="S664" s="201"/>
      <c r="T664" s="202"/>
      <c r="U664" s="246"/>
      <c r="V664" s="246"/>
      <c r="W664" s="246"/>
      <c r="BA664"/>
      <c r="BB664"/>
      <c r="BD664" s="191" t="e">
        <v>#REF!</v>
      </c>
    </row>
    <row r="665" spans="1:56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/>
      <c r="S665" s="201"/>
      <c r="T665" s="202"/>
      <c r="U665" s="246"/>
      <c r="V665" s="246"/>
      <c r="W665" s="246"/>
      <c r="BA665"/>
      <c r="BB665"/>
      <c r="BD665" s="191" t="e">
        <v>#REF!</v>
      </c>
    </row>
    <row r="666" spans="1:56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/>
      <c r="S666" s="201"/>
      <c r="T666" s="202"/>
      <c r="U666" s="246"/>
      <c r="V666" s="246"/>
      <c r="W666" s="246"/>
      <c r="BA666"/>
      <c r="BB666"/>
      <c r="BD666" s="191" t="e">
        <v>#REF!</v>
      </c>
    </row>
    <row r="667" spans="1:56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/>
      <c r="S667" s="201"/>
      <c r="T667" s="202"/>
      <c r="U667" s="246"/>
      <c r="V667" s="246"/>
      <c r="W667" s="246"/>
      <c r="BA667"/>
      <c r="BB667"/>
      <c r="BD667" s="191" t="e">
        <v>#REF!</v>
      </c>
    </row>
    <row r="668" spans="1:56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/>
      <c r="S668" s="201"/>
      <c r="T668" s="202"/>
      <c r="U668" s="246"/>
      <c r="V668" s="246"/>
      <c r="W668" s="246"/>
      <c r="BA668"/>
      <c r="BB668"/>
      <c r="BD668" s="191" t="e">
        <v>#REF!</v>
      </c>
    </row>
    <row r="669" spans="1:56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/>
      <c r="S669" s="201"/>
      <c r="T669" s="202"/>
      <c r="U669" s="246"/>
      <c r="V669" s="246"/>
      <c r="W669" s="246"/>
      <c r="BA669"/>
      <c r="BB669"/>
      <c r="BD669" s="191" t="e">
        <v>#REF!</v>
      </c>
    </row>
    <row r="670" spans="1:56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/>
      <c r="S670" s="201"/>
      <c r="T670" s="202"/>
      <c r="U670" s="246"/>
      <c r="V670" s="246"/>
      <c r="W670" s="246"/>
      <c r="BA670"/>
      <c r="BB670"/>
      <c r="BD670" s="191" t="e">
        <v>#REF!</v>
      </c>
    </row>
    <row r="671" spans="1:56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/>
      <c r="S671" s="201"/>
      <c r="T671" s="202"/>
      <c r="U671" s="246"/>
      <c r="V671" s="246"/>
      <c r="W671" s="246"/>
      <c r="BA671"/>
      <c r="BB671"/>
      <c r="BD671" s="191" t="e">
        <v>#REF!</v>
      </c>
    </row>
    <row r="672" spans="1:56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/>
      <c r="S672" s="201"/>
      <c r="T672" s="202"/>
      <c r="U672" s="246"/>
      <c r="V672" s="246"/>
      <c r="W672" s="246"/>
      <c r="BA672"/>
      <c r="BB672"/>
      <c r="BD672" s="191" t="e">
        <v>#REF!</v>
      </c>
    </row>
    <row r="673" spans="1:56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/>
      <c r="S673" s="201"/>
      <c r="T673" s="202"/>
      <c r="U673" s="246"/>
      <c r="V673" s="246"/>
      <c r="W673" s="246"/>
      <c r="BA673"/>
      <c r="BB673"/>
      <c r="BD673" s="191" t="e">
        <v>#REF!</v>
      </c>
    </row>
    <row r="674" spans="1:56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/>
      <c r="S674" s="201"/>
      <c r="T674" s="202"/>
      <c r="U674" s="246"/>
      <c r="V674" s="246"/>
      <c r="W674" s="246"/>
      <c r="BA674"/>
      <c r="BB674"/>
      <c r="BD674" s="191" t="e">
        <v>#REF!</v>
      </c>
    </row>
    <row r="675" spans="1:56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/>
      <c r="S675" s="201"/>
      <c r="T675" s="202"/>
      <c r="U675" s="246"/>
      <c r="V675" s="246"/>
      <c r="W675" s="246"/>
      <c r="BA675"/>
      <c r="BB675"/>
      <c r="BD675" s="191" t="e">
        <v>#REF!</v>
      </c>
    </row>
    <row r="676" spans="1:56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/>
      <c r="S676" s="201"/>
      <c r="T676" s="202"/>
      <c r="U676" s="246"/>
      <c r="V676" s="246"/>
      <c r="W676" s="246"/>
      <c r="BA676"/>
      <c r="BB676"/>
      <c r="BD676" s="191" t="e">
        <v>#REF!</v>
      </c>
    </row>
    <row r="677" spans="1:56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/>
      <c r="S677" s="201"/>
      <c r="T677" s="202"/>
      <c r="U677" s="246"/>
      <c r="V677" s="246"/>
      <c r="W677" s="246"/>
      <c r="BA677"/>
      <c r="BB677"/>
      <c r="BD677" s="191" t="e">
        <v>#REF!</v>
      </c>
    </row>
    <row r="678" spans="1:56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/>
      <c r="S678" s="201"/>
      <c r="T678" s="202"/>
      <c r="U678" s="246"/>
      <c r="V678" s="246"/>
      <c r="W678" s="246"/>
      <c r="BA678"/>
      <c r="BB678"/>
      <c r="BD678" s="191" t="e">
        <v>#REF!</v>
      </c>
    </row>
    <row r="679" spans="1:56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/>
      <c r="S679" s="201"/>
      <c r="T679" s="202"/>
      <c r="U679" s="246"/>
      <c r="V679" s="246"/>
      <c r="W679" s="246"/>
      <c r="BA679"/>
      <c r="BB679"/>
      <c r="BD679" s="191" t="e">
        <v>#REF!</v>
      </c>
    </row>
    <row r="680" spans="1:56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/>
      <c r="S680" s="201"/>
      <c r="T680" s="202"/>
      <c r="U680" s="246"/>
      <c r="V680" s="246"/>
      <c r="W680" s="246"/>
      <c r="BA680"/>
      <c r="BB680"/>
      <c r="BD680" s="191" t="e">
        <v>#REF!</v>
      </c>
    </row>
    <row r="681" spans="1:56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/>
      <c r="S681" s="201"/>
      <c r="T681" s="202"/>
      <c r="U681" s="246"/>
      <c r="V681" s="246"/>
      <c r="W681" s="246"/>
      <c r="BA681"/>
      <c r="BB681"/>
      <c r="BD681" s="191" t="e">
        <v>#REF!</v>
      </c>
    </row>
    <row r="682" spans="1:56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/>
      <c r="S682" s="201"/>
      <c r="T682" s="202"/>
      <c r="U682" s="246"/>
      <c r="V682" s="246"/>
      <c r="W682" s="246"/>
      <c r="BA682"/>
      <c r="BB682"/>
      <c r="BD682" s="191" t="e">
        <v>#REF!</v>
      </c>
    </row>
    <row r="683" spans="1:56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/>
      <c r="S683" s="201"/>
      <c r="T683" s="202"/>
      <c r="U683" s="246"/>
      <c r="V683" s="246"/>
      <c r="W683" s="246"/>
      <c r="BA683"/>
      <c r="BB683"/>
      <c r="BD683" s="191" t="e">
        <v>#REF!</v>
      </c>
    </row>
    <row r="684" spans="1:56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/>
      <c r="S684" s="201"/>
      <c r="T684" s="202"/>
      <c r="U684" s="246"/>
      <c r="V684" s="246"/>
      <c r="W684" s="246"/>
      <c r="BA684"/>
      <c r="BB684"/>
      <c r="BD684" s="191" t="e">
        <v>#REF!</v>
      </c>
    </row>
    <row r="685" spans="1:56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/>
      <c r="S685" s="201"/>
      <c r="T685" s="202"/>
      <c r="U685" s="246"/>
      <c r="V685" s="246"/>
      <c r="W685" s="246"/>
      <c r="BA685"/>
      <c r="BB685"/>
      <c r="BD685" s="191" t="e">
        <v>#REF!</v>
      </c>
    </row>
    <row r="686" spans="1:56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/>
      <c r="S686" s="201"/>
      <c r="T686" s="202"/>
      <c r="U686" s="246"/>
      <c r="V686" s="246"/>
      <c r="W686" s="246"/>
      <c r="BA686"/>
      <c r="BB686"/>
      <c r="BD686" s="191" t="e">
        <v>#REF!</v>
      </c>
    </row>
    <row r="687" spans="1:56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/>
      <c r="S687" s="201"/>
      <c r="T687" s="202"/>
      <c r="U687" s="246"/>
      <c r="V687" s="246"/>
      <c r="W687" s="246"/>
      <c r="BA687"/>
      <c r="BB687"/>
      <c r="BD687" s="191" t="e">
        <v>#REF!</v>
      </c>
    </row>
    <row r="688" spans="1:56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/>
      <c r="S688" s="201"/>
      <c r="T688" s="202"/>
      <c r="U688" s="246"/>
      <c r="V688" s="246"/>
      <c r="W688" s="246"/>
      <c r="BA688"/>
      <c r="BB688"/>
      <c r="BD688" s="191" t="e">
        <v>#REF!</v>
      </c>
    </row>
    <row r="689" spans="1:56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/>
      <c r="S689" s="201"/>
      <c r="T689" s="202"/>
      <c r="U689" s="246"/>
      <c r="V689" s="246"/>
      <c r="W689" s="246"/>
      <c r="BA689"/>
      <c r="BB689"/>
      <c r="BD689" s="191" t="e">
        <v>#REF!</v>
      </c>
    </row>
    <row r="690" spans="1:56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/>
      <c r="S690" s="201"/>
      <c r="T690" s="202"/>
      <c r="U690" s="246"/>
      <c r="V690" s="246"/>
      <c r="W690" s="246"/>
      <c r="BA690"/>
      <c r="BB690"/>
      <c r="BD690" s="191" t="e">
        <v>#REF!</v>
      </c>
    </row>
    <row r="691" spans="1:56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/>
      <c r="S691" s="201"/>
      <c r="T691" s="202"/>
      <c r="U691" s="246"/>
      <c r="V691" s="246"/>
      <c r="W691" s="246"/>
      <c r="BA691"/>
      <c r="BB691"/>
      <c r="BD691" s="191" t="e">
        <v>#REF!</v>
      </c>
    </row>
    <row r="692" spans="1:56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/>
      <c r="S692" s="201"/>
      <c r="T692" s="202"/>
      <c r="U692" s="246"/>
      <c r="V692" s="246"/>
      <c r="W692" s="246"/>
      <c r="BA692"/>
      <c r="BB692"/>
      <c r="BD692" s="191" t="e">
        <v>#REF!</v>
      </c>
    </row>
    <row r="693" spans="1:56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/>
      <c r="S693" s="201"/>
      <c r="T693" s="202"/>
      <c r="U693" s="246"/>
      <c r="V693" s="246"/>
      <c r="W693" s="246"/>
      <c r="BA693"/>
      <c r="BB693"/>
      <c r="BD693" s="191" t="e">
        <v>#REF!</v>
      </c>
    </row>
    <row r="694" spans="1:56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/>
      <c r="S694" s="201"/>
      <c r="T694" s="202"/>
      <c r="U694" s="246"/>
      <c r="V694" s="246"/>
      <c r="W694" s="246"/>
      <c r="BA694"/>
      <c r="BB694"/>
      <c r="BD694" s="191" t="e">
        <v>#REF!</v>
      </c>
    </row>
    <row r="695" spans="1:56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/>
      <c r="S695" s="201"/>
      <c r="T695" s="202"/>
      <c r="U695" s="246"/>
      <c r="V695" s="246"/>
      <c r="W695" s="246"/>
      <c r="BA695"/>
      <c r="BB695"/>
      <c r="BD695" s="191" t="e">
        <v>#REF!</v>
      </c>
    </row>
    <row r="696" spans="1:56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/>
      <c r="S696" s="201"/>
      <c r="T696" s="202"/>
      <c r="U696" s="246"/>
      <c r="V696" s="246"/>
      <c r="W696" s="246"/>
      <c r="BA696"/>
      <c r="BB696"/>
      <c r="BD696" s="191" t="e">
        <v>#REF!</v>
      </c>
    </row>
    <row r="697" spans="1:56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/>
      <c r="S697" s="201"/>
      <c r="T697" s="202"/>
      <c r="U697" s="246"/>
      <c r="V697" s="246"/>
      <c r="W697" s="246"/>
      <c r="BA697"/>
      <c r="BB697"/>
      <c r="BD697" s="191" t="e">
        <v>#REF!</v>
      </c>
    </row>
    <row r="698" spans="1:56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/>
      <c r="S698" s="201"/>
      <c r="T698" s="202"/>
      <c r="U698" s="246"/>
      <c r="V698" s="246"/>
      <c r="W698" s="246"/>
      <c r="BA698"/>
      <c r="BB698"/>
      <c r="BD698" s="191" t="e">
        <v>#REF!</v>
      </c>
    </row>
    <row r="699" spans="1:56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/>
      <c r="S699" s="201"/>
      <c r="T699" s="202"/>
      <c r="U699" s="246"/>
      <c r="V699" s="246"/>
      <c r="W699" s="246"/>
      <c r="BA699"/>
      <c r="BB699"/>
      <c r="BD699" s="191" t="e">
        <v>#REF!</v>
      </c>
    </row>
    <row r="700" spans="1:56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/>
      <c r="S700" s="201"/>
      <c r="T700" s="202"/>
      <c r="U700" s="246"/>
      <c r="V700" s="246"/>
      <c r="W700" s="246"/>
      <c r="BA700"/>
      <c r="BB700"/>
      <c r="BD700" s="191" t="e">
        <v>#REF!</v>
      </c>
    </row>
    <row r="701" spans="1:56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/>
      <c r="S701" s="201"/>
      <c r="T701" s="202"/>
      <c r="U701" s="246"/>
      <c r="V701" s="246"/>
      <c r="W701" s="246"/>
      <c r="BA701"/>
      <c r="BB701"/>
      <c r="BD701" s="191" t="e">
        <v>#REF!</v>
      </c>
    </row>
    <row r="702" spans="1:56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/>
      <c r="S702" s="201"/>
      <c r="T702" s="202"/>
      <c r="U702" s="246"/>
      <c r="V702" s="246"/>
      <c r="W702" s="246"/>
      <c r="BA702"/>
      <c r="BB702"/>
      <c r="BD702" s="191" t="e">
        <v>#REF!</v>
      </c>
    </row>
    <row r="703" spans="1:56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/>
      <c r="S703" s="201"/>
      <c r="T703" s="202"/>
      <c r="U703" s="246"/>
      <c r="V703" s="246"/>
      <c r="W703" s="246"/>
      <c r="BA703"/>
      <c r="BB703"/>
      <c r="BD703" s="191" t="e">
        <v>#REF!</v>
      </c>
    </row>
    <row r="704" spans="1:56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/>
      <c r="S704" s="201"/>
      <c r="T704" s="202"/>
      <c r="U704" s="246"/>
      <c r="V704" s="246"/>
      <c r="W704" s="246"/>
      <c r="BA704"/>
      <c r="BB704"/>
      <c r="BD704" s="191" t="e">
        <v>#REF!</v>
      </c>
    </row>
    <row r="705" spans="1:56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/>
      <c r="S705" s="201"/>
      <c r="T705" s="202"/>
      <c r="U705" s="246"/>
      <c r="V705" s="246"/>
      <c r="W705" s="246"/>
      <c r="BA705"/>
      <c r="BB705"/>
      <c r="BD705" s="191" t="e">
        <v>#REF!</v>
      </c>
    </row>
    <row r="706" spans="1:56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/>
      <c r="S706" s="201"/>
      <c r="T706" s="202"/>
      <c r="U706" s="246"/>
      <c r="V706" s="246"/>
      <c r="W706" s="246"/>
      <c r="BA706"/>
      <c r="BB706"/>
      <c r="BD706" s="191" t="e">
        <v>#REF!</v>
      </c>
    </row>
    <row r="707" spans="1:56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/>
      <c r="S707" s="201"/>
      <c r="T707" s="202"/>
      <c r="U707" s="246"/>
      <c r="V707" s="246"/>
      <c r="W707" s="246"/>
      <c r="BA707"/>
      <c r="BB707"/>
      <c r="BD707" s="191" t="e">
        <v>#REF!</v>
      </c>
    </row>
    <row r="708" spans="1:56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/>
      <c r="S708" s="201"/>
      <c r="T708" s="202"/>
      <c r="U708" s="246"/>
      <c r="V708" s="246"/>
      <c r="W708" s="246"/>
      <c r="BA708"/>
      <c r="BB708"/>
      <c r="BD708" s="191" t="e">
        <v>#REF!</v>
      </c>
    </row>
    <row r="709" spans="1:56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/>
      <c r="S709" s="201"/>
      <c r="T709" s="202"/>
      <c r="U709" s="246"/>
      <c r="V709" s="246"/>
      <c r="W709" s="246"/>
      <c r="BA709"/>
      <c r="BB709"/>
      <c r="BD709" s="191" t="e">
        <v>#REF!</v>
      </c>
    </row>
    <row r="710" spans="1:56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/>
      <c r="S710" s="201"/>
      <c r="T710" s="202"/>
      <c r="U710" s="246"/>
      <c r="V710" s="246"/>
      <c r="W710" s="246"/>
      <c r="BA710"/>
      <c r="BB710"/>
      <c r="BD710" s="191" t="e">
        <v>#REF!</v>
      </c>
    </row>
    <row r="711" spans="1:56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/>
      <c r="S711" s="201"/>
      <c r="T711" s="202"/>
      <c r="U711" s="246"/>
      <c r="V711" s="246"/>
      <c r="W711" s="246"/>
      <c r="BA711"/>
      <c r="BB711"/>
      <c r="BD711" s="191" t="e">
        <v>#REF!</v>
      </c>
    </row>
    <row r="712" spans="1:56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/>
      <c r="S712" s="201"/>
      <c r="T712" s="202"/>
      <c r="U712" s="246"/>
      <c r="V712" s="246"/>
      <c r="W712" s="246"/>
      <c r="BA712"/>
      <c r="BB712"/>
      <c r="BD712" s="191" t="e">
        <v>#REF!</v>
      </c>
    </row>
    <row r="713" spans="1:56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/>
      <c r="S713" s="201"/>
      <c r="T713" s="202"/>
      <c r="U713" s="246"/>
      <c r="V713" s="246"/>
      <c r="W713" s="246"/>
      <c r="BA713"/>
      <c r="BB713"/>
      <c r="BD713" s="191" t="e">
        <v>#REF!</v>
      </c>
    </row>
    <row r="714" spans="1:56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/>
      <c r="S714" s="201"/>
      <c r="T714" s="202"/>
      <c r="U714" s="246"/>
      <c r="V714" s="246"/>
      <c r="W714" s="246"/>
      <c r="BA714"/>
      <c r="BB714"/>
      <c r="BD714" s="191" t="e">
        <v>#REF!</v>
      </c>
    </row>
    <row r="715" spans="1:56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/>
      <c r="S715" s="201"/>
      <c r="T715" s="202"/>
      <c r="U715" s="246"/>
      <c r="V715" s="246"/>
      <c r="W715" s="246"/>
      <c r="BA715"/>
      <c r="BB715"/>
      <c r="BD715" s="191" t="e">
        <v>#REF!</v>
      </c>
    </row>
    <row r="716" spans="1:56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/>
      <c r="S716" s="201"/>
      <c r="T716" s="202"/>
      <c r="U716" s="246"/>
      <c r="V716" s="246"/>
      <c r="W716" s="246"/>
      <c r="BA716"/>
      <c r="BB716"/>
      <c r="BD716" s="191" t="e">
        <v>#REF!</v>
      </c>
    </row>
    <row r="717" spans="1:56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/>
      <c r="S717" s="201"/>
      <c r="T717" s="202"/>
      <c r="U717" s="246"/>
      <c r="V717" s="246"/>
      <c r="W717" s="246"/>
      <c r="BA717"/>
      <c r="BB717"/>
      <c r="BD717" s="191" t="e">
        <v>#REF!</v>
      </c>
    </row>
    <row r="718" spans="1:56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/>
      <c r="S718" s="201"/>
      <c r="T718" s="202"/>
      <c r="U718" s="246"/>
      <c r="V718" s="246"/>
      <c r="W718" s="246"/>
      <c r="BA718"/>
      <c r="BB718"/>
      <c r="BD718" s="191" t="e">
        <v>#REF!</v>
      </c>
    </row>
    <row r="719" spans="1:56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/>
      <c r="S719" s="201"/>
      <c r="T719" s="202"/>
      <c r="U719" s="246"/>
      <c r="V719" s="246"/>
      <c r="W719" s="246"/>
      <c r="BA719"/>
      <c r="BB719"/>
      <c r="BD719" s="191" t="e">
        <v>#REF!</v>
      </c>
    </row>
    <row r="720" spans="1:56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/>
      <c r="S720" s="201"/>
      <c r="T720" s="202"/>
      <c r="U720" s="246"/>
      <c r="V720" s="246"/>
      <c r="W720" s="246"/>
      <c r="BA720"/>
      <c r="BB720"/>
      <c r="BD720" s="191" t="e">
        <v>#REF!</v>
      </c>
    </row>
    <row r="721" spans="1:56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/>
      <c r="S721" s="201"/>
      <c r="T721" s="202"/>
      <c r="U721" s="246"/>
      <c r="V721" s="246"/>
      <c r="W721" s="246"/>
      <c r="BA721"/>
      <c r="BB721"/>
      <c r="BD721" s="191" t="e">
        <v>#REF!</v>
      </c>
    </row>
    <row r="722" spans="1:56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/>
      <c r="S722" s="201"/>
      <c r="T722" s="202"/>
      <c r="U722" s="246"/>
      <c r="V722" s="246"/>
      <c r="W722" s="246"/>
      <c r="BA722"/>
      <c r="BB722"/>
      <c r="BD722" s="191" t="e">
        <v>#REF!</v>
      </c>
    </row>
    <row r="723" spans="1:56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/>
      <c r="S723" s="201"/>
      <c r="T723" s="202"/>
      <c r="U723" s="246"/>
      <c r="V723" s="246"/>
      <c r="W723" s="246"/>
      <c r="BA723"/>
      <c r="BB723"/>
      <c r="BD723" s="191" t="e">
        <v>#REF!</v>
      </c>
    </row>
    <row r="724" spans="1:56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/>
      <c r="S724" s="201"/>
      <c r="T724" s="202"/>
      <c r="U724" s="246"/>
      <c r="V724" s="246"/>
      <c r="W724" s="246"/>
      <c r="BA724"/>
      <c r="BB724"/>
      <c r="BD724" s="191" t="e">
        <v>#REF!</v>
      </c>
    </row>
    <row r="725" spans="1:56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/>
      <c r="S725" s="201"/>
      <c r="T725" s="202"/>
      <c r="U725" s="246"/>
      <c r="V725" s="246"/>
      <c r="W725" s="246"/>
      <c r="BA725"/>
      <c r="BB725"/>
      <c r="BD725" s="191" t="e">
        <v>#REF!</v>
      </c>
    </row>
    <row r="726" spans="1:56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/>
      <c r="S726" s="201"/>
      <c r="T726" s="202"/>
      <c r="U726" s="246"/>
      <c r="V726" s="246"/>
      <c r="W726" s="246"/>
      <c r="BA726"/>
      <c r="BB726"/>
      <c r="BD726" s="191" t="e">
        <v>#REF!</v>
      </c>
    </row>
    <row r="727" spans="1:56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/>
      <c r="S727" s="201"/>
      <c r="T727" s="202"/>
      <c r="U727" s="246"/>
      <c r="V727" s="246"/>
      <c r="W727" s="246"/>
      <c r="BA727"/>
      <c r="BB727"/>
      <c r="BD727" s="191" t="e">
        <v>#REF!</v>
      </c>
    </row>
    <row r="728" spans="1:56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/>
      <c r="S728" s="201"/>
      <c r="T728" s="202"/>
      <c r="U728" s="246"/>
      <c r="V728" s="246"/>
      <c r="W728" s="246"/>
      <c r="BA728"/>
      <c r="BB728"/>
      <c r="BD728" s="191" t="e">
        <v>#REF!</v>
      </c>
    </row>
    <row r="729" spans="1:56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/>
      <c r="S729" s="201"/>
      <c r="T729" s="202"/>
      <c r="U729" s="246"/>
      <c r="V729" s="246"/>
      <c r="W729" s="246"/>
      <c r="BA729"/>
      <c r="BB729"/>
      <c r="BD729" s="191" t="e">
        <v>#REF!</v>
      </c>
    </row>
    <row r="730" spans="1:56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/>
      <c r="S730" s="201"/>
      <c r="T730" s="202"/>
      <c r="U730" s="246"/>
      <c r="V730" s="246"/>
      <c r="W730" s="246"/>
      <c r="BA730"/>
      <c r="BB730"/>
      <c r="BD730" s="191" t="e">
        <v>#REF!</v>
      </c>
    </row>
    <row r="731" spans="1:56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/>
      <c r="S731" s="201"/>
      <c r="T731" s="202"/>
      <c r="U731" s="246"/>
      <c r="V731" s="246"/>
      <c r="W731" s="246"/>
      <c r="BA731"/>
      <c r="BB731"/>
      <c r="BD731" s="191" t="e">
        <v>#REF!</v>
      </c>
    </row>
    <row r="732" spans="1:56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/>
      <c r="S732" s="201"/>
      <c r="T732" s="202"/>
      <c r="U732" s="246"/>
      <c r="V732" s="246"/>
      <c r="W732" s="246"/>
      <c r="BA732"/>
      <c r="BB732"/>
      <c r="BD732" s="191" t="e">
        <v>#REF!</v>
      </c>
    </row>
    <row r="733" spans="1:56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/>
      <c r="S733" s="201"/>
      <c r="T733" s="202"/>
      <c r="U733" s="246"/>
      <c r="V733" s="246"/>
      <c r="W733" s="246"/>
      <c r="BA733"/>
      <c r="BB733"/>
      <c r="BD733" s="191" t="e">
        <v>#REF!</v>
      </c>
    </row>
    <row r="734" spans="1:56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/>
      <c r="S734" s="201"/>
      <c r="T734" s="202"/>
      <c r="U734" s="246"/>
      <c r="V734" s="246"/>
      <c r="W734" s="246"/>
      <c r="BA734"/>
      <c r="BB734"/>
      <c r="BD734" s="191" t="e">
        <v>#REF!</v>
      </c>
    </row>
    <row r="735" spans="1:56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/>
      <c r="S735" s="201"/>
      <c r="T735" s="202"/>
      <c r="U735" s="246"/>
      <c r="V735" s="246"/>
      <c r="W735" s="246"/>
      <c r="BA735"/>
      <c r="BB735"/>
      <c r="BD735" s="191" t="e">
        <v>#REF!</v>
      </c>
    </row>
    <row r="736" spans="1:56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/>
      <c r="S736" s="201"/>
      <c r="T736" s="202"/>
      <c r="U736" s="246"/>
      <c r="V736" s="246"/>
      <c r="W736" s="246"/>
      <c r="BA736"/>
      <c r="BB736"/>
      <c r="BD736" s="191" t="e">
        <v>#REF!</v>
      </c>
    </row>
    <row r="737" spans="1:56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/>
      <c r="S737" s="201"/>
      <c r="T737" s="202"/>
      <c r="U737" s="246"/>
      <c r="V737" s="246"/>
      <c r="W737" s="246"/>
      <c r="BA737"/>
      <c r="BB737"/>
      <c r="BD737" s="191" t="e">
        <v>#REF!</v>
      </c>
    </row>
    <row r="738" spans="1:56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/>
      <c r="S738" s="201"/>
      <c r="T738" s="202"/>
      <c r="U738" s="246"/>
      <c r="V738" s="246"/>
      <c r="W738" s="246"/>
      <c r="BA738"/>
      <c r="BB738"/>
      <c r="BD738" s="191" t="e">
        <v>#REF!</v>
      </c>
    </row>
    <row r="739" spans="1:56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/>
      <c r="S739" s="201"/>
      <c r="T739" s="202"/>
      <c r="U739" s="246"/>
      <c r="V739" s="246"/>
      <c r="W739" s="246"/>
      <c r="BA739"/>
      <c r="BB739"/>
      <c r="BD739" s="191" t="e">
        <v>#REF!</v>
      </c>
    </row>
    <row r="740" spans="1:56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/>
      <c r="S740" s="201"/>
      <c r="T740" s="202"/>
      <c r="U740" s="246"/>
      <c r="V740" s="246"/>
      <c r="W740" s="246"/>
      <c r="BA740"/>
      <c r="BB740"/>
      <c r="BD740" s="191" t="e">
        <v>#REF!</v>
      </c>
    </row>
    <row r="741" spans="1:56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/>
      <c r="S741" s="201"/>
      <c r="T741" s="202"/>
      <c r="U741" s="246"/>
      <c r="V741" s="246"/>
      <c r="W741" s="246"/>
      <c r="BA741"/>
      <c r="BB741"/>
      <c r="BD741" s="191" t="e">
        <v>#REF!</v>
      </c>
    </row>
    <row r="742" spans="1:56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/>
      <c r="S742" s="201"/>
      <c r="T742" s="202"/>
      <c r="U742" s="246"/>
      <c r="V742" s="246"/>
      <c r="W742" s="246"/>
      <c r="BA742"/>
      <c r="BB742"/>
      <c r="BD742" s="191" t="e">
        <v>#REF!</v>
      </c>
    </row>
    <row r="743" spans="1:56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/>
      <c r="S743" s="201"/>
      <c r="T743" s="202"/>
      <c r="U743" s="246"/>
      <c r="V743" s="246"/>
      <c r="W743" s="246"/>
      <c r="BA743"/>
      <c r="BB743"/>
      <c r="BD743" s="191" t="e">
        <v>#REF!</v>
      </c>
    </row>
    <row r="744" spans="1:56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/>
      <c r="S744" s="201"/>
      <c r="T744" s="202"/>
      <c r="U744" s="246"/>
      <c r="V744" s="246"/>
      <c r="W744" s="246"/>
      <c r="BA744"/>
      <c r="BB744"/>
      <c r="BD744" s="191" t="e">
        <v>#REF!</v>
      </c>
    </row>
    <row r="745" spans="1:56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/>
      <c r="S745" s="201"/>
      <c r="T745" s="202"/>
      <c r="U745" s="246"/>
      <c r="V745" s="246"/>
      <c r="W745" s="246"/>
      <c r="BA745"/>
      <c r="BB745"/>
      <c r="BD745" s="191" t="e">
        <v>#REF!</v>
      </c>
    </row>
    <row r="746" spans="1:56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/>
      <c r="S746" s="201"/>
      <c r="T746" s="202"/>
      <c r="U746" s="246"/>
      <c r="V746" s="246"/>
      <c r="W746" s="246"/>
      <c r="BA746"/>
      <c r="BB746"/>
      <c r="BD746" s="191" t="e">
        <v>#REF!</v>
      </c>
    </row>
    <row r="747" spans="1:56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/>
      <c r="S747" s="201"/>
      <c r="T747" s="202"/>
      <c r="U747" s="246"/>
      <c r="V747" s="246"/>
      <c r="W747" s="246"/>
      <c r="BA747"/>
      <c r="BB747"/>
      <c r="BD747" s="191" t="e">
        <v>#REF!</v>
      </c>
    </row>
    <row r="748" spans="1:56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/>
      <c r="S748" s="201"/>
      <c r="T748" s="202"/>
      <c r="U748" s="246"/>
      <c r="V748" s="246"/>
      <c r="W748" s="246"/>
      <c r="BA748"/>
      <c r="BB748"/>
      <c r="BD748" s="191" t="e">
        <v>#REF!</v>
      </c>
    </row>
    <row r="749" spans="1:56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/>
      <c r="S749" s="201"/>
      <c r="T749" s="202"/>
      <c r="U749" s="246"/>
      <c r="V749" s="246"/>
      <c r="W749" s="246"/>
      <c r="BA749"/>
      <c r="BB749"/>
      <c r="BD749" s="191" t="e">
        <v>#REF!</v>
      </c>
    </row>
    <row r="750" spans="1:56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/>
      <c r="S750" s="201"/>
      <c r="T750" s="202"/>
      <c r="U750" s="246"/>
      <c r="V750" s="246"/>
      <c r="W750" s="246"/>
      <c r="BA750"/>
      <c r="BB750"/>
      <c r="BD750" s="191" t="e">
        <v>#REF!</v>
      </c>
    </row>
    <row r="751" spans="1:56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/>
      <c r="S751" s="201"/>
      <c r="T751" s="202"/>
      <c r="U751" s="246"/>
      <c r="V751" s="246"/>
      <c r="W751" s="246"/>
      <c r="BA751"/>
      <c r="BB751"/>
      <c r="BD751" s="191" t="e">
        <v>#REF!</v>
      </c>
    </row>
    <row r="752" spans="1:56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/>
      <c r="S752" s="201"/>
      <c r="T752" s="202"/>
      <c r="U752" s="246"/>
      <c r="V752" s="246"/>
      <c r="W752" s="246"/>
      <c r="BA752"/>
      <c r="BB752"/>
      <c r="BD752" s="191" t="e">
        <v>#REF!</v>
      </c>
    </row>
    <row r="753" spans="1:56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/>
      <c r="S753" s="201"/>
      <c r="T753" s="202"/>
      <c r="U753" s="246"/>
      <c r="V753" s="246"/>
      <c r="W753" s="246"/>
      <c r="BA753"/>
      <c r="BB753"/>
      <c r="BD753" s="191" t="e">
        <v>#REF!</v>
      </c>
    </row>
    <row r="754" spans="1:56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/>
      <c r="S754" s="201"/>
      <c r="T754" s="202"/>
      <c r="U754" s="246"/>
      <c r="V754" s="246"/>
      <c r="W754" s="246"/>
      <c r="BA754"/>
      <c r="BB754"/>
      <c r="BD754" s="191" t="e">
        <v>#REF!</v>
      </c>
    </row>
    <row r="755" spans="1:56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/>
      <c r="S755" s="201"/>
      <c r="T755" s="202"/>
      <c r="U755" s="246"/>
      <c r="V755" s="246"/>
      <c r="W755" s="246"/>
      <c r="BA755"/>
      <c r="BB755"/>
      <c r="BD755" s="191" t="e">
        <v>#REF!</v>
      </c>
    </row>
    <row r="756" spans="1:56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/>
      <c r="S756" s="201"/>
      <c r="T756" s="202"/>
      <c r="U756" s="246"/>
      <c r="V756" s="246"/>
      <c r="W756" s="246"/>
      <c r="BA756"/>
      <c r="BB756"/>
      <c r="BD756" s="191" t="e">
        <v>#REF!</v>
      </c>
    </row>
    <row r="757" spans="1:56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/>
      <c r="S757" s="201"/>
      <c r="T757" s="202"/>
      <c r="U757" s="246"/>
      <c r="V757" s="246"/>
      <c r="W757" s="246"/>
      <c r="BA757"/>
      <c r="BB757"/>
      <c r="BD757" s="191" t="e">
        <v>#REF!</v>
      </c>
    </row>
    <row r="758" spans="1:56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/>
      <c r="S758" s="201"/>
      <c r="T758" s="202"/>
      <c r="U758" s="246"/>
      <c r="V758" s="246"/>
      <c r="W758" s="246"/>
      <c r="BA758"/>
      <c r="BB758"/>
      <c r="BD758" s="191" t="e">
        <v>#REF!</v>
      </c>
    </row>
    <row r="759" spans="1:56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/>
      <c r="S759" s="201"/>
      <c r="T759" s="202"/>
      <c r="U759" s="246"/>
      <c r="V759" s="246"/>
      <c r="W759" s="246"/>
      <c r="BA759"/>
      <c r="BB759"/>
      <c r="BD759" s="191" t="e">
        <v>#REF!</v>
      </c>
    </row>
    <row r="760" spans="1:56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/>
      <c r="S760" s="201"/>
      <c r="T760" s="202"/>
      <c r="U760" s="246"/>
      <c r="V760" s="246"/>
      <c r="W760" s="246"/>
      <c r="BA760"/>
      <c r="BB760"/>
      <c r="BD760" s="191" t="e">
        <v>#REF!</v>
      </c>
    </row>
    <row r="761" spans="1:56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/>
      <c r="S761" s="201"/>
      <c r="T761" s="202"/>
      <c r="U761" s="246"/>
      <c r="V761" s="246"/>
      <c r="W761" s="246"/>
      <c r="BA761"/>
      <c r="BB761"/>
      <c r="BD761" s="191" t="e">
        <v>#REF!</v>
      </c>
    </row>
    <row r="762" spans="1:56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/>
      <c r="S762" s="201"/>
      <c r="T762" s="202"/>
      <c r="U762" s="246"/>
      <c r="V762" s="246"/>
      <c r="W762" s="246"/>
      <c r="BA762"/>
      <c r="BB762"/>
      <c r="BD762" s="191" t="e">
        <v>#REF!</v>
      </c>
    </row>
    <row r="763" spans="1:56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/>
      <c r="S763" s="201"/>
      <c r="T763" s="202"/>
      <c r="U763" s="246"/>
      <c r="V763" s="246"/>
      <c r="W763" s="246"/>
      <c r="BA763"/>
      <c r="BB763"/>
      <c r="BD763" s="191" t="e">
        <v>#REF!</v>
      </c>
    </row>
    <row r="764" spans="1:56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/>
      <c r="S764" s="201"/>
      <c r="T764" s="202"/>
      <c r="U764" s="246"/>
      <c r="V764" s="246"/>
      <c r="W764" s="246"/>
      <c r="BA764"/>
      <c r="BB764"/>
      <c r="BD764" s="191" t="e">
        <v>#REF!</v>
      </c>
    </row>
    <row r="765" spans="1:56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/>
      <c r="S765" s="201"/>
      <c r="T765" s="202"/>
      <c r="U765" s="246"/>
      <c r="V765" s="246"/>
      <c r="W765" s="246"/>
      <c r="BA765"/>
      <c r="BB765"/>
      <c r="BD765" s="191" t="e">
        <v>#REF!</v>
      </c>
    </row>
    <row r="766" spans="1:56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/>
      <c r="S766" s="201"/>
      <c r="T766" s="202"/>
      <c r="U766" s="246"/>
      <c r="V766" s="246"/>
      <c r="W766" s="246"/>
      <c r="BA766"/>
      <c r="BB766"/>
      <c r="BD766" s="191" t="e">
        <v>#REF!</v>
      </c>
    </row>
    <row r="767" spans="1:56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/>
      <c r="S767" s="201"/>
      <c r="T767" s="202"/>
      <c r="U767" s="246"/>
      <c r="V767" s="246"/>
      <c r="W767" s="246"/>
      <c r="BA767"/>
      <c r="BB767"/>
      <c r="BD767" s="191" t="e">
        <v>#REF!</v>
      </c>
    </row>
    <row r="768" spans="1:56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/>
      <c r="S768" s="201"/>
      <c r="T768" s="202"/>
      <c r="U768" s="246"/>
      <c r="V768" s="246"/>
      <c r="W768" s="246"/>
      <c r="BA768"/>
      <c r="BB768"/>
      <c r="BD768" s="191" t="e">
        <v>#REF!</v>
      </c>
    </row>
    <row r="769" spans="1:56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/>
      <c r="S769" s="201"/>
      <c r="T769" s="202"/>
      <c r="U769" s="246"/>
      <c r="V769" s="246"/>
      <c r="W769" s="246"/>
      <c r="BA769"/>
      <c r="BB769"/>
      <c r="BD769" s="191" t="e">
        <v>#REF!</v>
      </c>
    </row>
    <row r="770" spans="1:56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/>
      <c r="S770" s="201"/>
      <c r="T770" s="202"/>
      <c r="U770" s="246"/>
      <c r="V770" s="246"/>
      <c r="W770" s="246"/>
      <c r="BA770"/>
      <c r="BB770"/>
      <c r="BD770" s="191" t="e">
        <v>#REF!</v>
      </c>
    </row>
    <row r="771" spans="1:56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  <c r="BD771" s="191" t="e">
        <v>#REF!</v>
      </c>
    </row>
    <row r="772" spans="1:56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  <c r="BD772" s="191" t="e">
        <v>#REF!</v>
      </c>
    </row>
    <row r="773" spans="1:56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  <c r="BD773" s="191" t="e">
        <v>#REF!</v>
      </c>
    </row>
    <row r="774" spans="1:56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  <c r="BD774" s="191" t="e">
        <v>#REF!</v>
      </c>
    </row>
    <row r="775" spans="1:56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  <c r="BD775" s="191" t="e">
        <v>#REF!</v>
      </c>
    </row>
    <row r="776" spans="1:56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  <c r="BD776" s="191" t="e">
        <v>#REF!</v>
      </c>
    </row>
    <row r="777" spans="1:56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  <c r="BD777" s="191" t="e">
        <v>#REF!</v>
      </c>
    </row>
    <row r="778" spans="1:56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  <c r="BD778" s="191" t="e">
        <v>#REF!</v>
      </c>
    </row>
    <row r="779" spans="1:56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  <c r="BD779" s="191" t="e">
        <v>#REF!</v>
      </c>
    </row>
    <row r="780" spans="1:56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  <c r="BD780" s="191" t="e">
        <v>#REF!</v>
      </c>
    </row>
    <row r="781" spans="1:56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  <c r="BD781" s="191" t="e">
        <v>#REF!</v>
      </c>
    </row>
    <row r="782" spans="1:56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  <c r="BD782" s="191" t="e">
        <v>#REF!</v>
      </c>
    </row>
    <row r="783" spans="1:56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  <c r="BD783" s="191" t="e">
        <v>#REF!</v>
      </c>
    </row>
    <row r="784" spans="1:56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  <c r="BD784" s="191" t="e">
        <v>#REF!</v>
      </c>
    </row>
    <row r="785" spans="1:56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  <c r="BD785" s="191" t="e">
        <v>#REF!</v>
      </c>
    </row>
    <row r="786" spans="1:56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  <c r="BD786" s="191" t="e">
        <v>#REF!</v>
      </c>
    </row>
    <row r="787" spans="1:56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  <c r="BD787" s="191" t="e">
        <v>#REF!</v>
      </c>
    </row>
    <row r="788" spans="1:56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  <c r="BD788" s="191" t="e">
        <v>#REF!</v>
      </c>
    </row>
    <row r="789" spans="1:56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  <c r="BD789" s="191" t="e">
        <v>#REF!</v>
      </c>
    </row>
    <row r="790" spans="1:56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  <c r="BD790" s="191" t="e">
        <v>#REF!</v>
      </c>
    </row>
    <row r="791" spans="1:56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  <c r="BD791" s="191" t="e">
        <v>#REF!</v>
      </c>
    </row>
    <row r="792" spans="1:56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  <c r="BD792" s="191" t="e">
        <v>#REF!</v>
      </c>
    </row>
    <row r="793" spans="1:56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  <c r="BD793" s="191" t="e">
        <v>#REF!</v>
      </c>
    </row>
    <row r="794" spans="1:56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  <c r="BD794" s="191" t="e">
        <v>#REF!</v>
      </c>
    </row>
    <row r="795" spans="1:56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  <c r="BD795" s="191" t="e">
        <v>#REF!</v>
      </c>
    </row>
    <row r="796" spans="1:56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  <c r="BD796" s="191" t="e">
        <v>#REF!</v>
      </c>
    </row>
    <row r="797" spans="1:56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  <c r="BD797" s="191" t="e">
        <v>#REF!</v>
      </c>
    </row>
    <row r="798" spans="1:56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  <c r="BD798" s="191" t="e">
        <v>#REF!</v>
      </c>
    </row>
    <row r="799" spans="1:56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  <c r="BD799" s="191" t="e">
        <v>#REF!</v>
      </c>
    </row>
    <row r="800" spans="1:56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  <c r="BD800" s="191" t="e">
        <v>#REF!</v>
      </c>
    </row>
    <row r="801" spans="1:56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  <c r="BD801" s="191" t="e">
        <v>#REF!</v>
      </c>
    </row>
    <row r="802" spans="1:56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  <c r="BD802" s="191" t="e">
        <v>#REF!</v>
      </c>
    </row>
    <row r="803" spans="1:56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  <c r="BD803" s="191" t="e">
        <v>#REF!</v>
      </c>
    </row>
    <row r="804" spans="1:56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  <c r="BD804" s="191" t="e">
        <v>#REF!</v>
      </c>
    </row>
    <row r="805" spans="1:56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  <c r="BD805" s="191" t="e">
        <v>#REF!</v>
      </c>
    </row>
    <row r="806" spans="1:56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  <c r="BD806" s="191" t="e">
        <v>#REF!</v>
      </c>
    </row>
    <row r="807" spans="1:56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  <c r="BD807" s="191" t="e">
        <v>#REF!</v>
      </c>
    </row>
    <row r="808" spans="1:56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  <c r="BD808" s="191" t="e">
        <v>#REF!</v>
      </c>
    </row>
    <row r="809" spans="1:56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  <c r="BD809" s="191" t="e">
        <v>#REF!</v>
      </c>
    </row>
    <row r="810" spans="1:56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  <c r="BD810" s="191" t="e">
        <v>#REF!</v>
      </c>
    </row>
    <row r="811" spans="1:56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  <c r="BD811" s="191" t="e">
        <v>#REF!</v>
      </c>
    </row>
    <row r="812" spans="1:56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  <c r="BD812" s="191" t="e">
        <v>#REF!</v>
      </c>
    </row>
    <row r="813" spans="1:56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  <c r="BD813" s="191" t="e">
        <v>#REF!</v>
      </c>
    </row>
    <row r="814" spans="1:56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  <c r="BD814" s="191" t="e">
        <v>#REF!</v>
      </c>
    </row>
    <row r="815" spans="1:56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  <c r="BD815" s="191" t="e">
        <v>#REF!</v>
      </c>
    </row>
    <row r="816" spans="1:56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  <c r="BD816" s="191" t="e">
        <v>#REF!</v>
      </c>
    </row>
    <row r="817" spans="1:56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  <c r="BD817" s="191" t="e">
        <v>#REF!</v>
      </c>
    </row>
    <row r="818" spans="1:56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  <c r="BD818" s="191" t="e">
        <v>#REF!</v>
      </c>
    </row>
    <row r="819" spans="1:56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  <c r="BD819" s="191" t="e">
        <v>#REF!</v>
      </c>
    </row>
    <row r="820" spans="1:56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  <c r="BD820" s="191" t="e">
        <v>#REF!</v>
      </c>
    </row>
    <row r="821" spans="1:56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  <c r="BD821" s="191" t="e">
        <v>#REF!</v>
      </c>
    </row>
    <row r="822" spans="1:56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  <c r="BD822" s="191" t="e">
        <v>#REF!</v>
      </c>
    </row>
    <row r="823" spans="1:56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  <c r="BD823" s="191" t="e">
        <v>#REF!</v>
      </c>
    </row>
    <row r="824" spans="1:56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  <c r="BD824" s="191" t="e">
        <v>#REF!</v>
      </c>
    </row>
    <row r="825" spans="1:56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  <c r="BD825" s="191" t="e">
        <v>#REF!</v>
      </c>
    </row>
    <row r="826" spans="1:56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  <c r="BD826" s="191" t="e">
        <v>#REF!</v>
      </c>
    </row>
    <row r="827" spans="1:56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  <c r="BD827" s="191" t="e">
        <v>#REF!</v>
      </c>
    </row>
    <row r="828" spans="1:56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  <c r="BD828" s="191" t="e">
        <v>#REF!</v>
      </c>
    </row>
    <row r="829" spans="1:56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  <c r="BD829" s="191" t="e">
        <v>#REF!</v>
      </c>
    </row>
    <row r="830" spans="1:56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  <c r="BD830" s="191" t="e">
        <v>#REF!</v>
      </c>
    </row>
    <row r="831" spans="1:56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  <c r="BD831" s="191" t="e">
        <v>#REF!</v>
      </c>
    </row>
    <row r="832" spans="1:56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  <c r="BD832" s="191" t="e">
        <v>#REF!</v>
      </c>
    </row>
    <row r="833" spans="1:56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  <c r="BD833" s="191" t="e">
        <v>#REF!</v>
      </c>
    </row>
    <row r="834" spans="1:56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  <c r="BD834" s="191" t="e">
        <v>#REF!</v>
      </c>
    </row>
    <row r="835" spans="1:56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  <c r="BD835" s="191" t="e">
        <v>#REF!</v>
      </c>
    </row>
    <row r="836" spans="1:56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  <c r="BD836" s="191" t="e">
        <v>#REF!</v>
      </c>
    </row>
    <row r="837" spans="1:56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  <c r="BD837" s="191" t="e">
        <v>#REF!</v>
      </c>
    </row>
    <row r="838" spans="1:56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  <c r="BD838" s="191" t="e">
        <v>#REF!</v>
      </c>
    </row>
    <row r="839" spans="1:56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  <c r="BD839" s="191" t="e">
        <v>#REF!</v>
      </c>
    </row>
    <row r="840" spans="1:56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  <c r="BD840" s="191" t="e">
        <v>#REF!</v>
      </c>
    </row>
    <row r="841" spans="1:56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  <c r="BD841" s="191" t="e">
        <v>#REF!</v>
      </c>
    </row>
    <row r="842" spans="1:56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  <c r="BD842" s="191" t="e">
        <v>#REF!</v>
      </c>
    </row>
    <row r="843" spans="1:56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  <c r="BD843" s="191" t="e">
        <v>#REF!</v>
      </c>
    </row>
    <row r="844" spans="1:56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  <c r="BD844" s="191" t="e">
        <v>#REF!</v>
      </c>
    </row>
    <row r="845" spans="1:56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  <c r="BD845" s="191" t="e">
        <v>#REF!</v>
      </c>
    </row>
    <row r="846" spans="1:56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  <c r="BD846" s="191" t="e">
        <v>#REF!</v>
      </c>
    </row>
    <row r="847" spans="1:56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  <c r="BD847" s="191" t="e">
        <v>#REF!</v>
      </c>
    </row>
    <row r="848" spans="1:56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  <c r="BD848" s="191" t="e">
        <v>#REF!</v>
      </c>
    </row>
    <row r="849" spans="1:56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  <c r="BD849" s="191" t="e">
        <v>#REF!</v>
      </c>
    </row>
    <row r="850" spans="1:56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  <c r="BD850" s="191" t="e">
        <v>#REF!</v>
      </c>
    </row>
    <row r="851" spans="1:56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  <c r="BD851" s="191" t="e">
        <v>#REF!</v>
      </c>
    </row>
    <row r="852" spans="1:56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  <c r="BD852" s="191" t="e">
        <v>#REF!</v>
      </c>
    </row>
    <row r="853" spans="1:56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  <c r="BD853" s="191" t="e">
        <v>#REF!</v>
      </c>
    </row>
    <row r="854" spans="1:56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  <c r="BD854" s="191" t="e">
        <v>#REF!</v>
      </c>
    </row>
    <row r="855" spans="1:56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  <c r="BD855" s="191" t="e">
        <v>#REF!</v>
      </c>
    </row>
    <row r="856" spans="1:56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  <c r="BD856" s="191" t="e">
        <v>#REF!</v>
      </c>
    </row>
    <row r="857" spans="1:56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  <c r="BD857" s="191" t="e">
        <v>#REF!</v>
      </c>
    </row>
    <row r="858" spans="1:56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  <c r="BD858" s="191" t="e">
        <v>#REF!</v>
      </c>
    </row>
    <row r="859" spans="1:56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  <c r="BD859" s="191" t="e">
        <v>#REF!</v>
      </c>
    </row>
    <row r="860" spans="1:56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  <c r="BD860" s="191" t="e">
        <v>#REF!</v>
      </c>
    </row>
    <row r="861" spans="1:56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  <c r="BD861" s="191" t="e">
        <v>#REF!</v>
      </c>
    </row>
    <row r="862" spans="1:56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  <c r="BD862" s="191" t="e">
        <v>#REF!</v>
      </c>
    </row>
    <row r="863" spans="1:56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  <c r="BD863" s="191" t="e">
        <v>#REF!</v>
      </c>
    </row>
    <row r="864" spans="1:56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  <c r="BD864" s="191" t="e">
        <v>#REF!</v>
      </c>
    </row>
    <row r="865" spans="1:56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  <c r="BD865" s="191" t="e">
        <v>#REF!</v>
      </c>
    </row>
    <row r="866" spans="1:56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  <c r="BD866" s="191" t="e">
        <v>#REF!</v>
      </c>
    </row>
    <row r="867" spans="1:56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  <c r="BD867" s="191" t="e">
        <v>#REF!</v>
      </c>
    </row>
    <row r="868" spans="1:56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  <c r="BD868" s="191" t="e">
        <v>#REF!</v>
      </c>
    </row>
    <row r="869" spans="1:56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  <c r="BD869" s="191" t="e">
        <v>#REF!</v>
      </c>
    </row>
    <row r="870" spans="1:56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  <c r="BD870" s="191" t="e">
        <v>#REF!</v>
      </c>
    </row>
    <row r="871" spans="1:56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  <c r="BD871" s="191" t="e">
        <v>#REF!</v>
      </c>
    </row>
    <row r="872" spans="1:56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  <c r="BD872" s="191" t="e">
        <v>#REF!</v>
      </c>
    </row>
    <row r="873" spans="1:56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  <c r="BD873" s="191" t="e">
        <v>#REF!</v>
      </c>
    </row>
    <row r="874" spans="1:56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  <c r="BD874" s="191" t="e">
        <v>#REF!</v>
      </c>
    </row>
    <row r="875" spans="1:56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  <c r="BD875" s="191" t="e">
        <v>#REF!</v>
      </c>
    </row>
    <row r="876" spans="1:56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  <c r="BD876" s="191" t="e">
        <v>#REF!</v>
      </c>
    </row>
    <row r="877" spans="1:56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  <c r="BD877" s="191" t="e">
        <v>#REF!</v>
      </c>
    </row>
    <row r="878" spans="1:56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  <c r="BD878" s="191" t="e">
        <v>#REF!</v>
      </c>
    </row>
    <row r="879" spans="1:56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  <c r="BD879" s="191" t="e">
        <v>#REF!</v>
      </c>
    </row>
    <row r="880" spans="1:56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  <c r="BD880" s="191" t="e">
        <v>#REF!</v>
      </c>
    </row>
    <row r="881" spans="1:56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  <c r="BD881" s="191" t="e">
        <v>#REF!</v>
      </c>
    </row>
    <row r="882" spans="1:56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  <c r="BD882" s="191" t="e">
        <v>#REF!</v>
      </c>
    </row>
    <row r="883" spans="1:56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  <c r="BD883" s="191" t="e">
        <v>#REF!</v>
      </c>
    </row>
    <row r="884" spans="1:56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  <c r="BD884" s="191" t="e">
        <v>#REF!</v>
      </c>
    </row>
    <row r="885" spans="1:56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  <c r="BD885" s="191" t="e">
        <v>#REF!</v>
      </c>
    </row>
    <row r="886" spans="1:56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  <c r="BD886" s="191" t="e">
        <v>#REF!</v>
      </c>
    </row>
    <row r="887" spans="1:56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  <c r="BD887" s="191" t="e">
        <v>#REF!</v>
      </c>
    </row>
    <row r="888" spans="1:56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  <c r="BD888" s="191" t="e">
        <v>#REF!</v>
      </c>
    </row>
    <row r="889" spans="1:56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  <c r="BD889" s="191" t="e">
        <v>#REF!</v>
      </c>
    </row>
    <row r="890" spans="1:56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  <c r="BD890" s="191" t="e">
        <v>#REF!</v>
      </c>
    </row>
    <row r="891" spans="1:56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  <c r="BD891" s="191" t="e">
        <v>#REF!</v>
      </c>
    </row>
    <row r="892" spans="1:56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  <c r="BD892" s="191" t="e">
        <v>#REF!</v>
      </c>
    </row>
    <row r="893" spans="1:56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  <c r="BD893" s="191" t="e">
        <v>#REF!</v>
      </c>
    </row>
    <row r="894" spans="1:56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  <c r="BD894" s="191" t="e">
        <v>#REF!</v>
      </c>
    </row>
    <row r="895" spans="1:56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  <c r="BD895" s="191" t="e">
        <v>#REF!</v>
      </c>
    </row>
    <row r="896" spans="1:56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  <c r="BD896" s="191" t="e">
        <v>#REF!</v>
      </c>
    </row>
    <row r="897" spans="1:56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  <c r="BD897" s="191" t="e">
        <v>#REF!</v>
      </c>
    </row>
    <row r="898" spans="1:56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  <c r="BD898" s="191" t="e">
        <v>#REF!</v>
      </c>
    </row>
    <row r="899" spans="1:56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  <c r="BD899" s="191" t="e">
        <v>#REF!</v>
      </c>
    </row>
    <row r="900" spans="1:56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  <c r="BD900" s="191" t="e">
        <v>#REF!</v>
      </c>
    </row>
    <row r="901" spans="1:56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  <c r="BD901" s="191" t="e">
        <v>#REF!</v>
      </c>
    </row>
    <row r="902" spans="1:56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  <c r="BD902" s="191" t="e">
        <v>#REF!</v>
      </c>
    </row>
    <row r="903" spans="1:56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  <c r="BD903" s="191" t="e">
        <v>#REF!</v>
      </c>
    </row>
    <row r="904" spans="1:56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  <c r="BD904" s="191" t="e">
        <v>#REF!</v>
      </c>
    </row>
    <row r="905" spans="1:56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  <c r="BD905" s="191" t="e">
        <v>#REF!</v>
      </c>
    </row>
    <row r="906" spans="1:56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  <c r="BD906" s="191" t="e">
        <v>#REF!</v>
      </c>
    </row>
    <row r="907" spans="1:56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  <c r="BD907" s="191" t="e">
        <v>#REF!</v>
      </c>
    </row>
    <row r="908" spans="1:56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  <c r="BD908" s="191" t="e">
        <v>#REF!</v>
      </c>
    </row>
    <row r="909" spans="1:56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  <c r="BD909" s="191" t="e">
        <v>#REF!</v>
      </c>
    </row>
    <row r="910" spans="1:56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  <c r="BD910" s="191" t="e">
        <v>#REF!</v>
      </c>
    </row>
    <row r="911" spans="1:56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  <c r="BD911" s="191" t="e">
        <v>#REF!</v>
      </c>
    </row>
    <row r="912" spans="1:56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  <c r="BD912" s="191" t="e">
        <v>#REF!</v>
      </c>
    </row>
    <row r="913" spans="1:56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  <c r="BD913" s="191" t="e">
        <v>#REF!</v>
      </c>
    </row>
    <row r="914" spans="1:56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  <c r="BD914" s="191" t="e">
        <v>#REF!</v>
      </c>
    </row>
    <row r="915" spans="1:56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  <c r="BD915" s="191" t="e">
        <v>#REF!</v>
      </c>
    </row>
    <row r="916" spans="1:56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  <c r="BD916" s="191" t="e">
        <v>#REF!</v>
      </c>
    </row>
    <row r="917" spans="1:56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  <c r="BD917" s="191" t="e">
        <v>#REF!</v>
      </c>
    </row>
    <row r="918" spans="1:56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  <c r="BD918" s="191" t="e">
        <v>#REF!</v>
      </c>
    </row>
    <row r="919" spans="1:56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  <c r="BD919" s="191" t="e">
        <v>#REF!</v>
      </c>
    </row>
    <row r="920" spans="1:56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  <c r="BD920" s="191" t="e">
        <v>#REF!</v>
      </c>
    </row>
    <row r="921" spans="1:56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  <c r="BD921" s="191" t="e">
        <v>#REF!</v>
      </c>
    </row>
    <row r="922" spans="1:56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  <c r="BD922" s="191" t="e">
        <v>#REF!</v>
      </c>
    </row>
    <row r="923" spans="1:56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  <c r="BD923" s="191" t="e">
        <v>#REF!</v>
      </c>
    </row>
    <row r="924" spans="1:56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  <c r="BD924" s="191" t="e">
        <v>#REF!</v>
      </c>
    </row>
    <row r="925" spans="1:56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  <c r="BD925" s="191" t="e">
        <v>#REF!</v>
      </c>
    </row>
    <row r="926" spans="1:56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  <c r="BD926" s="191" t="e">
        <v>#REF!</v>
      </c>
    </row>
    <row r="927" spans="1:56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  <c r="BD927" s="191" t="e">
        <v>#REF!</v>
      </c>
    </row>
    <row r="928" spans="1:56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  <c r="BD928" s="191" t="e">
        <v>#REF!</v>
      </c>
    </row>
    <row r="929" spans="1:56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  <c r="BD929" s="191" t="e">
        <v>#REF!</v>
      </c>
    </row>
    <row r="930" spans="1:56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  <c r="BD930" s="191" t="e">
        <v>#REF!</v>
      </c>
    </row>
    <row r="931" spans="1:56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  <c r="BD931" s="191" t="e">
        <v>#REF!</v>
      </c>
    </row>
    <row r="932" spans="1:56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  <c r="BD932" s="191" t="e">
        <v>#REF!</v>
      </c>
    </row>
    <row r="933" spans="1:56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  <c r="BD933" s="191" t="e">
        <v>#REF!</v>
      </c>
    </row>
    <row r="934" spans="1:56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  <c r="BD934" s="191" t="e">
        <v>#REF!</v>
      </c>
    </row>
    <row r="935" spans="1:56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  <c r="BD935" s="191" t="e">
        <v>#REF!</v>
      </c>
    </row>
    <row r="936" spans="1:56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  <c r="BD936" s="191" t="e">
        <v>#REF!</v>
      </c>
    </row>
    <row r="937" spans="1:56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  <c r="BD937" s="191" t="e">
        <v>#REF!</v>
      </c>
    </row>
    <row r="938" spans="1:56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  <c r="BD938" s="191" t="e">
        <v>#REF!</v>
      </c>
    </row>
    <row r="939" spans="1:56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  <c r="BD939" s="191" t="e">
        <v>#REF!</v>
      </c>
    </row>
    <row r="940" spans="1:56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  <c r="BD940" s="191" t="e">
        <v>#REF!</v>
      </c>
    </row>
    <row r="941" spans="1:56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  <c r="BD941" s="191" t="e">
        <v>#REF!</v>
      </c>
    </row>
    <row r="942" spans="1:56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  <c r="BD942" s="191" t="e">
        <v>#REF!</v>
      </c>
    </row>
    <row r="943" spans="1:56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  <c r="BD943" s="191" t="e">
        <v>#REF!</v>
      </c>
    </row>
    <row r="944" spans="1:56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  <c r="BD944" s="191" t="e">
        <v>#REF!</v>
      </c>
    </row>
    <row r="945" spans="1:56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  <c r="BD945" s="191" t="e">
        <v>#REF!</v>
      </c>
    </row>
    <row r="946" spans="1:56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  <c r="BD946" s="191" t="e">
        <v>#REF!</v>
      </c>
    </row>
    <row r="947" spans="1:56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  <c r="BD947" s="191" t="e">
        <v>#REF!</v>
      </c>
    </row>
    <row r="948" spans="1:56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  <c r="BD948" s="191" t="e">
        <v>#REF!</v>
      </c>
    </row>
    <row r="949" spans="1:56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  <c r="BD949" s="191" t="e">
        <v>#REF!</v>
      </c>
    </row>
    <row r="950" spans="1:56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  <c r="BD950" s="191" t="e">
        <v>#REF!</v>
      </c>
    </row>
    <row r="951" spans="1:56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  <c r="BD951" s="191" t="e">
        <v>#REF!</v>
      </c>
    </row>
    <row r="952" spans="1:56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  <c r="BD952" s="191" t="e">
        <v>#REF!</v>
      </c>
    </row>
    <row r="953" spans="1:56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  <c r="BD953" s="191" t="e">
        <v>#REF!</v>
      </c>
    </row>
    <row r="954" spans="1:56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  <c r="BD954" s="191" t="e">
        <v>#REF!</v>
      </c>
    </row>
    <row r="955" spans="1:56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  <c r="BD955" s="191" t="e">
        <v>#REF!</v>
      </c>
    </row>
    <row r="956" spans="1:56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  <c r="BD956" s="191" t="e">
        <v>#REF!</v>
      </c>
    </row>
    <row r="957" spans="1:56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  <c r="BD957" s="191" t="e">
        <v>#REF!</v>
      </c>
    </row>
    <row r="958" spans="1:56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  <c r="BD958" s="191" t="e">
        <v>#REF!</v>
      </c>
    </row>
    <row r="959" spans="1:56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  <c r="BD959" s="191" t="e">
        <v>#REF!</v>
      </c>
    </row>
    <row r="960" spans="1:56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  <c r="BD960" s="191" t="e">
        <v>#REF!</v>
      </c>
    </row>
    <row r="961" spans="1:56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  <c r="BD961" s="191" t="e">
        <v>#REF!</v>
      </c>
    </row>
    <row r="962" spans="1:56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  <c r="BD962" s="191" t="e">
        <v>#REF!</v>
      </c>
    </row>
    <row r="963" spans="1:56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  <c r="BD963" s="191" t="e">
        <v>#REF!</v>
      </c>
    </row>
    <row r="964" spans="1:56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  <c r="BD964" s="191" t="e">
        <v>#REF!</v>
      </c>
    </row>
    <row r="965" spans="1:56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  <c r="BD965" s="191" t="e">
        <v>#REF!</v>
      </c>
    </row>
    <row r="966" spans="1:56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  <c r="BD966" s="191" t="e">
        <v>#REF!</v>
      </c>
    </row>
    <row r="967" spans="1:56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  <c r="BD967" s="191" t="e">
        <v>#REF!</v>
      </c>
    </row>
    <row r="968" spans="1:56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  <c r="BD968" s="191" t="e">
        <v>#REF!</v>
      </c>
    </row>
    <row r="969" spans="1:56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  <c r="BD969" s="191" t="e">
        <v>#REF!</v>
      </c>
    </row>
    <row r="970" spans="1:56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  <c r="BD970" s="191" t="e">
        <v>#REF!</v>
      </c>
    </row>
    <row r="971" spans="1:56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  <c r="BD971" s="191" t="e">
        <v>#REF!</v>
      </c>
    </row>
    <row r="972" spans="1:56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  <c r="BD972" s="191" t="e">
        <v>#REF!</v>
      </c>
    </row>
    <row r="973" spans="1:56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  <c r="BD973" s="191" t="e">
        <v>#REF!</v>
      </c>
    </row>
    <row r="974" spans="1:56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  <c r="BD974" s="191" t="e">
        <v>#REF!</v>
      </c>
    </row>
    <row r="975" spans="1:56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  <c r="BD975" s="191" t="e">
        <v>#REF!</v>
      </c>
    </row>
    <row r="976" spans="1:56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  <c r="BD976" s="191" t="e">
        <v>#REF!</v>
      </c>
    </row>
    <row r="977" spans="1:56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  <c r="BD977" s="191" t="e">
        <v>#REF!</v>
      </c>
    </row>
    <row r="978" spans="1:56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  <c r="BD978" s="191" t="e">
        <v>#REF!</v>
      </c>
    </row>
    <row r="979" spans="1:56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  <c r="BD979" s="191" t="e">
        <v>#REF!</v>
      </c>
    </row>
    <row r="980" spans="1:56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  <c r="BD980" s="191" t="e">
        <v>#REF!</v>
      </c>
    </row>
    <row r="981" spans="1:56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  <c r="BD981" s="191" t="e">
        <v>#REF!</v>
      </c>
    </row>
    <row r="982" spans="1:56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  <c r="BD982" s="191" t="e">
        <v>#REF!</v>
      </c>
    </row>
    <row r="983" spans="1:56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  <c r="BD983" s="191" t="e">
        <v>#REF!</v>
      </c>
    </row>
    <row r="984" spans="1:56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  <c r="BD984" s="191" t="e">
        <v>#REF!</v>
      </c>
    </row>
    <row r="985" spans="1:56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  <c r="BD985" s="191" t="e">
        <v>#REF!</v>
      </c>
    </row>
    <row r="986" spans="1:56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  <c r="BD986" s="191" t="e">
        <v>#REF!</v>
      </c>
    </row>
    <row r="987" spans="1:56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  <c r="BD987" s="191" t="e">
        <v>#REF!</v>
      </c>
    </row>
    <row r="988" spans="1:56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  <c r="BD988" s="191" t="e">
        <v>#REF!</v>
      </c>
    </row>
    <row r="989" spans="1:56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  <c r="BD989" s="191" t="e">
        <v>#REF!</v>
      </c>
    </row>
    <row r="990" spans="1:56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  <c r="BD990" s="191" t="e">
        <v>#REF!</v>
      </c>
    </row>
    <row r="991" spans="1:56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  <c r="BD991" s="191" t="e">
        <v>#REF!</v>
      </c>
    </row>
    <row r="992" spans="1:56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  <c r="BD992" s="191" t="e">
        <v>#REF!</v>
      </c>
    </row>
    <row r="993" spans="1:56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  <c r="BD993" s="191" t="e">
        <v>#REF!</v>
      </c>
    </row>
    <row r="994" spans="1:56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  <c r="BD994" s="191" t="e">
        <v>#REF!</v>
      </c>
    </row>
    <row r="995" spans="1:56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  <c r="BD995" s="191" t="e">
        <v>#REF!</v>
      </c>
    </row>
    <row r="996" spans="1:56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  <c r="BD996" s="191" t="e">
        <v>#REF!</v>
      </c>
    </row>
    <row r="997" spans="1:56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  <c r="BD997" s="191" t="e">
        <v>#REF!</v>
      </c>
    </row>
    <row r="998" spans="1:56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  <c r="BD998" s="191" t="e">
        <v>#REF!</v>
      </c>
    </row>
    <row r="999" spans="1:56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  <c r="BD999" s="191" t="e">
        <v>#REF!</v>
      </c>
    </row>
    <row r="1000" spans="1:56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  <c r="BD1000" s="191" t="e">
        <v>#REF!</v>
      </c>
    </row>
    <row r="1001" spans="1:56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  <c r="BD1001" s="191" t="e">
        <v>#REF!</v>
      </c>
    </row>
    <row r="1002" spans="1:56" s="191" customFormat="1" ht="13.5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  <c r="BD1002" s="191" t="e">
        <v>#REF!</v>
      </c>
    </row>
    <row r="1003" spans="1:56" s="191" customFormat="1" ht="13.5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9" t="str">
        <f>IF(C1003="","",VLOOKUP($B1003,勘定科目!$A:$E,4,0))</f>
        <v/>
      </c>
      <c r="E1003" s="245"/>
      <c r="F1003" s="240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00"/>
      <c r="S1003" s="201"/>
      <c r="T1003" s="202"/>
      <c r="U1003" s="246"/>
      <c r="V1003" s="246"/>
      <c r="W1003" s="246"/>
      <c r="BA1003"/>
      <c r="BB1003"/>
      <c r="BD1003" s="191" t="e">
        <v>#REF!</v>
      </c>
    </row>
    <row r="1004" spans="1:56" s="191" customFormat="1" ht="13.5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9" t="str">
        <f>IF(C1004="","",VLOOKUP($B1004,勘定科目!$A:$E,4,0))</f>
        <v/>
      </c>
      <c r="E1004" s="245"/>
      <c r="F1004" s="240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00"/>
      <c r="S1004" s="201"/>
      <c r="T1004" s="202"/>
      <c r="U1004" s="246"/>
      <c r="V1004" s="246"/>
      <c r="W1004" s="246"/>
      <c r="BA1004"/>
      <c r="BB1004"/>
      <c r="BD1004" s="191" t="e">
        <v>#REF!</v>
      </c>
    </row>
    <row r="1005" spans="1:56" ht="13.5">
      <c r="BA1005"/>
      <c r="BB1005"/>
      <c r="BD1005" s="4" t="e">
        <v>#REF!</v>
      </c>
    </row>
    <row r="1006" spans="1:56" ht="13.5">
      <c r="BA1006"/>
      <c r="BB1006"/>
      <c r="BD1006" s="4" t="e">
        <v>#REF!</v>
      </c>
    </row>
    <row r="1007" spans="1:56" ht="13.5">
      <c r="BA1007"/>
      <c r="BB1007"/>
      <c r="BD1007" s="4" t="e">
        <v>#REF!</v>
      </c>
    </row>
    <row r="1008" spans="1:56" ht="13.5">
      <c r="BA1008"/>
      <c r="BB1008"/>
      <c r="BD1008" s="4" t="e">
        <v>#REF!</v>
      </c>
    </row>
    <row r="1009" spans="53:56" ht="13.5">
      <c r="BA1009"/>
      <c r="BB1009"/>
      <c r="BD1009" s="4" t="e">
        <v>#REF!</v>
      </c>
    </row>
    <row r="1010" spans="53:56" ht="13.5">
      <c r="BA1010"/>
      <c r="BB1010"/>
      <c r="BD1010" s="4" t="e">
        <v>#REF!</v>
      </c>
    </row>
    <row r="1011" spans="53:56" ht="13.5">
      <c r="BA1011"/>
      <c r="BB1011"/>
      <c r="BD1011" s="4" t="e">
        <v>#REF!</v>
      </c>
    </row>
    <row r="1012" spans="53:56" ht="13.5">
      <c r="BA1012"/>
      <c r="BB1012"/>
      <c r="BD1012" s="4" t="e">
        <v>#REF!</v>
      </c>
    </row>
    <row r="1013" spans="53:56" ht="13.5">
      <c r="BA1013"/>
      <c r="BB1013"/>
      <c r="BD1013" s="4" t="e">
        <v>#REF!</v>
      </c>
    </row>
    <row r="1014" spans="53:56" ht="13.5">
      <c r="BA1014"/>
      <c r="BB1014"/>
      <c r="BD1014" s="4" t="e">
        <v>#REF!</v>
      </c>
    </row>
    <row r="1015" spans="53:56" ht="13.5">
      <c r="BA1015"/>
      <c r="BB1015"/>
      <c r="BD1015" s="4" t="e">
        <v>#REF!</v>
      </c>
    </row>
    <row r="1016" spans="53:56" ht="13.5">
      <c r="BA1016"/>
      <c r="BB1016"/>
      <c r="BD1016" s="4" t="e">
        <v>#REF!</v>
      </c>
    </row>
    <row r="1017" spans="53:56" ht="13.5">
      <c r="BA1017"/>
      <c r="BB1017"/>
      <c r="BD1017" s="4" t="e">
        <v>#REF!</v>
      </c>
    </row>
    <row r="1018" spans="53:56" ht="13.5">
      <c r="BA1018"/>
      <c r="BB1018"/>
      <c r="BD1018" s="4" t="e">
        <v>#REF!</v>
      </c>
    </row>
    <row r="1019" spans="53:56" ht="13.5">
      <c r="BA1019"/>
      <c r="BB1019"/>
      <c r="BD1019" s="4" t="e">
        <v>#REF!</v>
      </c>
    </row>
    <row r="1020" spans="53:56" ht="13.5">
      <c r="BA1020"/>
      <c r="BB1020"/>
      <c r="BD1020" s="4" t="e">
        <v>#REF!</v>
      </c>
    </row>
    <row r="1021" spans="53:56" ht="13.5">
      <c r="BA1021"/>
      <c r="BB1021"/>
      <c r="BD1021" s="4" t="e">
        <v>#REF!</v>
      </c>
    </row>
    <row r="1022" spans="53:56" ht="13.5">
      <c r="BA1022"/>
      <c r="BB1022"/>
      <c r="BD1022" s="4" t="e">
        <v>#REF!</v>
      </c>
    </row>
    <row r="1023" spans="53:56" ht="13.5">
      <c r="BA1023"/>
      <c r="BB1023"/>
      <c r="BD1023" s="4" t="e">
        <v>#REF!</v>
      </c>
    </row>
    <row r="1024" spans="53:56" ht="13.5">
      <c r="BA1024"/>
      <c r="BB1024"/>
      <c r="BD1024" s="4" t="e">
        <v>#REF!</v>
      </c>
    </row>
    <row r="1025" spans="53:56" ht="13.5">
      <c r="BA1025"/>
      <c r="BB1025"/>
      <c r="BD1025" s="4" t="e">
        <v>#REF!</v>
      </c>
    </row>
    <row r="1026" spans="53:56" ht="13.5">
      <c r="BA1026"/>
      <c r="BB1026"/>
      <c r="BD1026" s="4" t="e">
        <v>#REF!</v>
      </c>
    </row>
    <row r="1027" spans="53:56" ht="13.5">
      <c r="BA1027"/>
      <c r="BB1027"/>
      <c r="BD1027" s="4" t="e">
        <v>#REF!</v>
      </c>
    </row>
    <row r="1028" spans="53:56" ht="13.5">
      <c r="BA1028"/>
      <c r="BB1028"/>
      <c r="BD1028" s="4" t="e">
        <v>#REF!</v>
      </c>
    </row>
    <row r="1029" spans="53:56" ht="13.5">
      <c r="BA1029"/>
      <c r="BB1029"/>
      <c r="BD1029" s="4" t="e">
        <v>#REF!</v>
      </c>
    </row>
    <row r="1030" spans="53:56" ht="13.5">
      <c r="BA1030"/>
      <c r="BB1030"/>
      <c r="BD1030" s="4" t="e">
        <v>#REF!</v>
      </c>
    </row>
    <row r="1031" spans="53:56" ht="13.5">
      <c r="BA1031"/>
      <c r="BB1031"/>
      <c r="BD1031" s="4" t="e">
        <v>#REF!</v>
      </c>
    </row>
  </sheetData>
  <autoFilter ref="A7:T803" xr:uid="{7035FC95-7959-4B0E-A702-E60DB0FA7FD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3" xr:uid="{E7C0CE3A-039B-41A7-8695-315F77D07A38}">
      <formula1>WBS</formula1>
    </dataValidation>
  </dataValidations>
  <pageMargins left="0.26" right="0.17" top="0.17" bottom="0.26" header="0.17" footer="0.21"/>
  <pageSetup paperSize="9" scale="56" orientation="landscape" r:id="rId1"/>
  <headerFooter alignWithMargins="0"/>
  <rowBreaks count="1" manualBreakCount="1">
    <brk id="807" max="16383" man="1"/>
  </rowBreaks>
  <colBreaks count="1" manualBreakCount="1">
    <brk id="19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工程品質管理1課</v>
      </c>
      <c r="E1" s="278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8" customFormat="1" ht="27">
      <c r="B3" s="283" t="s">
        <v>330</v>
      </c>
      <c r="C3" s="283" t="s">
        <v>146</v>
      </c>
      <c r="D3" s="284" t="s">
        <v>147</v>
      </c>
      <c r="E3" s="285">
        <v>4</v>
      </c>
      <c r="F3" s="285">
        <v>5</v>
      </c>
      <c r="G3" s="285">
        <v>6</v>
      </c>
      <c r="H3" s="285">
        <v>7</v>
      </c>
      <c r="I3" s="285">
        <v>8</v>
      </c>
      <c r="J3" s="285">
        <v>9</v>
      </c>
      <c r="K3" s="285">
        <v>10</v>
      </c>
      <c r="L3" s="285">
        <v>11</v>
      </c>
      <c r="M3" s="285">
        <v>12</v>
      </c>
      <c r="N3" s="285">
        <v>1</v>
      </c>
      <c r="O3" s="285">
        <v>2</v>
      </c>
      <c r="P3" s="285">
        <v>3</v>
      </c>
      <c r="Q3" s="286" t="s">
        <v>643</v>
      </c>
      <c r="R3" s="289" t="s">
        <v>644</v>
      </c>
      <c r="S3" s="287" t="s">
        <v>417</v>
      </c>
    </row>
    <row r="4" spans="2:19">
      <c r="B4" s="277"/>
      <c r="C4" s="277"/>
      <c r="D4" s="66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82"/>
      <c r="R4" s="282">
        <f>SUM(E4:P4)</f>
        <v>0</v>
      </c>
      <c r="S4" s="275"/>
    </row>
    <row r="5" spans="2:19">
      <c r="B5" s="65"/>
      <c r="C5" s="65"/>
      <c r="D5" s="66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82"/>
      <c r="R5" s="282">
        <f t="shared" ref="R5:R50" si="0">SUM(E5:P5)</f>
        <v>0</v>
      </c>
      <c r="S5" s="275"/>
    </row>
    <row r="6" spans="2:19">
      <c r="B6" s="65"/>
      <c r="C6" s="65"/>
      <c r="D6" s="66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82"/>
      <c r="R6" s="282">
        <f t="shared" si="0"/>
        <v>0</v>
      </c>
      <c r="S6" s="275"/>
    </row>
    <row r="7" spans="2:19" ht="14.25">
      <c r="B7" s="65"/>
      <c r="C7" s="67"/>
      <c r="D7" s="66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82"/>
      <c r="R7" s="282">
        <f t="shared" si="0"/>
        <v>0</v>
      </c>
      <c r="S7" s="275"/>
    </row>
    <row r="8" spans="2:19">
      <c r="B8" s="65"/>
      <c r="C8" s="68"/>
      <c r="D8" s="65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2"/>
      <c r="R8" s="282">
        <f t="shared" si="0"/>
        <v>0</v>
      </c>
      <c r="S8" s="275"/>
    </row>
    <row r="9" spans="2:19">
      <c r="B9" s="65"/>
      <c r="C9" s="65"/>
      <c r="D9" s="65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2"/>
      <c r="R9" s="282">
        <f t="shared" si="0"/>
        <v>0</v>
      </c>
      <c r="S9" s="275"/>
    </row>
    <row r="10" spans="2:19">
      <c r="B10" s="65"/>
      <c r="C10" s="65"/>
      <c r="D10" s="65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2"/>
      <c r="R10" s="282">
        <f t="shared" si="0"/>
        <v>0</v>
      </c>
      <c r="S10" s="275"/>
    </row>
    <row r="11" spans="2:19">
      <c r="B11" s="65"/>
      <c r="C11" s="65"/>
      <c r="D11" s="65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2"/>
      <c r="R11" s="282">
        <f t="shared" si="0"/>
        <v>0</v>
      </c>
      <c r="S11" s="275"/>
    </row>
    <row r="12" spans="2:19">
      <c r="B12" s="65"/>
      <c r="C12" s="65"/>
      <c r="D12" s="65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2"/>
      <c r="R12" s="282">
        <f t="shared" si="0"/>
        <v>0</v>
      </c>
      <c r="S12" s="275"/>
    </row>
    <row r="13" spans="2:19">
      <c r="B13" s="65"/>
      <c r="C13" s="65"/>
      <c r="D13" s="65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2"/>
      <c r="R13" s="282">
        <f t="shared" si="0"/>
        <v>0</v>
      </c>
      <c r="S13" s="275"/>
    </row>
    <row r="14" spans="2:19">
      <c r="B14" s="65"/>
      <c r="C14" s="65"/>
      <c r="D14" s="65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2"/>
      <c r="R14" s="282">
        <f t="shared" si="0"/>
        <v>0</v>
      </c>
      <c r="S14" s="275"/>
    </row>
    <row r="15" spans="2:19">
      <c r="B15" s="65"/>
      <c r="C15" s="65"/>
      <c r="D15" s="65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2"/>
      <c r="R15" s="282">
        <f t="shared" si="0"/>
        <v>0</v>
      </c>
      <c r="S15" s="275"/>
    </row>
    <row r="16" spans="2:19">
      <c r="B16" s="65"/>
      <c r="C16" s="65"/>
      <c r="D16" s="65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2"/>
      <c r="R16" s="282">
        <f t="shared" si="0"/>
        <v>0</v>
      </c>
      <c r="S16" s="275"/>
    </row>
    <row r="17" spans="2:19">
      <c r="B17" s="65"/>
      <c r="C17" s="65"/>
      <c r="D17" s="65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2"/>
      <c r="R17" s="282">
        <f t="shared" si="0"/>
        <v>0</v>
      </c>
      <c r="S17" s="275"/>
    </row>
    <row r="18" spans="2:19">
      <c r="B18" s="65"/>
      <c r="C18" s="65"/>
      <c r="D18" s="65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2"/>
      <c r="R18" s="282">
        <f t="shared" si="0"/>
        <v>0</v>
      </c>
      <c r="S18" s="275"/>
    </row>
    <row r="19" spans="2:19">
      <c r="B19" s="65"/>
      <c r="C19" s="65"/>
      <c r="D19" s="65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2"/>
      <c r="R19" s="282">
        <f t="shared" si="0"/>
        <v>0</v>
      </c>
      <c r="S19" s="275"/>
    </row>
    <row r="20" spans="2:19">
      <c r="B20" s="65"/>
      <c r="C20" s="65"/>
      <c r="D20" s="65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2"/>
      <c r="R20" s="282">
        <f t="shared" si="0"/>
        <v>0</v>
      </c>
      <c r="S20" s="275"/>
    </row>
    <row r="21" spans="2:19">
      <c r="B21" s="65"/>
      <c r="C21" s="65"/>
      <c r="D21" s="65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2"/>
      <c r="R21" s="282">
        <f t="shared" si="0"/>
        <v>0</v>
      </c>
      <c r="S21" s="275"/>
    </row>
    <row r="22" spans="2:19">
      <c r="B22" s="65"/>
      <c r="C22" s="65"/>
      <c r="D22" s="65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2"/>
      <c r="R22" s="282">
        <f t="shared" si="0"/>
        <v>0</v>
      </c>
      <c r="S22" s="275"/>
    </row>
    <row r="23" spans="2:19">
      <c r="B23" s="65"/>
      <c r="C23" s="65"/>
      <c r="D23" s="65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2"/>
      <c r="R23" s="282">
        <f t="shared" si="0"/>
        <v>0</v>
      </c>
      <c r="S23" s="275"/>
    </row>
    <row r="24" spans="2:19">
      <c r="B24" s="65"/>
      <c r="C24" s="65"/>
      <c r="D24" s="65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2"/>
      <c r="R24" s="282">
        <f t="shared" si="0"/>
        <v>0</v>
      </c>
      <c r="S24" s="275"/>
    </row>
    <row r="25" spans="2:19">
      <c r="B25" s="65"/>
      <c r="C25" s="65"/>
      <c r="D25" s="65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2"/>
      <c r="R25" s="282">
        <f t="shared" si="0"/>
        <v>0</v>
      </c>
      <c r="S25" s="275"/>
    </row>
    <row r="26" spans="2:19">
      <c r="B26" s="65"/>
      <c r="C26" s="65"/>
      <c r="D26" s="65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2"/>
      <c r="R26" s="282">
        <f t="shared" si="0"/>
        <v>0</v>
      </c>
      <c r="S26" s="275"/>
    </row>
    <row r="27" spans="2:19">
      <c r="B27" s="65"/>
      <c r="C27" s="65"/>
      <c r="D27" s="65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2"/>
      <c r="R27" s="282">
        <f t="shared" si="0"/>
        <v>0</v>
      </c>
      <c r="S27" s="275"/>
    </row>
    <row r="28" spans="2:19">
      <c r="B28" s="65"/>
      <c r="C28" s="65"/>
      <c r="D28" s="65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2"/>
      <c r="R28" s="282">
        <f t="shared" si="0"/>
        <v>0</v>
      </c>
      <c r="S28" s="275"/>
    </row>
    <row r="29" spans="2:19">
      <c r="B29" s="65"/>
      <c r="C29" s="65"/>
      <c r="D29" s="65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2"/>
      <c r="R29" s="282">
        <f t="shared" si="0"/>
        <v>0</v>
      </c>
      <c r="S29" s="275"/>
    </row>
    <row r="30" spans="2:19">
      <c r="B30" s="65"/>
      <c r="C30" s="65"/>
      <c r="D30" s="65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2"/>
      <c r="R30" s="282">
        <f t="shared" si="0"/>
        <v>0</v>
      </c>
      <c r="S30" s="275"/>
    </row>
    <row r="31" spans="2:19">
      <c r="B31" s="65"/>
      <c r="C31" s="65"/>
      <c r="D31" s="65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2"/>
      <c r="R31" s="282">
        <f t="shared" si="0"/>
        <v>0</v>
      </c>
      <c r="S31" s="275"/>
    </row>
    <row r="32" spans="2:19">
      <c r="B32" s="65"/>
      <c r="C32" s="65"/>
      <c r="D32" s="65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2"/>
      <c r="R32" s="282">
        <f t="shared" si="0"/>
        <v>0</v>
      </c>
      <c r="S32" s="275"/>
    </row>
    <row r="33" spans="2:19">
      <c r="B33" s="65"/>
      <c r="C33" s="65"/>
      <c r="D33" s="65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2"/>
      <c r="R33" s="282">
        <f t="shared" si="0"/>
        <v>0</v>
      </c>
      <c r="S33" s="275"/>
    </row>
    <row r="34" spans="2:19">
      <c r="B34" s="65"/>
      <c r="C34" s="65"/>
      <c r="D34" s="65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2"/>
      <c r="R34" s="282">
        <f t="shared" si="0"/>
        <v>0</v>
      </c>
      <c r="S34" s="275"/>
    </row>
    <row r="35" spans="2:19">
      <c r="B35" s="65"/>
      <c r="C35" s="65"/>
      <c r="D35" s="65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2"/>
      <c r="R35" s="282">
        <f t="shared" si="0"/>
        <v>0</v>
      </c>
      <c r="S35" s="275"/>
    </row>
    <row r="36" spans="2:19">
      <c r="B36" s="65"/>
      <c r="C36" s="65"/>
      <c r="D36" s="65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2"/>
      <c r="R36" s="282">
        <f t="shared" si="0"/>
        <v>0</v>
      </c>
      <c r="S36" s="275"/>
    </row>
    <row r="37" spans="2:19">
      <c r="B37" s="65"/>
      <c r="C37" s="65"/>
      <c r="D37" s="65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2"/>
      <c r="R37" s="282">
        <f t="shared" si="0"/>
        <v>0</v>
      </c>
      <c r="S37" s="275"/>
    </row>
    <row r="38" spans="2:19">
      <c r="B38" s="65"/>
      <c r="C38" s="65"/>
      <c r="D38" s="65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2"/>
      <c r="R38" s="282">
        <f t="shared" si="0"/>
        <v>0</v>
      </c>
      <c r="S38" s="275"/>
    </row>
    <row r="39" spans="2:19">
      <c r="B39" s="65"/>
      <c r="C39" s="65"/>
      <c r="D39" s="65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2"/>
      <c r="R39" s="282">
        <f t="shared" si="0"/>
        <v>0</v>
      </c>
      <c r="S39" s="275"/>
    </row>
    <row r="40" spans="2:19">
      <c r="B40" s="65"/>
      <c r="C40" s="65"/>
      <c r="D40" s="65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2"/>
      <c r="R40" s="282">
        <f t="shared" si="0"/>
        <v>0</v>
      </c>
      <c r="S40" s="275"/>
    </row>
    <row r="41" spans="2:19">
      <c r="B41" s="65"/>
      <c r="C41" s="65"/>
      <c r="D41" s="65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2"/>
      <c r="R41" s="282">
        <f t="shared" si="0"/>
        <v>0</v>
      </c>
      <c r="S41" s="275"/>
    </row>
    <row r="42" spans="2:19">
      <c r="B42" s="65"/>
      <c r="C42" s="65"/>
      <c r="D42" s="65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2"/>
      <c r="R42" s="282">
        <f t="shared" si="0"/>
        <v>0</v>
      </c>
      <c r="S42" s="275"/>
    </row>
    <row r="43" spans="2:19">
      <c r="B43" s="65"/>
      <c r="C43" s="65"/>
      <c r="D43" s="65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2"/>
      <c r="R43" s="282">
        <f t="shared" si="0"/>
        <v>0</v>
      </c>
      <c r="S43" s="275"/>
    </row>
    <row r="44" spans="2:19">
      <c r="B44" s="65"/>
      <c r="C44" s="65"/>
      <c r="D44" s="65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2"/>
      <c r="R44" s="282">
        <f t="shared" si="0"/>
        <v>0</v>
      </c>
      <c r="S44" s="275"/>
    </row>
    <row r="45" spans="2:19">
      <c r="B45" s="65"/>
      <c r="C45" s="65"/>
      <c r="D45" s="65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2"/>
      <c r="R45" s="282">
        <f t="shared" si="0"/>
        <v>0</v>
      </c>
      <c r="S45" s="275"/>
    </row>
    <row r="46" spans="2:19">
      <c r="B46" s="65"/>
      <c r="C46" s="65"/>
      <c r="D46" s="65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2"/>
      <c r="R46" s="282">
        <f t="shared" si="0"/>
        <v>0</v>
      </c>
      <c r="S46" s="275"/>
    </row>
    <row r="47" spans="2:19">
      <c r="B47" s="65"/>
      <c r="C47" s="65"/>
      <c r="D47" s="65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2"/>
      <c r="R47" s="282">
        <f t="shared" si="0"/>
        <v>0</v>
      </c>
      <c r="S47" s="275"/>
    </row>
    <row r="48" spans="2:19">
      <c r="B48" s="65"/>
      <c r="C48" s="65"/>
      <c r="D48" s="65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2"/>
      <c r="R48" s="282">
        <f t="shared" si="0"/>
        <v>0</v>
      </c>
      <c r="S48" s="275"/>
    </row>
    <row r="49" spans="2:19">
      <c r="B49" s="65"/>
      <c r="C49" s="65"/>
      <c r="D49" s="65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2"/>
      <c r="R49" s="282">
        <f t="shared" si="0"/>
        <v>0</v>
      </c>
      <c r="S49" s="275"/>
    </row>
    <row r="50" spans="2:19">
      <c r="B50" s="56"/>
      <c r="C50" s="56"/>
      <c r="D50" s="56" t="s">
        <v>148</v>
      </c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>
        <f t="shared" si="0"/>
        <v>0</v>
      </c>
      <c r="S50" s="276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/>
  <dimension ref="A1:I245"/>
  <sheetViews>
    <sheetView showGridLines="0" zoomScaleNormal="100" workbookViewId="0">
      <pane ySplit="1" topLeftCell="A32" activePane="bottomLeft" state="frozen"/>
      <selection pane="bottomLeft" activeCell="A43" sqref="A3:I245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6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6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6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7">
        <v>9114120006</v>
      </c>
      <c r="B230" s="298" t="s">
        <v>142</v>
      </c>
      <c r="C230"/>
      <c r="D230" s="298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EFC827EA-70C8-4FC5-A778-4F156047DA9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3" bestFit="1" customWidth="1"/>
    <col min="2" max="2" width="19" style="290" bestFit="1" customWidth="1"/>
    <col min="3" max="3" width="3.875" style="291" bestFit="1" customWidth="1"/>
    <col min="4" max="4" width="10.25" style="290" bestFit="1" customWidth="1"/>
    <col min="5" max="5" width="9" style="290"/>
    <col min="6" max="6" width="10.875" style="290" bestFit="1" customWidth="1"/>
    <col min="7" max="7" width="19.5" style="290" bestFit="1" customWidth="1"/>
    <col min="8" max="8" width="9" style="290"/>
    <col min="9" max="9" width="13.5" style="290" customWidth="1"/>
    <col min="10" max="16384" width="9" style="290"/>
  </cols>
  <sheetData>
    <row r="1" spans="1:7">
      <c r="B1" s="290" t="s">
        <v>93</v>
      </c>
      <c r="D1" s="290" t="s">
        <v>82</v>
      </c>
      <c r="E1" s="290" t="s">
        <v>83</v>
      </c>
    </row>
    <row r="2" spans="1:7">
      <c r="A2" s="293">
        <v>1412000004</v>
      </c>
      <c r="B2" s="292" t="s">
        <v>665</v>
      </c>
      <c r="C2" s="291" t="s">
        <v>593</v>
      </c>
      <c r="D2" s="290" t="s">
        <v>159</v>
      </c>
      <c r="E2" s="290" t="s">
        <v>159</v>
      </c>
      <c r="G2" s="290" t="s">
        <v>640</v>
      </c>
    </row>
    <row r="3" spans="1:7">
      <c r="A3" s="294">
        <v>1412000005</v>
      </c>
      <c r="B3" s="292" t="s">
        <v>666</v>
      </c>
      <c r="C3" s="291" t="s">
        <v>594</v>
      </c>
      <c r="D3" s="290" t="s">
        <v>159</v>
      </c>
      <c r="E3" s="290" t="s">
        <v>159</v>
      </c>
    </row>
    <row r="4" spans="1:7">
      <c r="A4" s="294">
        <v>1412000062</v>
      </c>
      <c r="B4" s="292" t="s">
        <v>646</v>
      </c>
      <c r="C4" s="291" t="s">
        <v>596</v>
      </c>
      <c r="D4" s="290" t="s">
        <v>444</v>
      </c>
      <c r="E4" s="290" t="s">
        <v>159</v>
      </c>
    </row>
    <row r="5" spans="1:7">
      <c r="A5" s="294">
        <v>1412000034</v>
      </c>
      <c r="B5" s="292" t="s">
        <v>422</v>
      </c>
      <c r="C5" s="291" t="s">
        <v>599</v>
      </c>
      <c r="D5" s="290" t="s">
        <v>159</v>
      </c>
      <c r="E5" s="290" t="s">
        <v>159</v>
      </c>
    </row>
    <row r="6" spans="1:7">
      <c r="A6" s="294">
        <v>1412000048</v>
      </c>
      <c r="B6" s="292" t="s">
        <v>421</v>
      </c>
      <c r="C6" s="291" t="s">
        <v>600</v>
      </c>
      <c r="D6" s="290" t="s">
        <v>444</v>
      </c>
      <c r="E6" s="290" t="s">
        <v>159</v>
      </c>
    </row>
    <row r="7" spans="1:7">
      <c r="A7" s="293">
        <v>1412000055</v>
      </c>
      <c r="B7" s="290" t="s">
        <v>659</v>
      </c>
      <c r="C7" s="291" t="s">
        <v>601</v>
      </c>
      <c r="D7" s="290" t="s">
        <v>444</v>
      </c>
      <c r="E7" s="290" t="s">
        <v>159</v>
      </c>
    </row>
    <row r="8" spans="1:7">
      <c r="A8" s="294">
        <v>1412000050</v>
      </c>
      <c r="B8" s="292" t="s">
        <v>619</v>
      </c>
      <c r="C8" s="291" t="s">
        <v>620</v>
      </c>
      <c r="D8" s="290" t="s">
        <v>159</v>
      </c>
      <c r="E8" s="290" t="s">
        <v>159</v>
      </c>
    </row>
    <row r="9" spans="1:7">
      <c r="A9" s="293">
        <v>1412000077</v>
      </c>
      <c r="B9" s="292" t="s">
        <v>621</v>
      </c>
      <c r="C9" s="291" t="s">
        <v>622</v>
      </c>
      <c r="D9" s="290" t="s">
        <v>159</v>
      </c>
      <c r="E9" s="290" t="s">
        <v>159</v>
      </c>
    </row>
    <row r="10" spans="1:7">
      <c r="A10" s="294">
        <v>1412000053</v>
      </c>
      <c r="B10" s="292" t="s">
        <v>582</v>
      </c>
      <c r="C10" s="291" t="s">
        <v>597</v>
      </c>
      <c r="D10" s="290" t="s">
        <v>444</v>
      </c>
      <c r="E10" s="290" t="s">
        <v>159</v>
      </c>
    </row>
    <row r="11" spans="1:7">
      <c r="A11" s="294">
        <v>1412000008</v>
      </c>
      <c r="B11" s="292" t="s">
        <v>432</v>
      </c>
      <c r="C11" s="291" t="s">
        <v>606</v>
      </c>
      <c r="D11" s="290" t="s">
        <v>444</v>
      </c>
      <c r="E11" s="290" t="s">
        <v>159</v>
      </c>
    </row>
    <row r="12" spans="1:7">
      <c r="A12" s="294">
        <v>1412000010</v>
      </c>
      <c r="B12" s="292" t="s">
        <v>430</v>
      </c>
      <c r="C12" s="291" t="s">
        <v>607</v>
      </c>
      <c r="D12" s="290" t="s">
        <v>576</v>
      </c>
      <c r="E12" s="290" t="s">
        <v>159</v>
      </c>
    </row>
    <row r="13" spans="1:7">
      <c r="A13" s="294">
        <v>1412000054</v>
      </c>
      <c r="B13" s="292" t="s">
        <v>423</v>
      </c>
      <c r="C13" s="291" t="s">
        <v>608</v>
      </c>
      <c r="D13" s="290" t="s">
        <v>576</v>
      </c>
      <c r="E13" s="290" t="s">
        <v>159</v>
      </c>
    </row>
    <row r="14" spans="1:7">
      <c r="A14" s="294">
        <v>1412000036</v>
      </c>
      <c r="B14" s="292" t="s">
        <v>645</v>
      </c>
      <c r="C14" s="291" t="s">
        <v>611</v>
      </c>
      <c r="D14" s="290" t="s">
        <v>444</v>
      </c>
      <c r="E14" s="290" t="s">
        <v>159</v>
      </c>
    </row>
    <row r="15" spans="1:7">
      <c r="A15" s="294">
        <v>1412000006</v>
      </c>
      <c r="B15" s="292" t="s">
        <v>424</v>
      </c>
      <c r="C15" s="291" t="s">
        <v>614</v>
      </c>
      <c r="D15" s="290" t="s">
        <v>576</v>
      </c>
      <c r="E15" s="290" t="s">
        <v>159</v>
      </c>
    </row>
    <row r="16" spans="1:7">
      <c r="A16" s="294">
        <v>1412000039</v>
      </c>
      <c r="B16" s="292" t="s">
        <v>425</v>
      </c>
      <c r="C16" s="291" t="s">
        <v>615</v>
      </c>
      <c r="D16" s="290" t="s">
        <v>576</v>
      </c>
      <c r="E16" s="290" t="s">
        <v>159</v>
      </c>
    </row>
    <row r="17" spans="1:5">
      <c r="A17" s="294">
        <v>1412000040</v>
      </c>
      <c r="B17" s="292" t="s">
        <v>443</v>
      </c>
      <c r="C17" s="291" t="s">
        <v>616</v>
      </c>
      <c r="D17" s="290" t="s">
        <v>576</v>
      </c>
      <c r="E17" s="290" t="s">
        <v>159</v>
      </c>
    </row>
    <row r="18" spans="1:5">
      <c r="A18" s="293">
        <v>1412000013</v>
      </c>
      <c r="B18" s="292" t="s">
        <v>667</v>
      </c>
      <c r="C18" s="291" t="s">
        <v>609</v>
      </c>
      <c r="D18" s="290" t="s">
        <v>576</v>
      </c>
      <c r="E18" s="290" t="s">
        <v>159</v>
      </c>
    </row>
    <row r="19" spans="1:5">
      <c r="A19" s="293">
        <v>1412000080</v>
      </c>
      <c r="B19" s="292" t="s">
        <v>440</v>
      </c>
      <c r="C19" s="291" t="s">
        <v>605</v>
      </c>
      <c r="D19" s="290" t="s">
        <v>576</v>
      </c>
      <c r="E19" s="290" t="s">
        <v>159</v>
      </c>
    </row>
    <row r="20" spans="1:5">
      <c r="A20" s="293">
        <v>1412000044</v>
      </c>
      <c r="B20" s="292" t="s">
        <v>442</v>
      </c>
      <c r="C20" s="291" t="s">
        <v>604</v>
      </c>
      <c r="D20" s="290" t="s">
        <v>444</v>
      </c>
      <c r="E20" s="290" t="s">
        <v>159</v>
      </c>
    </row>
    <row r="21" spans="1:5">
      <c r="A21" s="294">
        <v>1412000056</v>
      </c>
      <c r="B21" s="292" t="s">
        <v>441</v>
      </c>
      <c r="C21" s="291" t="s">
        <v>603</v>
      </c>
      <c r="D21" s="290" t="s">
        <v>159</v>
      </c>
      <c r="E21" s="290" t="s">
        <v>159</v>
      </c>
    </row>
    <row r="22" spans="1:5">
      <c r="A22" s="294">
        <v>1412000018</v>
      </c>
      <c r="B22" s="292" t="s">
        <v>428</v>
      </c>
      <c r="C22" s="291" t="s">
        <v>626</v>
      </c>
      <c r="D22" s="290" t="s">
        <v>577</v>
      </c>
      <c r="E22" s="290" t="s">
        <v>159</v>
      </c>
    </row>
    <row r="23" spans="1:5">
      <c r="A23" s="294">
        <v>1412000019</v>
      </c>
      <c r="B23" s="292" t="s">
        <v>588</v>
      </c>
      <c r="C23" s="291" t="s">
        <v>627</v>
      </c>
      <c r="D23" s="290" t="s">
        <v>577</v>
      </c>
      <c r="E23" s="290" t="s">
        <v>159</v>
      </c>
    </row>
    <row r="24" spans="1:5">
      <c r="A24" s="294">
        <v>1412000058</v>
      </c>
      <c r="B24" s="292" t="s">
        <v>433</v>
      </c>
      <c r="C24" s="291" t="s">
        <v>628</v>
      </c>
      <c r="D24" s="290" t="s">
        <v>577</v>
      </c>
      <c r="E24" s="290" t="s">
        <v>159</v>
      </c>
    </row>
    <row r="25" spans="1:5">
      <c r="A25" s="294">
        <v>1412000042</v>
      </c>
      <c r="B25" s="292" t="s">
        <v>434</v>
      </c>
      <c r="C25" s="291" t="s">
        <v>629</v>
      </c>
      <c r="D25" s="290" t="s">
        <v>577</v>
      </c>
      <c r="E25" s="290" t="s">
        <v>159</v>
      </c>
    </row>
    <row r="26" spans="1:5">
      <c r="A26" s="294">
        <v>1412000021</v>
      </c>
      <c r="B26" s="292" t="s">
        <v>435</v>
      </c>
      <c r="C26" s="291" t="s">
        <v>630</v>
      </c>
      <c r="D26" s="290" t="s">
        <v>577</v>
      </c>
      <c r="E26" s="290" t="s">
        <v>159</v>
      </c>
    </row>
    <row r="27" spans="1:5">
      <c r="A27" s="294">
        <v>1412000022</v>
      </c>
      <c r="B27" s="292" t="s">
        <v>439</v>
      </c>
      <c r="C27" s="291" t="s">
        <v>632</v>
      </c>
      <c r="D27" s="290" t="s">
        <v>577</v>
      </c>
      <c r="E27" s="290" t="s">
        <v>159</v>
      </c>
    </row>
    <row r="28" spans="1:5">
      <c r="A28" s="294">
        <v>1412000024</v>
      </c>
      <c r="B28" s="292" t="s">
        <v>437</v>
      </c>
      <c r="C28" s="291" t="s">
        <v>633</v>
      </c>
      <c r="D28" s="290" t="s">
        <v>578</v>
      </c>
      <c r="E28" s="290" t="s">
        <v>160</v>
      </c>
    </row>
    <row r="29" spans="1:5">
      <c r="A29" s="294">
        <v>1412000025</v>
      </c>
      <c r="B29" s="292" t="s">
        <v>426</v>
      </c>
      <c r="C29" s="291" t="s">
        <v>634</v>
      </c>
      <c r="D29" s="290" t="s">
        <v>578</v>
      </c>
      <c r="E29" s="290" t="s">
        <v>160</v>
      </c>
    </row>
    <row r="30" spans="1:5">
      <c r="A30" s="294">
        <v>1412000026</v>
      </c>
      <c r="B30" s="292" t="s">
        <v>431</v>
      </c>
      <c r="C30" s="291" t="s">
        <v>635</v>
      </c>
      <c r="D30" s="290" t="s">
        <v>578</v>
      </c>
      <c r="E30" s="290" t="s">
        <v>160</v>
      </c>
    </row>
    <row r="31" spans="1:5">
      <c r="A31" s="294">
        <v>1412000028</v>
      </c>
      <c r="B31" s="292" t="s">
        <v>427</v>
      </c>
      <c r="C31" s="291" t="s">
        <v>636</v>
      </c>
      <c r="D31" s="290" t="s">
        <v>578</v>
      </c>
      <c r="E31" s="290" t="s">
        <v>160</v>
      </c>
    </row>
    <row r="32" spans="1:5">
      <c r="A32" s="294">
        <v>1412000029</v>
      </c>
      <c r="B32" s="292" t="s">
        <v>436</v>
      </c>
      <c r="C32" s="291" t="s">
        <v>637</v>
      </c>
      <c r="D32" s="290" t="s">
        <v>578</v>
      </c>
      <c r="E32" s="290" t="s">
        <v>160</v>
      </c>
    </row>
    <row r="33" spans="1:5">
      <c r="A33" s="294">
        <v>1412000030</v>
      </c>
      <c r="B33" s="292" t="s">
        <v>438</v>
      </c>
      <c r="C33" s="291" t="s">
        <v>638</v>
      </c>
      <c r="D33" s="290" t="s">
        <v>578</v>
      </c>
      <c r="E33" s="290" t="s">
        <v>161</v>
      </c>
    </row>
    <row r="34" spans="1:5">
      <c r="A34" s="294">
        <v>1412000086</v>
      </c>
      <c r="B34" s="292" t="s">
        <v>429</v>
      </c>
      <c r="C34" s="291" t="s">
        <v>639</v>
      </c>
      <c r="D34" s="290" t="s">
        <v>578</v>
      </c>
      <c r="E34" s="290" t="s">
        <v>160</v>
      </c>
    </row>
    <row r="35" spans="1:5">
      <c r="A35" s="294">
        <v>1412000063</v>
      </c>
      <c r="B35" s="292" t="s">
        <v>668</v>
      </c>
      <c r="C35" s="291" t="s">
        <v>602</v>
      </c>
      <c r="D35" s="290" t="s">
        <v>444</v>
      </c>
      <c r="E35" s="290" t="s">
        <v>159</v>
      </c>
    </row>
    <row r="36" spans="1:5">
      <c r="A36" s="294">
        <v>1412000066</v>
      </c>
      <c r="B36" s="292" t="s">
        <v>420</v>
      </c>
      <c r="C36" s="291" t="s">
        <v>595</v>
      </c>
      <c r="D36" s="290" t="s">
        <v>159</v>
      </c>
      <c r="E36" s="290" t="s">
        <v>159</v>
      </c>
    </row>
    <row r="37" spans="1:5">
      <c r="A37" s="294">
        <v>1412000035</v>
      </c>
      <c r="B37" s="292" t="s">
        <v>587</v>
      </c>
      <c r="C37" s="291" t="s">
        <v>610</v>
      </c>
      <c r="D37" s="290" t="s">
        <v>576</v>
      </c>
      <c r="E37" s="290" t="s">
        <v>159</v>
      </c>
    </row>
    <row r="38" spans="1:5">
      <c r="A38" s="294">
        <v>1412000016</v>
      </c>
      <c r="B38" s="292" t="s">
        <v>584</v>
      </c>
      <c r="C38" s="291" t="s">
        <v>617</v>
      </c>
      <c r="D38" s="290" t="s">
        <v>576</v>
      </c>
      <c r="E38" s="290" t="s">
        <v>159</v>
      </c>
    </row>
    <row r="39" spans="1:5">
      <c r="A39" s="294">
        <v>1412000069</v>
      </c>
      <c r="B39" s="292" t="s">
        <v>585</v>
      </c>
      <c r="C39" s="291" t="s">
        <v>618</v>
      </c>
      <c r="D39" s="290" t="s">
        <v>576</v>
      </c>
      <c r="E39" s="290" t="s">
        <v>159</v>
      </c>
    </row>
    <row r="40" spans="1:5">
      <c r="A40" s="294">
        <v>1412000070</v>
      </c>
      <c r="B40" s="292" t="s">
        <v>589</v>
      </c>
      <c r="C40" s="291" t="s">
        <v>631</v>
      </c>
      <c r="D40" s="290" t="s">
        <v>577</v>
      </c>
      <c r="E40" s="290" t="s">
        <v>159</v>
      </c>
    </row>
    <row r="41" spans="1:5">
      <c r="A41" s="294">
        <v>1412000072</v>
      </c>
      <c r="B41" s="292" t="s">
        <v>647</v>
      </c>
      <c r="C41" s="291" t="s">
        <v>612</v>
      </c>
      <c r="D41" s="290" t="s">
        <v>444</v>
      </c>
      <c r="E41" s="290" t="s">
        <v>161</v>
      </c>
    </row>
    <row r="42" spans="1:5">
      <c r="A42" s="294">
        <v>1412000073</v>
      </c>
      <c r="B42" s="292" t="s">
        <v>586</v>
      </c>
      <c r="C42" s="291" t="s">
        <v>613</v>
      </c>
      <c r="D42" s="290" t="s">
        <v>444</v>
      </c>
      <c r="E42" s="290" t="s">
        <v>159</v>
      </c>
    </row>
    <row r="43" spans="1:5">
      <c r="A43" s="293">
        <v>1412000075</v>
      </c>
      <c r="B43" s="292" t="s">
        <v>583</v>
      </c>
      <c r="C43" s="291" t="s">
        <v>598</v>
      </c>
      <c r="D43" s="290" t="s">
        <v>444</v>
      </c>
      <c r="E43" s="290" t="s">
        <v>159</v>
      </c>
    </row>
    <row r="44" spans="1:5">
      <c r="A44" s="293">
        <v>1412000057</v>
      </c>
      <c r="B44" s="292" t="s">
        <v>623</v>
      </c>
      <c r="C44" s="291" t="s">
        <v>624</v>
      </c>
      <c r="D44" s="290" t="s">
        <v>159</v>
      </c>
      <c r="E44" s="290" t="s">
        <v>159</v>
      </c>
    </row>
    <row r="45" spans="1:5">
      <c r="A45" s="294">
        <v>1412000078</v>
      </c>
      <c r="B45" s="292" t="s">
        <v>669</v>
      </c>
      <c r="C45" s="291" t="s">
        <v>625</v>
      </c>
      <c r="D45" s="290" t="s">
        <v>159</v>
      </c>
      <c r="E45" s="290" t="s">
        <v>159</v>
      </c>
    </row>
    <row r="46" spans="1:5">
      <c r="A46" s="293">
        <v>1412000081</v>
      </c>
      <c r="B46" s="292" t="s">
        <v>648</v>
      </c>
      <c r="C46" s="291" t="s">
        <v>641</v>
      </c>
      <c r="D46" s="290" t="s">
        <v>159</v>
      </c>
      <c r="E46" s="290" t="s">
        <v>159</v>
      </c>
    </row>
    <row r="47" spans="1:5">
      <c r="A47" s="293">
        <v>1412000083</v>
      </c>
      <c r="B47" s="292" t="s">
        <v>649</v>
      </c>
      <c r="C47" s="291" t="s">
        <v>651</v>
      </c>
      <c r="D47" s="290" t="s">
        <v>159</v>
      </c>
      <c r="E47" s="290" t="s">
        <v>159</v>
      </c>
    </row>
    <row r="48" spans="1:5">
      <c r="A48" s="293">
        <v>1412000084</v>
      </c>
      <c r="B48" s="290" t="s">
        <v>650</v>
      </c>
      <c r="C48" s="291" t="s">
        <v>655</v>
      </c>
      <c r="D48" s="290" t="s">
        <v>576</v>
      </c>
      <c r="E48" s="290" t="s">
        <v>159</v>
      </c>
    </row>
    <row r="49" spans="1:5">
      <c r="A49" s="293">
        <v>1412000087</v>
      </c>
      <c r="B49" s="292" t="s">
        <v>652</v>
      </c>
      <c r="C49" s="291" t="s">
        <v>656</v>
      </c>
      <c r="D49" s="290" t="s">
        <v>444</v>
      </c>
      <c r="E49" s="290" t="s">
        <v>159</v>
      </c>
    </row>
    <row r="50" spans="1:5">
      <c r="A50" s="293">
        <v>1412000088</v>
      </c>
      <c r="B50" s="290" t="s">
        <v>653</v>
      </c>
      <c r="C50" s="291" t="s">
        <v>657</v>
      </c>
      <c r="D50" s="290" t="s">
        <v>444</v>
      </c>
      <c r="E50" s="290" t="s">
        <v>159</v>
      </c>
    </row>
    <row r="51" spans="1:5">
      <c r="A51" s="293">
        <v>1412000089</v>
      </c>
      <c r="B51" s="290" t="s">
        <v>654</v>
      </c>
      <c r="C51" s="291" t="s">
        <v>658</v>
      </c>
      <c r="D51" s="290" t="s">
        <v>576</v>
      </c>
      <c r="E51" s="290" t="s">
        <v>159</v>
      </c>
    </row>
    <row r="52" spans="1:5">
      <c r="A52" s="293">
        <v>1412000091</v>
      </c>
      <c r="B52" s="290" t="s">
        <v>661</v>
      </c>
      <c r="C52" s="295" t="s">
        <v>660</v>
      </c>
      <c r="D52" s="290" t="s">
        <v>578</v>
      </c>
      <c r="E52" s="290" t="s">
        <v>160</v>
      </c>
    </row>
    <row r="53" spans="1:5">
      <c r="A53" s="293">
        <v>1412000092</v>
      </c>
      <c r="B53" s="290" t="s">
        <v>662</v>
      </c>
      <c r="C53" s="295" t="s">
        <v>663</v>
      </c>
      <c r="D53" s="290" t="s">
        <v>576</v>
      </c>
      <c r="E53" s="290" t="s">
        <v>159</v>
      </c>
    </row>
    <row r="54" spans="1:5">
      <c r="A54" s="293">
        <v>1412000093</v>
      </c>
      <c r="B54" s="290" t="s">
        <v>670</v>
      </c>
      <c r="C54" s="295" t="s">
        <v>664</v>
      </c>
      <c r="D54" s="290" t="s">
        <v>578</v>
      </c>
      <c r="E54" s="290" t="s">
        <v>160</v>
      </c>
    </row>
    <row r="55" spans="1:5">
      <c r="A55" s="293">
        <v>1412000094</v>
      </c>
      <c r="B55" s="290" t="s">
        <v>671</v>
      </c>
      <c r="C55" s="295" t="s">
        <v>682</v>
      </c>
      <c r="D55" s="290" t="s">
        <v>444</v>
      </c>
      <c r="E55" s="290" t="s">
        <v>159</v>
      </c>
    </row>
    <row r="56" spans="1:5">
      <c r="A56" s="293">
        <v>1412000096</v>
      </c>
      <c r="B56" s="292" t="s">
        <v>672</v>
      </c>
      <c r="C56" s="295" t="s">
        <v>683</v>
      </c>
      <c r="D56" s="290" t="s">
        <v>159</v>
      </c>
      <c r="E56" s="290" t="s">
        <v>159</v>
      </c>
    </row>
    <row r="57" spans="1:5">
      <c r="A57" s="293">
        <v>1412000098</v>
      </c>
      <c r="B57" s="290" t="s">
        <v>680</v>
      </c>
      <c r="C57" s="295" t="s">
        <v>684</v>
      </c>
      <c r="D57" s="290" t="s">
        <v>159</v>
      </c>
      <c r="E57" s="290" t="s">
        <v>159</v>
      </c>
    </row>
    <row r="58" spans="1:5">
      <c r="A58" s="293">
        <v>1412000099</v>
      </c>
      <c r="B58" s="290" t="s">
        <v>681</v>
      </c>
      <c r="C58" s="295" t="s">
        <v>685</v>
      </c>
      <c r="D58" s="290" t="s">
        <v>159</v>
      </c>
      <c r="E58" s="290" t="s">
        <v>159</v>
      </c>
    </row>
  </sheetData>
  <autoFilter ref="A1:K479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Thị Nga(Bui Thi Nga)</cp:lastModifiedBy>
  <cp:lastPrinted>2025-01-07T05:15:48Z</cp:lastPrinted>
  <dcterms:created xsi:type="dcterms:W3CDTF">2002-04-10T08:05:47Z</dcterms:created>
  <dcterms:modified xsi:type="dcterms:W3CDTF">2025-07-04T06:45:39Z</dcterms:modified>
</cp:coreProperties>
</file>