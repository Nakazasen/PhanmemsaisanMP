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ISAN\FY2026 MP\各予定\"/>
    </mc:Choice>
  </mc:AlternateContent>
  <xr:revisionPtr revIDLastSave="0" documentId="13_ncr:1_{90623CEF-3A5C-400B-947B-C2B4952C9CAB}" xr6:coauthVersionLast="47" xr6:coauthVersionMax="47" xr10:uidLastSave="{00000000-0000-0000-0000-000000000000}"/>
  <bookViews>
    <workbookView xWindow="-120" yWindow="-120" windowWidth="20730" windowHeight="11160" tabRatio="702" activeTab="2" xr2:uid="{3C72CFD2-8C19-4ECA-8F38-97C2CF5D0E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0" l="1"/>
  <c r="K77" i="10"/>
  <c r="R43" i="10"/>
  <c r="H56" i="10"/>
  <c r="G56" i="10"/>
  <c r="D43" i="10"/>
  <c r="C43" i="10"/>
  <c r="L55" i="10"/>
  <c r="M70" i="10"/>
  <c r="L69" i="10"/>
  <c r="L68" i="10"/>
  <c r="M67" i="10"/>
  <c r="F66" i="10"/>
  <c r="K65" i="10"/>
  <c r="K64" i="10"/>
  <c r="J63" i="10"/>
  <c r="P63" i="10"/>
  <c r="Q62" i="10"/>
  <c r="N61" i="10"/>
  <c r="P60" i="10" l="1"/>
  <c r="H58" i="10"/>
  <c r="Q57" i="10"/>
  <c r="P57" i="10"/>
  <c r="N57" i="10"/>
  <c r="M57" i="10"/>
  <c r="L57" i="10"/>
  <c r="K57" i="10"/>
  <c r="J57" i="10"/>
  <c r="I57" i="10"/>
  <c r="H57" i="10"/>
  <c r="G57" i="10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C441" i="10" s="1"/>
  <c r="D441" i="10" s="1"/>
  <c r="N98" i="5"/>
  <c r="M98" i="5"/>
  <c r="M98" i="32" s="1"/>
  <c r="L98" i="5"/>
  <c r="K98" i="5"/>
  <c r="K98" i="32" s="1"/>
  <c r="J98" i="5"/>
  <c r="J98" i="32" s="1"/>
  <c r="I98" i="5"/>
  <c r="I98" i="32"/>
  <c r="H98" i="5"/>
  <c r="H98" i="32" s="1"/>
  <c r="G98" i="5"/>
  <c r="F98" i="5"/>
  <c r="E98" i="5"/>
  <c r="E98" i="32" s="1"/>
  <c r="D98" i="5"/>
  <c r="D98" i="32" s="1"/>
  <c r="C98" i="5"/>
  <c r="C98" i="32" s="1"/>
  <c r="N97" i="5"/>
  <c r="N99" i="5" s="1"/>
  <c r="M97" i="5"/>
  <c r="M99" i="5" s="1"/>
  <c r="L97" i="5"/>
  <c r="L97" i="32" s="1"/>
  <c r="K97" i="5"/>
  <c r="J97" i="5"/>
  <c r="J97" i="32" s="1"/>
  <c r="J99" i="32" s="1"/>
  <c r="I97" i="5"/>
  <c r="I97" i="32" s="1"/>
  <c r="H97" i="5"/>
  <c r="H97" i="32" s="1"/>
  <c r="G97" i="5"/>
  <c r="G97" i="32" s="1"/>
  <c r="F97" i="5"/>
  <c r="E97" i="5"/>
  <c r="E97" i="32" s="1"/>
  <c r="D97" i="5"/>
  <c r="C97" i="5"/>
  <c r="N93" i="5"/>
  <c r="N93" i="32" s="1"/>
  <c r="M93" i="5"/>
  <c r="M93" i="32" s="1"/>
  <c r="L93" i="5"/>
  <c r="L93" i="32" s="1"/>
  <c r="K93" i="5"/>
  <c r="K93" i="32" s="1"/>
  <c r="J93" i="5"/>
  <c r="I93" i="5"/>
  <c r="I93" i="32" s="1"/>
  <c r="H93" i="5"/>
  <c r="G93" i="5"/>
  <c r="F93" i="5"/>
  <c r="F93" i="32" s="1"/>
  <c r="E93" i="5"/>
  <c r="E93" i="32" s="1"/>
  <c r="D93" i="5"/>
  <c r="D93" i="32" s="1"/>
  <c r="C93" i="5"/>
  <c r="C93" i="32" s="1"/>
  <c r="N92" i="5"/>
  <c r="M92" i="5"/>
  <c r="M92" i="32" s="1"/>
  <c r="M94" i="32" s="1"/>
  <c r="L92" i="5"/>
  <c r="L92" i="32" s="1"/>
  <c r="K92" i="5"/>
  <c r="J92" i="5"/>
  <c r="I92" i="5"/>
  <c r="H92" i="5"/>
  <c r="H94" i="5" s="1"/>
  <c r="H92" i="32"/>
  <c r="G92" i="5"/>
  <c r="G92" i="32" s="1"/>
  <c r="F92" i="5"/>
  <c r="E92" i="5"/>
  <c r="D92" i="5"/>
  <c r="D94" i="5" s="1"/>
  <c r="C92" i="5"/>
  <c r="N88" i="5"/>
  <c r="N88" i="32"/>
  <c r="M88" i="5"/>
  <c r="M88" i="32" s="1"/>
  <c r="L88" i="5"/>
  <c r="K88" i="5"/>
  <c r="K88" i="32"/>
  <c r="J88" i="5"/>
  <c r="I88" i="5"/>
  <c r="I88" i="32"/>
  <c r="H88" i="5"/>
  <c r="G88" i="5"/>
  <c r="G88" i="32"/>
  <c r="F88" i="5"/>
  <c r="E88" i="5"/>
  <c r="E88" i="32"/>
  <c r="D88" i="5"/>
  <c r="D88" i="32" s="1"/>
  <c r="C88" i="5"/>
  <c r="C88" i="32"/>
  <c r="N87" i="5"/>
  <c r="N89" i="5" s="1"/>
  <c r="M87" i="5"/>
  <c r="M89" i="5" s="1"/>
  <c r="L87" i="5"/>
  <c r="K87" i="5"/>
  <c r="J87" i="5"/>
  <c r="J89" i="5"/>
  <c r="I87" i="5"/>
  <c r="H87" i="5"/>
  <c r="H89" i="5"/>
  <c r="G87" i="5"/>
  <c r="F87" i="5"/>
  <c r="E87" i="5"/>
  <c r="D87" i="5"/>
  <c r="D89" i="5"/>
  <c r="C87" i="5"/>
  <c r="N74" i="5"/>
  <c r="M74" i="5"/>
  <c r="M74" i="32"/>
  <c r="L74" i="5"/>
  <c r="K74" i="5"/>
  <c r="J74" i="5"/>
  <c r="I74" i="5"/>
  <c r="H74" i="5"/>
  <c r="G74" i="5"/>
  <c r="F74" i="5"/>
  <c r="E74" i="5"/>
  <c r="D74" i="5"/>
  <c r="D74" i="32"/>
  <c r="C74" i="5"/>
  <c r="N68" i="5"/>
  <c r="M68" i="5"/>
  <c r="L68" i="5"/>
  <c r="L68" i="32" s="1"/>
  <c r="K68" i="5"/>
  <c r="J68" i="5"/>
  <c r="I68" i="5"/>
  <c r="I68" i="32" s="1"/>
  <c r="H68" i="5"/>
  <c r="H68" i="32"/>
  <c r="G68" i="5"/>
  <c r="G68" i="32" s="1"/>
  <c r="F68" i="5"/>
  <c r="E68" i="5"/>
  <c r="D68" i="5"/>
  <c r="C68" i="5"/>
  <c r="C68" i="32" s="1"/>
  <c r="I99" i="5"/>
  <c r="M94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2" i="10"/>
  <c r="R41" i="10"/>
  <c r="R40" i="10"/>
  <c r="R39" i="10"/>
  <c r="Q29" i="10"/>
  <c r="Q5" i="10"/>
  <c r="P29" i="10"/>
  <c r="P5" i="10"/>
  <c r="O29" i="10"/>
  <c r="O5" i="10"/>
  <c r="N29" i="10"/>
  <c r="N5" i="10"/>
  <c r="M29" i="10"/>
  <c r="M5" i="10"/>
  <c r="L29" i="10"/>
  <c r="L5" i="10"/>
  <c r="K29" i="10"/>
  <c r="K5" i="10"/>
  <c r="J29" i="10"/>
  <c r="J5" i="10"/>
  <c r="I29" i="10"/>
  <c r="I5" i="10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/>
  <c r="R38" i="10"/>
  <c r="R37" i="10"/>
  <c r="R35" i="10"/>
  <c r="R25" i="10"/>
  <c r="O88" i="5"/>
  <c r="R24" i="10"/>
  <c r="O87" i="5"/>
  <c r="R23" i="10"/>
  <c r="R22" i="10"/>
  <c r="R21" i="10"/>
  <c r="R20" i="10"/>
  <c r="R19" i="10"/>
  <c r="R18" i="10"/>
  <c r="R17" i="10"/>
  <c r="R16" i="10"/>
  <c r="O97" i="5" s="1"/>
  <c r="O74" i="5"/>
  <c r="R15" i="10"/>
  <c r="R14" i="10"/>
  <c r="R13" i="10"/>
  <c r="R12" i="10"/>
  <c r="R11" i="10"/>
  <c r="R10" i="10"/>
  <c r="R9" i="10"/>
  <c r="O93" i="5"/>
  <c r="R8" i="10"/>
  <c r="N74" i="32"/>
  <c r="H74" i="32"/>
  <c r="N68" i="32"/>
  <c r="J68" i="32"/>
  <c r="F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D89" i="32" s="1"/>
  <c r="H87" i="32"/>
  <c r="L87" i="32"/>
  <c r="N87" i="32"/>
  <c r="H88" i="32"/>
  <c r="J88" i="32"/>
  <c r="H93" i="32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N97" i="32"/>
  <c r="L88" i="32"/>
  <c r="L89" i="32" s="1"/>
  <c r="J87" i="32"/>
  <c r="F87" i="32"/>
  <c r="N92" i="32"/>
  <c r="L74" i="32"/>
  <c r="O98" i="5"/>
  <c r="E68" i="32"/>
  <c r="K68" i="32"/>
  <c r="M68" i="32"/>
  <c r="C74" i="32"/>
  <c r="E74" i="32"/>
  <c r="G74" i="32"/>
  <c r="J74" i="32"/>
  <c r="C87" i="32"/>
  <c r="C89" i="5"/>
  <c r="K87" i="32"/>
  <c r="F98" i="32"/>
  <c r="N98" i="32"/>
  <c r="D68" i="32"/>
  <c r="F74" i="32"/>
  <c r="K74" i="32"/>
  <c r="E87" i="32"/>
  <c r="E89" i="32"/>
  <c r="E89" i="5"/>
  <c r="I87" i="32"/>
  <c r="I89" i="32" s="1"/>
  <c r="I89" i="5"/>
  <c r="C92" i="32"/>
  <c r="G93" i="32"/>
  <c r="G94" i="5"/>
  <c r="G98" i="32"/>
  <c r="L89" i="5"/>
  <c r="J92" i="32"/>
  <c r="M97" i="32"/>
  <c r="C610" i="10"/>
  <c r="D610" i="10" s="1"/>
  <c r="C589" i="10"/>
  <c r="D589" i="10" s="1"/>
  <c r="C923" i="10"/>
  <c r="D923" i="10" s="1"/>
  <c r="C96" i="10"/>
  <c r="D96" i="10" s="1"/>
  <c r="C661" i="10"/>
  <c r="D661" i="10" s="1"/>
  <c r="C860" i="10"/>
  <c r="D860" i="10" s="1"/>
  <c r="K69" i="5"/>
  <c r="C977" i="10"/>
  <c r="D977" i="10" s="1"/>
  <c r="C339" i="10"/>
  <c r="D339" i="10" s="1"/>
  <c r="C552" i="10"/>
  <c r="D552" i="10" s="1"/>
  <c r="C707" i="10"/>
  <c r="D707" i="10" s="1"/>
  <c r="C995" i="10"/>
  <c r="D995" i="10" s="1"/>
  <c r="C713" i="10"/>
  <c r="D713" i="10" s="1"/>
  <c r="C652" i="10"/>
  <c r="D652" i="10" s="1"/>
  <c r="C315" i="10"/>
  <c r="D315" i="10" s="1"/>
  <c r="C451" i="10"/>
  <c r="D451" i="10" s="1"/>
  <c r="L70" i="5"/>
  <c r="L70" i="32" s="1"/>
  <c r="C70" i="5"/>
  <c r="C70" i="32" s="1"/>
  <c r="C627" i="10"/>
  <c r="D627" i="10" s="1"/>
  <c r="C431" i="10"/>
  <c r="D431" i="10" s="1"/>
  <c r="C962" i="10"/>
  <c r="D962" i="10" s="1"/>
  <c r="C624" i="10"/>
  <c r="D624" i="10" s="1"/>
  <c r="C129" i="10"/>
  <c r="D129" i="10" s="1"/>
  <c r="C896" i="10"/>
  <c r="D896" i="10" s="1"/>
  <c r="C197" i="10"/>
  <c r="D197" i="10" s="1"/>
  <c r="C934" i="10"/>
  <c r="D934" i="10" s="1"/>
  <c r="C877" i="10"/>
  <c r="D877" i="10" s="1"/>
  <c r="C333" i="10"/>
  <c r="D333" i="10" s="1"/>
  <c r="C82" i="10"/>
  <c r="D82" i="10" s="1"/>
  <c r="C359" i="10"/>
  <c r="D359" i="10" s="1"/>
  <c r="C650" i="10"/>
  <c r="D650" i="10" s="1"/>
  <c r="C591" i="10"/>
  <c r="D591" i="10" s="1"/>
  <c r="C863" i="10"/>
  <c r="D863" i="10" s="1"/>
  <c r="C475" i="10"/>
  <c r="D475" i="10" s="1"/>
  <c r="C403" i="10"/>
  <c r="D403" i="10" s="1"/>
  <c r="C583" i="10"/>
  <c r="D583" i="10" s="1"/>
  <c r="C642" i="10"/>
  <c r="D642" i="10" s="1"/>
  <c r="C304" i="10"/>
  <c r="D304" i="10" s="1"/>
  <c r="C698" i="10"/>
  <c r="D698" i="10" s="1"/>
  <c r="C444" i="10"/>
  <c r="D444" i="10" s="1"/>
  <c r="C221" i="10"/>
  <c r="D221" i="10" s="1"/>
  <c r="C689" i="10"/>
  <c r="D689" i="10" s="1"/>
  <c r="C911" i="10"/>
  <c r="D911" i="10" s="1"/>
  <c r="C527" i="10"/>
  <c r="D527" i="10" s="1"/>
  <c r="C496" i="10"/>
  <c r="D496" i="10" s="1"/>
  <c r="C338" i="10"/>
  <c r="D338" i="10" s="1"/>
  <c r="C353" i="10"/>
  <c r="D353" i="10" s="1"/>
  <c r="C214" i="10"/>
  <c r="D214" i="10" s="1"/>
  <c r="C474" i="10"/>
  <c r="D474" i="10" s="1"/>
  <c r="C628" i="10"/>
  <c r="D628" i="10" s="1"/>
  <c r="C606" i="10"/>
  <c r="D606" i="10" s="1"/>
  <c r="C400" i="10"/>
  <c r="D400" i="10" s="1"/>
  <c r="C294" i="10"/>
  <c r="D294" i="10" s="1"/>
  <c r="C523" i="10"/>
  <c r="D523" i="10" s="1"/>
  <c r="C473" i="10"/>
  <c r="D473" i="10" s="1"/>
  <c r="C232" i="10"/>
  <c r="D232" i="10" s="1"/>
  <c r="C38" i="10"/>
  <c r="D38" i="10" s="1"/>
  <c r="C86" i="10"/>
  <c r="D86" i="10" s="1"/>
  <c r="C645" i="10"/>
  <c r="D645" i="10" s="1"/>
  <c r="C704" i="10"/>
  <c r="D704" i="10" s="1"/>
  <c r="C771" i="10"/>
  <c r="D771" i="10" s="1"/>
  <c r="C584" i="10"/>
  <c r="D584" i="10" s="1"/>
  <c r="C916" i="10"/>
  <c r="D916" i="10" s="1"/>
  <c r="C958" i="10"/>
  <c r="D958" i="10" s="1"/>
  <c r="C810" i="10"/>
  <c r="D810" i="10" s="1"/>
  <c r="C57" i="10"/>
  <c r="D57" i="10" s="1"/>
  <c r="K70" i="5"/>
  <c r="K70" i="32" s="1"/>
  <c r="C932" i="10"/>
  <c r="D932" i="10" s="1"/>
  <c r="C792" i="10"/>
  <c r="D792" i="10" s="1"/>
  <c r="C193" i="10"/>
  <c r="D193" i="10" s="1"/>
  <c r="C124" i="10"/>
  <c r="D124" i="10" s="1"/>
  <c r="C311" i="10"/>
  <c r="D311" i="10" s="1"/>
  <c r="C986" i="10"/>
  <c r="D986" i="10" s="1"/>
  <c r="C895" i="10"/>
  <c r="D895" i="10" s="1"/>
  <c r="C897" i="10"/>
  <c r="D897" i="10" s="1"/>
  <c r="C301" i="10"/>
  <c r="D301" i="10" s="1"/>
  <c r="C572" i="10"/>
  <c r="D572" i="10" s="1"/>
  <c r="C206" i="10"/>
  <c r="D206" i="10" s="1"/>
  <c r="C363" i="10"/>
  <c r="D363" i="10" s="1"/>
  <c r="C430" i="10"/>
  <c r="D430" i="10" s="1"/>
  <c r="C270" i="10"/>
  <c r="D270" i="10" s="1"/>
  <c r="C354" i="10"/>
  <c r="D354" i="10" s="1"/>
  <c r="C461" i="10"/>
  <c r="D461" i="10" s="1"/>
  <c r="C237" i="10"/>
  <c r="D237" i="10" s="1"/>
  <c r="O72" i="5"/>
  <c r="K72" i="5"/>
  <c r="K72" i="32"/>
  <c r="N76" i="5"/>
  <c r="N76" i="32" s="1"/>
  <c r="N72" i="5"/>
  <c r="N72" i="32" s="1"/>
  <c r="I76" i="5"/>
  <c r="I76" i="32" s="1"/>
  <c r="H78" i="5"/>
  <c r="H78" i="32"/>
  <c r="M72" i="5"/>
  <c r="M72" i="32" s="1"/>
  <c r="K77" i="5"/>
  <c r="K77" i="32" s="1"/>
  <c r="H75" i="5"/>
  <c r="H75" i="32" s="1"/>
  <c r="F71" i="5"/>
  <c r="F71" i="32" s="1"/>
  <c r="L76" i="5"/>
  <c r="L76" i="32" s="1"/>
  <c r="M78" i="5"/>
  <c r="M78" i="32" s="1"/>
  <c r="F77" i="5"/>
  <c r="F77" i="32" s="1"/>
  <c r="F70" i="5"/>
  <c r="F70" i="32" s="1"/>
  <c r="I71" i="5"/>
  <c r="I71" i="32" s="1"/>
  <c r="J75" i="5"/>
  <c r="N78" i="5"/>
  <c r="N78" i="32" s="1"/>
  <c r="L78" i="5"/>
  <c r="L78" i="32" s="1"/>
  <c r="J71" i="5"/>
  <c r="J71" i="32" s="1"/>
  <c r="J70" i="5"/>
  <c r="J70" i="32" s="1"/>
  <c r="M76" i="5"/>
  <c r="M77" i="5"/>
  <c r="M77" i="32" s="1"/>
  <c r="E72" i="5"/>
  <c r="E72" i="32"/>
  <c r="E77" i="5"/>
  <c r="E77" i="32" s="1"/>
  <c r="G72" i="5"/>
  <c r="G72" i="32"/>
  <c r="L72" i="5"/>
  <c r="L72" i="32" s="1"/>
  <c r="E71" i="5"/>
  <c r="E71" i="32" s="1"/>
  <c r="L77" i="5"/>
  <c r="L77" i="32" s="1"/>
  <c r="H70" i="5"/>
  <c r="H76" i="5"/>
  <c r="H76" i="32" s="1"/>
  <c r="G75" i="5"/>
  <c r="I69" i="5"/>
  <c r="C71" i="5"/>
  <c r="C71" i="32" s="1"/>
  <c r="F75" i="5"/>
  <c r="O71" i="5"/>
  <c r="I77" i="5"/>
  <c r="I77" i="32" s="1"/>
  <c r="D70" i="5"/>
  <c r="D70" i="32" s="1"/>
  <c r="N77" i="5"/>
  <c r="E69" i="5"/>
  <c r="F69" i="5"/>
  <c r="N71" i="5"/>
  <c r="N71" i="32" s="1"/>
  <c r="N70" i="5"/>
  <c r="N70" i="32" s="1"/>
  <c r="M69" i="5"/>
  <c r="K76" i="5"/>
  <c r="K76" i="32" s="1"/>
  <c r="D78" i="5"/>
  <c r="D78" i="32" s="1"/>
  <c r="C72" i="5"/>
  <c r="C72" i="32" s="1"/>
  <c r="F72" i="5"/>
  <c r="F72" i="32" s="1"/>
  <c r="L69" i="5"/>
  <c r="O77" i="5"/>
  <c r="J69" i="5"/>
  <c r="J69" i="32" s="1"/>
  <c r="I70" i="5"/>
  <c r="I70" i="32" s="1"/>
  <c r="I72" i="5"/>
  <c r="I72" i="32" s="1"/>
  <c r="D72" i="5"/>
  <c r="D72" i="32"/>
  <c r="L71" i="5"/>
  <c r="L71" i="32" s="1"/>
  <c r="E70" i="5"/>
  <c r="E70" i="32" s="1"/>
  <c r="O75" i="5"/>
  <c r="C78" i="5"/>
  <c r="C78" i="32" s="1"/>
  <c r="N75" i="5"/>
  <c r="G76" i="5"/>
  <c r="G76" i="32" s="1"/>
  <c r="H72" i="5"/>
  <c r="H72" i="32" s="1"/>
  <c r="L75" i="5"/>
  <c r="L75" i="32" s="1"/>
  <c r="C75" i="5"/>
  <c r="H71" i="5"/>
  <c r="H71" i="32" s="1"/>
  <c r="D76" i="5"/>
  <c r="D76" i="32" s="1"/>
  <c r="I78" i="5"/>
  <c r="I78" i="32" s="1"/>
  <c r="K71" i="5"/>
  <c r="K71" i="32"/>
  <c r="D75" i="5"/>
  <c r="D75" i="32" s="1"/>
  <c r="D69" i="5"/>
  <c r="G77" i="5"/>
  <c r="G77" i="32" s="1"/>
  <c r="O78" i="5"/>
  <c r="N69" i="5"/>
  <c r="J78" i="5"/>
  <c r="J78" i="32" s="1"/>
  <c r="G71" i="5"/>
  <c r="G71" i="32" s="1"/>
  <c r="M70" i="5"/>
  <c r="M70" i="32" s="1"/>
  <c r="J76" i="5"/>
  <c r="J76" i="32" s="1"/>
  <c r="G70" i="5"/>
  <c r="G70" i="32"/>
  <c r="K75" i="5"/>
  <c r="K75" i="32" s="1"/>
  <c r="E75" i="5"/>
  <c r="E75" i="32" s="1"/>
  <c r="M71" i="5"/>
  <c r="D71" i="5"/>
  <c r="D71" i="32" s="1"/>
  <c r="E78" i="5"/>
  <c r="E78" i="32" s="1"/>
  <c r="J77" i="5"/>
  <c r="J77" i="32" s="1"/>
  <c r="G78" i="5"/>
  <c r="G78" i="32" s="1"/>
  <c r="C76" i="5"/>
  <c r="C76" i="32" s="1"/>
  <c r="C77" i="5"/>
  <c r="C77" i="32" s="1"/>
  <c r="H77" i="5"/>
  <c r="H77" i="32" s="1"/>
  <c r="O70" i="5"/>
  <c r="F76" i="5"/>
  <c r="E76" i="5"/>
  <c r="E76" i="32" s="1"/>
  <c r="K78" i="5"/>
  <c r="K78" i="32" s="1"/>
  <c r="J72" i="5"/>
  <c r="J72" i="32"/>
  <c r="M75" i="5"/>
  <c r="H69" i="5"/>
  <c r="H69" i="32" s="1"/>
  <c r="D77" i="5"/>
  <c r="D77" i="32" s="1"/>
  <c r="F78" i="5"/>
  <c r="F78" i="32" s="1"/>
  <c r="O76" i="5"/>
  <c r="D1" i="21"/>
  <c r="B2" i="5"/>
  <c r="B2" i="32" s="1"/>
  <c r="C939" i="10"/>
  <c r="D939" i="10" s="1"/>
  <c r="C967" i="10"/>
  <c r="D967" i="10" s="1"/>
  <c r="C163" i="10"/>
  <c r="D163" i="10" s="1"/>
  <c r="C508" i="10"/>
  <c r="D508" i="10" s="1"/>
  <c r="C920" i="10"/>
  <c r="D920" i="10" s="1"/>
  <c r="C493" i="10"/>
  <c r="D493" i="10" s="1"/>
  <c r="C808" i="10"/>
  <c r="D808" i="10" s="1"/>
  <c r="C800" i="10"/>
  <c r="D800" i="10" s="1"/>
  <c r="C883" i="10"/>
  <c r="D883" i="10" s="1"/>
  <c r="C900" i="10"/>
  <c r="D900" i="10" s="1"/>
  <c r="C935" i="10"/>
  <c r="D935" i="10" s="1"/>
  <c r="C826" i="10"/>
  <c r="D826" i="10" s="1"/>
  <c r="C50" i="10"/>
  <c r="D50" i="10" s="1"/>
  <c r="N75" i="32"/>
  <c r="C89" i="32"/>
  <c r="K89" i="32"/>
  <c r="L94" i="32"/>
  <c r="G99" i="32"/>
  <c r="K69" i="32"/>
  <c r="K79" i="5"/>
  <c r="L69" i="32"/>
  <c r="M69" i="32"/>
  <c r="E69" i="32"/>
  <c r="M75" i="32"/>
  <c r="C75" i="32"/>
  <c r="F69" i="32"/>
  <c r="F73" i="32" s="1"/>
  <c r="F73" i="5"/>
  <c r="F75" i="32"/>
  <c r="G79" i="5"/>
  <c r="G75" i="32"/>
  <c r="G79" i="32" s="1"/>
  <c r="R29" i="10"/>
  <c r="R26" i="10"/>
  <c r="R27" i="10" l="1"/>
  <c r="R28" i="10"/>
  <c r="R5" i="10"/>
  <c r="N99" i="32"/>
  <c r="L99" i="5"/>
  <c r="D73" i="5"/>
  <c r="J73" i="5"/>
  <c r="C94" i="32"/>
  <c r="J89" i="32"/>
  <c r="O89" i="5"/>
  <c r="K89" i="5"/>
  <c r="E94" i="5"/>
  <c r="E92" i="32"/>
  <c r="E94" i="32" s="1"/>
  <c r="D69" i="32"/>
  <c r="C151" i="10"/>
  <c r="D151" i="10" s="1"/>
  <c r="C881" i="10"/>
  <c r="D881" i="10" s="1"/>
  <c r="C915" i="10"/>
  <c r="D915" i="10" s="1"/>
  <c r="C147" i="10"/>
  <c r="D147" i="10" s="1"/>
  <c r="C75" i="10"/>
  <c r="D75" i="10" s="1"/>
  <c r="C327" i="10"/>
  <c r="D327" i="10" s="1"/>
  <c r="C44" i="10"/>
  <c r="D44" i="10" s="1"/>
  <c r="C33" i="10"/>
  <c r="D33" i="10" s="1"/>
  <c r="N73" i="5"/>
  <c r="C882" i="10"/>
  <c r="D882" i="10" s="1"/>
  <c r="C783" i="10"/>
  <c r="D783" i="10" s="1"/>
  <c r="C799" i="10"/>
  <c r="D799" i="10" s="1"/>
  <c r="C255" i="10"/>
  <c r="D255" i="10" s="1"/>
  <c r="C719" i="10"/>
  <c r="D719" i="10" s="1"/>
  <c r="C205" i="10"/>
  <c r="D205" i="10" s="1"/>
  <c r="C839" i="10"/>
  <c r="D839" i="10" s="1"/>
  <c r="C99" i="10"/>
  <c r="D99" i="10" s="1"/>
  <c r="C637" i="10"/>
  <c r="D637" i="10" s="1"/>
  <c r="C504" i="10"/>
  <c r="D504" i="10" s="1"/>
  <c r="C306" i="10"/>
  <c r="D306" i="10" s="1"/>
  <c r="C743" i="10"/>
  <c r="D743" i="10" s="1"/>
  <c r="C391" i="10"/>
  <c r="D391" i="10" s="1"/>
  <c r="C348" i="10"/>
  <c r="D348" i="10" s="1"/>
  <c r="C546" i="10"/>
  <c r="D546" i="10" s="1"/>
  <c r="C819" i="10"/>
  <c r="D819" i="10" s="1"/>
  <c r="C462" i="10"/>
  <c r="D462" i="10" s="1"/>
  <c r="C472" i="10"/>
  <c r="D472" i="10" s="1"/>
  <c r="C599" i="10"/>
  <c r="D599" i="10" s="1"/>
  <c r="C551" i="10"/>
  <c r="D551" i="10" s="1"/>
  <c r="C571" i="10"/>
  <c r="D571" i="10" s="1"/>
  <c r="C92" i="10"/>
  <c r="D92" i="10" s="1"/>
  <c r="C126" i="10"/>
  <c r="D126" i="10" s="1"/>
  <c r="C944" i="10"/>
  <c r="D944" i="10" s="1"/>
  <c r="C996" i="10"/>
  <c r="D996" i="10" s="1"/>
  <c r="C619" i="10"/>
  <c r="D619" i="10" s="1"/>
  <c r="C171" i="10"/>
  <c r="D171" i="10" s="1"/>
  <c r="C885" i="10"/>
  <c r="D885" i="10" s="1"/>
  <c r="C88" i="10"/>
  <c r="D88" i="10" s="1"/>
  <c r="C293" i="10"/>
  <c r="D293" i="10" s="1"/>
  <c r="C303" i="10"/>
  <c r="D303" i="10" s="1"/>
  <c r="N89" i="32"/>
  <c r="O68" i="5"/>
  <c r="O69" i="5" s="1"/>
  <c r="O92" i="5"/>
  <c r="O94" i="5" s="1"/>
  <c r="I74" i="32"/>
  <c r="I75" i="5"/>
  <c r="C857" i="10"/>
  <c r="D857" i="10" s="1"/>
  <c r="C337" i="10"/>
  <c r="D337" i="10" s="1"/>
  <c r="C121" i="10"/>
  <c r="D121" i="10" s="1"/>
  <c r="C744" i="10"/>
  <c r="D744" i="10" s="1"/>
  <c r="C404" i="10"/>
  <c r="D404" i="10" s="1"/>
  <c r="C982" i="10"/>
  <c r="D982" i="10" s="1"/>
  <c r="C74" i="10"/>
  <c r="D74" i="10" s="1"/>
  <c r="C667" i="10"/>
  <c r="D667" i="10" s="1"/>
  <c r="C66" i="10"/>
  <c r="D66" i="10" s="1"/>
  <c r="C696" i="10"/>
  <c r="D696" i="10" s="1"/>
  <c r="C947" i="10"/>
  <c r="D947" i="10" s="1"/>
  <c r="C169" i="10"/>
  <c r="D169" i="10" s="1"/>
  <c r="C737" i="10"/>
  <c r="D737" i="10" s="1"/>
  <c r="C697" i="10"/>
  <c r="D697" i="10" s="1"/>
  <c r="C757" i="10"/>
  <c r="D757" i="10" s="1"/>
  <c r="C912" i="10"/>
  <c r="D912" i="10" s="1"/>
  <c r="C658" i="10"/>
  <c r="D658" i="10" s="1"/>
  <c r="C588" i="10"/>
  <c r="D588" i="10" s="1"/>
  <c r="C752" i="10"/>
  <c r="D752" i="10" s="1"/>
  <c r="C876" i="10"/>
  <c r="D876" i="10" s="1"/>
  <c r="C208" i="10"/>
  <c r="D208" i="10" s="1"/>
  <c r="C821" i="10"/>
  <c r="D821" i="10" s="1"/>
  <c r="C53" i="10"/>
  <c r="D53" i="10" s="1"/>
  <c r="C963" i="10"/>
  <c r="D963" i="10" s="1"/>
  <c r="C48" i="10"/>
  <c r="D48" i="10" s="1"/>
  <c r="C49" i="10"/>
  <c r="D49" i="10" s="1"/>
  <c r="C260" i="10"/>
  <c r="D260" i="10" s="1"/>
  <c r="C622" i="10"/>
  <c r="D622" i="10" s="1"/>
  <c r="C766" i="10"/>
  <c r="D766" i="10" s="1"/>
  <c r="C868" i="10"/>
  <c r="D868" i="10" s="1"/>
  <c r="C109" i="10"/>
  <c r="D109" i="10" s="1"/>
  <c r="C873" i="10"/>
  <c r="D873" i="10" s="1"/>
  <c r="C37" i="10"/>
  <c r="D37" i="10" s="1"/>
  <c r="C204" i="10"/>
  <c r="D204" i="10" s="1"/>
  <c r="C34" i="10"/>
  <c r="D34" i="10" s="1"/>
  <c r="C547" i="10"/>
  <c r="D547" i="10" s="1"/>
  <c r="C487" i="10"/>
  <c r="D487" i="10" s="1"/>
  <c r="C609" i="10"/>
  <c r="D609" i="10" s="1"/>
  <c r="C657" i="10"/>
  <c r="D657" i="10" s="1"/>
  <c r="C718" i="10"/>
  <c r="D718" i="10" s="1"/>
  <c r="C235" i="10"/>
  <c r="D235" i="10" s="1"/>
  <c r="C828" i="10"/>
  <c r="D828" i="10" s="1"/>
  <c r="C721" i="10"/>
  <c r="D721" i="10" s="1"/>
  <c r="C245" i="10"/>
  <c r="D245" i="10" s="1"/>
  <c r="C859" i="10"/>
  <c r="D859" i="10" s="1"/>
  <c r="C213" i="10"/>
  <c r="D213" i="10" s="1"/>
  <c r="C128" i="10"/>
  <c r="D128" i="10" s="1"/>
  <c r="C216" i="10"/>
  <c r="D216" i="10" s="1"/>
  <c r="C596" i="10"/>
  <c r="D596" i="10" s="1"/>
  <c r="C831" i="10"/>
  <c r="D831" i="10" s="1"/>
  <c r="C801" i="10"/>
  <c r="D801" i="10" s="1"/>
  <c r="C283" i="10"/>
  <c r="D283" i="10" s="1"/>
  <c r="C555" i="10"/>
  <c r="D555" i="10" s="1"/>
  <c r="C32" i="10"/>
  <c r="D32" i="10" s="1"/>
  <c r="C536" i="10"/>
  <c r="D536" i="10" s="1"/>
  <c r="C282" i="10"/>
  <c r="D282" i="10" s="1"/>
  <c r="C408" i="10"/>
  <c r="D408" i="10" s="1"/>
  <c r="C575" i="10"/>
  <c r="D575" i="10" s="1"/>
  <c r="C615" i="10"/>
  <c r="D615" i="10" s="1"/>
  <c r="C908" i="10"/>
  <c r="D908" i="10" s="1"/>
  <c r="C734" i="10"/>
  <c r="D734" i="10" s="1"/>
  <c r="C141" i="10"/>
  <c r="D141" i="10" s="1"/>
  <c r="C601" i="10"/>
  <c r="D601" i="10" s="1"/>
  <c r="C993" i="10"/>
  <c r="D993" i="10" s="1"/>
  <c r="C470" i="10"/>
  <c r="D470" i="10" s="1"/>
  <c r="C746" i="10"/>
  <c r="D746" i="10" s="1"/>
  <c r="C623" i="10"/>
  <c r="D623" i="10" s="1"/>
  <c r="C455" i="10"/>
  <c r="D455" i="10" s="1"/>
  <c r="C427" i="10"/>
  <c r="D427" i="10" s="1"/>
  <c r="C190" i="10"/>
  <c r="D190" i="10" s="1"/>
  <c r="C633" i="10"/>
  <c r="D633" i="10" s="1"/>
  <c r="C309" i="10"/>
  <c r="D309" i="10" s="1"/>
  <c r="C457" i="10"/>
  <c r="D457" i="10" s="1"/>
  <c r="C220" i="10"/>
  <c r="D220" i="10" s="1"/>
  <c r="C681" i="10"/>
  <c r="D681" i="10" s="1"/>
  <c r="C67" i="10"/>
  <c r="D67" i="10" s="1"/>
  <c r="C153" i="10"/>
  <c r="D153" i="10" s="1"/>
  <c r="C152" i="10"/>
  <c r="D152" i="10" s="1"/>
  <c r="C29" i="10"/>
  <c r="D29" i="10" s="1"/>
  <c r="C319" i="10"/>
  <c r="D319" i="10" s="1"/>
  <c r="C468" i="10"/>
  <c r="D468" i="10" s="1"/>
  <c r="C724" i="10"/>
  <c r="D724" i="10" s="1"/>
  <c r="C649" i="10"/>
  <c r="D649" i="10" s="1"/>
  <c r="C317" i="10"/>
  <c r="D317" i="10" s="1"/>
  <c r="C660" i="10"/>
  <c r="D660" i="10" s="1"/>
  <c r="C189" i="10"/>
  <c r="D189" i="10" s="1"/>
  <c r="C587" i="10"/>
  <c r="D587" i="10" s="1"/>
  <c r="C909" i="10"/>
  <c r="D909" i="10" s="1"/>
  <c r="C273" i="10"/>
  <c r="D273" i="10" s="1"/>
  <c r="C362" i="10"/>
  <c r="D362" i="10" s="1"/>
  <c r="C674" i="10"/>
  <c r="D674" i="10" s="1"/>
  <c r="C755" i="10"/>
  <c r="D755" i="10" s="1"/>
  <c r="C399" i="10"/>
  <c r="D399" i="10" s="1"/>
  <c r="C880" i="10"/>
  <c r="D880" i="10" s="1"/>
  <c r="C407" i="10"/>
  <c r="D407" i="10" s="1"/>
  <c r="C157" i="10"/>
  <c r="D157" i="10" s="1"/>
  <c r="C680" i="10"/>
  <c r="D680" i="10" s="1"/>
  <c r="C160" i="10"/>
  <c r="D160" i="10" s="1"/>
  <c r="C770" i="10"/>
  <c r="D770" i="10" s="1"/>
  <c r="C188" i="10"/>
  <c r="D188" i="10" s="1"/>
  <c r="C748" i="10"/>
  <c r="D748" i="10" s="1"/>
  <c r="C281" i="10"/>
  <c r="D281" i="10" s="1"/>
  <c r="C738" i="10"/>
  <c r="D738" i="10" s="1"/>
  <c r="C846" i="10"/>
  <c r="D846" i="10" s="1"/>
  <c r="C949" i="10"/>
  <c r="D949" i="10" s="1"/>
  <c r="C168" i="10"/>
  <c r="D168" i="10" s="1"/>
  <c r="C241" i="10"/>
  <c r="D241" i="10" s="1"/>
  <c r="C849" i="10"/>
  <c r="D849" i="10" s="1"/>
  <c r="C829" i="10"/>
  <c r="D829" i="10" s="1"/>
  <c r="C87" i="10"/>
  <c r="D87" i="10" s="1"/>
  <c r="C195" i="10"/>
  <c r="D195" i="10" s="1"/>
  <c r="C878" i="10"/>
  <c r="D878" i="10" s="1"/>
  <c r="C690" i="10"/>
  <c r="D690" i="10" s="1"/>
  <c r="C710" i="10"/>
  <c r="D710" i="10" s="1"/>
  <c r="C970" i="10"/>
  <c r="D970" i="10" s="1"/>
  <c r="C381" i="10"/>
  <c r="D381" i="10" s="1"/>
  <c r="C715" i="10"/>
  <c r="D715" i="10" s="1"/>
  <c r="C832" i="10"/>
  <c r="D832" i="10" s="1"/>
  <c r="C918" i="10"/>
  <c r="D918" i="10" s="1"/>
  <c r="C120" i="10"/>
  <c r="D120" i="10" s="1"/>
  <c r="C959" i="10"/>
  <c r="D959" i="10" s="1"/>
  <c r="C488" i="10"/>
  <c r="D488" i="10" s="1"/>
  <c r="C458" i="10"/>
  <c r="D458" i="10" s="1"/>
  <c r="C672" i="10"/>
  <c r="D672" i="10" s="1"/>
  <c r="C688" i="10"/>
  <c r="D688" i="10" s="1"/>
  <c r="C901" i="10"/>
  <c r="D901" i="10" s="1"/>
  <c r="C179" i="10"/>
  <c r="D179" i="10" s="1"/>
  <c r="C146" i="10"/>
  <c r="D146" i="10" s="1"/>
  <c r="C827" i="10"/>
  <c r="D827" i="10" s="1"/>
  <c r="C351" i="10"/>
  <c r="D351" i="10" s="1"/>
  <c r="C529" i="10"/>
  <c r="D529" i="10" s="1"/>
  <c r="C478" i="10"/>
  <c r="D478" i="10" s="1"/>
  <c r="C625" i="10"/>
  <c r="D625" i="10" s="1"/>
  <c r="C699" i="10"/>
  <c r="D699" i="10" s="1"/>
  <c r="C782" i="10"/>
  <c r="D782" i="10" s="1"/>
  <c r="C203" i="10"/>
  <c r="D203" i="10" s="1"/>
  <c r="C777" i="10"/>
  <c r="D777" i="10" s="1"/>
  <c r="C144" i="10"/>
  <c r="D144" i="10" s="1"/>
  <c r="C247" i="10"/>
  <c r="D247" i="10" s="1"/>
  <c r="C835" i="10"/>
  <c r="D835" i="10" s="1"/>
  <c r="C677" i="10"/>
  <c r="D677" i="10" s="1"/>
  <c r="C387" i="10"/>
  <c r="D387" i="10" s="1"/>
  <c r="C84" i="10"/>
  <c r="D84" i="10" s="1"/>
  <c r="C409" i="10"/>
  <c r="D409" i="10" s="1"/>
  <c r="C322" i="10"/>
  <c r="D322" i="10" s="1"/>
  <c r="C592" i="10"/>
  <c r="D592" i="10" s="1"/>
  <c r="C894" i="10"/>
  <c r="D894" i="10" s="1"/>
  <c r="C664" i="10"/>
  <c r="D664" i="10" s="1"/>
  <c r="C742" i="10"/>
  <c r="D742" i="10" s="1"/>
  <c r="C823" i="10"/>
  <c r="D823" i="10" s="1"/>
  <c r="C985" i="10"/>
  <c r="D985" i="10" s="1"/>
  <c r="C872" i="10"/>
  <c r="D872" i="10" s="1"/>
  <c r="C323" i="10"/>
  <c r="D323" i="10" s="1"/>
  <c r="C137" i="10"/>
  <c r="D137" i="10" s="1"/>
  <c r="C926" i="10"/>
  <c r="D926" i="10" s="1"/>
  <c r="C138" i="10"/>
  <c r="D138" i="10" s="1"/>
  <c r="C184" i="10"/>
  <c r="D184" i="10" s="1"/>
  <c r="C512" i="10"/>
  <c r="D512" i="10" s="1"/>
  <c r="C955" i="10"/>
  <c r="D955" i="10" s="1"/>
  <c r="C231" i="10"/>
  <c r="D231" i="10" s="1"/>
  <c r="C480" i="10"/>
  <c r="D480" i="10" s="1"/>
  <c r="C76" i="10"/>
  <c r="D76" i="10" s="1"/>
  <c r="C236" i="10"/>
  <c r="D236" i="10" s="1"/>
  <c r="C300" i="10"/>
  <c r="D300" i="10" s="1"/>
  <c r="C432" i="10"/>
  <c r="D432" i="10" s="1"/>
  <c r="C530" i="10"/>
  <c r="D530" i="10" s="1"/>
  <c r="C790" i="10"/>
  <c r="D790" i="10" s="1"/>
  <c r="C611" i="10"/>
  <c r="D611" i="10" s="1"/>
  <c r="C635" i="10"/>
  <c r="D635" i="10" s="1"/>
  <c r="C659" i="10"/>
  <c r="D659" i="10" s="1"/>
  <c r="C983" i="10"/>
  <c r="D983" i="10" s="1"/>
  <c r="C422" i="10"/>
  <c r="D422" i="10" s="1"/>
  <c r="C136" i="10"/>
  <c r="D136" i="10" s="1"/>
  <c r="C907" i="10"/>
  <c r="D907" i="10" s="1"/>
  <c r="C774" i="10"/>
  <c r="D774" i="10" s="1"/>
  <c r="C239" i="10"/>
  <c r="D239" i="10" s="1"/>
  <c r="C796" i="10"/>
  <c r="D796" i="10" s="1"/>
  <c r="C781" i="10"/>
  <c r="D781" i="10" s="1"/>
  <c r="C802" i="10"/>
  <c r="D802" i="10" s="1"/>
  <c r="C811" i="10"/>
  <c r="D811" i="10" s="1"/>
  <c r="C865" i="10"/>
  <c r="D865" i="10" s="1"/>
  <c r="C344" i="10"/>
  <c r="D344" i="10" s="1"/>
  <c r="C726" i="10"/>
  <c r="D726" i="10" s="1"/>
  <c r="C847" i="10"/>
  <c r="D847" i="10" s="1"/>
  <c r="C999" i="10"/>
  <c r="D999" i="10" s="1"/>
  <c r="C736" i="10"/>
  <c r="D736" i="10" s="1"/>
  <c r="C943" i="10"/>
  <c r="D943" i="10" s="1"/>
  <c r="C125" i="10"/>
  <c r="D125" i="10" s="1"/>
  <c r="C185" i="10"/>
  <c r="D185" i="10" s="1"/>
  <c r="C477" i="10"/>
  <c r="D477" i="10" s="1"/>
  <c r="C79" i="10"/>
  <c r="D79" i="10" s="1"/>
  <c r="C222" i="10"/>
  <c r="D222" i="10" s="1"/>
  <c r="C364" i="10"/>
  <c r="D364" i="10" s="1"/>
  <c r="C904" i="10"/>
  <c r="D904" i="10" s="1"/>
  <c r="C686" i="10"/>
  <c r="D686" i="10" s="1"/>
  <c r="C219" i="10"/>
  <c r="D219" i="10" s="1"/>
  <c r="C957" i="10"/>
  <c r="D957" i="10" s="1"/>
  <c r="C176" i="10"/>
  <c r="D176" i="10" s="1"/>
  <c r="C855" i="10"/>
  <c r="D855" i="10" s="1"/>
  <c r="C937" i="10"/>
  <c r="D937" i="10" s="1"/>
  <c r="C108" i="10"/>
  <c r="D108" i="10" s="1"/>
  <c r="C420" i="10"/>
  <c r="D420" i="10" s="1"/>
  <c r="C866" i="10"/>
  <c r="D866" i="10" s="1"/>
  <c r="C973" i="10"/>
  <c r="D973" i="10" s="1"/>
  <c r="C415" i="10"/>
  <c r="D415" i="10" s="1"/>
  <c r="C51" i="10"/>
  <c r="D51" i="10" s="1"/>
  <c r="C463" i="10"/>
  <c r="D463" i="10" s="1"/>
  <c r="C258" i="10"/>
  <c r="D258" i="10" s="1"/>
  <c r="C528" i="10"/>
  <c r="D528" i="10" s="1"/>
  <c r="C786" i="10"/>
  <c r="D786" i="10" s="1"/>
  <c r="C643" i="10"/>
  <c r="D643" i="10" s="1"/>
  <c r="C678" i="10"/>
  <c r="D678" i="10" s="1"/>
  <c r="C720" i="10"/>
  <c r="D720" i="10" s="1"/>
  <c r="C758" i="10"/>
  <c r="D758" i="10" s="1"/>
  <c r="C787" i="10"/>
  <c r="D787" i="10" s="1"/>
  <c r="C196" i="10"/>
  <c r="D196" i="10" s="1"/>
  <c r="C838" i="10"/>
  <c r="D838" i="10" s="1"/>
  <c r="C914" i="10"/>
  <c r="D914" i="10" s="1"/>
  <c r="C921" i="10"/>
  <c r="D921" i="10" s="1"/>
  <c r="C442" i="10"/>
  <c r="D442" i="10" s="1"/>
  <c r="C229" i="10"/>
  <c r="D229" i="10" s="1"/>
  <c r="C113" i="10"/>
  <c r="D113" i="10" s="1"/>
  <c r="C161" i="10"/>
  <c r="D161" i="10" s="1"/>
  <c r="C851" i="10"/>
  <c r="D851" i="10" s="1"/>
  <c r="C789" i="10"/>
  <c r="D789" i="10" s="1"/>
  <c r="C969" i="10"/>
  <c r="D969" i="10" s="1"/>
  <c r="C181" i="10"/>
  <c r="D181" i="10" s="1"/>
  <c r="C118" i="10"/>
  <c r="D118" i="10" s="1"/>
  <c r="C46" i="10"/>
  <c r="D46" i="10" s="1"/>
  <c r="C307" i="10"/>
  <c r="D307" i="10" s="1"/>
  <c r="C494" i="10"/>
  <c r="D494" i="10" s="1"/>
  <c r="C891" i="10"/>
  <c r="D891" i="10" s="1"/>
  <c r="C844" i="10"/>
  <c r="D844" i="10" s="1"/>
  <c r="C972" i="10"/>
  <c r="D972" i="10" s="1"/>
  <c r="C813" i="10"/>
  <c r="D813" i="10" s="1"/>
  <c r="C251" i="10"/>
  <c r="D251" i="10" s="1"/>
  <c r="C401" i="10"/>
  <c r="D401" i="10" s="1"/>
  <c r="C505" i="10"/>
  <c r="D505" i="10" s="1"/>
  <c r="C104" i="10"/>
  <c r="D104" i="10" s="1"/>
  <c r="C178" i="10"/>
  <c r="D178" i="10" s="1"/>
  <c r="C297" i="10"/>
  <c r="D297" i="10" s="1"/>
  <c r="C491" i="10"/>
  <c r="D491" i="10" s="1"/>
  <c r="C426" i="10"/>
  <c r="D426" i="10" s="1"/>
  <c r="C310" i="10"/>
  <c r="D310" i="10" s="1"/>
  <c r="C372" i="10"/>
  <c r="D372" i="10" s="1"/>
  <c r="C453" i="10"/>
  <c r="D453" i="10" s="1"/>
  <c r="C632" i="10"/>
  <c r="D632" i="10" s="1"/>
  <c r="C271" i="10"/>
  <c r="D271" i="10" s="1"/>
  <c r="C669" i="10"/>
  <c r="D669" i="10" s="1"/>
  <c r="C964" i="10"/>
  <c r="D964" i="10" s="1"/>
  <c r="C861" i="10"/>
  <c r="D861" i="10" s="1"/>
  <c r="C263" i="10"/>
  <c r="D263" i="10" s="1"/>
  <c r="C644" i="10"/>
  <c r="D644" i="10" s="1"/>
  <c r="C107" i="10"/>
  <c r="D107" i="10" s="1"/>
  <c r="C775" i="10"/>
  <c r="D775" i="10" s="1"/>
  <c r="C554" i="10"/>
  <c r="D554" i="10" s="1"/>
  <c r="C506" i="10"/>
  <c r="D506" i="10" s="1"/>
  <c r="C754" i="10"/>
  <c r="D754" i="10" s="1"/>
  <c r="C595" i="10"/>
  <c r="D595" i="10" s="1"/>
  <c r="C456" i="10"/>
  <c r="D456" i="10" s="1"/>
  <c r="C412" i="10"/>
  <c r="D412" i="10" s="1"/>
  <c r="C390" i="10"/>
  <c r="D390" i="10" s="1"/>
  <c r="C366" i="10"/>
  <c r="D366" i="10" s="1"/>
  <c r="C312" i="10"/>
  <c r="D312" i="10" s="1"/>
  <c r="C288" i="10"/>
  <c r="D288" i="10" s="1"/>
  <c r="C264" i="10"/>
  <c r="D264" i="10" s="1"/>
  <c r="C778" i="10"/>
  <c r="D778" i="10" s="1"/>
  <c r="C500" i="10"/>
  <c r="D500" i="10" s="1"/>
  <c r="C419" i="10"/>
  <c r="D419" i="10" s="1"/>
  <c r="C722" i="10"/>
  <c r="D722" i="10" s="1"/>
  <c r="C733" i="10"/>
  <c r="D733" i="10" s="1"/>
  <c r="C131" i="10"/>
  <c r="D131" i="10" s="1"/>
  <c r="C525" i="10"/>
  <c r="D525" i="10" s="1"/>
  <c r="C867" i="10"/>
  <c r="D867" i="10" s="1"/>
  <c r="C81" i="10"/>
  <c r="D81" i="10" s="1"/>
  <c r="C143" i="10"/>
  <c r="D143" i="10" s="1"/>
  <c r="C175" i="10"/>
  <c r="D175" i="10" s="1"/>
  <c r="C759" i="10"/>
  <c r="D759" i="10" s="1"/>
  <c r="C607" i="10"/>
  <c r="D607" i="10" s="1"/>
  <c r="C764" i="10"/>
  <c r="D764" i="10" s="1"/>
  <c r="C469" i="10"/>
  <c r="D469" i="10" s="1"/>
  <c r="C392" i="10"/>
  <c r="D392" i="10" s="1"/>
  <c r="C360" i="10"/>
  <c r="D360" i="10" s="1"/>
  <c r="C316" i="10"/>
  <c r="D316" i="10" s="1"/>
  <c r="C286" i="10"/>
  <c r="D286" i="10" s="1"/>
  <c r="C820" i="10"/>
  <c r="D820" i="10" s="1"/>
  <c r="C590" i="10"/>
  <c r="D590" i="10" s="1"/>
  <c r="C476" i="10"/>
  <c r="D476" i="10" s="1"/>
  <c r="C373" i="10"/>
  <c r="D373" i="10" s="1"/>
  <c r="C435" i="10"/>
  <c r="D435" i="10" s="1"/>
  <c r="C289" i="10"/>
  <c r="D289" i="10" s="1"/>
  <c r="C226" i="10"/>
  <c r="D226" i="10" s="1"/>
  <c r="C198" i="10"/>
  <c r="D198" i="10" s="1"/>
  <c r="C45" i="10"/>
  <c r="D45" i="10" s="1"/>
  <c r="C741" i="10"/>
  <c r="D741" i="10" s="1"/>
  <c r="C385" i="10"/>
  <c r="D385" i="10" s="1"/>
  <c r="C968" i="10"/>
  <c r="D968" i="10" s="1"/>
  <c r="C751" i="10"/>
  <c r="D751" i="10" s="1"/>
  <c r="C602" i="10"/>
  <c r="D602" i="10" s="1"/>
  <c r="C519" i="10"/>
  <c r="D519" i="10" s="1"/>
  <c r="C654" i="10"/>
  <c r="D654" i="10" s="1"/>
  <c r="C517" i="10"/>
  <c r="D517" i="10" s="1"/>
  <c r="C388" i="10"/>
  <c r="D388" i="10" s="1"/>
  <c r="C356" i="10"/>
  <c r="D356" i="10" s="1"/>
  <c r="C324" i="10"/>
  <c r="D324" i="10" s="1"/>
  <c r="C284" i="10"/>
  <c r="D284" i="10" s="1"/>
  <c r="C794" i="10"/>
  <c r="D794" i="10" s="1"/>
  <c r="C557" i="10"/>
  <c r="D557" i="10" s="1"/>
  <c r="C405" i="10"/>
  <c r="D405" i="10" s="1"/>
  <c r="C579" i="10"/>
  <c r="D579" i="10" s="1"/>
  <c r="C454" i="10"/>
  <c r="D454" i="10" s="1"/>
  <c r="C240" i="10"/>
  <c r="D240" i="10" s="1"/>
  <c r="C217" i="10"/>
  <c r="D217" i="10" s="1"/>
  <c r="C655" i="10"/>
  <c r="D655" i="10" s="1"/>
  <c r="C130" i="10"/>
  <c r="D130" i="10" s="1"/>
  <c r="C725" i="10"/>
  <c r="D725" i="10" s="1"/>
  <c r="C542" i="10"/>
  <c r="D542" i="10" s="1"/>
  <c r="C269" i="10"/>
  <c r="D269" i="10" s="1"/>
  <c r="C520" i="10"/>
  <c r="D520" i="10" s="1"/>
  <c r="C437" i="10"/>
  <c r="D437" i="10" s="1"/>
  <c r="C325" i="10"/>
  <c r="D325" i="10" s="1"/>
  <c r="C278" i="10"/>
  <c r="D278" i="10" s="1"/>
  <c r="C534" i="10"/>
  <c r="D534" i="10" s="1"/>
  <c r="C73" i="10"/>
  <c r="D73" i="10" s="1"/>
  <c r="C114" i="10"/>
  <c r="D114" i="10" s="1"/>
  <c r="C917" i="10"/>
  <c r="D917" i="10" s="1"/>
  <c r="C64" i="10"/>
  <c r="D64" i="10" s="1"/>
  <c r="C481" i="10"/>
  <c r="D481" i="10" s="1"/>
  <c r="C631" i="10"/>
  <c r="D631" i="10" s="1"/>
  <c r="C763" i="10"/>
  <c r="D763" i="10" s="1"/>
  <c r="C729" i="10"/>
  <c r="D729" i="10" s="1"/>
  <c r="C532" i="10"/>
  <c r="D532" i="10" s="1"/>
  <c r="C998" i="10"/>
  <c r="D998" i="10" s="1"/>
  <c r="C173" i="10"/>
  <c r="D173" i="10" s="1"/>
  <c r="C870" i="10"/>
  <c r="D870" i="10" s="1"/>
  <c r="C55" i="10"/>
  <c r="D55" i="10" s="1"/>
  <c r="C329" i="10"/>
  <c r="D329" i="10" s="1"/>
  <c r="C703" i="10"/>
  <c r="D703" i="10" s="1"/>
  <c r="C691" i="10"/>
  <c r="D691" i="10" s="1"/>
  <c r="C747" i="10"/>
  <c r="D747" i="10" s="1"/>
  <c r="C807" i="10"/>
  <c r="D807" i="10" s="1"/>
  <c r="C361" i="10"/>
  <c r="D361" i="10" s="1"/>
  <c r="C965" i="10"/>
  <c r="D965" i="10" s="1"/>
  <c r="C858" i="10"/>
  <c r="D858" i="10" s="1"/>
  <c r="C913" i="10"/>
  <c r="D913" i="10" s="1"/>
  <c r="C515" i="10"/>
  <c r="D515" i="10" s="1"/>
  <c r="C41" i="10"/>
  <c r="D41" i="10" s="1"/>
  <c r="C145" i="10"/>
  <c r="D145" i="10" s="1"/>
  <c r="C892" i="10"/>
  <c r="D892" i="10" s="1"/>
  <c r="C142" i="10"/>
  <c r="D142" i="10" s="1"/>
  <c r="C112" i="10"/>
  <c r="D112" i="10" s="1"/>
  <c r="C261" i="10"/>
  <c r="D261" i="10" s="1"/>
  <c r="C553" i="10"/>
  <c r="D553" i="10" s="1"/>
  <c r="C806" i="10"/>
  <c r="D806" i="10" s="1"/>
  <c r="C976" i="10"/>
  <c r="D976" i="10" s="1"/>
  <c r="C685" i="10"/>
  <c r="D685" i="10" s="1"/>
  <c r="C941" i="10"/>
  <c r="D941" i="10" s="1"/>
  <c r="C172" i="10"/>
  <c r="D172" i="10" s="1"/>
  <c r="C428" i="10"/>
  <c r="D428" i="10" s="1"/>
  <c r="C597" i="10"/>
  <c r="D597" i="10" s="1"/>
  <c r="C72" i="10"/>
  <c r="D72" i="10" s="1"/>
  <c r="C246" i="10"/>
  <c r="D246" i="10" s="1"/>
  <c r="C330" i="10"/>
  <c r="D330" i="10" s="1"/>
  <c r="C414" i="10"/>
  <c r="D414" i="10" s="1"/>
  <c r="C772" i="10"/>
  <c r="D772" i="10" s="1"/>
  <c r="C646" i="10"/>
  <c r="D646" i="10" s="1"/>
  <c r="C890" i="10"/>
  <c r="D890" i="10" s="1"/>
  <c r="C180" i="10"/>
  <c r="D180" i="10" s="1"/>
  <c r="C797" i="10"/>
  <c r="D797" i="10" s="1"/>
  <c r="C753" i="10"/>
  <c r="D753" i="10" s="1"/>
  <c r="C990" i="10"/>
  <c r="D990" i="10" s="1"/>
  <c r="C815" i="10"/>
  <c r="D815" i="10" s="1"/>
  <c r="C640" i="10"/>
  <c r="D640" i="10" s="1"/>
  <c r="C513" i="10"/>
  <c r="D513" i="10" s="1"/>
  <c r="C440" i="10"/>
  <c r="D440" i="10" s="1"/>
  <c r="C398" i="10"/>
  <c r="D398" i="10" s="1"/>
  <c r="C358" i="10"/>
  <c r="D358" i="10" s="1"/>
  <c r="C326" i="10"/>
  <c r="D326" i="10" s="1"/>
  <c r="C296" i="10"/>
  <c r="D296" i="10" s="1"/>
  <c r="C256" i="10"/>
  <c r="D256" i="10" s="1"/>
  <c r="C638" i="10"/>
  <c r="D638" i="10" s="1"/>
  <c r="C537" i="10"/>
  <c r="D537" i="10" s="1"/>
  <c r="C389" i="10"/>
  <c r="D389" i="10" s="1"/>
  <c r="C614" i="10"/>
  <c r="D614" i="10" s="1"/>
  <c r="C277" i="10"/>
  <c r="D277" i="10" s="1"/>
  <c r="C423" i="10"/>
  <c r="D423" i="10" s="1"/>
  <c r="C817" i="10"/>
  <c r="D817" i="10" s="1"/>
  <c r="C804" i="10"/>
  <c r="D804" i="10" s="1"/>
  <c r="C586" i="10"/>
  <c r="D586" i="10" s="1"/>
  <c r="C503" i="10"/>
  <c r="D503" i="10" s="1"/>
  <c r="C581" i="10"/>
  <c r="D581" i="10" s="1"/>
  <c r="C448" i="10"/>
  <c r="D448" i="10" s="1"/>
  <c r="C380" i="10"/>
  <c r="D380" i="10" s="1"/>
  <c r="C328" i="10"/>
  <c r="D328" i="10" s="1"/>
  <c r="C276" i="10"/>
  <c r="D276" i="10" s="1"/>
  <c r="C711" i="10"/>
  <c r="D711" i="10" s="1"/>
  <c r="C533" i="10"/>
  <c r="D533" i="10" s="1"/>
  <c r="C740" i="10"/>
  <c r="D740" i="10" s="1"/>
  <c r="C484" i="10"/>
  <c r="D484" i="10" s="1"/>
  <c r="C321" i="10"/>
  <c r="D321" i="10" s="1"/>
  <c r="C218" i="10"/>
  <c r="D218" i="10" s="1"/>
  <c r="C498" i="10"/>
  <c r="D498" i="10" s="1"/>
  <c r="C574" i="10"/>
  <c r="D574" i="10" s="1"/>
  <c r="C445" i="10"/>
  <c r="D445" i="10" s="1"/>
  <c r="C378" i="10"/>
  <c r="D378" i="10" s="1"/>
  <c r="C687" i="10"/>
  <c r="D687" i="10" s="1"/>
  <c r="C465" i="10"/>
  <c r="D465" i="10" s="1"/>
  <c r="C706" i="10"/>
  <c r="D706" i="10" s="1"/>
  <c r="C313" i="10"/>
  <c r="D313" i="10" s="1"/>
  <c r="C224" i="10"/>
  <c r="D224" i="10" s="1"/>
  <c r="C47" i="10"/>
  <c r="D47" i="10" s="1"/>
  <c r="C70" i="10"/>
  <c r="D70" i="10" s="1"/>
  <c r="C94" i="10"/>
  <c r="D94" i="10" s="1"/>
  <c r="C629" i="10"/>
  <c r="D629" i="10" s="1"/>
  <c r="C683" i="10"/>
  <c r="D683" i="10" s="1"/>
  <c r="C739" i="10"/>
  <c r="D739" i="10" s="1"/>
  <c r="C812" i="10"/>
  <c r="D812" i="10" s="1"/>
  <c r="C483" i="10"/>
  <c r="D483" i="10" s="1"/>
  <c r="C35" i="10"/>
  <c r="D35" i="10" s="1"/>
  <c r="C793" i="10"/>
  <c r="D793" i="10" s="1"/>
  <c r="C906" i="10"/>
  <c r="D906" i="10" s="1"/>
  <c r="C910" i="10"/>
  <c r="D910" i="10" s="1"/>
  <c r="C893" i="10"/>
  <c r="D893" i="10" s="1"/>
  <c r="C565" i="10"/>
  <c r="D565" i="10" s="1"/>
  <c r="C369" i="10"/>
  <c r="D369" i="10" s="1"/>
  <c r="C117" i="10"/>
  <c r="D117" i="10" s="1"/>
  <c r="C165" i="10"/>
  <c r="D165" i="10" s="1"/>
  <c r="C884" i="10"/>
  <c r="D884" i="10" s="1"/>
  <c r="C888" i="10"/>
  <c r="D888" i="10" s="1"/>
  <c r="C745" i="10"/>
  <c r="D745" i="10" s="1"/>
  <c r="C981" i="10"/>
  <c r="D981" i="10" s="1"/>
  <c r="C177" i="10"/>
  <c r="D177" i="10" s="1"/>
  <c r="C140" i="10"/>
  <c r="D140" i="10" s="1"/>
  <c r="C110" i="10"/>
  <c r="D110" i="10" s="1"/>
  <c r="C233" i="10"/>
  <c r="D233" i="10" s="1"/>
  <c r="C569" i="10"/>
  <c r="D569" i="10" s="1"/>
  <c r="C814" i="10"/>
  <c r="D814" i="10" s="1"/>
  <c r="C942" i="10"/>
  <c r="D942" i="10" s="1"/>
  <c r="C705" i="10"/>
  <c r="D705" i="10" s="1"/>
  <c r="C961" i="10"/>
  <c r="D961" i="10" s="1"/>
  <c r="C347" i="10"/>
  <c r="D347" i="10" s="1"/>
  <c r="C471" i="10"/>
  <c r="D471" i="10" s="1"/>
  <c r="C636" i="10"/>
  <c r="D636" i="10" s="1"/>
  <c r="C68" i="10"/>
  <c r="D68" i="10" s="1"/>
  <c r="C174" i="10"/>
  <c r="D174" i="10" s="1"/>
  <c r="C305" i="10"/>
  <c r="D305" i="10" s="1"/>
  <c r="C497" i="10"/>
  <c r="D497" i="10" s="1"/>
  <c r="C509" i="10"/>
  <c r="D509" i="10" s="1"/>
  <c r="C250" i="10"/>
  <c r="D250" i="10" s="1"/>
  <c r="C332" i="10"/>
  <c r="D332" i="10" s="1"/>
  <c r="C510" i="10"/>
  <c r="D510" i="10" s="1"/>
  <c r="C514" i="10"/>
  <c r="D514" i="10" s="1"/>
  <c r="C656" i="10"/>
  <c r="D656" i="10" s="1"/>
  <c r="C950" i="10"/>
  <c r="D950" i="10" s="1"/>
  <c r="C123" i="10"/>
  <c r="D123" i="10" s="1"/>
  <c r="C975" i="10"/>
  <c r="D975" i="10" s="1"/>
  <c r="C215" i="10"/>
  <c r="D215" i="10" s="1"/>
  <c r="C65" i="10"/>
  <c r="D65" i="10" s="1"/>
  <c r="C816" i="10"/>
  <c r="D816" i="10" s="1"/>
  <c r="C991" i="10"/>
  <c r="D991" i="10" s="1"/>
  <c r="C927" i="10"/>
  <c r="D927" i="10" s="1"/>
  <c r="C199" i="10"/>
  <c r="D199" i="10" s="1"/>
  <c r="C285" i="10"/>
  <c r="D285" i="10" s="1"/>
  <c r="C341" i="10"/>
  <c r="D341" i="10" s="1"/>
  <c r="C28" i="10"/>
  <c r="D28" i="10" s="1"/>
  <c r="C850" i="10"/>
  <c r="D850" i="10" s="1"/>
  <c r="C91" i="10"/>
  <c r="D91" i="10" s="1"/>
  <c r="C291" i="10"/>
  <c r="D291" i="10" s="1"/>
  <c r="C946" i="10"/>
  <c r="D946" i="10" s="1"/>
  <c r="C933" i="10"/>
  <c r="D933" i="10" s="1"/>
  <c r="C902" i="10"/>
  <c r="D902" i="10" s="1"/>
  <c r="C875" i="10"/>
  <c r="D875" i="10" s="1"/>
  <c r="C349" i="10"/>
  <c r="D349" i="10" s="1"/>
  <c r="C395" i="10"/>
  <c r="D395" i="10" s="1"/>
  <c r="C670" i="10"/>
  <c r="D670" i="10" s="1"/>
  <c r="C727" i="10"/>
  <c r="D727" i="10" s="1"/>
  <c r="C106" i="10"/>
  <c r="D106" i="10" s="1"/>
  <c r="C928" i="10"/>
  <c r="D928" i="10" s="1"/>
  <c r="C320" i="10"/>
  <c r="D320" i="10" s="1"/>
  <c r="C708" i="10"/>
  <c r="D708" i="10" s="1"/>
  <c r="C639" i="10"/>
  <c r="D639" i="10" s="1"/>
  <c r="C824" i="10"/>
  <c r="D824" i="10" s="1"/>
  <c r="C994" i="10"/>
  <c r="D994" i="10" s="1"/>
  <c r="C700" i="10"/>
  <c r="D700" i="10" s="1"/>
  <c r="C641" i="10"/>
  <c r="D641" i="10" s="1"/>
  <c r="C773" i="10"/>
  <c r="D773" i="10" s="1"/>
  <c r="C903" i="10"/>
  <c r="D903" i="10" s="1"/>
  <c r="C85" i="10"/>
  <c r="D85" i="10" s="1"/>
  <c r="C929" i="10"/>
  <c r="D929" i="10" s="1"/>
  <c r="C397" i="10"/>
  <c r="D397" i="10" s="1"/>
  <c r="C495" i="10"/>
  <c r="D495" i="10" s="1"/>
  <c r="C647" i="10"/>
  <c r="D647" i="10" s="1"/>
  <c r="C784" i="10"/>
  <c r="D784" i="10" s="1"/>
  <c r="C922" i="10"/>
  <c r="D922" i="10" s="1"/>
  <c r="C822" i="10"/>
  <c r="D822" i="10" s="1"/>
  <c r="C154" i="10"/>
  <c r="D154" i="10" s="1"/>
  <c r="C279" i="10"/>
  <c r="D279" i="10" s="1"/>
  <c r="C951" i="10"/>
  <c r="D951" i="10" s="1"/>
  <c r="C98" i="10"/>
  <c r="D98" i="10" s="1"/>
  <c r="C668" i="10"/>
  <c r="D668" i="10" s="1"/>
  <c r="C340" i="10"/>
  <c r="D340" i="10" s="1"/>
  <c r="C612" i="10"/>
  <c r="D612" i="10" s="1"/>
  <c r="C651" i="10"/>
  <c r="D651" i="10" s="1"/>
  <c r="C702" i="10"/>
  <c r="D702" i="10" s="1"/>
  <c r="C768" i="10"/>
  <c r="D768" i="10" s="1"/>
  <c r="C762" i="10"/>
  <c r="D762" i="10" s="1"/>
  <c r="C267" i="10"/>
  <c r="D267" i="10" s="1"/>
  <c r="C709" i="10"/>
  <c r="D709" i="10" s="1"/>
  <c r="C966" i="10"/>
  <c r="D966" i="10" s="1"/>
  <c r="C785" i="10"/>
  <c r="D785" i="10" s="1"/>
  <c r="C836" i="10"/>
  <c r="D836" i="10" s="1"/>
  <c r="C803" i="10"/>
  <c r="D803" i="10" s="1"/>
  <c r="C905" i="10"/>
  <c r="D905" i="10" s="1"/>
  <c r="C166" i="10"/>
  <c r="D166" i="10" s="1"/>
  <c r="C134" i="10"/>
  <c r="D134" i="10" s="1"/>
  <c r="C77" i="10"/>
  <c r="D77" i="10" s="1"/>
  <c r="C343" i="10"/>
  <c r="D343" i="10" s="1"/>
  <c r="C603" i="10"/>
  <c r="D603" i="10" s="1"/>
  <c r="C848" i="10"/>
  <c r="D848" i="10" s="1"/>
  <c r="C887" i="10"/>
  <c r="D887" i="10" s="1"/>
  <c r="C749" i="10"/>
  <c r="D749" i="10" s="1"/>
  <c r="C103" i="10"/>
  <c r="D103" i="10" s="1"/>
  <c r="C58" i="10"/>
  <c r="D58" i="10" s="1"/>
  <c r="C228" i="10"/>
  <c r="D228" i="10" s="1"/>
  <c r="C439" i="10"/>
  <c r="D439" i="10" s="1"/>
  <c r="C486" i="10"/>
  <c r="D486" i="10" s="1"/>
  <c r="C268" i="10"/>
  <c r="D268" i="10" s="1"/>
  <c r="C352" i="10"/>
  <c r="D352" i="10" s="1"/>
  <c r="C499" i="10"/>
  <c r="D499" i="10" s="1"/>
  <c r="C511" i="10"/>
  <c r="D511" i="10" s="1"/>
  <c r="C767" i="10"/>
  <c r="D767" i="10" s="1"/>
  <c r="C682" i="10"/>
  <c r="D682" i="10" s="1"/>
  <c r="C115" i="10"/>
  <c r="D115" i="10" s="1"/>
  <c r="C540" i="10"/>
  <c r="D540" i="10" s="1"/>
  <c r="C618" i="10"/>
  <c r="D618" i="10" s="1"/>
  <c r="C538" i="10"/>
  <c r="D538" i="10" s="1"/>
  <c r="C26" i="10"/>
  <c r="D26" i="10" s="1"/>
  <c r="C577" i="10"/>
  <c r="D577" i="10" s="1"/>
  <c r="C492" i="10"/>
  <c r="D492" i="10" s="1"/>
  <c r="C424" i="10"/>
  <c r="D424" i="10" s="1"/>
  <c r="C382" i="10"/>
  <c r="D382" i="10" s="1"/>
  <c r="C350" i="10"/>
  <c r="D350" i="10" s="1"/>
  <c r="C318" i="10"/>
  <c r="D318" i="10" s="1"/>
  <c r="C280" i="10"/>
  <c r="D280" i="10" s="1"/>
  <c r="C248" i="10"/>
  <c r="D248" i="10" s="1"/>
  <c r="C604" i="10"/>
  <c r="D604" i="10" s="1"/>
  <c r="C834" i="10"/>
  <c r="D834" i="10" s="1"/>
  <c r="C830" i="10"/>
  <c r="D830" i="10" s="1"/>
  <c r="C227" i="10"/>
  <c r="D227" i="10" s="1"/>
  <c r="C450" i="10"/>
  <c r="D450" i="10" s="1"/>
  <c r="C97" i="10"/>
  <c r="D97" i="10" s="1"/>
  <c r="C886" i="10"/>
  <c r="D886" i="10" s="1"/>
  <c r="C692" i="10"/>
  <c r="D692" i="10" s="1"/>
  <c r="C567" i="10"/>
  <c r="D567" i="10" s="1"/>
  <c r="C482" i="10"/>
  <c r="D482" i="10" s="1"/>
  <c r="C549" i="10"/>
  <c r="D549" i="10" s="1"/>
  <c r="C429" i="10"/>
  <c r="D429" i="10" s="1"/>
  <c r="C370" i="10"/>
  <c r="D370" i="10" s="1"/>
  <c r="C308" i="10"/>
  <c r="D308" i="10" s="1"/>
  <c r="C266" i="10"/>
  <c r="D266" i="10" s="1"/>
  <c r="C630" i="10"/>
  <c r="D630" i="10" s="1"/>
  <c r="C447" i="10"/>
  <c r="D447" i="10" s="1"/>
  <c r="C598" i="10"/>
  <c r="D598" i="10" s="1"/>
  <c r="C459" i="10"/>
  <c r="D459" i="10" s="1"/>
  <c r="C265" i="10"/>
  <c r="D265" i="10" s="1"/>
  <c r="C182" i="10"/>
  <c r="D182" i="10" s="1"/>
  <c r="C36" i="10"/>
  <c r="D36" i="10" s="1"/>
  <c r="C798" i="10"/>
  <c r="D798" i="10" s="1"/>
  <c r="C192" i="10"/>
  <c r="D192" i="10" s="1"/>
  <c r="C788" i="10"/>
  <c r="D788" i="10" s="1"/>
  <c r="C578" i="10"/>
  <c r="D578" i="10" s="1"/>
  <c r="C479" i="10"/>
  <c r="D479" i="10" s="1"/>
  <c r="C545" i="10"/>
  <c r="D545" i="10" s="1"/>
  <c r="C421" i="10"/>
  <c r="D421" i="10" s="1"/>
  <c r="C368" i="10"/>
  <c r="D368" i="10" s="1"/>
  <c r="C336" i="10"/>
  <c r="D336" i="10" s="1"/>
  <c r="C274" i="10"/>
  <c r="D274" i="10" s="1"/>
  <c r="C620" i="10"/>
  <c r="D620" i="10" s="1"/>
  <c r="C433" i="10"/>
  <c r="D433" i="10" s="1"/>
  <c r="C541" i="10"/>
  <c r="D541" i="10" s="1"/>
  <c r="C425" i="10"/>
  <c r="D425" i="10" s="1"/>
  <c r="C257" i="10"/>
  <c r="D257" i="10" s="1"/>
  <c r="C202" i="10"/>
  <c r="D202" i="10" s="1"/>
  <c r="C54" i="10"/>
  <c r="D54" i="10" s="1"/>
  <c r="C78" i="10"/>
  <c r="D78" i="10" s="1"/>
  <c r="C102" i="10"/>
  <c r="D102" i="10" s="1"/>
  <c r="C653" i="10"/>
  <c r="D653" i="10" s="1"/>
  <c r="C712" i="10"/>
  <c r="D712" i="10" s="1"/>
  <c r="C750" i="10"/>
  <c r="D750" i="10" s="1"/>
  <c r="C779" i="10"/>
  <c r="D779" i="10" s="1"/>
  <c r="C716" i="10"/>
  <c r="D716" i="10" s="1"/>
  <c r="C418" i="10"/>
  <c r="D418" i="10" s="1"/>
  <c r="C665" i="10"/>
  <c r="D665" i="10" s="1"/>
  <c r="C837" i="10"/>
  <c r="D837" i="10" s="1"/>
  <c r="C843" i="10"/>
  <c r="D843" i="10" s="1"/>
  <c r="C765" i="10"/>
  <c r="D765" i="10" s="1"/>
  <c r="C259" i="10"/>
  <c r="D259" i="10" s="1"/>
  <c r="C187" i="10"/>
  <c r="D187" i="10" s="1"/>
  <c r="C992" i="10"/>
  <c r="D992" i="10" s="1"/>
  <c r="C853" i="10"/>
  <c r="D853" i="10" s="1"/>
  <c r="C164" i="10"/>
  <c r="D164" i="10" s="1"/>
  <c r="C132" i="10"/>
  <c r="D132" i="10" s="1"/>
  <c r="C101" i="10"/>
  <c r="D101" i="10" s="1"/>
  <c r="C367" i="10"/>
  <c r="D367" i="10" s="1"/>
  <c r="C616" i="10"/>
  <c r="D616" i="10" s="1"/>
  <c r="C984" i="10"/>
  <c r="D984" i="10" s="1"/>
  <c r="C938" i="10"/>
  <c r="D938" i="10" s="1"/>
  <c r="C769" i="10"/>
  <c r="D769" i="10" s="1"/>
  <c r="C95" i="10"/>
  <c r="D95" i="10" s="1"/>
  <c r="C223" i="10"/>
  <c r="D223" i="10" s="1"/>
  <c r="C411" i="10"/>
  <c r="D411" i="10" s="1"/>
  <c r="C521" i="10"/>
  <c r="D521" i="10" s="1"/>
  <c r="C100" i="10"/>
  <c r="D100" i="10" s="1"/>
  <c r="C56" i="10"/>
  <c r="D56" i="10" s="1"/>
  <c r="C230" i="10"/>
  <c r="D230" i="10" s="1"/>
  <c r="C879" i="10"/>
  <c r="D879" i="10" s="1"/>
  <c r="C997" i="10"/>
  <c r="D997" i="10" s="1"/>
  <c r="C608" i="10"/>
  <c r="D608" i="10" s="1"/>
  <c r="C299" i="10"/>
  <c r="D299" i="10" s="1"/>
  <c r="C243" i="10"/>
  <c r="D243" i="10" s="1"/>
  <c r="C945" i="10"/>
  <c r="D945" i="10" s="1"/>
  <c r="C948" i="10"/>
  <c r="D948" i="10" s="1"/>
  <c r="C119" i="10"/>
  <c r="D119" i="10" s="1"/>
  <c r="C979" i="10"/>
  <c r="D979" i="10" s="1"/>
  <c r="C383" i="10"/>
  <c r="D383" i="10" s="1"/>
  <c r="C735" i="10"/>
  <c r="D735" i="10" s="1"/>
  <c r="C864" i="10"/>
  <c r="D864" i="10" s="1"/>
  <c r="C489" i="10"/>
  <c r="D489" i="10" s="1"/>
  <c r="C825" i="10"/>
  <c r="D825" i="10" s="1"/>
  <c r="C375" i="10"/>
  <c r="D375" i="10" s="1"/>
  <c r="E79" i="32"/>
  <c r="C69" i="5"/>
  <c r="G69" i="5"/>
  <c r="G69" i="32" s="1"/>
  <c r="K73" i="32"/>
  <c r="L73" i="5"/>
  <c r="C987" i="10"/>
  <c r="D987" i="10" s="1"/>
  <c r="C594" i="10"/>
  <c r="D594" i="10" s="1"/>
  <c r="C648" i="10"/>
  <c r="D648" i="10" s="1"/>
  <c r="C396" i="10"/>
  <c r="D396" i="10" s="1"/>
  <c r="C314" i="10"/>
  <c r="D314" i="10" s="1"/>
  <c r="C573" i="10"/>
  <c r="D573" i="10" s="1"/>
  <c r="C249" i="10"/>
  <c r="D249" i="10" s="1"/>
  <c r="C80" i="10"/>
  <c r="D80" i="10" s="1"/>
  <c r="C31" i="10"/>
  <c r="D31" i="10" s="1"/>
  <c r="C899" i="10"/>
  <c r="D899" i="10" s="1"/>
  <c r="C502" i="10"/>
  <c r="D502" i="10" s="1"/>
  <c r="C200" i="10"/>
  <c r="D200" i="10" s="1"/>
  <c r="C148" i="10"/>
  <c r="D148" i="10" s="1"/>
  <c r="C919" i="10"/>
  <c r="D919" i="10" s="1"/>
  <c r="C936" i="10"/>
  <c r="D936" i="10" s="1"/>
  <c r="C149" i="10"/>
  <c r="D149" i="10" s="1"/>
  <c r="C417" i="10"/>
  <c r="D417" i="10" s="1"/>
  <c r="C253" i="10"/>
  <c r="D253" i="10" s="1"/>
  <c r="C675" i="10"/>
  <c r="D675" i="10" s="1"/>
  <c r="C621" i="10"/>
  <c r="D621" i="10" s="1"/>
  <c r="C186" i="10"/>
  <c r="D186" i="10" s="1"/>
  <c r="C345" i="10"/>
  <c r="D345" i="10" s="1"/>
  <c r="C252" i="10"/>
  <c r="D252" i="10" s="1"/>
  <c r="C346" i="10"/>
  <c r="D346" i="10" s="1"/>
  <c r="C464" i="10"/>
  <c r="D464" i="10" s="1"/>
  <c r="C543" i="10"/>
  <c r="D543" i="10" s="1"/>
  <c r="C155" i="10"/>
  <c r="D155" i="10" s="1"/>
  <c r="C60" i="10"/>
  <c r="D60" i="10" s="1"/>
  <c r="C234" i="10"/>
  <c r="D234" i="10" s="1"/>
  <c r="C516" i="10"/>
  <c r="D516" i="10" s="1"/>
  <c r="C298" i="10"/>
  <c r="D298" i="10" s="1"/>
  <c r="C626" i="10"/>
  <c r="D626" i="10" s="1"/>
  <c r="C953" i="10"/>
  <c r="D953" i="10" s="1"/>
  <c r="C971" i="10"/>
  <c r="D971" i="10" s="1"/>
  <c r="C605" i="10"/>
  <c r="D605" i="10" s="1"/>
  <c r="C561" i="10"/>
  <c r="D561" i="10" s="1"/>
  <c r="C272" i="10"/>
  <c r="D272" i="10" s="1"/>
  <c r="C334" i="10"/>
  <c r="D334" i="10" s="1"/>
  <c r="C531" i="10"/>
  <c r="D531" i="10" s="1"/>
  <c r="C490" i="10"/>
  <c r="D490" i="10" s="1"/>
  <c r="C676" i="10"/>
  <c r="D676" i="10" s="1"/>
  <c r="C127" i="10"/>
  <c r="D127" i="10" s="1"/>
  <c r="C854" i="10"/>
  <c r="D854" i="10" s="1"/>
  <c r="C558" i="10"/>
  <c r="D558" i="10" s="1"/>
  <c r="C756" i="10"/>
  <c r="D756" i="10" s="1"/>
  <c r="C210" i="10"/>
  <c r="D210" i="10" s="1"/>
  <c r="C564" i="10"/>
  <c r="D564" i="10" s="1"/>
  <c r="C39" i="10"/>
  <c r="D39" i="10" s="1"/>
  <c r="C930" i="10"/>
  <c r="D930" i="10" s="1"/>
  <c r="C978" i="10"/>
  <c r="D978" i="10" s="1"/>
  <c r="C150" i="10"/>
  <c r="D150" i="10" s="1"/>
  <c r="C841" i="10"/>
  <c r="D841" i="10" s="1"/>
  <c r="C940" i="10"/>
  <c r="D940" i="10" s="1"/>
  <c r="C295" i="10"/>
  <c r="D295" i="10" s="1"/>
  <c r="C862" i="10"/>
  <c r="D862" i="10" s="1"/>
  <c r="C83" i="10"/>
  <c r="D83" i="10" s="1"/>
  <c r="C384" i="10"/>
  <c r="D384" i="10" s="1"/>
  <c r="C194" i="10"/>
  <c r="D194" i="10" s="1"/>
  <c r="C717" i="10"/>
  <c r="D717" i="10" s="1"/>
  <c r="C122" i="10"/>
  <c r="D122" i="10" s="1"/>
  <c r="C105" i="10"/>
  <c r="D105" i="10" s="1"/>
  <c r="C518" i="10"/>
  <c r="D518" i="10" s="1"/>
  <c r="C714" i="10"/>
  <c r="D714" i="10" s="1"/>
  <c r="C460" i="10"/>
  <c r="D460" i="10" s="1"/>
  <c r="C974" i="10"/>
  <c r="D974" i="10" s="1"/>
  <c r="C539" i="10"/>
  <c r="D539" i="10" s="1"/>
  <c r="C617" i="10"/>
  <c r="D617" i="10" s="1"/>
  <c r="C201" i="10"/>
  <c r="D201" i="10" s="1"/>
  <c r="C162" i="10"/>
  <c r="D162" i="10" s="1"/>
  <c r="C570" i="10"/>
  <c r="D570" i="10" s="1"/>
  <c r="C386" i="10"/>
  <c r="D386" i="10" s="1"/>
  <c r="J79" i="5"/>
  <c r="J67" i="5" s="1"/>
  <c r="H79" i="32"/>
  <c r="F88" i="32"/>
  <c r="F89" i="32" s="1"/>
  <c r="F89" i="5"/>
  <c r="C988" i="10"/>
  <c r="D988" i="10" s="1"/>
  <c r="H79" i="5"/>
  <c r="E79" i="5"/>
  <c r="C989" i="10"/>
  <c r="D989" i="10" s="1"/>
  <c r="C869" i="10"/>
  <c r="D869" i="10" s="1"/>
  <c r="C924" i="10"/>
  <c r="D924" i="10" s="1"/>
  <c r="C842" i="10"/>
  <c r="D842" i="10" s="1"/>
  <c r="C139" i="10"/>
  <c r="D139" i="10" s="1"/>
  <c r="C436" i="10"/>
  <c r="D436" i="10" s="1"/>
  <c r="C167" i="10"/>
  <c r="D167" i="10" s="1"/>
  <c r="C438" i="10"/>
  <c r="D438" i="10" s="1"/>
  <c r="C871" i="10"/>
  <c r="D871" i="10" s="1"/>
  <c r="C780" i="10"/>
  <c r="D780" i="10" s="1"/>
  <c r="C416" i="10"/>
  <c r="D416" i="10" s="1"/>
  <c r="C673" i="10"/>
  <c r="D673" i="10" s="1"/>
  <c r="C40" i="10"/>
  <c r="D40" i="10" s="1"/>
  <c r="C833" i="10"/>
  <c r="D833" i="10" s="1"/>
  <c r="C852" i="10"/>
  <c r="D852" i="10" s="1"/>
  <c r="C275" i="10"/>
  <c r="D275" i="10" s="1"/>
  <c r="C760" i="10"/>
  <c r="D760" i="10" s="1"/>
  <c r="C694" i="10"/>
  <c r="D694" i="10" s="1"/>
  <c r="C30" i="10"/>
  <c r="D30" i="10" s="1"/>
  <c r="C585" i="10"/>
  <c r="D585" i="10" s="1"/>
  <c r="C410" i="10"/>
  <c r="D410" i="10" s="1"/>
  <c r="C663" i="10"/>
  <c r="D663" i="10" s="1"/>
  <c r="C413" i="10"/>
  <c r="D413" i="10" s="1"/>
  <c r="C254" i="10"/>
  <c r="D254" i="10" s="1"/>
  <c r="C524" i="10"/>
  <c r="D524" i="10" s="1"/>
  <c r="C593" i="10"/>
  <c r="D593" i="10" s="1"/>
  <c r="C183" i="10"/>
  <c r="D183" i="10" s="1"/>
  <c r="C507" i="10"/>
  <c r="D507" i="10" s="1"/>
  <c r="C374" i="10"/>
  <c r="D374" i="10" s="1"/>
  <c r="C684" i="10"/>
  <c r="D684" i="10" s="1"/>
  <c r="C889" i="10"/>
  <c r="D889" i="10" s="1"/>
  <c r="C805" i="10"/>
  <c r="D805" i="10" s="1"/>
  <c r="C394" i="10"/>
  <c r="D394" i="10" s="1"/>
  <c r="C244" i="10"/>
  <c r="D244" i="10" s="1"/>
  <c r="C287" i="10"/>
  <c r="D287" i="10" s="1"/>
  <c r="C446" i="10"/>
  <c r="D446" i="10" s="1"/>
  <c r="C209" i="10"/>
  <c r="D209" i="10" s="1"/>
  <c r="C89" i="10"/>
  <c r="D89" i="10" s="1"/>
  <c r="C501" i="10"/>
  <c r="D501" i="10" s="1"/>
  <c r="C728" i="10"/>
  <c r="D728" i="10" s="1"/>
  <c r="C845" i="10"/>
  <c r="D845" i="10" s="1"/>
  <c r="C61" i="10"/>
  <c r="D61" i="10" s="1"/>
  <c r="C371" i="10"/>
  <c r="D371" i="10" s="1"/>
  <c r="C818" i="10"/>
  <c r="D818" i="10" s="1"/>
  <c r="C666" i="10"/>
  <c r="D666" i="10" s="1"/>
  <c r="C93" i="10"/>
  <c r="D93" i="10" s="1"/>
  <c r="O68" i="32"/>
  <c r="G89" i="5"/>
  <c r="G87" i="32"/>
  <c r="C79" i="5"/>
  <c r="D79" i="5"/>
  <c r="D67" i="5" s="1"/>
  <c r="C355" i="10"/>
  <c r="D355" i="10" s="1"/>
  <c r="C732" i="10"/>
  <c r="D732" i="10" s="1"/>
  <c r="C544" i="10"/>
  <c r="D544" i="10" s="1"/>
  <c r="C111" i="10"/>
  <c r="D111" i="10" s="1"/>
  <c r="C393" i="10"/>
  <c r="D393" i="10" s="1"/>
  <c r="C761" i="10"/>
  <c r="D761" i="10" s="1"/>
  <c r="C59" i="10"/>
  <c r="D59" i="10" s="1"/>
  <c r="C191" i="10"/>
  <c r="D191" i="10" s="1"/>
  <c r="C952" i="10"/>
  <c r="D952" i="10" s="1"/>
  <c r="C956" i="10"/>
  <c r="D956" i="10" s="1"/>
  <c r="C931" i="10"/>
  <c r="D931" i="10" s="1"/>
  <c r="C27" i="10"/>
  <c r="D27" i="10" s="1"/>
  <c r="C840" i="10"/>
  <c r="D840" i="10" s="1"/>
  <c r="C207" i="10"/>
  <c r="D207" i="10" s="1"/>
  <c r="C526" i="10"/>
  <c r="D526" i="10" s="1"/>
  <c r="C335" i="10"/>
  <c r="D335" i="10" s="1"/>
  <c r="C559" i="10"/>
  <c r="D559" i="10" s="1"/>
  <c r="C563" i="10"/>
  <c r="D563" i="10" s="1"/>
  <c r="C376" i="10"/>
  <c r="D376" i="10" s="1"/>
  <c r="C292" i="10"/>
  <c r="D292" i="10" s="1"/>
  <c r="C576" i="10"/>
  <c r="D576" i="10" s="1"/>
  <c r="C449" i="10"/>
  <c r="D449" i="10" s="1"/>
  <c r="C90" i="10"/>
  <c r="D90" i="10" s="1"/>
  <c r="C434" i="10"/>
  <c r="D434" i="10" s="1"/>
  <c r="C63" i="10"/>
  <c r="D63" i="10" s="1"/>
  <c r="C980" i="10"/>
  <c r="D980" i="10" s="1"/>
  <c r="C856" i="10"/>
  <c r="D856" i="10" s="1"/>
  <c r="C452" i="10"/>
  <c r="D452" i="10" s="1"/>
  <c r="C69" i="10"/>
  <c r="D69" i="10" s="1"/>
  <c r="C156" i="10"/>
  <c r="D156" i="10" s="1"/>
  <c r="C133" i="10"/>
  <c r="D133" i="10" s="1"/>
  <c r="C467" i="10"/>
  <c r="D467" i="10" s="1"/>
  <c r="C795" i="10"/>
  <c r="D795" i="10" s="1"/>
  <c r="C954" i="10"/>
  <c r="D954" i="10" s="1"/>
  <c r="C331" i="10"/>
  <c r="D331" i="10" s="1"/>
  <c r="C791" i="10"/>
  <c r="D791" i="10" s="1"/>
  <c r="C731" i="10"/>
  <c r="D731" i="10" s="1"/>
  <c r="C662" i="10"/>
  <c r="D662" i="10" s="1"/>
  <c r="C613" i="10"/>
  <c r="D613" i="10" s="1"/>
  <c r="C62" i="10"/>
  <c r="D62" i="10" s="1"/>
  <c r="C170" i="10"/>
  <c r="D170" i="10" s="1"/>
  <c r="C377" i="10"/>
  <c r="D377" i="10" s="1"/>
  <c r="C365" i="10"/>
  <c r="D365" i="10" s="1"/>
  <c r="C262" i="10"/>
  <c r="D262" i="10" s="1"/>
  <c r="C485" i="10"/>
  <c r="D485" i="10" s="1"/>
  <c r="C562" i="10"/>
  <c r="D562" i="10" s="1"/>
  <c r="C159" i="10"/>
  <c r="D159" i="10" s="1"/>
  <c r="C52" i="10"/>
  <c r="D52" i="10" s="1"/>
  <c r="C242" i="10"/>
  <c r="D242" i="10" s="1"/>
  <c r="C548" i="10"/>
  <c r="D548" i="10" s="1"/>
  <c r="C566" i="10"/>
  <c r="D566" i="10" s="1"/>
  <c r="C402" i="10"/>
  <c r="D402" i="10" s="1"/>
  <c r="C679" i="10"/>
  <c r="D679" i="10" s="1"/>
  <c r="C634" i="10"/>
  <c r="D634" i="10" s="1"/>
  <c r="C212" i="10"/>
  <c r="D212" i="10" s="1"/>
  <c r="C898" i="10"/>
  <c r="D898" i="10" s="1"/>
  <c r="C135" i="10"/>
  <c r="D135" i="10" s="1"/>
  <c r="C357" i="10"/>
  <c r="D357" i="10" s="1"/>
  <c r="C580" i="10"/>
  <c r="D580" i="10" s="1"/>
  <c r="C342" i="10"/>
  <c r="D342" i="10" s="1"/>
  <c r="C406" i="10"/>
  <c r="D406" i="10" s="1"/>
  <c r="C556" i="10"/>
  <c r="D556" i="10" s="1"/>
  <c r="C522" i="10"/>
  <c r="D522" i="10" s="1"/>
  <c r="C730" i="10"/>
  <c r="D730" i="10" s="1"/>
  <c r="C960" i="10"/>
  <c r="D960" i="10" s="1"/>
  <c r="C560" i="10"/>
  <c r="D560" i="10" s="1"/>
  <c r="C290" i="10"/>
  <c r="D290" i="10" s="1"/>
  <c r="C568" i="10"/>
  <c r="D568" i="10" s="1"/>
  <c r="C42" i="10"/>
  <c r="D42" i="10" s="1"/>
  <c r="C466" i="10"/>
  <c r="D466" i="10" s="1"/>
  <c r="C71" i="10"/>
  <c r="D71" i="10" s="1"/>
  <c r="C695" i="10"/>
  <c r="D695" i="10" s="1"/>
  <c r="C225" i="10"/>
  <c r="D225" i="10" s="1"/>
  <c r="C158" i="10"/>
  <c r="D158" i="10" s="1"/>
  <c r="C693" i="10"/>
  <c r="D693" i="10" s="1"/>
  <c r="C211" i="10"/>
  <c r="D211" i="10" s="1"/>
  <c r="C379" i="10"/>
  <c r="D379" i="10" s="1"/>
  <c r="C776" i="10"/>
  <c r="D776" i="10" s="1"/>
  <c r="C671" i="10"/>
  <c r="D671" i="10" s="1"/>
  <c r="C600" i="10"/>
  <c r="D600" i="10" s="1"/>
  <c r="C582" i="10"/>
  <c r="D582" i="10" s="1"/>
  <c r="C1000" i="10"/>
  <c r="D1000" i="10" s="1"/>
  <c r="C809" i="10"/>
  <c r="D809" i="10" s="1"/>
  <c r="C701" i="10"/>
  <c r="D701" i="10" s="1"/>
  <c r="C723" i="10"/>
  <c r="D723" i="10" s="1"/>
  <c r="C925" i="10"/>
  <c r="D925" i="10" s="1"/>
  <c r="C550" i="10"/>
  <c r="D550" i="10" s="1"/>
  <c r="C116" i="10"/>
  <c r="D116" i="10" s="1"/>
  <c r="C238" i="10"/>
  <c r="D238" i="10" s="1"/>
  <c r="C443" i="10"/>
  <c r="D443" i="10" s="1"/>
  <c r="C302" i="10"/>
  <c r="D302" i="10" s="1"/>
  <c r="C535" i="10"/>
  <c r="D535" i="10" s="1"/>
  <c r="C874" i="10"/>
  <c r="D874" i="10" s="1"/>
  <c r="M87" i="32"/>
  <c r="M89" i="32" s="1"/>
  <c r="O74" i="32"/>
  <c r="M73" i="5"/>
  <c r="G73" i="5"/>
  <c r="K73" i="5"/>
  <c r="K67" i="5" s="1"/>
  <c r="D99" i="32"/>
  <c r="G94" i="32"/>
  <c r="F94" i="32"/>
  <c r="F99" i="5"/>
  <c r="F97" i="32"/>
  <c r="H89" i="32"/>
  <c r="F94" i="5"/>
  <c r="D99" i="5"/>
  <c r="I99" i="32"/>
  <c r="H73" i="5"/>
  <c r="H67" i="5" s="1"/>
  <c r="H70" i="32"/>
  <c r="N33" i="5"/>
  <c r="N33" i="32" s="1"/>
  <c r="J56" i="5"/>
  <c r="J56" i="32" s="1"/>
  <c r="L36" i="5"/>
  <c r="L36" i="32" s="1"/>
  <c r="K18" i="5"/>
  <c r="K18" i="32" s="1"/>
  <c r="O49" i="5"/>
  <c r="D33" i="5"/>
  <c r="D33" i="32" s="1"/>
  <c r="F36" i="5"/>
  <c r="F36" i="32" s="1"/>
  <c r="O6" i="5"/>
  <c r="H26" i="5"/>
  <c r="H26" i="32" s="1"/>
  <c r="F30" i="5"/>
  <c r="F30" i="32" s="1"/>
  <c r="I7" i="5"/>
  <c r="I7" i="32" s="1"/>
  <c r="G58" i="5"/>
  <c r="G58" i="32" s="1"/>
  <c r="D30" i="5"/>
  <c r="D30" i="32" s="1"/>
  <c r="D21" i="5"/>
  <c r="D21" i="32" s="1"/>
  <c r="H25" i="5"/>
  <c r="H25" i="32" s="1"/>
  <c r="J57" i="5"/>
  <c r="J57" i="32" s="1"/>
  <c r="H73" i="32"/>
  <c r="H67" i="32" s="1"/>
  <c r="D46" i="5"/>
  <c r="D46" i="32" s="1"/>
  <c r="F76" i="32"/>
  <c r="F79" i="5"/>
  <c r="F67" i="5" s="1"/>
  <c r="C79" i="32"/>
  <c r="I69" i="32"/>
  <c r="I73" i="32" s="1"/>
  <c r="I73" i="5"/>
  <c r="H47" i="5"/>
  <c r="H47" i="32" s="1"/>
  <c r="J30" i="5"/>
  <c r="J30" i="32" s="1"/>
  <c r="O41" i="5"/>
  <c r="M16" i="5"/>
  <c r="M16" i="32" s="1"/>
  <c r="M29" i="5"/>
  <c r="M29" i="32" s="1"/>
  <c r="K49" i="5"/>
  <c r="K49" i="32" s="1"/>
  <c r="F23" i="5"/>
  <c r="F23" i="32" s="1"/>
  <c r="I26" i="5"/>
  <c r="I26" i="32" s="1"/>
  <c r="N41" i="5"/>
  <c r="N41" i="32" s="1"/>
  <c r="D40" i="5"/>
  <c r="D40" i="32" s="1"/>
  <c r="G34" i="5"/>
  <c r="G34" i="32" s="1"/>
  <c r="D38" i="5"/>
  <c r="D38" i="32" s="1"/>
  <c r="D44" i="5"/>
  <c r="D44" i="32" s="1"/>
  <c r="D58" i="5"/>
  <c r="D58" i="32" s="1"/>
  <c r="E33" i="5"/>
  <c r="E33" i="32" s="1"/>
  <c r="F10" i="5"/>
  <c r="F10" i="32" s="1"/>
  <c r="E57" i="5"/>
  <c r="E57" i="32" s="1"/>
  <c r="G55" i="5"/>
  <c r="G55" i="32" s="1"/>
  <c r="O65" i="5"/>
  <c r="M23" i="5"/>
  <c r="M23" i="32" s="1"/>
  <c r="D26" i="5"/>
  <c r="D26" i="32" s="1"/>
  <c r="C59" i="5"/>
  <c r="C59" i="32" s="1"/>
  <c r="G50" i="5"/>
  <c r="G50" i="32" s="1"/>
  <c r="N34" i="5"/>
  <c r="N34" i="32" s="1"/>
  <c r="E18" i="5"/>
  <c r="E18" i="32" s="1"/>
  <c r="H54" i="5"/>
  <c r="H54" i="32" s="1"/>
  <c r="N48" i="5"/>
  <c r="N48" i="32" s="1"/>
  <c r="C51" i="5"/>
  <c r="C51" i="32" s="1"/>
  <c r="J24" i="5"/>
  <c r="J24" i="32" s="1"/>
  <c r="D57" i="5"/>
  <c r="D57" i="32" s="1"/>
  <c r="L44" i="5"/>
  <c r="L44" i="32" s="1"/>
  <c r="D47" i="5"/>
  <c r="D47" i="32" s="1"/>
  <c r="G36" i="5"/>
  <c r="G36" i="32" s="1"/>
  <c r="E16" i="5"/>
  <c r="E16" i="32" s="1"/>
  <c r="F33" i="5"/>
  <c r="F33" i="32" s="1"/>
  <c r="G19" i="5"/>
  <c r="G19" i="32" s="1"/>
  <c r="O42" i="5"/>
  <c r="O52" i="5"/>
  <c r="L56" i="5"/>
  <c r="L56" i="32" s="1"/>
  <c r="K47" i="5"/>
  <c r="K47" i="32" s="1"/>
  <c r="G57" i="5"/>
  <c r="G57" i="32" s="1"/>
  <c r="I39" i="5"/>
  <c r="I39" i="32" s="1"/>
  <c r="G60" i="5"/>
  <c r="G60" i="32" s="1"/>
  <c r="L47" i="5"/>
  <c r="L47" i="32" s="1"/>
  <c r="O7" i="5"/>
  <c r="C37" i="5"/>
  <c r="C37" i="32" s="1"/>
  <c r="H17" i="5"/>
  <c r="H17" i="32" s="1"/>
  <c r="N27" i="5"/>
  <c r="N27" i="32" s="1"/>
  <c r="F55" i="5"/>
  <c r="F55" i="32" s="1"/>
  <c r="E20" i="5"/>
  <c r="E20" i="32" s="1"/>
  <c r="L14" i="5"/>
  <c r="L14" i="32" s="1"/>
  <c r="I37" i="5"/>
  <c r="I37" i="32" s="1"/>
  <c r="J29" i="5"/>
  <c r="J29" i="32" s="1"/>
  <c r="G27" i="5"/>
  <c r="G27" i="32" s="1"/>
  <c r="D54" i="5"/>
  <c r="D54" i="32" s="1"/>
  <c r="M31" i="5"/>
  <c r="M31" i="32" s="1"/>
  <c r="I50" i="5"/>
  <c r="I50" i="32" s="1"/>
  <c r="I51" i="5"/>
  <c r="I51" i="32" s="1"/>
  <c r="H16" i="5"/>
  <c r="H16" i="32" s="1"/>
  <c r="I55" i="5"/>
  <c r="I55" i="32" s="1"/>
  <c r="C14" i="5"/>
  <c r="C14" i="32" s="1"/>
  <c r="C19" i="5"/>
  <c r="C19" i="32" s="1"/>
  <c r="D48" i="5"/>
  <c r="D48" i="32" s="1"/>
  <c r="G14" i="5"/>
  <c r="G14" i="32" s="1"/>
  <c r="N44" i="5"/>
  <c r="N44" i="32" s="1"/>
  <c r="M58" i="5"/>
  <c r="M58" i="32" s="1"/>
  <c r="O55" i="5"/>
  <c r="K25" i="5"/>
  <c r="K25" i="32" s="1"/>
  <c r="G31" i="5"/>
  <c r="G31" i="32" s="1"/>
  <c r="K57" i="5"/>
  <c r="K57" i="32" s="1"/>
  <c r="O58" i="5"/>
  <c r="C57" i="5"/>
  <c r="C57" i="32" s="1"/>
  <c r="J40" i="5"/>
  <c r="J40" i="32" s="1"/>
  <c r="J31" i="5"/>
  <c r="J31" i="32" s="1"/>
  <c r="L33" i="5"/>
  <c r="L33" i="32" s="1"/>
  <c r="N25" i="5"/>
  <c r="N25" i="32" s="1"/>
  <c r="M33" i="5"/>
  <c r="M33" i="32" s="1"/>
  <c r="M28" i="5"/>
  <c r="M28" i="32" s="1"/>
  <c r="J33" i="5"/>
  <c r="J33" i="32" s="1"/>
  <c r="D16" i="5"/>
  <c r="D16" i="32" s="1"/>
  <c r="C42" i="5"/>
  <c r="C42" i="32" s="1"/>
  <c r="K41" i="5"/>
  <c r="K41" i="32" s="1"/>
  <c r="M41" i="5"/>
  <c r="M41" i="32" s="1"/>
  <c r="I36" i="5"/>
  <c r="I36" i="32" s="1"/>
  <c r="H34" i="5"/>
  <c r="H34" i="32" s="1"/>
  <c r="G23" i="5"/>
  <c r="G23" i="32" s="1"/>
  <c r="N20" i="5"/>
  <c r="N20" i="32" s="1"/>
  <c r="K55" i="5"/>
  <c r="K55" i="32" s="1"/>
  <c r="E29" i="5"/>
  <c r="E29" i="32" s="1"/>
  <c r="H22" i="5"/>
  <c r="H22" i="32" s="1"/>
  <c r="M35" i="5"/>
  <c r="M35" i="32" s="1"/>
  <c r="F7" i="5"/>
  <c r="F7" i="32" s="1"/>
  <c r="L48" i="5"/>
  <c r="L48" i="32" s="1"/>
  <c r="E48" i="5"/>
  <c r="E48" i="32" s="1"/>
  <c r="M37" i="5"/>
  <c r="M37" i="32" s="1"/>
  <c r="J65" i="5"/>
  <c r="J65" i="32" s="1"/>
  <c r="H7" i="5"/>
  <c r="H7" i="32" s="1"/>
  <c r="N45" i="5"/>
  <c r="N45" i="32" s="1"/>
  <c r="E15" i="5"/>
  <c r="E15" i="32" s="1"/>
  <c r="N19" i="5"/>
  <c r="N19" i="32" s="1"/>
  <c r="H57" i="5"/>
  <c r="H57" i="32" s="1"/>
  <c r="H38" i="5"/>
  <c r="H38" i="32" s="1"/>
  <c r="E6" i="5"/>
  <c r="N32" i="5"/>
  <c r="N32" i="32" s="1"/>
  <c r="L39" i="5"/>
  <c r="L39" i="32" s="1"/>
  <c r="F56" i="5"/>
  <c r="F56" i="32" s="1"/>
  <c r="J20" i="5"/>
  <c r="J20" i="32" s="1"/>
  <c r="I53" i="5"/>
  <c r="I53" i="32" s="1"/>
  <c r="H6" i="5"/>
  <c r="H6" i="32" s="1"/>
  <c r="H8" i="32" s="1"/>
  <c r="J25" i="5"/>
  <c r="J25" i="32" s="1"/>
  <c r="D15" i="5"/>
  <c r="D15" i="32" s="1"/>
  <c r="M6" i="5"/>
  <c r="M6" i="32" s="1"/>
  <c r="K59" i="5"/>
  <c r="K59" i="32" s="1"/>
  <c r="C32" i="5"/>
  <c r="C32" i="32" s="1"/>
  <c r="C29" i="5"/>
  <c r="C29" i="32" s="1"/>
  <c r="K16" i="5"/>
  <c r="K16" i="32" s="1"/>
  <c r="F65" i="5"/>
  <c r="F65" i="32" s="1"/>
  <c r="O38" i="5"/>
  <c r="C26" i="5"/>
  <c r="C26" i="32" s="1"/>
  <c r="F46" i="5"/>
  <c r="F46" i="32" s="1"/>
  <c r="K7" i="5"/>
  <c r="K7" i="32" s="1"/>
  <c r="E43" i="5"/>
  <c r="E43" i="32" s="1"/>
  <c r="E14" i="5"/>
  <c r="E14" i="32" s="1"/>
  <c r="L34" i="5"/>
  <c r="L34" i="32" s="1"/>
  <c r="N49" i="5"/>
  <c r="N49" i="32" s="1"/>
  <c r="H48" i="5"/>
  <c r="H48" i="32" s="1"/>
  <c r="J35" i="5"/>
  <c r="J35" i="32" s="1"/>
  <c r="N58" i="5"/>
  <c r="N58" i="32" s="1"/>
  <c r="I60" i="5"/>
  <c r="I60" i="32" s="1"/>
  <c r="K14" i="5"/>
  <c r="K14" i="32" s="1"/>
  <c r="C58" i="5"/>
  <c r="C58" i="32" s="1"/>
  <c r="F54" i="5"/>
  <c r="F54" i="32" s="1"/>
  <c r="G39" i="5"/>
  <c r="G39" i="32" s="1"/>
  <c r="J7" i="5"/>
  <c r="J7" i="32" s="1"/>
  <c r="C43" i="5"/>
  <c r="C43" i="32" s="1"/>
  <c r="L46" i="5"/>
  <c r="L46" i="32" s="1"/>
  <c r="F43" i="5"/>
  <c r="F43" i="32" s="1"/>
  <c r="C24" i="5"/>
  <c r="C24" i="32" s="1"/>
  <c r="I45" i="5"/>
  <c r="I45" i="32" s="1"/>
  <c r="G67" i="5"/>
  <c r="E17" i="5"/>
  <c r="E17" i="32" s="1"/>
  <c r="F37" i="5"/>
  <c r="F37" i="32" s="1"/>
  <c r="F17" i="5"/>
  <c r="F17" i="32" s="1"/>
  <c r="C21" i="5"/>
  <c r="C21" i="32" s="1"/>
  <c r="H49" i="5"/>
  <c r="H49" i="32" s="1"/>
  <c r="M54" i="5"/>
  <c r="M54" i="32" s="1"/>
  <c r="G54" i="5"/>
  <c r="G54" i="32" s="1"/>
  <c r="G26" i="5"/>
  <c r="G26" i="32" s="1"/>
  <c r="G33" i="5"/>
  <c r="G33" i="32" s="1"/>
  <c r="D36" i="5"/>
  <c r="D36" i="32" s="1"/>
  <c r="N52" i="5"/>
  <c r="N52" i="32" s="1"/>
  <c r="C10" i="5"/>
  <c r="C10" i="32" s="1"/>
  <c r="K28" i="5"/>
  <c r="K28" i="32" s="1"/>
  <c r="O26" i="5"/>
  <c r="K9" i="5"/>
  <c r="K9" i="32" s="1"/>
  <c r="H58" i="5"/>
  <c r="H58" i="32" s="1"/>
  <c r="H44" i="5"/>
  <c r="H44" i="32" s="1"/>
  <c r="G59" i="5"/>
  <c r="G59" i="32" s="1"/>
  <c r="H53" i="5"/>
  <c r="H53" i="32" s="1"/>
  <c r="F9" i="5"/>
  <c r="F9" i="32" s="1"/>
  <c r="H15" i="5"/>
  <c r="H15" i="32" s="1"/>
  <c r="M52" i="5"/>
  <c r="M52" i="32" s="1"/>
  <c r="M40" i="5"/>
  <c r="M40" i="32" s="1"/>
  <c r="K60" i="5"/>
  <c r="K60" i="32" s="1"/>
  <c r="F38" i="5"/>
  <c r="F38" i="32" s="1"/>
  <c r="O22" i="5"/>
  <c r="E37" i="5"/>
  <c r="E37" i="32" s="1"/>
  <c r="E7" i="5"/>
  <c r="E7" i="32" s="1"/>
  <c r="I46" i="5"/>
  <c r="I46" i="32" s="1"/>
  <c r="I58" i="5"/>
  <c r="I58" i="32" s="1"/>
  <c r="M60" i="5"/>
  <c r="M60" i="32" s="1"/>
  <c r="O10" i="5"/>
  <c r="O79" i="5" s="1"/>
  <c r="N94" i="32"/>
  <c r="F79" i="32"/>
  <c r="F67" i="32" s="1"/>
  <c r="G45" i="5"/>
  <c r="G45" i="32" s="1"/>
  <c r="F50" i="5"/>
  <c r="F50" i="32" s="1"/>
  <c r="G16" i="5"/>
  <c r="G16" i="32" s="1"/>
  <c r="L58" i="5"/>
  <c r="L58" i="32" s="1"/>
  <c r="D53" i="5"/>
  <c r="D53" i="32" s="1"/>
  <c r="L25" i="5"/>
  <c r="L25" i="32" s="1"/>
  <c r="M46" i="5"/>
  <c r="M46" i="32" s="1"/>
  <c r="D55" i="5"/>
  <c r="D55" i="32" s="1"/>
  <c r="M45" i="5"/>
  <c r="M45" i="32" s="1"/>
  <c r="M17" i="5"/>
  <c r="M17" i="32" s="1"/>
  <c r="L55" i="5"/>
  <c r="L55" i="32" s="1"/>
  <c r="C54" i="5"/>
  <c r="C54" i="32" s="1"/>
  <c r="C9" i="5"/>
  <c r="C9" i="32" s="1"/>
  <c r="F34" i="5"/>
  <c r="F34" i="32" s="1"/>
  <c r="F28" i="5"/>
  <c r="F28" i="32" s="1"/>
  <c r="E35" i="5"/>
  <c r="E35" i="32" s="1"/>
  <c r="M18" i="5"/>
  <c r="M18" i="32" s="1"/>
  <c r="L43" i="5"/>
  <c r="L43" i="32" s="1"/>
  <c r="M65" i="5"/>
  <c r="M65" i="32" s="1"/>
  <c r="D31" i="5"/>
  <c r="D31" i="32" s="1"/>
  <c r="M21" i="5"/>
  <c r="M21" i="32" s="1"/>
  <c r="F42" i="5"/>
  <c r="F42" i="32" s="1"/>
  <c r="C22" i="5"/>
  <c r="C22" i="32" s="1"/>
  <c r="E53" i="5"/>
  <c r="E53" i="32" s="1"/>
  <c r="E55" i="5"/>
  <c r="E55" i="32" s="1"/>
  <c r="N55" i="5"/>
  <c r="N55" i="32" s="1"/>
  <c r="C36" i="5"/>
  <c r="C36" i="32" s="1"/>
  <c r="I21" i="5"/>
  <c r="I21" i="32" s="1"/>
  <c r="O34" i="5"/>
  <c r="I47" i="5"/>
  <c r="I47" i="32" s="1"/>
  <c r="G7" i="5"/>
  <c r="G7" i="32" s="1"/>
  <c r="L38" i="5"/>
  <c r="L38" i="32" s="1"/>
  <c r="K51" i="5"/>
  <c r="K51" i="32" s="1"/>
  <c r="K46" i="5"/>
  <c r="K46" i="32" s="1"/>
  <c r="N35" i="5"/>
  <c r="N35" i="32" s="1"/>
  <c r="J48" i="5"/>
  <c r="J48" i="32" s="1"/>
  <c r="D32" i="5"/>
  <c r="D32" i="32" s="1"/>
  <c r="G47" i="5"/>
  <c r="G47" i="32" s="1"/>
  <c r="O24" i="5"/>
  <c r="I48" i="5"/>
  <c r="I48" i="32" s="1"/>
  <c r="C35" i="5"/>
  <c r="C35" i="32" s="1"/>
  <c r="C30" i="5"/>
  <c r="C30" i="32" s="1"/>
  <c r="L57" i="5"/>
  <c r="L57" i="32" s="1"/>
  <c r="D43" i="5"/>
  <c r="D43" i="32" s="1"/>
  <c r="I14" i="5"/>
  <c r="I14" i="32" s="1"/>
  <c r="C47" i="5"/>
  <c r="C47" i="32" s="1"/>
  <c r="E52" i="5"/>
  <c r="E52" i="32" s="1"/>
  <c r="C38" i="5"/>
  <c r="C38" i="32" s="1"/>
  <c r="G40" i="5"/>
  <c r="G40" i="32" s="1"/>
  <c r="O46" i="5"/>
  <c r="L16" i="5"/>
  <c r="L16" i="32" s="1"/>
  <c r="E36" i="5"/>
  <c r="E36" i="32" s="1"/>
  <c r="F48" i="5"/>
  <c r="F48" i="32" s="1"/>
  <c r="I23" i="5"/>
  <c r="I23" i="32" s="1"/>
  <c r="N23" i="5"/>
  <c r="N23" i="32" s="1"/>
  <c r="L53" i="5"/>
  <c r="L53" i="32" s="1"/>
  <c r="J37" i="5"/>
  <c r="J37" i="32" s="1"/>
  <c r="F44" i="5"/>
  <c r="F44" i="32" s="1"/>
  <c r="G42" i="5"/>
  <c r="G42" i="32" s="1"/>
  <c r="I22" i="5"/>
  <c r="I22" i="32" s="1"/>
  <c r="N38" i="5"/>
  <c r="N38" i="32" s="1"/>
  <c r="E40" i="5"/>
  <c r="E40" i="32" s="1"/>
  <c r="E9" i="5"/>
  <c r="E9" i="32" s="1"/>
  <c r="E73" i="32"/>
  <c r="E67" i="32" s="1"/>
  <c r="L73" i="32"/>
  <c r="L79" i="5"/>
  <c r="L67" i="5" s="1"/>
  <c r="F52" i="5"/>
  <c r="F52" i="32" s="1"/>
  <c r="N28" i="5"/>
  <c r="N28" i="32" s="1"/>
  <c r="O36" i="5"/>
  <c r="C49" i="5"/>
  <c r="C49" i="32" s="1"/>
  <c r="H55" i="5"/>
  <c r="H55" i="32" s="1"/>
  <c r="C60" i="5"/>
  <c r="C60" i="32" s="1"/>
  <c r="L50" i="5"/>
  <c r="L50" i="32" s="1"/>
  <c r="G44" i="5"/>
  <c r="G44" i="32" s="1"/>
  <c r="D50" i="5"/>
  <c r="D50" i="32" s="1"/>
  <c r="M57" i="5"/>
  <c r="M57" i="32" s="1"/>
  <c r="E41" i="5"/>
  <c r="E41" i="32" s="1"/>
  <c r="D24" i="5"/>
  <c r="D24" i="32" s="1"/>
  <c r="H10" i="5"/>
  <c r="H10" i="32" s="1"/>
  <c r="L37" i="5"/>
  <c r="L37" i="32" s="1"/>
  <c r="D35" i="5"/>
  <c r="D35" i="32" s="1"/>
  <c r="O19" i="5"/>
  <c r="J38" i="5"/>
  <c r="J38" i="32" s="1"/>
  <c r="I9" i="5"/>
  <c r="I9" i="32" s="1"/>
  <c r="I15" i="5"/>
  <c r="I15" i="32" s="1"/>
  <c r="H23" i="5"/>
  <c r="H23" i="32" s="1"/>
  <c r="K58" i="5"/>
  <c r="K58" i="32" s="1"/>
  <c r="L20" i="5"/>
  <c r="L20" i="32" s="1"/>
  <c r="D25" i="5"/>
  <c r="D25" i="32" s="1"/>
  <c r="C52" i="5"/>
  <c r="C52" i="32" s="1"/>
  <c r="D42" i="5"/>
  <c r="D42" i="32" s="1"/>
  <c r="F35" i="5"/>
  <c r="F35" i="32" s="1"/>
  <c r="J15" i="5"/>
  <c r="J15" i="32" s="1"/>
  <c r="K22" i="5"/>
  <c r="K22" i="32" s="1"/>
  <c r="F16" i="5"/>
  <c r="F16" i="32" s="1"/>
  <c r="I44" i="5"/>
  <c r="I44" i="32" s="1"/>
  <c r="K33" i="5"/>
  <c r="K33" i="32" s="1"/>
  <c r="E50" i="5"/>
  <c r="E50" i="32" s="1"/>
  <c r="E59" i="5"/>
  <c r="E59" i="32" s="1"/>
  <c r="G29" i="5"/>
  <c r="G29" i="32" s="1"/>
  <c r="O48" i="5"/>
  <c r="D17" i="5"/>
  <c r="D17" i="32" s="1"/>
  <c r="C55" i="5"/>
  <c r="C55" i="32" s="1"/>
  <c r="E27" i="5"/>
  <c r="E27" i="32" s="1"/>
  <c r="D56" i="5"/>
  <c r="D56" i="32" s="1"/>
  <c r="E24" i="5"/>
  <c r="E24" i="32" s="1"/>
  <c r="E32" i="5"/>
  <c r="E32" i="32" s="1"/>
  <c r="M55" i="5"/>
  <c r="M55" i="32" s="1"/>
  <c r="K50" i="5"/>
  <c r="K50" i="32" s="1"/>
  <c r="K29" i="5"/>
  <c r="K29" i="32" s="1"/>
  <c r="E26" i="5"/>
  <c r="E26" i="32" s="1"/>
  <c r="E46" i="5"/>
  <c r="E46" i="32" s="1"/>
  <c r="F60" i="5"/>
  <c r="F60" i="32" s="1"/>
  <c r="C31" i="5"/>
  <c r="C31" i="32" s="1"/>
  <c r="H24" i="5"/>
  <c r="H24" i="32" s="1"/>
  <c r="K31" i="5"/>
  <c r="K31" i="32" s="1"/>
  <c r="N14" i="5"/>
  <c r="N14" i="32" s="1"/>
  <c r="O23" i="5"/>
  <c r="G24" i="5"/>
  <c r="G24" i="32" s="1"/>
  <c r="C28" i="5"/>
  <c r="C28" i="32" s="1"/>
  <c r="N51" i="5"/>
  <c r="N51" i="32" s="1"/>
  <c r="J75" i="32"/>
  <c r="L79" i="32"/>
  <c r="L41" i="5"/>
  <c r="L41" i="32" s="1"/>
  <c r="J14" i="5"/>
  <c r="J14" i="32" s="1"/>
  <c r="K53" i="5"/>
  <c r="K53" i="32" s="1"/>
  <c r="K52" i="5"/>
  <c r="K52" i="32" s="1"/>
  <c r="E44" i="5"/>
  <c r="E44" i="32" s="1"/>
  <c r="K54" i="5"/>
  <c r="K54" i="32" s="1"/>
  <c r="K43" i="5"/>
  <c r="K43" i="32" s="1"/>
  <c r="I24" i="5"/>
  <c r="I24" i="32" s="1"/>
  <c r="J49" i="5"/>
  <c r="J49" i="32" s="1"/>
  <c r="N26" i="5"/>
  <c r="N26" i="32" s="1"/>
  <c r="K6" i="5"/>
  <c r="G6" i="5"/>
  <c r="I49" i="5"/>
  <c r="I49" i="32" s="1"/>
  <c r="E23" i="5"/>
  <c r="E23" i="32" s="1"/>
  <c r="G38" i="5"/>
  <c r="G38" i="32" s="1"/>
  <c r="M10" i="5"/>
  <c r="M10" i="32" s="1"/>
  <c r="K39" i="5"/>
  <c r="K39" i="32" s="1"/>
  <c r="L23" i="5"/>
  <c r="L23" i="32" s="1"/>
  <c r="O29" i="5"/>
  <c r="C44" i="5"/>
  <c r="C44" i="32" s="1"/>
  <c r="G20" i="5"/>
  <c r="G20" i="32" s="1"/>
  <c r="F15" i="5"/>
  <c r="F15" i="32" s="1"/>
  <c r="E65" i="5"/>
  <c r="E65" i="32" s="1"/>
  <c r="G10" i="5"/>
  <c r="G10" i="32" s="1"/>
  <c r="N29" i="5"/>
  <c r="N29" i="32" s="1"/>
  <c r="N54" i="5"/>
  <c r="N54" i="32" s="1"/>
  <c r="J60" i="5"/>
  <c r="J60" i="32" s="1"/>
  <c r="N9" i="5"/>
  <c r="N9" i="32" s="1"/>
  <c r="J36" i="5"/>
  <c r="J36" i="32" s="1"/>
  <c r="J26" i="5"/>
  <c r="J26" i="32" s="1"/>
  <c r="J53" i="5"/>
  <c r="J53" i="32" s="1"/>
  <c r="C48" i="5"/>
  <c r="C48" i="32" s="1"/>
  <c r="K27" i="5"/>
  <c r="K27" i="32" s="1"/>
  <c r="L30" i="5"/>
  <c r="L30" i="32" s="1"/>
  <c r="K44" i="5"/>
  <c r="K44" i="32" s="1"/>
  <c r="M53" i="5"/>
  <c r="M53" i="32" s="1"/>
  <c r="H32" i="5"/>
  <c r="H32" i="32" s="1"/>
  <c r="J50" i="5"/>
  <c r="J50" i="32" s="1"/>
  <c r="H46" i="5"/>
  <c r="H46" i="32" s="1"/>
  <c r="M7" i="5"/>
  <c r="M7" i="32" s="1"/>
  <c r="F24" i="5"/>
  <c r="F24" i="32" s="1"/>
  <c r="J58" i="5"/>
  <c r="J58" i="32" s="1"/>
  <c r="O60" i="5"/>
  <c r="I25" i="5"/>
  <c r="I25" i="32" s="1"/>
  <c r="O31" i="5"/>
  <c r="J47" i="5"/>
  <c r="J47" i="32" s="1"/>
  <c r="J16" i="5"/>
  <c r="J16" i="32" s="1"/>
  <c r="I19" i="5"/>
  <c r="I19" i="32" s="1"/>
  <c r="E73" i="5"/>
  <c r="E67" i="5" s="1"/>
  <c r="M76" i="32"/>
  <c r="M79" i="32" s="1"/>
  <c r="M79" i="5"/>
  <c r="M67" i="5" s="1"/>
  <c r="O73" i="5"/>
  <c r="J73" i="32"/>
  <c r="K79" i="32"/>
  <c r="K67" i="32" s="1"/>
  <c r="E45" i="5"/>
  <c r="E45" i="32" s="1"/>
  <c r="J79" i="32"/>
  <c r="D79" i="32"/>
  <c r="N79" i="5"/>
  <c r="E99" i="32"/>
  <c r="L94" i="5"/>
  <c r="L98" i="32"/>
  <c r="L99" i="32" s="1"/>
  <c r="N94" i="5"/>
  <c r="H99" i="5"/>
  <c r="E99" i="5"/>
  <c r="G99" i="5"/>
  <c r="C94" i="5"/>
  <c r="H99" i="32"/>
  <c r="F99" i="32"/>
  <c r="H94" i="32"/>
  <c r="D92" i="32"/>
  <c r="D94" i="32" s="1"/>
  <c r="O99" i="5"/>
  <c r="J99" i="5"/>
  <c r="D73" i="32"/>
  <c r="E6" i="32"/>
  <c r="E8" i="32" s="1"/>
  <c r="E5" i="32" s="1"/>
  <c r="E8" i="5"/>
  <c r="E5" i="5" s="1"/>
  <c r="M8" i="5"/>
  <c r="L52" i="5"/>
  <c r="L52" i="32" s="1"/>
  <c r="M32" i="5"/>
  <c r="M32" i="32" s="1"/>
  <c r="L26" i="5"/>
  <c r="L26" i="32" s="1"/>
  <c r="I10" i="5"/>
  <c r="I10" i="32" s="1"/>
  <c r="I34" i="5"/>
  <c r="I34" i="32" s="1"/>
  <c r="K38" i="5"/>
  <c r="K38" i="32" s="1"/>
  <c r="K26" i="5"/>
  <c r="K26" i="32" s="1"/>
  <c r="H14" i="5"/>
  <c r="M30" i="5"/>
  <c r="M30" i="32" s="1"/>
  <c r="E22" i="5"/>
  <c r="E22" i="32" s="1"/>
  <c r="D34" i="5"/>
  <c r="D34" i="32" s="1"/>
  <c r="H65" i="5"/>
  <c r="H65" i="32" s="1"/>
  <c r="H60" i="5"/>
  <c r="H60" i="32" s="1"/>
  <c r="H20" i="5"/>
  <c r="H20" i="32" s="1"/>
  <c r="C65" i="5"/>
  <c r="C65" i="32" s="1"/>
  <c r="K34" i="5"/>
  <c r="K34" i="32" s="1"/>
  <c r="M36" i="5"/>
  <c r="M36" i="32" s="1"/>
  <c r="E31" i="5"/>
  <c r="E31" i="32" s="1"/>
  <c r="L42" i="5"/>
  <c r="L42" i="32" s="1"/>
  <c r="F26" i="5"/>
  <c r="F26" i="32" s="1"/>
  <c r="H33" i="5"/>
  <c r="H33" i="32" s="1"/>
  <c r="I43" i="5"/>
  <c r="I43" i="32" s="1"/>
  <c r="N18" i="5"/>
  <c r="N18" i="32" s="1"/>
  <c r="G32" i="5"/>
  <c r="G32" i="32" s="1"/>
  <c r="M39" i="5"/>
  <c r="M39" i="32" s="1"/>
  <c r="F19" i="5"/>
  <c r="F19" i="32" s="1"/>
  <c r="N15" i="5"/>
  <c r="J10" i="5"/>
  <c r="J10" i="32" s="1"/>
  <c r="M34" i="5"/>
  <c r="M34" i="32" s="1"/>
  <c r="O51" i="5"/>
  <c r="M9" i="5"/>
  <c r="M9" i="32" s="1"/>
  <c r="I42" i="5"/>
  <c r="I42" i="32" s="1"/>
  <c r="M27" i="5"/>
  <c r="M27" i="32" s="1"/>
  <c r="H9" i="5"/>
  <c r="H9" i="32" s="1"/>
  <c r="M19" i="5"/>
  <c r="M19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F58" i="5"/>
  <c r="F58" i="32" s="1"/>
  <c r="J28" i="5"/>
  <c r="J28" i="32" s="1"/>
  <c r="G18" i="5"/>
  <c r="G18" i="32" s="1"/>
  <c r="C46" i="5"/>
  <c r="C46" i="32" s="1"/>
  <c r="D6" i="5"/>
  <c r="C16" i="5"/>
  <c r="C16" i="32" s="1"/>
  <c r="C53" i="5"/>
  <c r="C53" i="32" s="1"/>
  <c r="O57" i="5"/>
  <c r="E34" i="5"/>
  <c r="E34" i="32" s="1"/>
  <c r="D27" i="5"/>
  <c r="D27" i="32" s="1"/>
  <c r="N30" i="5"/>
  <c r="N30" i="32" s="1"/>
  <c r="L51" i="5"/>
  <c r="L51" i="32" s="1"/>
  <c r="L27" i="5"/>
  <c r="L27" i="32" s="1"/>
  <c r="F40" i="5"/>
  <c r="F40" i="32" s="1"/>
  <c r="O37" i="5"/>
  <c r="M25" i="5"/>
  <c r="M25" i="32" s="1"/>
  <c r="C23" i="5"/>
  <c r="C23" i="32" s="1"/>
  <c r="K17" i="5"/>
  <c r="K17" i="32" s="1"/>
  <c r="J52" i="5"/>
  <c r="J52" i="32" s="1"/>
  <c r="E56" i="5"/>
  <c r="E56" i="32" s="1"/>
  <c r="F14" i="5"/>
  <c r="E30" i="5"/>
  <c r="E30" i="32" s="1"/>
  <c r="K48" i="5"/>
  <c r="K48" i="32" s="1"/>
  <c r="H27" i="5"/>
  <c r="H27" i="32" s="1"/>
  <c r="L21" i="5"/>
  <c r="L21" i="32" s="1"/>
  <c r="K36" i="5"/>
  <c r="K36" i="32" s="1"/>
  <c r="E47" i="5"/>
  <c r="E47" i="32" s="1"/>
  <c r="D28" i="5"/>
  <c r="D28" i="32" s="1"/>
  <c r="I40" i="5"/>
  <c r="I40" i="32" s="1"/>
  <c r="K20" i="5"/>
  <c r="K20" i="32" s="1"/>
  <c r="C34" i="5"/>
  <c r="C34" i="32" s="1"/>
  <c r="E10" i="5"/>
  <c r="E10" i="32" s="1"/>
  <c r="D37" i="5"/>
  <c r="D37" i="32" s="1"/>
  <c r="N40" i="5"/>
  <c r="N40" i="32" s="1"/>
  <c r="N37" i="5"/>
  <c r="N37" i="32" s="1"/>
  <c r="O21" i="5"/>
  <c r="D18" i="5"/>
  <c r="D18" i="32" s="1"/>
  <c r="F29" i="5"/>
  <c r="F29" i="32" s="1"/>
  <c r="K40" i="5"/>
  <c r="K40" i="32" s="1"/>
  <c r="G53" i="5"/>
  <c r="G53" i="32" s="1"/>
  <c r="L40" i="5"/>
  <c r="L40" i="32" s="1"/>
  <c r="J6" i="5"/>
  <c r="J9" i="5"/>
  <c r="J9" i="32" s="1"/>
  <c r="N21" i="5"/>
  <c r="N21" i="32" s="1"/>
  <c r="O17" i="5"/>
  <c r="D39" i="5"/>
  <c r="D39" i="32" s="1"/>
  <c r="G37" i="5"/>
  <c r="G37" i="32" s="1"/>
  <c r="I6" i="5"/>
  <c r="N65" i="5"/>
  <c r="N65" i="32" s="1"/>
  <c r="D29" i="5"/>
  <c r="D29" i="32" s="1"/>
  <c r="N7" i="5"/>
  <c r="N7" i="32" s="1"/>
  <c r="O25" i="5"/>
  <c r="G35" i="5"/>
  <c r="G35" i="32" s="1"/>
  <c r="L19" i="5"/>
  <c r="L19" i="32" s="1"/>
  <c r="N43" i="5"/>
  <c r="N43" i="32" s="1"/>
  <c r="F51" i="5"/>
  <c r="F51" i="32" s="1"/>
  <c r="F41" i="5"/>
  <c r="F41" i="32" s="1"/>
  <c r="G22" i="5"/>
  <c r="G22" i="32" s="1"/>
  <c r="C39" i="5"/>
  <c r="C39" i="32" s="1"/>
  <c r="D45" i="5"/>
  <c r="D45" i="32" s="1"/>
  <c r="C45" i="5"/>
  <c r="C45" i="32" s="1"/>
  <c r="O15" i="5"/>
  <c r="D20" i="5"/>
  <c r="D20" i="32" s="1"/>
  <c r="G21" i="5"/>
  <c r="G21" i="32" s="1"/>
  <c r="L28" i="5"/>
  <c r="L28" i="32" s="1"/>
  <c r="G49" i="5"/>
  <c r="G49" i="32" s="1"/>
  <c r="M15" i="5"/>
  <c r="M15" i="32" s="1"/>
  <c r="H50" i="5"/>
  <c r="H50" i="32" s="1"/>
  <c r="N59" i="5"/>
  <c r="N59" i="32" s="1"/>
  <c r="K42" i="5"/>
  <c r="K42" i="32" s="1"/>
  <c r="F22" i="5"/>
  <c r="F22" i="32" s="1"/>
  <c r="L60" i="5"/>
  <c r="L60" i="32" s="1"/>
  <c r="N46" i="5"/>
  <c r="N46" i="32" s="1"/>
  <c r="L65" i="5"/>
  <c r="L65" i="32" s="1"/>
  <c r="F45" i="5"/>
  <c r="F45" i="32" s="1"/>
  <c r="L24" i="5"/>
  <c r="L24" i="32" s="1"/>
  <c r="F59" i="5"/>
  <c r="F59" i="32" s="1"/>
  <c r="H42" i="5"/>
  <c r="H42" i="32" s="1"/>
  <c r="I35" i="5"/>
  <c r="I35" i="32" s="1"/>
  <c r="I32" i="5"/>
  <c r="I32" i="32" s="1"/>
  <c r="K10" i="5"/>
  <c r="K10" i="32" s="1"/>
  <c r="E25" i="5"/>
  <c r="E25" i="32" s="1"/>
  <c r="H41" i="5"/>
  <c r="H41" i="32" s="1"/>
  <c r="C27" i="5"/>
  <c r="C27" i="32" s="1"/>
  <c r="K56" i="5"/>
  <c r="K56" i="32" s="1"/>
  <c r="M43" i="5"/>
  <c r="M43" i="32" s="1"/>
  <c r="H64" i="5"/>
  <c r="H64" i="32" s="1"/>
  <c r="M22" i="5"/>
  <c r="M22" i="32" s="1"/>
  <c r="C63" i="5"/>
  <c r="C63" i="32" s="1"/>
  <c r="O76" i="32"/>
  <c r="N10" i="5"/>
  <c r="N10" i="32" s="1"/>
  <c r="O27" i="5"/>
  <c r="I33" i="5"/>
  <c r="I33" i="32" s="1"/>
  <c r="D7" i="5"/>
  <c r="D7" i="32" s="1"/>
  <c r="G56" i="5"/>
  <c r="G56" i="32" s="1"/>
  <c r="G25" i="5"/>
  <c r="G25" i="32" s="1"/>
  <c r="C17" i="5"/>
  <c r="C17" i="32" s="1"/>
  <c r="F32" i="5"/>
  <c r="F32" i="32" s="1"/>
  <c r="E38" i="5"/>
  <c r="E38" i="32" s="1"/>
  <c r="E49" i="5"/>
  <c r="E49" i="32" s="1"/>
  <c r="C33" i="5"/>
  <c r="C33" i="32" s="1"/>
  <c r="O14" i="5"/>
  <c r="M44" i="5"/>
  <c r="M44" i="32" s="1"/>
  <c r="J54" i="5"/>
  <c r="J54" i="32" s="1"/>
  <c r="F53" i="5"/>
  <c r="F53" i="32" s="1"/>
  <c r="N17" i="5"/>
  <c r="N17" i="32" s="1"/>
  <c r="G48" i="5"/>
  <c r="G48" i="32" s="1"/>
  <c r="L17" i="5"/>
  <c r="L17" i="32" s="1"/>
  <c r="O20" i="5"/>
  <c r="C56" i="5"/>
  <c r="C56" i="32" s="1"/>
  <c r="L9" i="5"/>
  <c r="L9" i="32" s="1"/>
  <c r="G65" i="5"/>
  <c r="G65" i="32" s="1"/>
  <c r="O54" i="5"/>
  <c r="E21" i="5"/>
  <c r="E21" i="32" s="1"/>
  <c r="N56" i="5"/>
  <c r="N56" i="32" s="1"/>
  <c r="N6" i="5"/>
  <c r="N67" i="5"/>
  <c r="O78" i="32"/>
  <c r="O28" i="5"/>
  <c r="H37" i="5"/>
  <c r="H37" i="32" s="1"/>
  <c r="L31" i="5"/>
  <c r="L31" i="32" s="1"/>
  <c r="N53" i="5"/>
  <c r="N53" i="32" s="1"/>
  <c r="H56" i="5"/>
  <c r="H56" i="32" s="1"/>
  <c r="I38" i="5"/>
  <c r="I38" i="32" s="1"/>
  <c r="H45" i="5"/>
  <c r="H45" i="32" s="1"/>
  <c r="I41" i="5"/>
  <c r="I41" i="32" s="1"/>
  <c r="M38" i="5"/>
  <c r="M38" i="32" s="1"/>
  <c r="J34" i="5"/>
  <c r="J34" i="32" s="1"/>
  <c r="G28" i="5"/>
  <c r="G28" i="32" s="1"/>
  <c r="G17" i="5"/>
  <c r="I65" i="5"/>
  <c r="I65" i="32" s="1"/>
  <c r="J19" i="5"/>
  <c r="J19" i="32" s="1"/>
  <c r="F47" i="5"/>
  <c r="F47" i="32" s="1"/>
  <c r="N22" i="5"/>
  <c r="N22" i="32" s="1"/>
  <c r="H40" i="5"/>
  <c r="H40" i="32" s="1"/>
  <c r="C41" i="5"/>
  <c r="C41" i="32" s="1"/>
  <c r="I31" i="5"/>
  <c r="I31" i="32" s="1"/>
  <c r="D41" i="5"/>
  <c r="D41" i="32" s="1"/>
  <c r="C20" i="5"/>
  <c r="C20" i="32" s="1"/>
  <c r="J43" i="5"/>
  <c r="J43" i="32" s="1"/>
  <c r="H59" i="5"/>
  <c r="H59" i="32" s="1"/>
  <c r="J42" i="5"/>
  <c r="J42" i="32" s="1"/>
  <c r="M42" i="5"/>
  <c r="M42" i="32" s="1"/>
  <c r="E39" i="5"/>
  <c r="E39" i="32" s="1"/>
  <c r="H51" i="5"/>
  <c r="H51" i="32" s="1"/>
  <c r="I63" i="5"/>
  <c r="I63" i="32" s="1"/>
  <c r="J64" i="5"/>
  <c r="J64" i="32" s="1"/>
  <c r="E64" i="5"/>
  <c r="E64" i="32" s="1"/>
  <c r="O62" i="5"/>
  <c r="J63" i="5"/>
  <c r="J63" i="32" s="1"/>
  <c r="J62" i="5"/>
  <c r="J62" i="32" s="1"/>
  <c r="N42" i="5"/>
  <c r="N42" i="32" s="1"/>
  <c r="L29" i="5"/>
  <c r="L29" i="32" s="1"/>
  <c r="H35" i="5"/>
  <c r="H35" i="32" s="1"/>
  <c r="N57" i="5"/>
  <c r="N57" i="32" s="1"/>
  <c r="J23" i="5"/>
  <c r="J23" i="32" s="1"/>
  <c r="F6" i="5"/>
  <c r="H30" i="5"/>
  <c r="H30" i="32" s="1"/>
  <c r="I20" i="5"/>
  <c r="I20" i="32" s="1"/>
  <c r="J51" i="5"/>
  <c r="J51" i="32" s="1"/>
  <c r="M56" i="5"/>
  <c r="M56" i="32" s="1"/>
  <c r="O32" i="5"/>
  <c r="E42" i="5"/>
  <c r="E42" i="32" s="1"/>
  <c r="F27" i="5"/>
  <c r="F27" i="32" s="1"/>
  <c r="H19" i="5"/>
  <c r="H19" i="32" s="1"/>
  <c r="J39" i="5"/>
  <c r="J39" i="32" s="1"/>
  <c r="I54" i="5"/>
  <c r="I54" i="32" s="1"/>
  <c r="N50" i="5"/>
  <c r="N50" i="32" s="1"/>
  <c r="K24" i="5"/>
  <c r="K24" i="32" s="1"/>
  <c r="J41" i="5"/>
  <c r="J41" i="32" s="1"/>
  <c r="I56" i="5"/>
  <c r="I56" i="32" s="1"/>
  <c r="L35" i="5"/>
  <c r="L35" i="32" s="1"/>
  <c r="K65" i="5"/>
  <c r="K65" i="32" s="1"/>
  <c r="F49" i="5"/>
  <c r="F49" i="32" s="1"/>
  <c r="M14" i="5"/>
  <c r="D52" i="5"/>
  <c r="D52" i="32" s="1"/>
  <c r="O9" i="5"/>
  <c r="H39" i="5"/>
  <c r="H39" i="32" s="1"/>
  <c r="J45" i="5"/>
  <c r="J45" i="32" s="1"/>
  <c r="K19" i="5"/>
  <c r="K19" i="32" s="1"/>
  <c r="G52" i="5"/>
  <c r="G52" i="32" s="1"/>
  <c r="O53" i="5"/>
  <c r="L7" i="5"/>
  <c r="L7" i="32" s="1"/>
  <c r="K23" i="5"/>
  <c r="K23" i="32" s="1"/>
  <c r="J55" i="5"/>
  <c r="J55" i="32" s="1"/>
  <c r="O18" i="5"/>
  <c r="J59" i="5"/>
  <c r="J59" i="32" s="1"/>
  <c r="I30" i="5"/>
  <c r="I30" i="32" s="1"/>
  <c r="K15" i="5"/>
  <c r="G51" i="5"/>
  <c r="G51" i="32" s="1"/>
  <c r="J46" i="5"/>
  <c r="J46" i="32" s="1"/>
  <c r="H18" i="5"/>
  <c r="H18" i="32" s="1"/>
  <c r="I28" i="5"/>
  <c r="I28" i="32" s="1"/>
  <c r="D62" i="5"/>
  <c r="D62" i="32" s="1"/>
  <c r="G64" i="5"/>
  <c r="G64" i="32" s="1"/>
  <c r="O64" i="5"/>
  <c r="F64" i="5"/>
  <c r="F64" i="32" s="1"/>
  <c r="K64" i="5"/>
  <c r="K64" i="32" s="1"/>
  <c r="N64" i="5"/>
  <c r="N64" i="32" s="1"/>
  <c r="M64" i="5"/>
  <c r="M64" i="32" s="1"/>
  <c r="N63" i="5"/>
  <c r="N63" i="32" s="1"/>
  <c r="M63" i="5"/>
  <c r="M63" i="32" s="1"/>
  <c r="G63" i="5"/>
  <c r="G63" i="32" s="1"/>
  <c r="C62" i="5"/>
  <c r="C62" i="32" s="1"/>
  <c r="E62" i="5"/>
  <c r="E62" i="32" s="1"/>
  <c r="D63" i="5"/>
  <c r="D63" i="32" s="1"/>
  <c r="L62" i="5"/>
  <c r="L62" i="32" s="1"/>
  <c r="O63" i="5"/>
  <c r="L64" i="5"/>
  <c r="L64" i="32" s="1"/>
  <c r="D59" i="5"/>
  <c r="D59" i="32" s="1"/>
  <c r="I27" i="5"/>
  <c r="I27" i="32" s="1"/>
  <c r="C64" i="5"/>
  <c r="C64" i="32" s="1"/>
  <c r="H62" i="5"/>
  <c r="H62" i="32" s="1"/>
  <c r="M62" i="5"/>
  <c r="M62" i="32" s="1"/>
  <c r="F62" i="5"/>
  <c r="F62" i="32" s="1"/>
  <c r="I64" i="5"/>
  <c r="I64" i="32" s="1"/>
  <c r="N62" i="5"/>
  <c r="N62" i="32" s="1"/>
  <c r="D64" i="5"/>
  <c r="D64" i="32" s="1"/>
  <c r="G62" i="5"/>
  <c r="G62" i="32" s="1"/>
  <c r="L18" i="5"/>
  <c r="L18" i="32" s="1"/>
  <c r="K32" i="5"/>
  <c r="K32" i="32" s="1"/>
  <c r="D22" i="5"/>
  <c r="D22" i="32" s="1"/>
  <c r="M20" i="5"/>
  <c r="M20" i="32" s="1"/>
  <c r="L49" i="5"/>
  <c r="L49" i="32" s="1"/>
  <c r="M24" i="5"/>
  <c r="M24" i="32" s="1"/>
  <c r="O33" i="5"/>
  <c r="O30" i="5"/>
  <c r="H63" i="5"/>
  <c r="H63" i="32" s="1"/>
  <c r="G73" i="32"/>
  <c r="G67" i="32" s="1"/>
  <c r="H43" i="5"/>
  <c r="H43" i="32" s="1"/>
  <c r="G46" i="5"/>
  <c r="G46" i="32" s="1"/>
  <c r="L32" i="5"/>
  <c r="L32" i="32" s="1"/>
  <c r="I52" i="5"/>
  <c r="I52" i="32" s="1"/>
  <c r="M59" i="5"/>
  <c r="M59" i="32" s="1"/>
  <c r="J18" i="5"/>
  <c r="J21" i="5"/>
  <c r="J21" i="32" s="1"/>
  <c r="E19" i="5"/>
  <c r="E19" i="32" s="1"/>
  <c r="L22" i="5"/>
  <c r="L22" i="32" s="1"/>
  <c r="I16" i="5"/>
  <c r="E51" i="5"/>
  <c r="E51" i="32" s="1"/>
  <c r="F18" i="5"/>
  <c r="F18" i="32" s="1"/>
  <c r="N24" i="5"/>
  <c r="N24" i="32" s="1"/>
  <c r="O45" i="5"/>
  <c r="G43" i="5"/>
  <c r="G43" i="32" s="1"/>
  <c r="D23" i="5"/>
  <c r="D23" i="32" s="1"/>
  <c r="D51" i="5"/>
  <c r="D51" i="32" s="1"/>
  <c r="F39" i="5"/>
  <c r="F39" i="32" s="1"/>
  <c r="N16" i="5"/>
  <c r="N16" i="32" s="1"/>
  <c r="D9" i="5"/>
  <c r="D9" i="32" s="1"/>
  <c r="O50" i="5"/>
  <c r="O16" i="5"/>
  <c r="M49" i="5"/>
  <c r="M49" i="32" s="1"/>
  <c r="C6" i="5"/>
  <c r="O44" i="5"/>
  <c r="L10" i="5"/>
  <c r="L10" i="32" s="1"/>
  <c r="O40" i="5"/>
  <c r="M48" i="5"/>
  <c r="M48" i="32" s="1"/>
  <c r="O43" i="5"/>
  <c r="D10" i="5"/>
  <c r="D10" i="32" s="1"/>
  <c r="O10" i="32" s="1"/>
  <c r="O72" i="32"/>
  <c r="N69" i="32"/>
  <c r="N73" i="32" s="1"/>
  <c r="M71" i="32"/>
  <c r="M73" i="32" s="1"/>
  <c r="N77" i="32"/>
  <c r="N79" i="32" s="1"/>
  <c r="I62" i="5"/>
  <c r="I62" i="32" s="1"/>
  <c r="K62" i="5"/>
  <c r="K62" i="32" s="1"/>
  <c r="O70" i="32"/>
  <c r="J93" i="32"/>
  <c r="O93" i="32" s="1"/>
  <c r="J94" i="5"/>
  <c r="C97" i="32"/>
  <c r="C99" i="5"/>
  <c r="K97" i="32"/>
  <c r="K99" i="32" s="1"/>
  <c r="K99" i="5"/>
  <c r="F63" i="5"/>
  <c r="F63" i="32" s="1"/>
  <c r="L63" i="5"/>
  <c r="L63" i="32" s="1"/>
  <c r="E63" i="5"/>
  <c r="E63" i="32" s="1"/>
  <c r="K63" i="5"/>
  <c r="K63" i="32" s="1"/>
  <c r="I92" i="32"/>
  <c r="I94" i="5"/>
  <c r="M99" i="32"/>
  <c r="K92" i="32"/>
  <c r="K94" i="32" s="1"/>
  <c r="K94" i="5"/>
  <c r="D65" i="5" l="1"/>
  <c r="D65" i="32" s="1"/>
  <c r="L6" i="5"/>
  <c r="L6" i="32" s="1"/>
  <c r="L8" i="32"/>
  <c r="L5" i="32" s="1"/>
  <c r="L12" i="32" s="1"/>
  <c r="O37" i="32"/>
  <c r="M5" i="5"/>
  <c r="M12" i="5" s="1"/>
  <c r="C15" i="5"/>
  <c r="C15" i="32" s="1"/>
  <c r="J22" i="5"/>
  <c r="J22" i="32" s="1"/>
  <c r="F57" i="5"/>
  <c r="F57" i="32" s="1"/>
  <c r="G15" i="5"/>
  <c r="G15" i="32" s="1"/>
  <c r="O47" i="5"/>
  <c r="C73" i="5"/>
  <c r="C67" i="5" s="1"/>
  <c r="C69" i="32"/>
  <c r="C73" i="32" s="1"/>
  <c r="C67" i="32" s="1"/>
  <c r="J94" i="32"/>
  <c r="K21" i="5"/>
  <c r="K21" i="32" s="1"/>
  <c r="N47" i="5"/>
  <c r="N47" i="32" s="1"/>
  <c r="I29" i="5"/>
  <c r="I29" i="32" s="1"/>
  <c r="C50" i="5"/>
  <c r="C50" i="32" s="1"/>
  <c r="K35" i="5"/>
  <c r="K35" i="32" s="1"/>
  <c r="J32" i="5"/>
  <c r="J32" i="32" s="1"/>
  <c r="K45" i="5"/>
  <c r="K45" i="32" s="1"/>
  <c r="N36" i="5"/>
  <c r="N36" i="32" s="1"/>
  <c r="L15" i="5"/>
  <c r="L15" i="32" s="1"/>
  <c r="I75" i="32"/>
  <c r="I79" i="32" s="1"/>
  <c r="I79" i="5"/>
  <c r="I67" i="5"/>
  <c r="G89" i="32"/>
  <c r="O87" i="32"/>
  <c r="H36" i="5"/>
  <c r="H36" i="32" s="1"/>
  <c r="O88" i="32"/>
  <c r="M50" i="5"/>
  <c r="M50" i="32" s="1"/>
  <c r="J27" i="5"/>
  <c r="J27" i="32" s="1"/>
  <c r="C18" i="5"/>
  <c r="C18" i="32" s="1"/>
  <c r="F31" i="5"/>
  <c r="F31" i="32" s="1"/>
  <c r="N60" i="5"/>
  <c r="N60" i="32" s="1"/>
  <c r="D19" i="5"/>
  <c r="D19" i="32" s="1"/>
  <c r="I59" i="5"/>
  <c r="I59" i="32" s="1"/>
  <c r="I17" i="5"/>
  <c r="I17" i="32" s="1"/>
  <c r="J44" i="5"/>
  <c r="J44" i="32" s="1"/>
  <c r="E60" i="5"/>
  <c r="E60" i="32" s="1"/>
  <c r="O59" i="5"/>
  <c r="E54" i="5"/>
  <c r="E54" i="32" s="1"/>
  <c r="H52" i="5"/>
  <c r="H52" i="32" s="1"/>
  <c r="O52" i="32" s="1"/>
  <c r="G9" i="5"/>
  <c r="G9" i="32" s="1"/>
  <c r="I18" i="5"/>
  <c r="I18" i="32" s="1"/>
  <c r="M26" i="5"/>
  <c r="M26" i="32" s="1"/>
  <c r="O26" i="32" s="1"/>
  <c r="O56" i="5"/>
  <c r="F25" i="5"/>
  <c r="F25" i="32" s="1"/>
  <c r="N39" i="5"/>
  <c r="N39" i="32" s="1"/>
  <c r="F20" i="5"/>
  <c r="F20" i="32" s="1"/>
  <c r="K30" i="5"/>
  <c r="K30" i="32" s="1"/>
  <c r="G41" i="5"/>
  <c r="G41" i="32" s="1"/>
  <c r="L59" i="5"/>
  <c r="L59" i="32" s="1"/>
  <c r="H28" i="5"/>
  <c r="H28" i="32" s="1"/>
  <c r="D14" i="5"/>
  <c r="D14" i="32" s="1"/>
  <c r="O35" i="5"/>
  <c r="L54" i="5"/>
  <c r="L54" i="32" s="1"/>
  <c r="N31" i="5"/>
  <c r="N31" i="32" s="1"/>
  <c r="E58" i="5"/>
  <c r="E58" i="32" s="1"/>
  <c r="O58" i="32" s="1"/>
  <c r="G30" i="5"/>
  <c r="G30" i="32" s="1"/>
  <c r="C40" i="5"/>
  <c r="C40" i="32" s="1"/>
  <c r="I57" i="5"/>
  <c r="I57" i="32" s="1"/>
  <c r="L45" i="5"/>
  <c r="L45" i="32" s="1"/>
  <c r="F21" i="5"/>
  <c r="F21" i="32" s="1"/>
  <c r="D49" i="5"/>
  <c r="D49" i="32" s="1"/>
  <c r="D60" i="5"/>
  <c r="D60" i="32" s="1"/>
  <c r="H31" i="5"/>
  <c r="H31" i="32" s="1"/>
  <c r="J17" i="5"/>
  <c r="J17" i="32" s="1"/>
  <c r="O39" i="5"/>
  <c r="E12" i="32"/>
  <c r="K6" i="32"/>
  <c r="K8" i="32" s="1"/>
  <c r="K5" i="32" s="1"/>
  <c r="K8" i="5"/>
  <c r="K5" i="5" s="1"/>
  <c r="K12" i="5" s="1"/>
  <c r="O67" i="5"/>
  <c r="M8" i="32"/>
  <c r="M5" i="32" s="1"/>
  <c r="M12" i="32" s="1"/>
  <c r="O8" i="5"/>
  <c r="O35" i="32"/>
  <c r="L67" i="32"/>
  <c r="L81" i="32" s="1"/>
  <c r="E61" i="5"/>
  <c r="E61" i="32" s="1"/>
  <c r="N67" i="32"/>
  <c r="O9" i="32"/>
  <c r="O19" i="32"/>
  <c r="N61" i="5"/>
  <c r="N61" i="32" s="1"/>
  <c r="L61" i="5"/>
  <c r="L61" i="32" s="1"/>
  <c r="L13" i="32" s="1"/>
  <c r="L66" i="32" s="1"/>
  <c r="O44" i="32"/>
  <c r="O47" i="32"/>
  <c r="H5" i="32"/>
  <c r="H12" i="32" s="1"/>
  <c r="D67" i="32"/>
  <c r="I67" i="32"/>
  <c r="G6" i="32"/>
  <c r="G8" i="32" s="1"/>
  <c r="G5" i="32" s="1"/>
  <c r="G12" i="32" s="1"/>
  <c r="G81" i="32" s="1"/>
  <c r="G8" i="5"/>
  <c r="G5" i="5" s="1"/>
  <c r="G12" i="5" s="1"/>
  <c r="G81" i="5" s="1"/>
  <c r="M67" i="32"/>
  <c r="O51" i="32"/>
  <c r="M61" i="5"/>
  <c r="M61" i="32" s="1"/>
  <c r="O57" i="32"/>
  <c r="O43" i="32"/>
  <c r="G61" i="5"/>
  <c r="G61" i="32" s="1"/>
  <c r="O55" i="32"/>
  <c r="O5" i="5"/>
  <c r="O12" i="5" s="1"/>
  <c r="O21" i="32"/>
  <c r="O29" i="32"/>
  <c r="O36" i="32"/>
  <c r="O30" i="32"/>
  <c r="O7" i="32"/>
  <c r="O60" i="32"/>
  <c r="H8" i="5"/>
  <c r="J67" i="32"/>
  <c r="O98" i="32"/>
  <c r="H81" i="32"/>
  <c r="O62" i="32"/>
  <c r="C6" i="32"/>
  <c r="C8" i="5"/>
  <c r="C5" i="5" s="1"/>
  <c r="C12" i="5" s="1"/>
  <c r="O64" i="32"/>
  <c r="M14" i="32"/>
  <c r="M13" i="5"/>
  <c r="P3" i="10" s="1" a="1"/>
  <c r="P3" i="10" s="1"/>
  <c r="O42" i="32"/>
  <c r="O41" i="32"/>
  <c r="N6" i="32"/>
  <c r="N8" i="32" s="1"/>
  <c r="N5" i="32" s="1"/>
  <c r="N12" i="32" s="1"/>
  <c r="N8" i="5"/>
  <c r="N5" i="5" s="1"/>
  <c r="N12" i="5" s="1"/>
  <c r="O49" i="32"/>
  <c r="O63" i="32"/>
  <c r="O45" i="32"/>
  <c r="F14" i="32"/>
  <c r="O23" i="32"/>
  <c r="D6" i="32"/>
  <c r="D8" i="32" s="1"/>
  <c r="D5" i="32" s="1"/>
  <c r="D12" i="32" s="1"/>
  <c r="D8" i="5"/>
  <c r="D5" i="5" s="1"/>
  <c r="D12" i="5" s="1"/>
  <c r="O25" i="32"/>
  <c r="H14" i="32"/>
  <c r="K12" i="32"/>
  <c r="H5" i="5"/>
  <c r="H12" i="5" s="1"/>
  <c r="E13" i="32"/>
  <c r="E66" i="32" s="1"/>
  <c r="E80" i="32" s="1"/>
  <c r="J6" i="32"/>
  <c r="J8" i="32" s="1"/>
  <c r="J5" i="32" s="1"/>
  <c r="J12" i="32" s="1"/>
  <c r="J8" i="5"/>
  <c r="J5" i="5" s="1"/>
  <c r="J12" i="5" s="1"/>
  <c r="M81" i="5"/>
  <c r="M66" i="5"/>
  <c r="M80" i="5" s="1"/>
  <c r="O77" i="32"/>
  <c r="O22" i="32"/>
  <c r="O20" i="32"/>
  <c r="O48" i="32"/>
  <c r="O38" i="32"/>
  <c r="O27" i="32"/>
  <c r="I6" i="32"/>
  <c r="I8" i="32" s="1"/>
  <c r="I5" i="32" s="1"/>
  <c r="I12" i="32" s="1"/>
  <c r="I8" i="5"/>
  <c r="I5" i="5" s="1"/>
  <c r="I12" i="5" s="1"/>
  <c r="O28" i="32"/>
  <c r="O46" i="32"/>
  <c r="N15" i="32"/>
  <c r="N13" i="32" s="1"/>
  <c r="N13" i="5"/>
  <c r="Q3" i="10" s="1" a="1"/>
  <c r="Q3" i="10" s="1"/>
  <c r="O65" i="32"/>
  <c r="L13" i="5"/>
  <c r="O3" i="10" s="1" a="1"/>
  <c r="O3" i="10" s="1"/>
  <c r="E13" i="5"/>
  <c r="H3" i="10" s="1" a="1"/>
  <c r="H3" i="10" s="1"/>
  <c r="L8" i="5"/>
  <c r="L5" i="5" s="1"/>
  <c r="L12" i="5" s="1"/>
  <c r="O33" i="32"/>
  <c r="O40" i="32"/>
  <c r="E81" i="32"/>
  <c r="I94" i="32"/>
  <c r="O92" i="32"/>
  <c r="O94" i="32" s="1"/>
  <c r="C99" i="32"/>
  <c r="O97" i="32"/>
  <c r="O99" i="32" s="1"/>
  <c r="I16" i="32"/>
  <c r="J18" i="32"/>
  <c r="K15" i="32"/>
  <c r="O24" i="32"/>
  <c r="F6" i="32"/>
  <c r="F8" i="32" s="1"/>
  <c r="F5" i="32" s="1"/>
  <c r="F12" i="32" s="1"/>
  <c r="F8" i="5"/>
  <c r="F5" i="5" s="1"/>
  <c r="F12" i="5" s="1"/>
  <c r="G17" i="32"/>
  <c r="G13" i="32" s="1"/>
  <c r="G13" i="5"/>
  <c r="O56" i="32"/>
  <c r="O32" i="32"/>
  <c r="O71" i="32"/>
  <c r="O39" i="32"/>
  <c r="O34" i="32"/>
  <c r="O53" i="32"/>
  <c r="O31" i="32"/>
  <c r="E12" i="5"/>
  <c r="O69" i="32"/>
  <c r="O50" i="32" l="1"/>
  <c r="O54" i="32"/>
  <c r="O59" i="32"/>
  <c r="O81" i="5"/>
  <c r="O61" i="5"/>
  <c r="O13" i="5" s="1"/>
  <c r="O66" i="5" s="1"/>
  <c r="O80" i="5"/>
  <c r="D61" i="5"/>
  <c r="C61" i="5"/>
  <c r="L80" i="32"/>
  <c r="H61" i="5"/>
  <c r="M81" i="32"/>
  <c r="O75" i="32"/>
  <c r="O79" i="32" s="1"/>
  <c r="J61" i="5"/>
  <c r="K61" i="5"/>
  <c r="O16" i="32"/>
  <c r="O73" i="32"/>
  <c r="G66" i="32"/>
  <c r="G80" i="32" s="1"/>
  <c r="O89" i="32"/>
  <c r="F61" i="5"/>
  <c r="I61" i="5"/>
  <c r="M13" i="32"/>
  <c r="M66" i="32" s="1"/>
  <c r="M80" i="32" s="1"/>
  <c r="N81" i="32"/>
  <c r="N66" i="32"/>
  <c r="N80" i="32" s="1"/>
  <c r="E66" i="5"/>
  <c r="E80" i="5" s="1"/>
  <c r="E81" i="5"/>
  <c r="F81" i="5"/>
  <c r="O15" i="32"/>
  <c r="I81" i="5"/>
  <c r="J81" i="5"/>
  <c r="H81" i="5"/>
  <c r="F81" i="32"/>
  <c r="I81" i="32"/>
  <c r="J81" i="32"/>
  <c r="K81" i="32"/>
  <c r="D81" i="5"/>
  <c r="O14" i="32"/>
  <c r="C81" i="5"/>
  <c r="K81" i="5"/>
  <c r="J3" i="10" a="1"/>
  <c r="J3" i="10" s="1"/>
  <c r="G66" i="5"/>
  <c r="G80" i="5" s="1"/>
  <c r="L81" i="5"/>
  <c r="L66" i="5"/>
  <c r="L80" i="5" s="1"/>
  <c r="O17" i="32"/>
  <c r="D81" i="32"/>
  <c r="O18" i="32"/>
  <c r="N66" i="5"/>
  <c r="N80" i="5" s="1"/>
  <c r="N81" i="5"/>
  <c r="O6" i="32"/>
  <c r="O8" i="32" s="1"/>
  <c r="O5" i="32" s="1"/>
  <c r="O12" i="32" s="1"/>
  <c r="C8" i="32"/>
  <c r="C5" i="32" s="1"/>
  <c r="C12" i="32" s="1"/>
  <c r="O67" i="32" l="1"/>
  <c r="C61" i="32"/>
  <c r="C13" i="5"/>
  <c r="K61" i="32"/>
  <c r="K13" i="32" s="1"/>
  <c r="K66" i="32" s="1"/>
  <c r="K80" i="32" s="1"/>
  <c r="K13" i="5"/>
  <c r="D61" i="32"/>
  <c r="D13" i="32" s="1"/>
  <c r="D66" i="32" s="1"/>
  <c r="D80" i="32" s="1"/>
  <c r="D13" i="5"/>
  <c r="I61" i="32"/>
  <c r="I13" i="32" s="1"/>
  <c r="I66" i="32" s="1"/>
  <c r="I80" i="32" s="1"/>
  <c r="I13" i="5"/>
  <c r="J61" i="32"/>
  <c r="J13" i="32" s="1"/>
  <c r="J66" i="32" s="1"/>
  <c r="J80" i="32" s="1"/>
  <c r="J13" i="5"/>
  <c r="H61" i="32"/>
  <c r="H13" i="32" s="1"/>
  <c r="H66" i="32" s="1"/>
  <c r="H80" i="32" s="1"/>
  <c r="H13" i="5"/>
  <c r="F61" i="32"/>
  <c r="F13" i="32" s="1"/>
  <c r="F66" i="32" s="1"/>
  <c r="F80" i="32" s="1"/>
  <c r="F13" i="5"/>
  <c r="C81" i="32"/>
  <c r="O81" i="32"/>
  <c r="K3" i="10" l="1" a="1"/>
  <c r="K3" i="10" s="1"/>
  <c r="H66" i="5"/>
  <c r="H80" i="5" s="1"/>
  <c r="L3" i="10" a="1"/>
  <c r="L3" i="10" s="1"/>
  <c r="I66" i="5"/>
  <c r="I80" i="5" s="1"/>
  <c r="N3" i="10" a="1"/>
  <c r="N3" i="10" s="1"/>
  <c r="K66" i="5"/>
  <c r="K80" i="5" s="1"/>
  <c r="I3" i="10" a="1"/>
  <c r="I3" i="10" s="1"/>
  <c r="F66" i="5"/>
  <c r="F80" i="5" s="1"/>
  <c r="M3" i="10" a="1"/>
  <c r="M3" i="10" s="1"/>
  <c r="J66" i="5"/>
  <c r="J80" i="5" s="1"/>
  <c r="G3" i="10" a="1"/>
  <c r="G3" i="10" s="1"/>
  <c r="D66" i="5"/>
  <c r="D80" i="5" s="1"/>
  <c r="F3" i="10" a="1"/>
  <c r="F3" i="10" s="1"/>
  <c r="C66" i="5"/>
  <c r="C80" i="5" s="1"/>
  <c r="C13" i="32"/>
  <c r="C66" i="32" s="1"/>
  <c r="C80" i="32" s="1"/>
  <c r="O61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8592200F-DDCC-419E-BF5C-9D83CE1CB6DE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802E69C-B97F-4763-84E7-505BF02AAB9D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<sst xmlns="http://schemas.openxmlformats.org/spreadsheetml/2006/main" count="1671" uniqueCount="733">
  <si>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</si>
  <si>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</si>
  <si>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</si>
  <si>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</si>
  <si>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</si>
  <si>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</si>
  <si>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</si>
  <si>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</si>
  <si>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</si>
  <si>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</si>
  <si>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</si>
  <si>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</si>
  <si>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</si>
  <si>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</si>
  <si>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</si>
  <si>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</si>
  <si>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</si>
  <si>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</si>
  <si>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</si>
  <si>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</si>
  <si>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</si>
  <si>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</si>
  <si>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</si>
  <si>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</si>
  <si>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</si>
  <si>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</si>
  <si>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</si>
  <si>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</si>
  <si>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</si>
  <si>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</si>
  <si>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</si>
  <si>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</si>
  <si>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</si>
  <si>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</si>
  <si>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</si>
  <si>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</si>
  <si>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</si>
  <si>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</si>
  <si>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</si>
  <si>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</si>
  <si>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</si>
  <si>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</si>
  <si>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</si>
  <si>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</si>
  <si>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</si>
  <si>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</si>
  <si>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</si>
  <si>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</si>
  <si>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</si>
  <si>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</si>
  <si>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</si>
  <si>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</si>
  <si>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</si>
  <si>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</si>
  <si>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</si>
  <si>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</si>
  <si>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</si>
  <si>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</si>
  <si>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</si>
  <si>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</si>
  <si>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</si>
  <si>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</si>
  <si>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</si>
  <si>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</si>
  <si>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</si>
  <si>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</si>
  <si>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</si>
  <si>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</si>
  <si>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</si>
  <si>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</si>
  <si>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</si>
  <si>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</si>
  <si>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</si>
  <si>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</si>
  <si>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</si>
  <si>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</si>
  <si>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</si>
  <si>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</si>
  <si>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</si>
  <si>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</si>
  <si>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</si>
  <si>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</si>
  <si>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</si>
  <si>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</si>
  <si>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</si>
  <si>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</si>
  <si>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</si>
  <si>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</si>
  <si>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</si>
  <si>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</si>
  <si>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</si>
  <si>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</si>
  <si>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</si>
  <si>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</si>
  <si>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</si>
  <si>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</si>
  <si>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</si>
  <si>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</si>
  <si>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</si>
  <si>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</si>
  <si>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</si>
  <si>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</si>
  <si>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</si>
  <si>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</si>
  <si>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</si>
  <si>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</si>
  <si>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</si>
  <si>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</si>
  <si>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</si>
  <si>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</si>
  <si>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</si>
  <si>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</si>
  <si>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</si>
  <si>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</si>
  <si>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</si>
  <si>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</si>
  <si>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</si>
  <si>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</si>
  <si>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</si>
  <si>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</si>
  <si>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</si>
  <si>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</si>
  <si>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</si>
  <si>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</si>
  <si>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</si>
  <si>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</si>
  <si>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</si>
  <si>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</si>
  <si>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</si>
  <si>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</si>
  <si>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</si>
  <si>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</si>
  <si>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</si>
  <si>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</si>
  <si>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</si>
  <si>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</si>
  <si>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</si>
  <si>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</si>
  <si>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</si>
  <si>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</si>
  <si>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</si>
  <si>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</si>
  <si>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</si>
  <si>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</si>
  <si>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</si>
  <si>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</si>
  <si>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</si>
  <si>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</si>
  <si>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</si>
  <si>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</si>
  <si>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</si>
  <si>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</si>
  <si>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</si>
  <si>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</si>
  <si>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</si>
  <si>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</si>
  <si>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</si>
  <si>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</si>
  <si>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</si>
  <si>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</si>
  <si>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</si>
  <si>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</si>
  <si>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</si>
  <si>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</si>
  <si>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</si>
  <si>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</si>
  <si>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</si>
  <si>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</si>
  <si>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</si>
  <si>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</si>
  <si>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</si>
  <si>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</si>
  <si>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</si>
  <si>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</si>
  <si>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</si>
  <si>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</si>
  <si>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</si>
  <si>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</si>
  <si>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</si>
  <si>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</si>
  <si>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</si>
  <si>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</si>
  <si>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</si>
  <si>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</si>
  <si>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</si>
  <si>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</si>
  <si>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</si>
  <si>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</si>
  <si>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</si>
  <si>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</si>
  <si>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</si>
  <si>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</si>
  <si>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</si>
  <si>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</si>
  <si>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</si>
  <si>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</si>
  <si>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</si>
  <si>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</si>
  <si>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</si>
  <si>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</si>
  <si>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</si>
  <si>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</si>
  <si>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</si>
  <si>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</si>
  <si>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</si>
  <si>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</si>
  <si>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</si>
  <si>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</si>
  <si>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</si>
  <si>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</si>
  <si>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</si>
  <si>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</si>
  <si>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</si>
  <si>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</si>
  <si>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</si>
  <si>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</si>
  <si>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</si>
  <si>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</si>
  <si>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</si>
  <si>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</si>
  <si>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</si>
  <si>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</si>
  <si>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</si>
  <si>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</si>
  <si>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</si>
  <si>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</si>
  <si>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</si>
  <si>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</si>
  <si>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</si>
  <si>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</si>
  <si>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</si>
  <si>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</si>
  <si>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</si>
  <si>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</si>
  <si>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</si>
  <si>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</si>
  <si>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</si>
  <si>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</si>
  <si>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</si>
  <si>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</si>
  <si>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</si>
  <si>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</si>
  <si>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</si>
  <si>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</si>
  <si>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</si>
  <si>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</si>
  <si>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</si>
  <si>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</si>
  <si>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</si>
  <si>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</si>
  <si>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</si>
  <si>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</si>
  <si>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</si>
  <si>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</si>
  <si>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</si>
  <si>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</si>
  <si>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</si>
  <si>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</si>
  <si>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</si>
  <si>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</si>
  <si>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</si>
  <si>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</si>
  <si>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</si>
  <si>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</si>
  <si>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</si>
  <si>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</si>
  <si>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</si>
  <si>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</si>
  <si>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</si>
  <si>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</si>
  <si>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</si>
  <si>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</si>
  <si>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</si>
  <si>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</si>
  <si>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</si>
  <si>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</si>
  <si>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</si>
  <si>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</si>
  <si>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</si>
  <si>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</si>
  <si>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</si>
  <si>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</si>
  <si>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</si>
  <si>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</si>
  <si>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</si>
  <si>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</si>
  <si>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</si>
  <si>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</si>
  <si>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</si>
  <si>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</si>
  <si>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</si>
  <si>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</si>
  <si>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</si>
  <si>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</si>
  <si>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</si>
  <si>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</si>
  <si>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</si>
  <si>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</si>
  <si>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</si>
  <si>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</si>
  <si>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</si>
  <si>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</si>
  <si>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</si>
  <si>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</si>
  <si>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</si>
  <si>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</si>
  <si>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</si>
  <si>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</si>
  <si>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</si>
  <si>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</si>
  <si>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</si>
  <si>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</si>
  <si>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</si>
  <si>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</si>
  <si>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</si>
  <si>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</si>
  <si>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</si>
  <si>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</si>
  <si>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</si>
  <si>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</si>
  <si>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</si>
  <si>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</si>
  <si>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</si>
  <si>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</si>
  <si>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</si>
  <si>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</si>
  <si>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</si>
  <si>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</si>
  <si>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</si>
  <si>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</si>
  <si>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</si>
  <si>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</si>
  <si>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</si>
  <si>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</si>
  <si>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</si>
  <si>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</si>
  <si>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</si>
  <si>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</si>
  <si>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</si>
  <si>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</si>
  <si>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</si>
  <si>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</si>
  <si>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</si>
  <si>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</si>
  <si>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</si>
  <si>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</si>
  <si>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</si>
  <si>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</si>
  <si>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</si>
  <si>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</si>
  <si>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</si>
  <si>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</si>
  <si>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</si>
  <si>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</si>
  <si>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</si>
  <si>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</si>
  <si>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</si>
  <si>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</si>
  <si>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</si>
  <si>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</si>
  <si>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</si>
  <si>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</si>
  <si>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</si>
  <si>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</si>
  <si>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</si>
  <si>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</si>
  <si>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</si>
  <si>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</si>
  <si>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</si>
  <si>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</si>
  <si>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</si>
  <si>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</si>
  <si>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</si>
  <si>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</si>
  <si>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</si>
  <si>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</si>
  <si>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</si>
  <si>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</si>
  <si>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</si>
  <si>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</si>
  <si>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</si>
  <si>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</si>
  <si>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</si>
  <si>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</si>
  <si>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</si>
  <si>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</si>
  <si>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</si>
  <si>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</si>
  <si>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</si>
  <si>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</si>
  <si>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</si>
  <si>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</si>
  <si>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</si>
  <si>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</si>
  <si>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</si>
  <si>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</si>
  <si>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</si>
  <si>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</si>
  <si>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</si>
  <si>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</si>
  <si>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</si>
  <si>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</si>
  <si>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</si>
  <si>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</si>
  <si>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</si>
  <si>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</si>
  <si>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</si>
  <si>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</si>
  <si>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</si>
  <si>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</si>
  <si>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</si>
  <si>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</si>
  <si>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</si>
  <si>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</si>
  <si>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</si>
  <si>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</si>
  <si>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</si>
  <si>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</si>
  <si>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</si>
  <si>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</si>
  <si>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</si>
  <si>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</si>
  <si>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</si>
  <si>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</si>
  <si>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</si>
  <si>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</si>
  <si>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</si>
  <si>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</si>
  <si>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</si>
  <si>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</si>
  <si>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</si>
  <si>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</si>
  <si>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</si>
  <si>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</si>
  <si>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</si>
  <si>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</si>
  <si>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</si>
  <si>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</si>
  <si>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</si>
  <si>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</si>
  <si>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</si>
  <si>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</si>
  <si>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</si>
  <si>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</si>
  <si>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</si>
  <si>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</si>
  <si>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</si>
  <si>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</si>
  <si>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</si>
  <si>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</si>
  <si>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</si>
  <si>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</si>
  <si>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</si>
  <si>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</si>
  <si>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</si>
  <si>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</si>
  <si>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</si>
  <si>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</si>
  <si>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</si>
  <si>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</si>
  <si>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</si>
  <si>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</si>
  <si>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</si>
  <si>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</si>
  <si>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</si>
  <si>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</si>
  <si>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</si>
  <si>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</si>
  <si>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</si>
  <si>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</si>
  <si>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</si>
  <si>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</si>
  <si>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</si>
  <si>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</si>
  <si>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</si>
  <si>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</si>
  <si>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</si>
  <si>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</si>
  <si>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</si>
  <si>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</si>
  <si>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</si>
  <si>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</si>
  <si>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</si>
  <si>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</si>
  <si>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</si>
  <si>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</si>
  <si>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</si>
  <si>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</si>
  <si>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</si>
  <si>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</si>
  <si>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</si>
  <si>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</si>
  <si>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</si>
  <si>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</si>
  <si>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</si>
  <si>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</si>
  <si>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</si>
  <si>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</si>
  <si>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</si>
  <si>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</si>
  <si>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</si>
  <si>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</si>
  <si>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</si>
  <si>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</si>
  <si>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</si>
  <si>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</si>
  <si>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</si>
  <si>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</si>
  <si>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</si>
  <si>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</si>
  <si>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</si>
  <si>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</si>
  <si>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</si>
  <si>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</si>
  <si>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</si>
  <si>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</si>
  <si>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</si>
  <si>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</si>
  <si>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</si>
  <si>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</si>
  <si>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</si>
  <si>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</si>
  <si>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</si>
  <si>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</si>
  <si>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</si>
  <si>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</si>
  <si>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</si>
  <si>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</si>
  <si>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</si>
  <si>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</si>
  <si>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</si>
  <si>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</si>
  <si>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</si>
  <si>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</si>
  <si>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</si>
  <si>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</si>
  <si>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</si>
  <si>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</si>
  <si>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</si>
  <si>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</si>
  <si>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</si>
  <si>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</si>
  <si>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</si>
  <si>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</si>
  <si>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</si>
  <si>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</si>
  <si>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</si>
  <si>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</si>
  <si>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</si>
  <si>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</si>
  <si>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</si>
  <si>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</si>
  <si>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</si>
  <si>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</si>
  <si>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</si>
  <si>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</si>
  <si>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</si>
  <si>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</si>
  <si>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</si>
  <si>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</si>
  <si>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</si>
  <si>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</si>
  <si>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</si>
  <si>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</si>
  <si>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</si>
  <si>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</si>
  <si>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</si>
  <si>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</si>
  <si>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</si>
  <si>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</si>
  <si>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</si>
  <si>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</si>
  <si>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</si>
  <si>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</si>
  <si>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</si>
  <si>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</si>
  <si>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</si>
  <si>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</si>
  <si>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</si>
  <si>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</si>
  <si>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</si>
  <si>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</si>
  <si>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</si>
  <si>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</si>
  <si>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</si>
  <si>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</si>
  <si>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</si>
  <si>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</si>
  <si>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</si>
  <si>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</si>
  <si>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</si>
  <si>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</si>
  <si>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</si>
  <si>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</si>
  <si>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</si>
  <si>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</si>
  <si>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</si>
  <si>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</si>
  <si>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</si>
  <si>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</si>
  <si>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</si>
  <si>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</si>
  <si>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</si>
  <si>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</si>
  <si>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</si>
  <si>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</si>
  <si>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</si>
  <si>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</si>
  <si>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</si>
  <si>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</si>
  <si>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</si>
  <si>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</si>
  <si>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</si>
  <si>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</si>
  <si>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</si>
  <si>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</si>
  <si>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</si>
  <si>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</si>
  <si>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</si>
  <si>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</si>
  <si>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</si>
  <si>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</si>
  <si>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</si>
  <si>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</si>
  <si>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</si>
  <si>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</si>
  <si>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</si>
  <si>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</si>
  <si>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</si>
  <si>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</si>
  <si>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</si>
  <si>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</si>
  <si>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</si>
  <si>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</si>
  <si>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</si>
  <si>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</si>
  <si>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</si>
  <si>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</si>
  <si>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</si>
  <si>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</si>
  <si>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</si>
  <si>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</si>
  <si>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</si>
  <si>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</si>
  <si>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</si>
  <si>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</si>
  <si>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</si>
  <si>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</si>
  <si>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</si>
  <si>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</si>
  <si>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</si>
  <si>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</si>
  <si>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</si>
  <si>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</si>
  <si>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</si>
  <si>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</si>
  <si>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</si>
  <si>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</si>
  <si>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</si>
  <si>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</si>
  <si>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</si>
  <si>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</si>
  <si>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</si>
  <si>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</si>
  <si>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</si>
  <si>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</si>
  <si>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</si>
  <si>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</si>
  <si>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</si>
  <si>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</si>
  <si>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</si>
  <si>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</si>
  <si>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</si>
  <si>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</si>
  <si>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</si>
  <si>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</si>
  <si>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</si>
  <si>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</si>
  <si>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</si>
  <si>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</si>
  <si>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</si>
  <si>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</si>
  <si>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</si>
  <si>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</si>
  <si>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</si>
  <si>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</si>
  <si>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</si>
  <si>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</si>
  <si>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</si>
  <si>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</si>
  <si>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</si>
  <si>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</si>
  <si>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</si>
  <si>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*手洗い洗剤費  hand sanitizer</t>
  </si>
  <si>
    <t>*トイレットペーパ WC paper</t>
  </si>
  <si>
    <t>*清掃費用 Cleanning cost</t>
  </si>
  <si>
    <t>制服 ,靴, 帽子が壊れた時に交換する。Đổi đồng phục</t>
  </si>
  <si>
    <t>*建物償却費) Bulding fee</t>
  </si>
  <si>
    <t>*土地(償却費) Land fee</t>
  </si>
  <si>
    <t>*電気代 Electrica usage cost</t>
  </si>
  <si>
    <t>*水道代 Water usage cost</t>
  </si>
  <si>
    <t>Trang NLP nghỉ sinh đến 24/3</t>
  </si>
  <si>
    <t>Mail 使用費</t>
  </si>
  <si>
    <t>*食堂燃料費 gas cost</t>
  </si>
  <si>
    <t>交通費-Chi phí xe Bus cho ng Việt (Sơn+ Thanh)</t>
  </si>
  <si>
    <t>Đồng phục mới</t>
  </si>
  <si>
    <t xml:space="preserve"> 労働許可証取得時の健康診断費用</t>
  </si>
  <si>
    <t>新Staff-Thẻ từ chấm công + Ảnh +phyroshophy</t>
  </si>
  <si>
    <t>葬式費 chi phi tang le</t>
  </si>
  <si>
    <t>Tien mung cuoi, sinh con</t>
  </si>
  <si>
    <t>Tiệc khuấy động năm tài chính T6 200,000vnđ</t>
  </si>
  <si>
    <t>Quà thay thế du lịch 2023</t>
  </si>
  <si>
    <t>お年玉 tiền mừng tuổi</t>
  </si>
  <si>
    <t>健康診断(ローカル）12月 -210,000/人男性, 225,000vnd/人女性</t>
  </si>
  <si>
    <t>忘年会補助金1月 (※)Chi phí hỗ trợ tiệc tất niên</t>
  </si>
  <si>
    <t>ポケットカレンダー（11月）800vnd</t>
  </si>
  <si>
    <t>Tiền sophi quyển mới phát T5 2,500vnđ</t>
  </si>
  <si>
    <t>Tiền đi lại thi tiếng Nhật</t>
  </si>
  <si>
    <t>Tiền lệ phí thi JLPT</t>
  </si>
  <si>
    <t>Officeライセンスのアップグレード費用</t>
  </si>
  <si>
    <t>フィロソフィ論文参加賞（100,000）(7月)</t>
  </si>
  <si>
    <t>* 携帯電話代- Telephone cost(１３名）</t>
  </si>
  <si>
    <t>誕生日会 (163,000 VND)</t>
  </si>
  <si>
    <t>折りたたみコップ (6800VND/人)</t>
  </si>
  <si>
    <t>月餅Bánh Trung Thu  （9月）56,000VND</t>
  </si>
  <si>
    <t>京セラフェスティバルLễ hội Kyocera（9月)126,000vnđ</t>
  </si>
  <si>
    <t>10年勤続記念品Quà kỷ niệm cho CNV 10 năm gắn bó（10月）382,000</t>
  </si>
  <si>
    <t>10年勤続記念コンパTiệc kỷ niệm 10 năm gắn bó (10月）549,000</t>
  </si>
  <si>
    <t>運動会スポーツ大会 (Đại hội thể thao)　11月 107,000vnđ</t>
  </si>
  <si>
    <t>社員旅行 Du lịch công ty 5月：1,890,000/人</t>
  </si>
  <si>
    <t>固定資産金利 (建物)</t>
  </si>
  <si>
    <t>固定資産金利 (土地)</t>
  </si>
  <si>
    <t>Mua máy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</si>
</sst>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75">
    <cellStyle name="_FY2014 MP作成依頼（KDTCN).1207(3)" xfId="1" xr:uid="{8D03AA86-4F81-4B1B-ADC9-C9A45DC01C67}"/>
    <cellStyle name="20% - Accent1" xfId="2" xr:uid="{0C59A21B-CF3C-4169-A4BC-A54C6C9FD581}"/>
    <cellStyle name="20% - Accent2" xfId="3" xr:uid="{7803A6EC-4C8F-4FC3-AA49-659EE80350C9}"/>
    <cellStyle name="20% - Accent3" xfId="4" xr:uid="{0068E8AD-F60F-4E3C-8E84-0DBB5F573818}"/>
    <cellStyle name="20% - Accent4" xfId="5" xr:uid="{D131AC86-16BB-40D3-855A-75A3C00A9D20}"/>
    <cellStyle name="20% - Accent5" xfId="6" xr:uid="{77520146-78B0-42A9-9A59-9F7082B92196}"/>
    <cellStyle name="20% - Accent6" xfId="7" xr:uid="{AD5F7CA9-7918-483C-9E42-62310D7D2E82}"/>
    <cellStyle name="20% - アクセント 1" xfId="8" xr:uid="{612F467F-D75E-43BB-9313-B715103B02A0}"/>
    <cellStyle name="20% - アクセント 1 2" xfId="9" xr:uid="{95A43944-9E39-4E88-9CA2-A98B1AF0B69A}"/>
    <cellStyle name="20% - アクセント 2" xfId="10" xr:uid="{54A1A1C7-AC68-481A-963B-6B3005B4E32E}"/>
    <cellStyle name="20% - アクセント 2 2" xfId="11" xr:uid="{3CCB2158-7986-4848-93C1-8528E825C018}"/>
    <cellStyle name="20% - アクセント 3" xfId="12" xr:uid="{AB789655-C9E4-46B7-8ECA-1772CDBBE949}"/>
    <cellStyle name="20% - アクセント 3 2" xfId="13" xr:uid="{AF176990-8931-4DA3-8F95-4360EF1C1584}"/>
    <cellStyle name="20% - アクセント 4" xfId="14" xr:uid="{6ABCC9AE-6DE5-4EB1-B1B0-E20BFFB49BFD}"/>
    <cellStyle name="20% - アクセント 4 2" xfId="15" xr:uid="{910A3021-E1CF-4733-AF54-FE31255D16B3}"/>
    <cellStyle name="20% - アクセント 5" xfId="16" xr:uid="{A338D46A-E751-4CDB-AD0B-5ECC38BDB2E6}"/>
    <cellStyle name="20% - アクセント 5 2" xfId="17" xr:uid="{69C09406-7282-47CD-BFFF-8E61DFE55B06}"/>
    <cellStyle name="20% - アクセント 6" xfId="18" xr:uid="{D600D878-F544-438F-8B45-D3DB7E4FE745}"/>
    <cellStyle name="20% - アクセント 6 2" xfId="19" xr:uid="{1D566239-4926-4890-82D6-408E462CC11F}"/>
    <cellStyle name="3232" xfId="20" xr:uid="{56EDA4F1-AC6D-4EF5-A084-9DCDDF6E3D69}"/>
    <cellStyle name="40% - Accent1" xfId="21" xr:uid="{A48AE67B-2A00-404D-95EE-184E7E3C0CC6}"/>
    <cellStyle name="40% - Accent2" xfId="22" xr:uid="{07DA3475-36FB-46AF-97CE-501B07D45911}"/>
    <cellStyle name="40% - Accent3" xfId="23" xr:uid="{499666E2-6344-4576-92C5-FEF2F996554F}"/>
    <cellStyle name="40% - Accent4" xfId="24" xr:uid="{3247C87E-8D50-400D-9946-804AE02E9BB2}"/>
    <cellStyle name="40% - Accent5" xfId="25" xr:uid="{EE1D434F-4866-47D5-8506-C0A063732AE0}"/>
    <cellStyle name="40% - Accent6" xfId="26" xr:uid="{C02A8592-9A20-4A02-8E5C-0C769EF73BB8}"/>
    <cellStyle name="40% - アクセント 1" xfId="27" xr:uid="{9AFE2D42-1891-42AE-810C-FD65E7272EE9}"/>
    <cellStyle name="40% - アクセント 1 2" xfId="28" xr:uid="{F091267A-7034-4371-9110-CCE7FC8812D5}"/>
    <cellStyle name="40% - アクセント 2" xfId="29" xr:uid="{5986839B-5D58-40E3-AF74-CD3B4BFFF231}"/>
    <cellStyle name="40% - アクセント 2 2" xfId="30" xr:uid="{5A4882B1-24AB-4E34-90E9-E6B635FF4320}"/>
    <cellStyle name="40% - アクセント 3" xfId="31" xr:uid="{4FB0FF30-E40B-46CE-BB7F-78A4F52274E0}"/>
    <cellStyle name="40% - アクセント 3 2" xfId="32" xr:uid="{953CC7AA-A9BA-4EDD-9F5A-9A648FF7F571}"/>
    <cellStyle name="40% - アクセント 4" xfId="33" xr:uid="{CBE96CD9-0F11-4776-B607-AEE75F9B5337}"/>
    <cellStyle name="40% - アクセント 4 2" xfId="34" xr:uid="{5851E6F1-60D9-466F-9C5E-D5EEB59D7CE3}"/>
    <cellStyle name="40% - アクセント 5" xfId="35" xr:uid="{10201D5D-0CB4-44B6-8A58-C2921C98B71C}"/>
    <cellStyle name="40% - アクセント 5 2" xfId="36" xr:uid="{873BC14B-B6AF-42F6-9BAC-C1EE43ECB211}"/>
    <cellStyle name="40% - アクセント 6" xfId="37" xr:uid="{842DD295-491B-4CD5-B6B9-4CEB73F9CE69}"/>
    <cellStyle name="40% - アクセント 6 2" xfId="38" xr:uid="{137F9829-F405-46AD-A477-9BAF7610FEF8}"/>
    <cellStyle name="60% - Accent1" xfId="39" xr:uid="{48299D84-5A13-4C1F-AC5D-A5AC418B0CC2}"/>
    <cellStyle name="60% - Accent2" xfId="40" xr:uid="{C0937988-D9DD-442A-AC73-54A48AFC4095}"/>
    <cellStyle name="60% - Accent3" xfId="41" xr:uid="{7600E0D1-192F-46F4-8780-BB77A40BF183}"/>
    <cellStyle name="60% - Accent4" xfId="42" xr:uid="{4F0D7344-117C-4DBD-AEBE-64F9F57D581D}"/>
    <cellStyle name="60% - Accent5" xfId="43" xr:uid="{8CA5BB37-6633-449D-847F-D184A1DB49B3}"/>
    <cellStyle name="60% - Accent6" xfId="44" xr:uid="{5DADC44C-2FD6-47B4-B9D0-C493FBA675C0}"/>
    <cellStyle name="60% - アクセント 1" xfId="45" xr:uid="{76ECDC4C-D942-4652-8318-0EC715691DDB}"/>
    <cellStyle name="60% - アクセント 1 2" xfId="46" xr:uid="{8F5CBBB6-AA4D-4802-992C-A91FE8DCCB74}"/>
    <cellStyle name="60% - アクセント 2" xfId="47" xr:uid="{7B955D97-0961-4503-84E3-1F44423EF8C5}"/>
    <cellStyle name="60% - アクセント 2 2" xfId="48" xr:uid="{6EAA2107-060E-44B5-9FAF-F482D7B1F2AD}"/>
    <cellStyle name="60% - アクセント 3" xfId="49" xr:uid="{4C786243-8D5C-46BE-938C-E6E5468021EC}"/>
    <cellStyle name="60% - アクセント 3 2" xfId="50" xr:uid="{4CE21737-AB47-4578-818D-005203615507}"/>
    <cellStyle name="60% - アクセント 4" xfId="51" xr:uid="{BBA3B070-6DFE-4C84-934B-C40241B9349F}"/>
    <cellStyle name="60% - アクセント 4 2" xfId="52" xr:uid="{66B6031C-6195-4D6D-BCE3-123EB4379188}"/>
    <cellStyle name="60% - アクセント 5" xfId="53" xr:uid="{355A0ED9-855D-4A1E-8496-110F54699AE9}"/>
    <cellStyle name="60% - アクセント 5 2" xfId="54" xr:uid="{56012093-447F-4FA1-9F19-5908AD2C8516}"/>
    <cellStyle name="60% - アクセント 6" xfId="55" xr:uid="{10695AA7-FB2E-4925-803E-26AA2E926DE1}"/>
    <cellStyle name="60% - アクセント 6 2" xfId="56" xr:uid="{876B7CAA-205B-49E2-B90B-C943CE5FC511}"/>
    <cellStyle name="Accent1" xfId="57" xr:uid="{745D319A-553C-4738-A366-0ADFF406C4CD}"/>
    <cellStyle name="Accent2" xfId="58" xr:uid="{50C448D7-9A89-4A9D-A835-BE7252AAA5CC}"/>
    <cellStyle name="Accent3" xfId="59" xr:uid="{CBD22C42-741B-4C1C-B4EC-D187B2875C75}"/>
    <cellStyle name="Accent4" xfId="60" xr:uid="{80CFDD33-920C-4CFB-88BE-B53D66181241}"/>
    <cellStyle name="Accent5" xfId="61" xr:uid="{179A8B15-3754-49CC-8723-826A5518983F}"/>
    <cellStyle name="Accent6" xfId="62" xr:uid="{340C3490-6D06-4E4C-90C7-979F7744D9DA}"/>
    <cellStyle name="Bad" xfId="63" xr:uid="{89D2371F-33DB-4E98-BFC2-681774F62A51}"/>
    <cellStyle name="Calculation" xfId="64" xr:uid="{E95E2FE7-BF95-41AE-BDF5-5A158B612EDA}"/>
    <cellStyle name="Check Cell" xfId="65" xr:uid="{37598419-D5C0-4947-8229-CE4FD99AE797}"/>
    <cellStyle name="Comma" xfId="66" builtinId="3"/>
    <cellStyle name="Comma [0]" xfId="67" builtinId="6"/>
    <cellStyle name="Comma [0] 2" xfId="68" xr:uid="{6A29870E-F5CA-42E1-BD58-0A642262DFAA}"/>
    <cellStyle name="Comma [0] 2 2" xfId="69" xr:uid="{4ADB2664-F296-4F42-A288-967259A85D09}"/>
    <cellStyle name="Comma [0] 3" xfId="70" xr:uid="{D36DCA88-7AFF-4B7D-9848-146C6DC7EBB8}"/>
    <cellStyle name="Comma [0] 4" xfId="71" xr:uid="{AA2CD00C-839B-40C6-94EE-DCC013D10644}"/>
    <cellStyle name="Comma 2" xfId="72" xr:uid="{18981F64-9893-4ADE-B8DF-E48D67F19A55}"/>
    <cellStyle name="Comma 2 3" xfId="73" xr:uid="{B906520C-C90A-4FBC-B4D5-CE4A261DF24F}"/>
    <cellStyle name="Comma 3" xfId="74" xr:uid="{680FE0B7-7F36-440E-BC18-0FD209C7C944}"/>
    <cellStyle name="Comma 3 2 2" xfId="75" xr:uid="{D9ECA764-69B3-40A1-A360-7CB06CA475F5}"/>
    <cellStyle name="Comma 4" xfId="76" xr:uid="{6A4906DD-EFDF-4D7E-BBD4-21F62279B5A1}"/>
    <cellStyle name="Comma 5" xfId="77" xr:uid="{2FC5D010-C5E3-4093-89A8-63A3CD43A2FB}"/>
    <cellStyle name="Comma 6" xfId="78" xr:uid="{2E418ADD-8588-4DFB-B97A-988F12D291B4}"/>
    <cellStyle name="Currency [0] 2" xfId="79" xr:uid="{58C99DBC-4C20-4012-B68C-FF55618E6B7D}"/>
    <cellStyle name="Explanatory Text" xfId="80" xr:uid="{8B0F804D-CDAD-4A7E-BDC3-148CF62C7DCF}"/>
    <cellStyle name="Good" xfId="81" xr:uid="{0EF43916-BE67-4A03-83C0-B0F29942A943}"/>
    <cellStyle name="Heading 1" xfId="82" xr:uid="{3FC445BE-F4FD-47BF-87FA-3DB3F75C7E97}"/>
    <cellStyle name="Heading 2" xfId="83" xr:uid="{36845235-2A15-4678-9751-F43E49B1041C}"/>
    <cellStyle name="Heading 3" xfId="84" xr:uid="{EF027BB4-B8FC-45CA-862E-1E3ACE8D4EF4}"/>
    <cellStyle name="Heading 4" xfId="85" xr:uid="{07368FAC-AC8B-473E-B0D9-2EABFA6D9C13}"/>
    <cellStyle name="Input" xfId="86" xr:uid="{A233807D-3AD7-4BBE-9F1D-02395044DFC7}"/>
    <cellStyle name="Linked Cell" xfId="87" xr:uid="{1C540F16-7E26-4DF4-8B73-4B68AB43E76F}"/>
    <cellStyle name="Neutral" xfId="88" xr:uid="{5A4774D3-44D2-4522-BEF0-DD4112E88156}"/>
    <cellStyle name="Normal" xfId="0" builtinId="0"/>
    <cellStyle name="Normal 2" xfId="89" xr:uid="{A99B6077-E92E-4D15-9000-373C82983027}"/>
    <cellStyle name="Normal 2 2" xfId="90" xr:uid="{6C2D1FD8-1EDB-4C6D-95C7-797AE3C57B29}"/>
    <cellStyle name="Normal 3" xfId="91" xr:uid="{1FA7C974-7008-42FC-9D5C-594C4D3DB290}"/>
    <cellStyle name="Normal 4" xfId="92" xr:uid="{0ACA8F8F-5DA6-4900-8EF1-F83117012883}"/>
    <cellStyle name="Normal 5" xfId="93" xr:uid="{A2693726-6FAC-454F-82F4-7F1443B8E848}"/>
    <cellStyle name="Note" xfId="94" xr:uid="{1CB9670D-4A40-480D-8E06-06FEF64C2761}"/>
    <cellStyle name="Output" xfId="95" xr:uid="{726F65B3-5D66-484F-BBE3-3DB0106302B5}"/>
    <cellStyle name="Percent 2" xfId="96" xr:uid="{A27E230F-6738-48B2-A273-90C4D2F0FB51}"/>
    <cellStyle name="Percent 3" xfId="97" xr:uid="{F33508C1-9BCA-4B57-B45F-233B8FF21BA2}"/>
    <cellStyle name="Title" xfId="98" xr:uid="{DFBCDA90-909F-4085-9FF5-54F270992BE5}"/>
    <cellStyle name="Total" xfId="99" xr:uid="{B1CFBC1F-225B-42F7-8336-16364D6F7EFA}"/>
    <cellStyle name="Warning Text" xfId="100" xr:uid="{99EF933D-E4F1-4A10-9732-5ADA43234429}"/>
    <cellStyle name="アクセント 1" xfId="101" xr:uid="{562773C7-6DAB-4519-83EA-890DAACE0C27}"/>
    <cellStyle name="アクセント 1 2" xfId="102" xr:uid="{442891CE-CBF8-48FC-9273-00FBF9228A90}"/>
    <cellStyle name="アクセント 2" xfId="103" xr:uid="{FFEC97AE-3718-4A12-BE7A-40D618A60FA4}"/>
    <cellStyle name="アクセント 2 2" xfId="104" xr:uid="{D0EB63BD-A250-46B8-A505-86D7E2DF52FD}"/>
    <cellStyle name="アクセント 3" xfId="105" xr:uid="{298A6077-B56A-46FB-BA62-BE5404521DAC}"/>
    <cellStyle name="アクセント 3 2" xfId="106" xr:uid="{DA7E4FA4-C6EA-48ED-AC6C-24EA9185B71E}"/>
    <cellStyle name="アクセント 4" xfId="107" xr:uid="{6CCACB3C-0605-4657-99F3-BF4F5C5CAE07}"/>
    <cellStyle name="アクセント 4 2" xfId="108" xr:uid="{2BB4E8ED-9DD0-4FCA-9FD8-0F6B28750716}"/>
    <cellStyle name="アクセント 5" xfId="109" xr:uid="{0674F425-88F5-41CB-AFCC-38589932740F}"/>
    <cellStyle name="アクセント 5 2" xfId="110" xr:uid="{438261F5-4D4F-475F-A3E2-0F6003033A38}"/>
    <cellStyle name="アクセント 6" xfId="111" xr:uid="{B35601C0-F7D3-4D72-8338-2A5B5FB1689F}"/>
    <cellStyle name="アクセント 6 2" xfId="112" xr:uid="{6262D2F2-99EF-413E-A658-1F4A3F7398D9}"/>
    <cellStyle name="タイトル" xfId="113" xr:uid="{32B886AF-5808-4F7B-B539-A6E6F8D4FA6A}"/>
    <cellStyle name="タイトル 2" xfId="114" xr:uid="{4672E9CA-802D-490F-BAC8-5129D7608BD6}"/>
    <cellStyle name="チェック セル" xfId="115" xr:uid="{8EA8816E-54E1-4C78-B21B-77A6D61FBD6D}"/>
    <cellStyle name="チェック セル 2" xfId="116" xr:uid="{2D9FD4BF-770F-42F4-A94E-50EC6325B736}"/>
    <cellStyle name="どちらでもない" xfId="117" xr:uid="{6021E16D-D955-4477-AA35-1498EE1CCC08}"/>
    <cellStyle name="どちらでもない 2" xfId="118" xr:uid="{DD44BF89-B2B7-4B14-ACBE-310030506088}"/>
    <cellStyle name="パーセント 2" xfId="119" xr:uid="{72CB411F-8D6A-403E-BAB6-56B1137C162B}"/>
    <cellStyle name="パーセント 3" xfId="120" xr:uid="{8A773887-C6CA-40A5-AFE6-DF8E9A282217}"/>
    <cellStyle name="パーセント 3 2" xfId="121" xr:uid="{DA759501-146D-429A-A994-0D8B56940380}"/>
    <cellStyle name="メモ" xfId="122" xr:uid="{FCC81C02-64F3-42AA-8255-41C9C08E570B}"/>
    <cellStyle name="メモ 2" xfId="123" xr:uid="{20BED3D9-73EB-4D26-9785-9FC63E7C9A12}"/>
    <cellStyle name="リンク セル" xfId="124" xr:uid="{24AA1C55-FA92-47C5-B4F7-E01AF1217097}"/>
    <cellStyle name="リンク セル 2" xfId="125" xr:uid="{14D58715-7832-4B38-AF65-F9119EBDD056}"/>
    <cellStyle name="一般_KMHK FY2008 時間当り採算 2007年4月 ( Month Plan )" xfId="128" xr:uid="{B66618DB-B648-4CBB-879F-E77A85FECF97}"/>
    <cellStyle name="一般_設備投資金額一覽表" xfId="129" xr:uid="{0B9EF12F-70C8-4109-98B2-B27084087DBD}"/>
    <cellStyle name="入力" xfId="161" xr:uid="{939ABA15-0D05-4CFA-B00B-06C0CED3D862}"/>
    <cellStyle name="入力 2" xfId="162" xr:uid="{731E0FFE-4783-4D24-A592-3EB678A9314D}"/>
    <cellStyle name="出力" xfId="154" xr:uid="{28F00F12-57FA-4503-BD62-CCDE9553B18F}"/>
    <cellStyle name="出力 2" xfId="155" xr:uid="{FC3B6917-7E78-45F7-81EC-9619DA27E5EE}"/>
    <cellStyle name="常规_総生産分析(0605-0606)" xfId="156" xr:uid="{D67E76EA-168F-4569-AEE2-3D9FACDAD44A}"/>
    <cellStyle name="悪い" xfId="126" xr:uid="{2FC9DA56-69F0-4EE5-8D2B-E0565BA14937}"/>
    <cellStyle name="悪い 2" xfId="127" xr:uid="{062834AD-A50E-44CE-9D62-126F10A84370}"/>
    <cellStyle name="未定義" xfId="172" xr:uid="{0606394E-7680-46D8-A768-18AD9CC1E71F}"/>
    <cellStyle name="桁区切り [0.00] 2" xfId="134" xr:uid="{2422C065-F3E7-4F3B-B413-13FFDFAF08E5}"/>
    <cellStyle name="桁区切り [0.00] 2 2" xfId="135" xr:uid="{7E3255DE-0457-4D20-A9B6-36EF72D5B9A4}"/>
    <cellStyle name="桁区切り [0.00] 2 3" xfId="136" xr:uid="{5021933C-1DE8-473D-A067-78DE387B8C8C}"/>
    <cellStyle name="桁区切り 2" xfId="137" xr:uid="{ADF6A2B9-49D7-483B-A931-17B9DD6381F7}"/>
    <cellStyle name="桁区切り 2 2" xfId="138" xr:uid="{B22ED979-169F-4C71-960D-B0AF1E79654D}"/>
    <cellStyle name="桁区切り 2 3" xfId="139" xr:uid="{73401985-0955-4CEE-88E7-7CDE4D8ACC32}"/>
    <cellStyle name="桁区切り 3" xfId="140" xr:uid="{9F10DCF3-EA3A-4C4B-9A95-165DCB70D149}"/>
    <cellStyle name="桁区切り 4" xfId="141" xr:uid="{2D8AA18F-5ECD-485B-88A8-F19BF48DA1EF}"/>
    <cellStyle name="桁区切り 5" xfId="142" xr:uid="{A9D8BC48-1B1B-4C1F-91B5-3F50672198C6}"/>
    <cellStyle name="桁区切り 6" xfId="143" xr:uid="{2A789F71-84B1-47E6-B593-6B8D71982F07}"/>
    <cellStyle name="標準 2" xfId="163" xr:uid="{C7E1EEC3-0814-45D1-9ABE-6172A87AB664}"/>
    <cellStyle name="標準 2 2" xfId="164" xr:uid="{D777E8FF-918D-40AB-9DA4-0A0D7257E66B}"/>
    <cellStyle name="標準 3" xfId="165" xr:uid="{6762809C-9B25-4376-85DB-C30F66D58257}"/>
    <cellStyle name="標準 3 2" xfId="166" xr:uid="{63D1A243-CA6C-45D9-821A-D71EB097B680}"/>
    <cellStyle name="標準 4" xfId="167" xr:uid="{BC7FC182-B933-4CF7-99C0-91F93089E201}"/>
    <cellStyle name="標準 4 2" xfId="168" xr:uid="{93DDC822-51A7-4573-9836-3C405B772B8F}"/>
    <cellStyle name="標準_★予定用採算表フォーム（製造課用）" xfId="169" xr:uid="{EF254E29-C1D6-4F10-8227-DD24880CEE14}"/>
    <cellStyle name="標準_03.2012 08 31 KDTVN採算表及集計表 FY2013_09（製技用）" xfId="170" xr:uid="{B17CB006-CB33-4AC1-92DE-F987D0182079}"/>
    <cellStyle name="標準_KDTVN 2012年9月1日付原価センタ" xfId="171" xr:uid="{3B668585-4AE4-40CB-81EA-72E55331CF85}"/>
    <cellStyle name="良い" xfId="173" xr:uid="{C18D35E2-DAD3-4C64-A934-9EA50AE79611}"/>
    <cellStyle name="良い 2" xfId="174" xr:uid="{15D142AC-4FB2-46BB-A091-2B01A5CAAC56}"/>
    <cellStyle name="見出し 1" xfId="144" xr:uid="{D2DD238A-11E9-4BBA-972B-D157B5E6476A}"/>
    <cellStyle name="見出し 1 2" xfId="145" xr:uid="{F1B62CD1-33BD-4398-B3A1-01D8F6B26B07}"/>
    <cellStyle name="見出し 2" xfId="146" xr:uid="{A2DEB22E-6523-446C-B0EC-360278A922AA}"/>
    <cellStyle name="見出し 2 2" xfId="147" xr:uid="{5664258B-0516-4F9B-B312-FBF4D07EAD51}"/>
    <cellStyle name="見出し 3" xfId="148" xr:uid="{5848C863-384E-401C-88C6-10FBB338B4F9}"/>
    <cellStyle name="見出し 3 2" xfId="149" xr:uid="{F110A6D6-24C4-4D00-8FA6-FCF21A149F08}"/>
    <cellStyle name="見出し 4" xfId="150" xr:uid="{096B418D-4B98-4B2B-8FCD-4274F6D9E685}"/>
    <cellStyle name="見出し 4 2" xfId="151" xr:uid="{622CA164-DEE3-4A24-A27B-B01EC75E6F5A}"/>
    <cellStyle name="計算" xfId="130" xr:uid="{88D2231B-2DE0-42AF-9423-DA8778C843A5}"/>
    <cellStyle name="計算 2" xfId="131" xr:uid="{A813E93E-A700-4F08-89C5-44CEAECF658A}"/>
    <cellStyle name="説明文" xfId="157" xr:uid="{B2043E1E-518B-4A77-84D8-6B23A83DCBA8}"/>
    <cellStyle name="説明文 2" xfId="158" xr:uid="{8AF05FD6-261E-48E6-A09E-D0D0B4170D0E}"/>
    <cellStyle name="警告文" xfId="132" xr:uid="{7E6AB068-2895-4C6A-84D1-F0E14439F588}"/>
    <cellStyle name="警告文 2" xfId="133" xr:uid="{5F26F54C-6A17-4CD6-9DB4-B7DD0B169817}"/>
    <cellStyle name="通貨 2" xfId="159" xr:uid="{2D62A70D-555E-4F57-8F4C-432F8EDC7F9D}"/>
    <cellStyle name="通貨 3" xfId="160" xr:uid="{4583D56F-1DDC-4BF5-8B04-10BD0DBAECA9}"/>
    <cellStyle name="集計" xfId="152" xr:uid="{3D2C44EA-7FDF-462B-8289-BA814496E2AE}"/>
    <cellStyle name="集計 2" xfId="153" xr:uid="{873754B2-438E-4EF9-B186-2867ABCB789B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30EC-9661-49AF-BF9A-A5BB4DDBF032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機器製造管理課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1.999999999998181E-2</v>
      </c>
      <c r="D13" s="133">
        <f t="shared" ref="D13:O13" si="3">SUM(D14:D65)</f>
        <v>3.9999999999508873E-2</v>
      </c>
      <c r="E13" s="133">
        <f t="shared" si="3"/>
        <v>3.999999999996362E-2</v>
      </c>
      <c r="F13" s="133">
        <f t="shared" si="3"/>
        <v>5.0000000000181899E-2</v>
      </c>
      <c r="G13" s="133">
        <f t="shared" si="3"/>
        <v>4.0000000000190994E-2</v>
      </c>
      <c r="H13" s="133">
        <f t="shared" si="3"/>
        <v>2.9999999999745341E-2</v>
      </c>
      <c r="I13" s="133">
        <f t="shared" si="3"/>
        <v>1.999999999998181E-2</v>
      </c>
      <c r="J13" s="133">
        <f t="shared" si="3"/>
        <v>2.9999999999972715E-2</v>
      </c>
      <c r="K13" s="133">
        <f t="shared" si="3"/>
        <v>3.999999999996362E-2</v>
      </c>
      <c r="L13" s="133">
        <f t="shared" si="3"/>
        <v>3.999999999996362E-2</v>
      </c>
      <c r="M13" s="133">
        <f t="shared" si="3"/>
        <v>2.9999999999972715E-2</v>
      </c>
      <c r="N13" s="133">
        <f t="shared" si="3"/>
        <v>3.999999999996362E-2</v>
      </c>
      <c r="O13" s="133">
        <f t="shared" si="3"/>
        <v>0.41999999999825377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219.98999999999998</v>
      </c>
      <c r="D20" s="136">
        <f>ROUNDUP('採算表(VND)'!D20/$N$1,2)</f>
        <v>222.95</v>
      </c>
      <c r="E20" s="136">
        <f>ROUNDUP('採算表(VND)'!E20/$N$1,2)</f>
        <v>228.1</v>
      </c>
      <c r="F20" s="136">
        <f>ROUNDUP('採算表(VND)'!F20/$N$1,2)</f>
        <v>215.06</v>
      </c>
      <c r="G20" s="136">
        <f>ROUNDUP('採算表(VND)'!G20/$N$1,2)</f>
        <v>211.73</v>
      </c>
      <c r="H20" s="136">
        <f>ROUNDUP('採算表(VND)'!H20/$N$1,2)</f>
        <v>212.92999999999998</v>
      </c>
      <c r="I20" s="136">
        <f>ROUNDUP('採算表(VND)'!I20/$N$1,2)</f>
        <v>211.37</v>
      </c>
      <c r="J20" s="136">
        <f>ROUNDUP('採算表(VND)'!J20/$N$1,2)</f>
        <v>208.47</v>
      </c>
      <c r="K20" s="136">
        <f>ROUNDUP('採算表(VND)'!K20/$N$1,2)</f>
        <v>209.98999999999998</v>
      </c>
      <c r="L20" s="136">
        <f>ROUNDUP('採算表(VND)'!L20/$N$1,2)</f>
        <v>204.45999999999998</v>
      </c>
      <c r="M20" s="136">
        <f>ROUNDUP('採算表(VND)'!M20/$N$1,2)</f>
        <v>198.95</v>
      </c>
      <c r="N20" s="136">
        <f>ROUNDUP('採算表(VND)'!N20/$N$1,2)</f>
        <v>205.95999999999998</v>
      </c>
      <c r="O20" s="136">
        <f t="shared" si="4"/>
        <v>2549.96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21.560000000000002</v>
      </c>
      <c r="D25" s="136">
        <f>ROUNDUP('採算表(VND)'!D25/$N$1,2)</f>
        <v>20.810000000000002</v>
      </c>
      <c r="E25" s="136">
        <f>ROUNDUP('採算表(VND)'!E25/$N$1,2)</f>
        <v>22.680000000000003</v>
      </c>
      <c r="F25" s="136">
        <f>ROUNDUP('採算表(VND)'!F25/$N$1,2)</f>
        <v>24.540000000000003</v>
      </c>
      <c r="G25" s="136">
        <f>ROUNDUP('採算表(VND)'!G25/$N$1,2)</f>
        <v>21.490000000000002</v>
      </c>
      <c r="H25" s="136">
        <f>ROUNDUP('採算表(VND)'!H25/$N$1,2)</f>
        <v>20.51</v>
      </c>
      <c r="I25" s="136">
        <f>ROUNDUP('採算表(VND)'!I25/$N$1,2)</f>
        <v>24.53</v>
      </c>
      <c r="J25" s="136">
        <f>ROUNDUP('採算表(VND)'!J25/$N$1,2)</f>
        <v>21.55</v>
      </c>
      <c r="K25" s="136">
        <f>ROUNDUP('採算表(VND)'!K25/$N$1,2)</f>
        <v>23.580000000000002</v>
      </c>
      <c r="L25" s="136">
        <f>ROUNDUP('採算表(VND)'!L25/$N$1,2)</f>
        <v>21.540000000000003</v>
      </c>
      <c r="M25" s="136">
        <f>ROUNDUP('採算表(VND)'!M25/$N$1,2)</f>
        <v>16.560000000000002</v>
      </c>
      <c r="N25" s="136">
        <f>ROUNDUP('採算表(VND)'!N25/$N$1,2)</f>
        <v>21.53</v>
      </c>
      <c r="O25" s="136">
        <f t="shared" si="4"/>
        <v>260.88</v>
      </c>
    </row>
    <row r="26" spans="1:15" ht="11.25" customHeight="1">
      <c r="A26" s="34"/>
      <c r="B26" s="37" t="s">
        <v>104</v>
      </c>
      <c r="C26" s="136">
        <f>ROUNDUP('採算表(VND)'!C26/$N$1,2)</f>
        <v>825.13</v>
      </c>
      <c r="D26" s="136">
        <f>ROUNDUP('採算表(VND)'!D26/$N$1,2)</f>
        <v>825.13</v>
      </c>
      <c r="E26" s="136">
        <f>ROUNDUP('採算表(VND)'!E26/$N$1,2)</f>
        <v>825.13</v>
      </c>
      <c r="F26" s="136">
        <f>ROUNDUP('採算表(VND)'!F26/$N$1,2)</f>
        <v>825.13</v>
      </c>
      <c r="G26" s="136">
        <f>ROUNDUP('採算表(VND)'!G26/$N$1,2)</f>
        <v>825.13</v>
      </c>
      <c r="H26" s="136">
        <f>ROUNDUP('採算表(VND)'!H26/$N$1,2)</f>
        <v>1650.26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5775.91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121.73</v>
      </c>
      <c r="D30" s="136">
        <f>ROUNDUP('採算表(VND)'!D30/$N$1,2)</f>
        <v>124.82000000000001</v>
      </c>
      <c r="E30" s="136">
        <f>ROUNDUP('採算表(VND)'!E30/$N$1,2)</f>
        <v>147.47</v>
      </c>
      <c r="F30" s="136">
        <f>ROUNDUP('採算表(VND)'!F30/$N$1,2)</f>
        <v>171.35</v>
      </c>
      <c r="G30" s="136">
        <f>ROUNDUP('採算表(VND)'!G30/$N$1,2)</f>
        <v>162.94</v>
      </c>
      <c r="H30" s="136">
        <f>ROUNDUP('採算表(VND)'!H30/$N$1,2)</f>
        <v>146.19</v>
      </c>
      <c r="I30" s="136">
        <f>ROUNDUP('採算表(VND)'!I30/$N$1,2)</f>
        <v>142.44999999999999</v>
      </c>
      <c r="J30" s="136">
        <f>ROUNDUP('採算表(VND)'!J30/$N$1,2)</f>
        <v>141.26</v>
      </c>
      <c r="K30" s="136">
        <f>ROUNDUP('採算表(VND)'!K30/$N$1,2)</f>
        <v>142.23999999999998</v>
      </c>
      <c r="L30" s="136">
        <f>ROUNDUP('採算表(VND)'!L30/$N$1,2)</f>
        <v>120.13000000000001</v>
      </c>
      <c r="M30" s="136">
        <f>ROUNDUP('採算表(VND)'!M30/$N$1,2)</f>
        <v>102.41000000000001</v>
      </c>
      <c r="N30" s="136">
        <f>ROUNDUP('採算表(VND)'!N30/$N$1,2)</f>
        <v>107.61</v>
      </c>
      <c r="O30" s="136">
        <f t="shared" si="4"/>
        <v>1630.6000000000001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62.03</v>
      </c>
      <c r="D39" s="136">
        <f>ROUNDUP('採算表(VND)'!D39/$N$1,2)</f>
        <v>62.269999999999996</v>
      </c>
      <c r="E39" s="136">
        <f>ROUNDUP('採算表(VND)'!E39/$N$1,2)</f>
        <v>64.190000000000012</v>
      </c>
      <c r="F39" s="136">
        <f>ROUNDUP('採算表(VND)'!F39/$N$1,2)</f>
        <v>58.79</v>
      </c>
      <c r="G39" s="136">
        <f>ROUNDUP('採算表(VND)'!G39/$N$1,2)</f>
        <v>57.23</v>
      </c>
      <c r="H39" s="136">
        <f>ROUNDUP('採算表(VND)'!H39/$N$1,2)</f>
        <v>54.69</v>
      </c>
      <c r="I39" s="136">
        <f>ROUNDUP('採算表(VND)'!I39/$N$1,2)</f>
        <v>52.309999999999995</v>
      </c>
      <c r="J39" s="136">
        <f>ROUNDUP('採算表(VND)'!J39/$N$1,2)</f>
        <v>51.66</v>
      </c>
      <c r="K39" s="136">
        <f>ROUNDUP('採算表(VND)'!K39/$N$1,2)</f>
        <v>51.809999999999995</v>
      </c>
      <c r="L39" s="136">
        <f>ROUNDUP('採算表(VND)'!L39/$N$1,2)</f>
        <v>49.6</v>
      </c>
      <c r="M39" s="136">
        <f>ROUNDUP('採算表(VND)'!M39/$N$1,2)</f>
        <v>46.94</v>
      </c>
      <c r="N39" s="136">
        <f>ROUNDUP('採算表(VND)'!N39/$N$1,2)</f>
        <v>49.12</v>
      </c>
      <c r="O39" s="136">
        <f t="shared" si="4"/>
        <v>660.64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163.63</v>
      </c>
      <c r="D42" s="136">
        <f>ROUNDUP('採算表(VND)'!D42/$N$1,2)</f>
        <v>163.63</v>
      </c>
      <c r="E42" s="136">
        <f>ROUNDUP('採算表(VND)'!E42/$N$1,2)</f>
        <v>163.63</v>
      </c>
      <c r="F42" s="136">
        <f>ROUNDUP('採算表(VND)'!F42/$N$1,2)</f>
        <v>163.63</v>
      </c>
      <c r="G42" s="136">
        <f>ROUNDUP('採算表(VND)'!G42/$N$1,2)</f>
        <v>163.63</v>
      </c>
      <c r="H42" s="136">
        <f>ROUNDUP('採算表(VND)'!H42/$N$1,2)</f>
        <v>163.63</v>
      </c>
      <c r="I42" s="136">
        <f>ROUNDUP('採算表(VND)'!I42/$N$1,2)</f>
        <v>163.63</v>
      </c>
      <c r="J42" s="136">
        <f>ROUNDUP('採算表(VND)'!J42/$N$1,2)</f>
        <v>164.51</v>
      </c>
      <c r="K42" s="136">
        <f>ROUNDUP('採算表(VND)'!K42/$N$1,2)</f>
        <v>163.63</v>
      </c>
      <c r="L42" s="136">
        <f>ROUNDUP('採算表(VND)'!L42/$N$1,2)</f>
        <v>163.63</v>
      </c>
      <c r="M42" s="136">
        <f>ROUNDUP('採算表(VND)'!M42/$N$1,2)</f>
        <v>163.63</v>
      </c>
      <c r="N42" s="136">
        <f>ROUNDUP('採算表(VND)'!N42/$N$1,2)</f>
        <v>163.63</v>
      </c>
      <c r="O42" s="136">
        <f t="shared" si="4"/>
        <v>1964.44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870.01</v>
      </c>
      <c r="D44" s="136">
        <f>ROUNDUP('採算表(VND)'!D44/$N$1,2)</f>
        <v>2018.06</v>
      </c>
      <c r="E44" s="136">
        <f>ROUNDUP('採算表(VND)'!E44/$N$1,2)</f>
        <v>501.46</v>
      </c>
      <c r="F44" s="136">
        <f>ROUNDUP('採算表(VND)'!F44/$N$1,2)</f>
        <v>228.48</v>
      </c>
      <c r="G44" s="136">
        <f>ROUNDUP('採算表(VND)'!G44/$N$1,2)</f>
        <v>148.39999999999998</v>
      </c>
      <c r="H44" s="136">
        <f>ROUNDUP('採算表(VND)'!H44/$N$1,2)</f>
        <v>339.08</v>
      </c>
      <c r="I44" s="136">
        <f>ROUNDUP('採算表(VND)'!I44/$N$1,2)</f>
        <v>210.34</v>
      </c>
      <c r="J44" s="136">
        <f>ROUNDUP('採算表(VND)'!J44/$N$1,2)</f>
        <v>275.32</v>
      </c>
      <c r="K44" s="136">
        <f>ROUNDUP('採算表(VND)'!K44/$N$1,2)</f>
        <v>344.4</v>
      </c>
      <c r="L44" s="136">
        <f>ROUNDUP('採算表(VND)'!L44/$N$1,2)</f>
        <v>115.04</v>
      </c>
      <c r="M44" s="136">
        <f>ROUNDUP('採算表(VND)'!M44/$N$1,2)</f>
        <v>232.29</v>
      </c>
      <c r="N44" s="136">
        <f>ROUNDUP('採算表(VND)'!N44/$N$1,2)</f>
        <v>452.21</v>
      </c>
      <c r="O44" s="136">
        <f t="shared" si="4"/>
        <v>5735.0899999999992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157.19</v>
      </c>
      <c r="D57" s="139">
        <f>ROUNDUP('採算表(VND)'!D57/$N$1,2)</f>
        <v>151.26999999999998</v>
      </c>
      <c r="E57" s="139">
        <f>ROUNDUP('採算表(VND)'!E57/$N$1,2)</f>
        <v>154.76999999999998</v>
      </c>
      <c r="F57" s="139">
        <f>ROUNDUP('採算表(VND)'!F57/$N$1,2)</f>
        <v>145.91999999999999</v>
      </c>
      <c r="G57" s="139">
        <f>ROUNDUP('採算表(VND)'!G57/$N$1,2)</f>
        <v>143.64999999999998</v>
      </c>
      <c r="H57" s="139">
        <f>ROUNDUP('採算表(VND)'!H57/$N$1,2)</f>
        <v>144.47</v>
      </c>
      <c r="I57" s="139">
        <f>ROUNDUP('採算表(VND)'!I57/$N$1,2)</f>
        <v>143.42999999999998</v>
      </c>
      <c r="J57" s="139">
        <f>ROUNDUP('採算表(VND)'!J57/$N$1,2)</f>
        <v>141.45999999999998</v>
      </c>
      <c r="K57" s="139">
        <f>ROUNDUP('採算表(VND)'!K57/$N$1,2)</f>
        <v>142.47999999999999</v>
      </c>
      <c r="L57" s="139">
        <f>ROUNDUP('採算表(VND)'!L57/$N$1,2)</f>
        <v>138.72</v>
      </c>
      <c r="M57" s="139">
        <f>ROUNDUP('採算表(VND)'!M57/$N$1,2)</f>
        <v>134.98999999999998</v>
      </c>
      <c r="N57" s="139">
        <f>ROUNDUP('採算表(VND)'!N57/$N$1,2)</f>
        <v>139.73999999999998</v>
      </c>
      <c r="O57" s="139">
        <f t="shared" si="4"/>
        <v>1738.0900000000001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-2441.25</v>
      </c>
      <c r="D61" s="139">
        <f>ROUNDUP('採算表(VND)'!D61/$N$1,2)</f>
        <v>-3588.9</v>
      </c>
      <c r="E61" s="139">
        <f>ROUNDUP('採算表(VND)'!E61/$N$1,2)</f>
        <v>-2107.3900000000003</v>
      </c>
      <c r="F61" s="139">
        <f>ROUNDUP('採算表(VND)'!F61/$N$1,2)</f>
        <v>-1832.85</v>
      </c>
      <c r="G61" s="139">
        <f>ROUNDUP('採算表(VND)'!G61/$N$1,2)</f>
        <v>-1734.16</v>
      </c>
      <c r="H61" s="139">
        <f>ROUNDUP('採算表(VND)'!H61/$N$1,2)</f>
        <v>-2731.73</v>
      </c>
      <c r="I61" s="139">
        <f>ROUNDUP('採算表(VND)'!I61/$N$1,2)</f>
        <v>-948.04</v>
      </c>
      <c r="J61" s="139">
        <f>ROUNDUP('採算表(VND)'!J61/$N$1,2)</f>
        <v>-1004.2</v>
      </c>
      <c r="K61" s="139">
        <f>ROUNDUP('採算表(VND)'!K61/$N$1,2)</f>
        <v>-1078.0899999999999</v>
      </c>
      <c r="L61" s="139">
        <f>ROUNDUP('採算表(VND)'!L61/$N$1,2)</f>
        <v>-813.08</v>
      </c>
      <c r="M61" s="139">
        <f>ROUNDUP('採算表(VND)'!M61/$N$1,2)</f>
        <v>-895.74</v>
      </c>
      <c r="N61" s="139">
        <f>ROUNDUP('採算表(VND)'!N61/$N$1,2)</f>
        <v>-1139.76</v>
      </c>
      <c r="O61" s="139">
        <f t="shared" si="4"/>
        <v>-20315.190000000002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-1.999999999998181E-2</v>
      </c>
      <c r="D66" s="134">
        <f t="shared" ref="D66:O66" si="5">IF(ISBLANK(D4),"",D12-D13)</f>
        <v>-3.9999999999508873E-2</v>
      </c>
      <c r="E66" s="134">
        <f t="shared" si="5"/>
        <v>-3.999999999996362E-2</v>
      </c>
      <c r="F66" s="134">
        <f t="shared" si="5"/>
        <v>-5.0000000000181899E-2</v>
      </c>
      <c r="G66" s="134">
        <f t="shared" si="5"/>
        <v>-4.0000000000190994E-2</v>
      </c>
      <c r="H66" s="134">
        <f t="shared" si="5"/>
        <v>-2.9999999999745341E-2</v>
      </c>
      <c r="I66" s="134">
        <f t="shared" si="5"/>
        <v>-1.999999999998181E-2</v>
      </c>
      <c r="J66" s="134">
        <f t="shared" si="5"/>
        <v>-2.9999999999972715E-2</v>
      </c>
      <c r="K66" s="134">
        <f t="shared" si="5"/>
        <v>-3.999999999996362E-2</v>
      </c>
      <c r="L66" s="134">
        <f t="shared" si="5"/>
        <v>-3.999999999996362E-2</v>
      </c>
      <c r="M66" s="134">
        <f t="shared" si="5"/>
        <v>-2.9999999999972715E-2</v>
      </c>
      <c r="N66" s="134">
        <f t="shared" si="5"/>
        <v>-3.999999999996362E-2</v>
      </c>
      <c r="O66" s="134">
        <f t="shared" si="5"/>
        <v>-0.41999999999825377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4645</v>
      </c>
      <c r="D68" s="135">
        <f>'採算表(VND)'!D68</f>
        <v>3928.5</v>
      </c>
      <c r="E68" s="135">
        <f>'採算表(VND)'!E68</f>
        <v>4342.5</v>
      </c>
      <c r="F68" s="135">
        <f>'採算表(VND)'!F68</f>
        <v>4754.5</v>
      </c>
      <c r="G68" s="135">
        <f>'採算表(VND)'!G68</f>
        <v>4135</v>
      </c>
      <c r="H68" s="135">
        <f>'採算表(VND)'!H68</f>
        <v>3928.5</v>
      </c>
      <c r="I68" s="135">
        <f>'採算表(VND)'!I68</f>
        <v>4777.5</v>
      </c>
      <c r="J68" s="135">
        <f>'採算表(VND)'!J68</f>
        <v>4455</v>
      </c>
      <c r="K68" s="135">
        <f>'採算表(VND)'!K68</f>
        <v>5065</v>
      </c>
      <c r="L68" s="135">
        <f>'採算表(VND)'!L68</f>
        <v>4605</v>
      </c>
      <c r="M68" s="135">
        <f>'採算表(VND)'!M68</f>
        <v>3454</v>
      </c>
      <c r="N68" s="135">
        <f>'採算表(VND)'!N68</f>
        <v>4605</v>
      </c>
      <c r="O68" s="135">
        <f>SUM(C68:N68)</f>
        <v>52695.5</v>
      </c>
    </row>
    <row r="69" spans="1:15" ht="11.25" customHeight="1">
      <c r="A69" s="38"/>
      <c r="B69" s="46" t="s">
        <v>88</v>
      </c>
      <c r="C69" s="136">
        <f>'採算表(VND)'!C69</f>
        <v>-4645</v>
      </c>
      <c r="D69" s="136">
        <f>'採算表(VND)'!D69</f>
        <v>-3928.5</v>
      </c>
      <c r="E69" s="136">
        <f>'採算表(VND)'!E69</f>
        <v>-4342.5</v>
      </c>
      <c r="F69" s="136">
        <f>'採算表(VND)'!F69</f>
        <v>-4754.5</v>
      </c>
      <c r="G69" s="136">
        <f>'採算表(VND)'!G69</f>
        <v>-4135</v>
      </c>
      <c r="H69" s="136">
        <f>'採算表(VND)'!H69</f>
        <v>-3928.5</v>
      </c>
      <c r="I69" s="136">
        <f>'採算表(VND)'!I69</f>
        <v>-4777.5</v>
      </c>
      <c r="J69" s="136">
        <f>'採算表(VND)'!J69</f>
        <v>-4455</v>
      </c>
      <c r="K69" s="136">
        <f>'採算表(VND)'!K69</f>
        <v>-5065</v>
      </c>
      <c r="L69" s="136">
        <f>'採算表(VND)'!L69</f>
        <v>-4605</v>
      </c>
      <c r="M69" s="136">
        <f>'採算表(VND)'!M69</f>
        <v>-3454</v>
      </c>
      <c r="N69" s="136">
        <f>'採算表(VND)'!N69</f>
        <v>-4605</v>
      </c>
      <c r="O69" s="136">
        <f>SUM(C69:N69)</f>
        <v>-52695.5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300</v>
      </c>
      <c r="D74" s="135">
        <f>'採算表(VND)'!D74</f>
        <v>300</v>
      </c>
      <c r="E74" s="135">
        <f>'採算表(VND)'!E74</f>
        <v>300</v>
      </c>
      <c r="F74" s="135">
        <f>'採算表(VND)'!F74</f>
        <v>300</v>
      </c>
      <c r="G74" s="135">
        <f>'採算表(VND)'!G74</f>
        <v>300</v>
      </c>
      <c r="H74" s="135">
        <f>'採算表(VND)'!H74</f>
        <v>300</v>
      </c>
      <c r="I74" s="135">
        <f>'採算表(VND)'!I74</f>
        <v>300</v>
      </c>
      <c r="J74" s="135">
        <f>'採算表(VND)'!J74</f>
        <v>300</v>
      </c>
      <c r="K74" s="135">
        <f>'採算表(VND)'!K74</f>
        <v>300</v>
      </c>
      <c r="L74" s="135">
        <f>'採算表(VND)'!L74</f>
        <v>300</v>
      </c>
      <c r="M74" s="135">
        <f>'採算表(VND)'!M74</f>
        <v>180</v>
      </c>
      <c r="N74" s="135">
        <f>'採算表(VND)'!N74</f>
        <v>300</v>
      </c>
      <c r="O74" s="135">
        <f>SUM(C74:N74)</f>
        <v>3480</v>
      </c>
    </row>
    <row r="75" spans="1:15">
      <c r="A75" s="38"/>
      <c r="B75" s="37" t="s">
        <v>88</v>
      </c>
      <c r="C75" s="136">
        <f>'採算表(VND)'!C75</f>
        <v>-300</v>
      </c>
      <c r="D75" s="136">
        <f>'採算表(VND)'!D75</f>
        <v>-300</v>
      </c>
      <c r="E75" s="136">
        <f>'採算表(VND)'!E75</f>
        <v>-300</v>
      </c>
      <c r="F75" s="136">
        <f>'採算表(VND)'!F75</f>
        <v>-300</v>
      </c>
      <c r="G75" s="136">
        <f>'採算表(VND)'!G75</f>
        <v>-300</v>
      </c>
      <c r="H75" s="136">
        <f>'採算表(VND)'!H75</f>
        <v>-300</v>
      </c>
      <c r="I75" s="136">
        <f>'採算表(VND)'!I75</f>
        <v>-300</v>
      </c>
      <c r="J75" s="136">
        <f>'採算表(VND)'!J75</f>
        <v>-300</v>
      </c>
      <c r="K75" s="136">
        <f>'採算表(VND)'!K75</f>
        <v>-300</v>
      </c>
      <c r="L75" s="136">
        <f>'採算表(VND)'!L75</f>
        <v>-300</v>
      </c>
      <c r="M75" s="136">
        <f>'採算表(VND)'!M75</f>
        <v>-180</v>
      </c>
      <c r="N75" s="136">
        <f>'採算表(VND)'!N75</f>
        <v>-300</v>
      </c>
      <c r="O75" s="136">
        <f>SUM(C75:N75)</f>
        <v>-3480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28</v>
      </c>
      <c r="D88" s="150">
        <f>'採算表(VND)'!D88</f>
        <v>28</v>
      </c>
      <c r="E88" s="150">
        <f>'採算表(VND)'!E88</f>
        <v>28</v>
      </c>
      <c r="F88" s="150">
        <f>'採算表(VND)'!F88</f>
        <v>28</v>
      </c>
      <c r="G88" s="150">
        <f>'採算表(VND)'!G88</f>
        <v>28</v>
      </c>
      <c r="H88" s="150">
        <f>'採算表(VND)'!H88</f>
        <v>28</v>
      </c>
      <c r="I88" s="150">
        <f>'採算表(VND)'!I88</f>
        <v>28</v>
      </c>
      <c r="J88" s="150">
        <f>'採算表(VND)'!J88</f>
        <v>28</v>
      </c>
      <c r="K88" s="150">
        <f>'採算表(VND)'!K88</f>
        <v>28</v>
      </c>
      <c r="L88" s="150">
        <f>'採算表(VND)'!L88</f>
        <v>28</v>
      </c>
      <c r="M88" s="150">
        <f>'採算表(VND)'!M88</f>
        <v>28</v>
      </c>
      <c r="N88" s="150">
        <f>'採算表(VND)'!N88</f>
        <v>28</v>
      </c>
      <c r="O88" s="150">
        <f>SUM(C88:N88)</f>
        <v>336</v>
      </c>
    </row>
    <row r="89" spans="1:15">
      <c r="A89" s="44"/>
      <c r="B89" s="60" t="s">
        <v>18</v>
      </c>
      <c r="C89" s="151">
        <f t="shared" ref="C89:O89" si="11">C87+C88</f>
        <v>28</v>
      </c>
      <c r="D89" s="151">
        <f t="shared" si="11"/>
        <v>28</v>
      </c>
      <c r="E89" s="151">
        <f t="shared" si="11"/>
        <v>28</v>
      </c>
      <c r="F89" s="151">
        <f t="shared" si="11"/>
        <v>28</v>
      </c>
      <c r="G89" s="151">
        <f t="shared" si="11"/>
        <v>28</v>
      </c>
      <c r="H89" s="151">
        <f t="shared" si="11"/>
        <v>28</v>
      </c>
      <c r="I89" s="151">
        <f t="shared" si="11"/>
        <v>28</v>
      </c>
      <c r="J89" s="151">
        <f t="shared" si="11"/>
        <v>28</v>
      </c>
      <c r="K89" s="151">
        <f t="shared" si="11"/>
        <v>28</v>
      </c>
      <c r="L89" s="151">
        <f t="shared" si="11"/>
        <v>28</v>
      </c>
      <c r="M89" s="151">
        <f t="shared" si="11"/>
        <v>28</v>
      </c>
      <c r="N89" s="151">
        <f t="shared" si="11"/>
        <v>28</v>
      </c>
      <c r="O89" s="151">
        <f t="shared" si="11"/>
        <v>336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4645</v>
      </c>
      <c r="D93" s="133">
        <f>'採算表(VND)'!D93</f>
        <v>3928.5</v>
      </c>
      <c r="E93" s="133">
        <f>'採算表(VND)'!E93</f>
        <v>4342.5</v>
      </c>
      <c r="F93" s="133">
        <f>'採算表(VND)'!F93</f>
        <v>4754.5</v>
      </c>
      <c r="G93" s="133">
        <f>'採算表(VND)'!G93</f>
        <v>4135</v>
      </c>
      <c r="H93" s="133">
        <f>'採算表(VND)'!H93</f>
        <v>3928.5</v>
      </c>
      <c r="I93" s="133">
        <f>'採算表(VND)'!I93</f>
        <v>4777.5</v>
      </c>
      <c r="J93" s="133">
        <f>'採算表(VND)'!J93</f>
        <v>4455</v>
      </c>
      <c r="K93" s="133">
        <f>'採算表(VND)'!K93</f>
        <v>5065</v>
      </c>
      <c r="L93" s="133">
        <f>'採算表(VND)'!L93</f>
        <v>4605</v>
      </c>
      <c r="M93" s="133">
        <f>'採算表(VND)'!M93</f>
        <v>3454</v>
      </c>
      <c r="N93" s="133">
        <f>'採算表(VND)'!N93</f>
        <v>4605</v>
      </c>
      <c r="O93" s="133">
        <f>SUM(C93:N93)</f>
        <v>52695.5</v>
      </c>
    </row>
    <row r="94" spans="1:15">
      <c r="B94" s="61" t="s">
        <v>18</v>
      </c>
      <c r="C94" s="147">
        <f t="shared" ref="C94:O94" si="12">C92+C93</f>
        <v>4645</v>
      </c>
      <c r="D94" s="147">
        <f t="shared" si="12"/>
        <v>3928.5</v>
      </c>
      <c r="E94" s="147">
        <f t="shared" si="12"/>
        <v>4342.5</v>
      </c>
      <c r="F94" s="147">
        <f t="shared" si="12"/>
        <v>4754.5</v>
      </c>
      <c r="G94" s="147">
        <f t="shared" si="12"/>
        <v>4135</v>
      </c>
      <c r="H94" s="147">
        <f t="shared" si="12"/>
        <v>3928.5</v>
      </c>
      <c r="I94" s="147">
        <f t="shared" si="12"/>
        <v>4777.5</v>
      </c>
      <c r="J94" s="147">
        <f t="shared" si="12"/>
        <v>4455</v>
      </c>
      <c r="K94" s="147">
        <f t="shared" si="12"/>
        <v>5065</v>
      </c>
      <c r="L94" s="147">
        <f t="shared" si="12"/>
        <v>4605</v>
      </c>
      <c r="M94" s="147">
        <f t="shared" si="12"/>
        <v>3454</v>
      </c>
      <c r="N94" s="147">
        <f t="shared" si="12"/>
        <v>4605</v>
      </c>
      <c r="O94" s="147">
        <f t="shared" si="12"/>
        <v>52695.5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300</v>
      </c>
      <c r="D98" s="133">
        <f>'採算表(VND)'!D98</f>
        <v>300</v>
      </c>
      <c r="E98" s="133">
        <f>'採算表(VND)'!E98</f>
        <v>300</v>
      </c>
      <c r="F98" s="133">
        <f>'採算表(VND)'!F98</f>
        <v>300</v>
      </c>
      <c r="G98" s="133">
        <f>'採算表(VND)'!G98</f>
        <v>300</v>
      </c>
      <c r="H98" s="133">
        <f>'採算表(VND)'!H98</f>
        <v>300</v>
      </c>
      <c r="I98" s="133">
        <f>'採算表(VND)'!I98</f>
        <v>300</v>
      </c>
      <c r="J98" s="133">
        <f>'採算表(VND)'!J98</f>
        <v>300</v>
      </c>
      <c r="K98" s="133">
        <f>'採算表(VND)'!K98</f>
        <v>300</v>
      </c>
      <c r="L98" s="133">
        <f>'採算表(VND)'!L98</f>
        <v>300</v>
      </c>
      <c r="M98" s="133">
        <f>'採算表(VND)'!M98</f>
        <v>180</v>
      </c>
      <c r="N98" s="133">
        <f>'採算表(VND)'!N98</f>
        <v>300</v>
      </c>
      <c r="O98" s="133">
        <f>SUM(C98:N98)</f>
        <v>3480</v>
      </c>
    </row>
    <row r="99" spans="2:15">
      <c r="B99" s="61" t="s">
        <v>18</v>
      </c>
      <c r="C99" s="147">
        <f t="shared" ref="C99:O99" si="13">C97+C98</f>
        <v>300</v>
      </c>
      <c r="D99" s="147">
        <f t="shared" si="13"/>
        <v>300</v>
      </c>
      <c r="E99" s="147">
        <f t="shared" si="13"/>
        <v>300</v>
      </c>
      <c r="F99" s="147">
        <f t="shared" si="13"/>
        <v>300</v>
      </c>
      <c r="G99" s="147">
        <f t="shared" si="13"/>
        <v>300</v>
      </c>
      <c r="H99" s="147">
        <f t="shared" si="13"/>
        <v>300</v>
      </c>
      <c r="I99" s="147">
        <f t="shared" si="13"/>
        <v>300</v>
      </c>
      <c r="J99" s="147">
        <f t="shared" si="13"/>
        <v>300</v>
      </c>
      <c r="K99" s="147">
        <f t="shared" si="13"/>
        <v>300</v>
      </c>
      <c r="L99" s="147">
        <f t="shared" si="13"/>
        <v>300</v>
      </c>
      <c r="M99" s="147">
        <f t="shared" si="13"/>
        <v>180</v>
      </c>
      <c r="N99" s="147">
        <f t="shared" si="13"/>
        <v>300</v>
      </c>
      <c r="O99" s="147">
        <f t="shared" si="13"/>
        <v>3480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C3B3-32C7-44EA-99D0-F95C5CF5B46B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機器製造管理課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5585546</v>
      </c>
      <c r="D20" s="158">
        <f>SUMIF('内訳ﾘｽﾄ(4～3月)'!$D$26:$D$1000,$B20,'内訳ﾘｽﾄ(4～3月)'!G$26:G$1000)</f>
        <v>5660447</v>
      </c>
      <c r="E20" s="158">
        <f>SUMIF('内訳ﾘｽﾄ(4～3月)'!$D$26:$D$1000,$B20,'内訳ﾘｽﾄ(4～3月)'!H$26:H$1000)</f>
        <v>5791459</v>
      </c>
      <c r="F20" s="158">
        <f>SUMIF('内訳ﾘｽﾄ(4～3月)'!$D$26:$D$1000,$B20,'内訳ﾘｽﾄ(4～3月)'!I$26:I$1000)</f>
        <v>5460120</v>
      </c>
      <c r="G20" s="158">
        <f>SUMIF('内訳ﾘｽﾄ(4～3月)'!$D$26:$D$1000,$B20,'内訳ﾘｽﾄ(4～3月)'!J$26:J$1000)</f>
        <v>5375571</v>
      </c>
      <c r="H20" s="158">
        <f>SUMIF('内訳ﾘｽﾄ(4～3月)'!$D$26:$D$1000,$B20,'内訳ﾘｽﾄ(4～3月)'!K$26:K$1000)</f>
        <v>5406292</v>
      </c>
      <c r="I20" s="158">
        <f>SUMIF('内訳ﾘｽﾄ(4～3月)'!$D$26:$D$1000,$B20,'内訳ﾘｽﾄ(4～3月)'!L$26:L$1000)</f>
        <v>5366684</v>
      </c>
      <c r="J20" s="158">
        <f>SUMIF('内訳ﾘｽﾄ(4～3月)'!$D$26:$D$1000,$B20,'内訳ﾘｽﾄ(4～3月)'!M$26:M$1000)</f>
        <v>5293053</v>
      </c>
      <c r="K20" s="158">
        <f>SUMIF('内訳ﾘｽﾄ(4～3月)'!$D$26:$D$1000,$B20,'内訳ﾘｽﾄ(4～3月)'!N$26:N$1000)</f>
        <v>5331646</v>
      </c>
      <c r="L20" s="158">
        <f>SUMIF('内訳ﾘｽﾄ(4～3月)'!$D$26:$D$1000,$B20,'内訳ﾘｽﾄ(4～3月)'!O$26:O$1000)</f>
        <v>5190986</v>
      </c>
      <c r="M20" s="158">
        <f>SUMIF('内訳ﾘｽﾄ(4～3月)'!$D$26:$D$1000,$B20,'内訳ﾘｽﾄ(4～3月)'!P$26:P$1000)</f>
        <v>5051340</v>
      </c>
      <c r="N20" s="158">
        <f>SUMIF('内訳ﾘｽﾄ(4～3月)'!$D$26:$D$1000,$B20,'内訳ﾘｽﾄ(4～3月)'!Q$26:Q$1000)</f>
        <v>5229071</v>
      </c>
      <c r="O20" s="158">
        <f>SUMIF('内訳ﾘｽﾄ(4～3月)'!$D$26:$D$799,'採算表(VND)'!$B20,'内訳ﾘｽﾄ(4～3月)'!R$26:R$799)</f>
        <v>64742215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547288</v>
      </c>
      <c r="D25" s="158">
        <f>SUMIF('内訳ﾘｽﾄ(4～3月)'!$D$26:$D$1000,$B25,'内訳ﾘｽﾄ(4～3月)'!G$26:G$1000)</f>
        <v>528248</v>
      </c>
      <c r="E25" s="158">
        <f>SUMIF('内訳ﾘｽﾄ(4～3月)'!$D$26:$D$1000,$B25,'内訳ﾘｽﾄ(4～3月)'!H$26:H$1000)</f>
        <v>575624</v>
      </c>
      <c r="F25" s="158">
        <f>SUMIF('内訳ﾘｽﾄ(4～3月)'!$D$26:$D$1000,$B25,'内訳ﾘｽﾄ(4～3月)'!I$26:I$1000)</f>
        <v>623028</v>
      </c>
      <c r="G25" s="158">
        <f>SUMIF('内訳ﾘｽﾄ(4～3月)'!$D$26:$D$1000,$B25,'内訳ﾘｽﾄ(4～3月)'!J$26:J$1000)</f>
        <v>545552</v>
      </c>
      <c r="H25" s="158">
        <f>SUMIF('内訳ﾘｽﾄ(4～3月)'!$D$26:$D$1000,$B25,'内訳ﾘｽﾄ(4～3月)'!K$26:K$1000)</f>
        <v>520604</v>
      </c>
      <c r="I25" s="158">
        <f>SUMIF('内訳ﾘｽﾄ(4～3月)'!$D$26:$D$1000,$B25,'内訳ﾘｽﾄ(4～3月)'!L$26:L$1000)</f>
        <v>622748</v>
      </c>
      <c r="J25" s="158">
        <f>SUMIF('内訳ﾘｽﾄ(4～3月)'!$D$26:$D$1000,$B25,'内訳ﾘｽﾄ(4～3月)'!M$26:M$1000)</f>
        <v>546980</v>
      </c>
      <c r="K25" s="158">
        <f>SUMIF('内訳ﾘｽﾄ(4～3月)'!$D$26:$D$1000,$B25,'内訳ﾘｽﾄ(4～3月)'!N$26:N$1000)</f>
        <v>598584</v>
      </c>
      <c r="L25" s="158">
        <f>SUMIF('内訳ﾘｽﾄ(4～3月)'!$D$26:$D$1000,$B25,'内訳ﾘｽﾄ(4～3月)'!O$26:O$1000)</f>
        <v>546756</v>
      </c>
      <c r="M25" s="158">
        <f>SUMIF('内訳ﾘｽﾄ(4～3月)'!$D$26:$D$1000,$B25,'内訳ﾘｽﾄ(4～3月)'!P$26:P$1000)</f>
        <v>420252</v>
      </c>
      <c r="N25" s="158">
        <f>SUMIF('内訳ﾘｽﾄ(4～3月)'!$D$26:$D$1000,$B25,'内訳ﾘｽﾄ(4～3月)'!Q$26:Q$1000)</f>
        <v>546560</v>
      </c>
      <c r="O25" s="158">
        <f>SUMIF('内訳ﾘｽﾄ(4～3月)'!$D$26:$D$799,'採算表(VND)'!$B25,'内訳ﾘｽﾄ(4～3月)'!R$26:R$799)</f>
        <v>6622224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20950000</v>
      </c>
      <c r="D26" s="158">
        <f>SUMIF('内訳ﾘｽﾄ(4～3月)'!$D$26:$D$1000,$B26,'内訳ﾘｽﾄ(4～3月)'!G$26:G$1000)</f>
        <v>20950000</v>
      </c>
      <c r="E26" s="158">
        <f>SUMIF('内訳ﾘｽﾄ(4～3月)'!$D$26:$D$1000,$B26,'内訳ﾘｽﾄ(4～3月)'!H$26:H$1000)</f>
        <v>20950000</v>
      </c>
      <c r="F26" s="158">
        <f>SUMIF('内訳ﾘｽﾄ(4～3月)'!$D$26:$D$1000,$B26,'内訳ﾘｽﾄ(4～3月)'!I$26:I$1000)</f>
        <v>20950000</v>
      </c>
      <c r="G26" s="158">
        <f>SUMIF('内訳ﾘｽﾄ(4～3月)'!$D$26:$D$1000,$B26,'内訳ﾘｽﾄ(4～3月)'!J$26:J$1000)</f>
        <v>20950000</v>
      </c>
      <c r="H26" s="158">
        <f>SUMIF('内訳ﾘｽﾄ(4～3月)'!$D$26:$D$1000,$B26,'内訳ﾘｽﾄ(4～3月)'!K$26:K$1000)</f>
        <v>41900000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146650000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3090713</v>
      </c>
      <c r="D30" s="158">
        <f>SUMIF('内訳ﾘｽﾄ(4～3月)'!$D$26:$D$1000,$B30,'内訳ﾘｽﾄ(4～3月)'!G$26:G$1000)</f>
        <v>3169124</v>
      </c>
      <c r="E30" s="158">
        <f>SUMIF('内訳ﾘｽﾄ(4～3月)'!$D$26:$D$1000,$B30,'内訳ﾘｽﾄ(4～3月)'!H$26:H$1000)</f>
        <v>3744253</v>
      </c>
      <c r="F30" s="158">
        <f>SUMIF('内訳ﾘｽﾄ(4～3月)'!$D$26:$D$1000,$B30,'内訳ﾘｽﾄ(4～3月)'!I$26:I$1000)</f>
        <v>4350387</v>
      </c>
      <c r="G30" s="158">
        <f>SUMIF('内訳ﾘｽﾄ(4～3月)'!$D$26:$D$1000,$B30,'内訳ﾘｽﾄ(4～3月)'!J$26:J$1000)</f>
        <v>4136891</v>
      </c>
      <c r="H30" s="158">
        <f>SUMIF('内訳ﾘｽﾄ(4～3月)'!$D$26:$D$1000,$B30,'内訳ﾘｽﾄ(4～3月)'!K$26:K$1000)</f>
        <v>3711558</v>
      </c>
      <c r="I30" s="158">
        <f>SUMIF('内訳ﾘｽﾄ(4～3月)'!$D$26:$D$1000,$B30,'内訳ﾘｽﾄ(4～3月)'!L$26:L$1000)</f>
        <v>3616751</v>
      </c>
      <c r="J30" s="158">
        <f>SUMIF('内訳ﾘｽﾄ(4～3月)'!$D$26:$D$1000,$B30,'内訳ﾘｽﾄ(4～3月)'!M$26:M$1000)</f>
        <v>3586410</v>
      </c>
      <c r="K30" s="158">
        <f>SUMIF('内訳ﾘｽﾄ(4～3月)'!$D$26:$D$1000,$B30,'内訳ﾘｽﾄ(4～3月)'!N$26:N$1000)</f>
        <v>3611301</v>
      </c>
      <c r="L30" s="158">
        <f>SUMIF('内訳ﾘｽﾄ(4～3月)'!$D$26:$D$1000,$B30,'内訳ﾘｽﾄ(4～3月)'!O$26:O$1000)</f>
        <v>3050024</v>
      </c>
      <c r="M30" s="158">
        <f>SUMIF('内訳ﾘｽﾄ(4～3月)'!$D$26:$D$1000,$B30,'内訳ﾘｽﾄ(4～3月)'!P$26:P$1000)</f>
        <v>2599990</v>
      </c>
      <c r="N30" s="158">
        <f>SUMIF('内訳ﾘｽﾄ(4～3月)'!$D$26:$D$1000,$B30,'内訳ﾘｽﾄ(4～3月)'!Q$26:Q$1000)</f>
        <v>2732022</v>
      </c>
      <c r="O30" s="158">
        <f>SUMIF('内訳ﾘｽﾄ(4～3月)'!$D$26:$D$799,'採算表(VND)'!$B30,'内訳ﾘｽﾄ(4～3月)'!R$26:R$799)</f>
        <v>41399424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1574916</v>
      </c>
      <c r="D39" s="158">
        <f>SUMIF('内訳ﾘｽﾄ(4～3月)'!$D$26:$D$1000,$B39,'内訳ﾘｽﾄ(4～3月)'!G$26:G$1000)</f>
        <v>1580936</v>
      </c>
      <c r="E39" s="158">
        <f>SUMIF('内訳ﾘｽﾄ(4～3月)'!$D$26:$D$1000,$B39,'内訳ﾘｽﾄ(4～3月)'!H$26:H$1000)</f>
        <v>1629628</v>
      </c>
      <c r="F39" s="158">
        <f>SUMIF('内訳ﾘｽﾄ(4～3月)'!$D$26:$D$1000,$B39,'内訳ﾘｽﾄ(4～3月)'!I$26:I$1000)</f>
        <v>1492568</v>
      </c>
      <c r="G39" s="158">
        <f>SUMIF('内訳ﾘｽﾄ(4～3月)'!$D$26:$D$1000,$B39,'内訳ﾘｽﾄ(4～3月)'!J$26:J$1000)</f>
        <v>1452948</v>
      </c>
      <c r="H39" s="158">
        <f>SUMIF('内訳ﾘｽﾄ(4～3月)'!$D$26:$D$1000,$B39,'内訳ﾘｽﾄ(4～3月)'!K$26:K$1000)</f>
        <v>1388520</v>
      </c>
      <c r="I39" s="158">
        <f>SUMIF('内訳ﾘｽﾄ(4～3月)'!$D$26:$D$1000,$B39,'内訳ﾘｽﾄ(4～3月)'!L$26:L$1000)</f>
        <v>1328096</v>
      </c>
      <c r="J39" s="158">
        <f>SUMIF('内訳ﾘｽﾄ(4～3月)'!$D$26:$D$1000,$B39,'内訳ﾘｽﾄ(4～3月)'!M$26:M$1000)</f>
        <v>1311632</v>
      </c>
      <c r="K39" s="158">
        <f>SUMIF('内訳ﾘｽﾄ(4～3月)'!$D$26:$D$1000,$B39,'内訳ﾘｽﾄ(4～3月)'!N$26:N$1000)</f>
        <v>1315356</v>
      </c>
      <c r="L39" s="158">
        <f>SUMIF('内訳ﾘｽﾄ(4～3月)'!$D$26:$D$1000,$B39,'内訳ﾘｽﾄ(4～3月)'!O$26:O$1000)</f>
        <v>1259104</v>
      </c>
      <c r="M39" s="158">
        <f>SUMIF('内訳ﾘｽﾄ(4～3月)'!$D$26:$D$1000,$B39,'内訳ﾘｽﾄ(4～3月)'!P$26:P$1000)</f>
        <v>1191736</v>
      </c>
      <c r="N39" s="158">
        <f>SUMIF('内訳ﾘｽﾄ(4～3月)'!$D$26:$D$1000,$B39,'内訳ﾘｽﾄ(4～3月)'!Q$26:Q$1000)</f>
        <v>1247120</v>
      </c>
      <c r="O39" s="158">
        <f>SUMIF('内訳ﾘｽﾄ(4～3月)'!$D$26:$D$799,'採算表(VND)'!$B39,'内訳ﾘｽﾄ(4～3月)'!R$26:R$799)</f>
        <v>16772560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0</v>
      </c>
      <c r="D41" s="158">
        <f>SUMIF('内訳ﾘｽﾄ(4～3月)'!$D$26:$D$1000,$B41,'内訳ﾘｽﾄ(4～3月)'!G$26:G$1000)</f>
        <v>0</v>
      </c>
      <c r="E41" s="158">
        <f>SUMIF('内訳ﾘｽﾄ(4～3月)'!$D$26:$D$1000,$B41,'内訳ﾘｽﾄ(4～3月)'!H$26:H$1000)</f>
        <v>0</v>
      </c>
      <c r="F41" s="158">
        <f>SUMIF('内訳ﾘｽﾄ(4～3月)'!$D$26:$D$1000,$B41,'内訳ﾘｽﾄ(4～3月)'!I$26:I$1000)</f>
        <v>0</v>
      </c>
      <c r="G41" s="158">
        <f>SUMIF('内訳ﾘｽﾄ(4～3月)'!$D$26:$D$1000,$B41,'内訳ﾘｽﾄ(4～3月)'!J$26:J$1000)</f>
        <v>0</v>
      </c>
      <c r="H41" s="158">
        <f>SUMIF('内訳ﾘｽﾄ(4～3月)'!$D$26:$D$1000,$B41,'内訳ﾘｽﾄ(4～3月)'!K$26:K$1000)</f>
        <v>0</v>
      </c>
      <c r="I41" s="158">
        <f>SUMIF('内訳ﾘｽﾄ(4～3月)'!$D$26:$D$1000,$B41,'内訳ﾘｽﾄ(4～3月)'!L$26:L$1000)</f>
        <v>0</v>
      </c>
      <c r="J41" s="158">
        <f>SUMIF('内訳ﾘｽﾄ(4～3月)'!$D$26:$D$1000,$B41,'内訳ﾘｽﾄ(4～3月)'!M$26:M$1000)</f>
        <v>0</v>
      </c>
      <c r="K41" s="158">
        <f>SUMIF('内訳ﾘｽﾄ(4～3月)'!$D$26:$D$1000,$B41,'内訳ﾘｽﾄ(4～3月)'!N$26:N$1000)</f>
        <v>0</v>
      </c>
      <c r="L41" s="158">
        <f>SUMIF('内訳ﾘｽﾄ(4～3月)'!$D$26:$D$1000,$B41,'内訳ﾘｽﾄ(4～3月)'!O$26:O$1000)</f>
        <v>0</v>
      </c>
      <c r="M41" s="158">
        <f>SUMIF('内訳ﾘｽﾄ(4～3月)'!$D$26:$D$1000,$B41,'内訳ﾘｽﾄ(4～3月)'!P$26:P$1000)</f>
        <v>0</v>
      </c>
      <c r="N41" s="158">
        <f>SUMIF('内訳ﾘｽﾄ(4～3月)'!$D$26:$D$1000,$B41,'内訳ﾘｽﾄ(4～3月)'!Q$26:Q$1000)</f>
        <v>0</v>
      </c>
      <c r="O41" s="158">
        <f>SUMIF('内訳ﾘｽﾄ(4～3月)'!$D$26:$D$799,'採算表(VND)'!$B41,'内訳ﾘｽﾄ(4～3月)'!R$26:R$799)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4154312</v>
      </c>
      <c r="D42" s="158">
        <f>SUMIF('内訳ﾘｽﾄ(4～3月)'!$D$26:$D$1000,$B42,'内訳ﾘｽﾄ(4～3月)'!G$26:G$1000)</f>
        <v>4154312</v>
      </c>
      <c r="E42" s="158">
        <f>SUMIF('内訳ﾘｽﾄ(4～3月)'!$D$26:$D$1000,$B42,'内訳ﾘｽﾄ(4～3月)'!H$26:H$1000)</f>
        <v>4154312</v>
      </c>
      <c r="F42" s="158">
        <f>SUMIF('内訳ﾘｽﾄ(4～3月)'!$D$26:$D$1000,$B42,'内訳ﾘｽﾄ(4～3月)'!I$26:I$1000)</f>
        <v>4154312</v>
      </c>
      <c r="G42" s="158">
        <f>SUMIF('内訳ﾘｽﾄ(4～3月)'!$D$26:$D$1000,$B42,'内訳ﾘｽﾄ(4～3月)'!J$26:J$1000)</f>
        <v>4154312</v>
      </c>
      <c r="H42" s="158">
        <f>SUMIF('内訳ﾘｽﾄ(4～3月)'!$D$26:$D$1000,$B42,'内訳ﾘｽﾄ(4～3月)'!K$26:K$1000)</f>
        <v>4154312</v>
      </c>
      <c r="I42" s="158">
        <f>SUMIF('内訳ﾘｽﾄ(4～3月)'!$D$26:$D$1000,$B42,'内訳ﾘｽﾄ(4～3月)'!L$26:L$1000)</f>
        <v>4154312</v>
      </c>
      <c r="J42" s="158">
        <f>SUMIF('内訳ﾘｽﾄ(4～3月)'!$D$26:$D$1000,$B42,'内訳ﾘｽﾄ(4～3月)'!M$26:M$1000)</f>
        <v>4176712</v>
      </c>
      <c r="K42" s="158">
        <f>SUMIF('内訳ﾘｽﾄ(4～3月)'!$D$26:$D$1000,$B42,'内訳ﾘｽﾄ(4～3月)'!N$26:N$1000)</f>
        <v>4154312</v>
      </c>
      <c r="L42" s="158">
        <f>SUMIF('内訳ﾘｽﾄ(4～3月)'!$D$26:$D$1000,$B42,'内訳ﾘｽﾄ(4～3月)'!O$26:O$1000)</f>
        <v>4154312</v>
      </c>
      <c r="M42" s="158">
        <f>SUMIF('内訳ﾘｽﾄ(4～3月)'!$D$26:$D$1000,$B42,'内訳ﾘｽﾄ(4～3月)'!P$26:P$1000)</f>
        <v>4154312</v>
      </c>
      <c r="N42" s="158">
        <f>SUMIF('内訳ﾘｽﾄ(4～3月)'!$D$26:$D$1000,$B42,'内訳ﾘｽﾄ(4～3月)'!Q$26:Q$1000)</f>
        <v>4154312</v>
      </c>
      <c r="O42" s="158">
        <f>SUMIF('内訳ﾘｽﾄ(4～3月)'!$D$26:$D$799,'採算表(VND)'!$B42,'内訳ﾘｽﾄ(4～3月)'!R$26:R$799)</f>
        <v>49874144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22089356</v>
      </c>
      <c r="D44" s="158">
        <f>SUMIF('内訳ﾘｽﾄ(4～3月)'!$D$26:$D$1000,$B44,'内訳ﾘｽﾄ(4～3月)'!G$26:G$1000)</f>
        <v>51238494</v>
      </c>
      <c r="E44" s="158">
        <f>SUMIF('内訳ﾘｽﾄ(4～3月)'!$D$26:$D$1000,$B44,'内訳ﾘｽﾄ(4～3月)'!H$26:H$1000)</f>
        <v>12731954</v>
      </c>
      <c r="F44" s="158">
        <f>SUMIF('内訳ﾘｽﾄ(4～3月)'!$D$26:$D$1000,$B44,'内訳ﾘｽﾄ(4～3月)'!I$26:I$1000)</f>
        <v>5800926</v>
      </c>
      <c r="G44" s="158">
        <f>SUMIF('内訳ﾘｽﾄ(4～3月)'!$D$26:$D$1000,$B44,'内訳ﾘｽﾄ(4～3月)'!J$26:J$1000)</f>
        <v>3767668</v>
      </c>
      <c r="H44" s="158">
        <f>SUMIF('内訳ﾘｽﾄ(4～3月)'!$D$26:$D$1000,$B44,'内訳ﾘｽﾄ(4～3月)'!K$26:K$1000)</f>
        <v>8609026</v>
      </c>
      <c r="I44" s="158">
        <f>SUMIF('内訳ﾘｽﾄ(4～3月)'!$D$26:$D$1000,$B44,'内訳ﾘｽﾄ(4～3月)'!L$26:L$1000)</f>
        <v>5340470</v>
      </c>
      <c r="J44" s="158">
        <f>SUMIF('内訳ﾘｽﾄ(4～3月)'!$D$26:$D$1000,$B44,'内訳ﾘｽﾄ(4～3月)'!M$26:M$1000)</f>
        <v>6990234</v>
      </c>
      <c r="K44" s="158">
        <f>SUMIF('内訳ﾘｽﾄ(4～3月)'!$D$26:$D$1000,$B44,'内訳ﾘｽﾄ(4～3月)'!N$26:N$1000)</f>
        <v>8744184</v>
      </c>
      <c r="L44" s="158">
        <f>SUMIF('内訳ﾘｽﾄ(4～3月)'!$D$26:$D$1000,$B44,'内訳ﾘｽﾄ(4～3月)'!O$26:O$1000)</f>
        <v>2920850</v>
      </c>
      <c r="M44" s="158">
        <f>SUMIF('内訳ﾘｽﾄ(4～3月)'!$D$26:$D$1000,$B44,'内訳ﾘｽﾄ(4～3月)'!P$26:P$1000)</f>
        <v>5897718</v>
      </c>
      <c r="N44" s="158">
        <f>SUMIF('内訳ﾘｽﾄ(4～3月)'!$D$26:$D$1000,$B44,'内訳ﾘｽﾄ(4～3月)'!Q$26:Q$1000)</f>
        <v>11481456</v>
      </c>
      <c r="O44" s="158">
        <f>SUMIF('内訳ﾘｽﾄ(4～3月)'!$D$26:$D$799,'採算表(VND)'!$B44,'内訳ﾘｽﾄ(4～3月)'!R$26:R$799)</f>
        <v>145612336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3991054</v>
      </c>
      <c r="D57" s="160">
        <f>SUMIF('内訳ﾘｽﾄ(4～3月)'!$D$26:$D$1000,$B57,'内訳ﾘｽﾄ(4～3月)'!G$26:G$1000)</f>
        <v>3840492</v>
      </c>
      <c r="E57" s="160">
        <f>SUMIF('内訳ﾘｽﾄ(4～3月)'!$D$26:$D$1000,$B57,'内訳ﾘｽﾄ(4～3月)'!H$26:H$1000)</f>
        <v>3929357</v>
      </c>
      <c r="F57" s="160">
        <f>SUMIF('内訳ﾘｽﾄ(4～3月)'!$D$26:$D$1000,$B57,'内訳ﾘｽﾄ(4～3月)'!I$26:I$1000)</f>
        <v>3704655</v>
      </c>
      <c r="G57" s="160">
        <f>SUMIF('内訳ﾘｽﾄ(4～3月)'!$D$26:$D$1000,$B57,'内訳ﾘｽﾄ(4～3月)'!J$26:J$1000)</f>
        <v>3647273</v>
      </c>
      <c r="H57" s="160">
        <f>SUMIF('内訳ﾘｽﾄ(4～3月)'!$D$26:$D$1000,$B57,'内訳ﾘｽﾄ(4～3月)'!K$26:K$1000)</f>
        <v>3668093</v>
      </c>
      <c r="I57" s="160">
        <f>SUMIF('内訳ﾘｽﾄ(4～3月)'!$D$26:$D$1000,$B57,'内訳ﾘｽﾄ(4～3月)'!L$26:L$1000)</f>
        <v>3641434</v>
      </c>
      <c r="J57" s="160">
        <f>SUMIF('内訳ﾘｽﾄ(4～3月)'!$D$26:$D$1000,$B57,'内訳ﾘｽﾄ(4～3月)'!M$26:M$1000)</f>
        <v>3591416</v>
      </c>
      <c r="K57" s="160">
        <f>SUMIF('内訳ﾘｽﾄ(4～3月)'!$D$26:$D$1000,$B57,'内訳ﾘｽﾄ(4～3月)'!N$26:N$1000)</f>
        <v>3617314</v>
      </c>
      <c r="L57" s="160">
        <f>SUMIF('内訳ﾘｽﾄ(4～3月)'!$D$26:$D$1000,$B57,'内訳ﾘｽﾄ(4～3月)'!O$26:O$1000)</f>
        <v>3521847</v>
      </c>
      <c r="M57" s="160">
        <f>SUMIF('内訳ﾘｽﾄ(4～3月)'!$D$26:$D$1000,$B57,'内訳ﾘｽﾄ(4～3月)'!P$26:P$1000)</f>
        <v>3427396</v>
      </c>
      <c r="N57" s="160">
        <f>SUMIF('内訳ﾘｽﾄ(4～3月)'!$D$26:$D$1000,$B57,'内訳ﾘｽﾄ(4～3月)'!Q$26:Q$1000)</f>
        <v>3547745</v>
      </c>
      <c r="O57" s="160">
        <f>SUMIF('内訳ﾘｽﾄ(4～3月)'!$D$26:$D$799,'採算表(VND)'!$B57,'内訳ﾘｽﾄ(4～3月)'!R$26:R$799)</f>
        <v>44128076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-61983185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-91122053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-53506587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-46535996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-44030215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-69358405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-24070495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-25496437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-27372697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-20643879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-22742744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-28938286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-515800979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4645</v>
      </c>
      <c r="D68" s="162">
        <f>SUMIF('内訳ﾘｽﾄ(4～3月)'!$D$8:$D$15,'採算表(VND)'!$B68,'内訳ﾘｽﾄ(4～3月)'!G$8:G$15)</f>
        <v>3928.5</v>
      </c>
      <c r="E68" s="162">
        <f>SUMIF('内訳ﾘｽﾄ(4～3月)'!$D$8:$D$15,'採算表(VND)'!$B68,'内訳ﾘｽﾄ(4～3月)'!H$8:H$15)</f>
        <v>4342.5</v>
      </c>
      <c r="F68" s="162">
        <f>SUMIF('内訳ﾘｽﾄ(4～3月)'!$D$8:$D$15,'採算表(VND)'!$B68,'内訳ﾘｽﾄ(4～3月)'!I$8:I$15)</f>
        <v>4754.5</v>
      </c>
      <c r="G68" s="162">
        <f>SUMIF('内訳ﾘｽﾄ(4～3月)'!$D$8:$D$15,'採算表(VND)'!$B68,'内訳ﾘｽﾄ(4～3月)'!J$8:J$15)</f>
        <v>4135</v>
      </c>
      <c r="H68" s="162">
        <f>SUMIF('内訳ﾘｽﾄ(4～3月)'!$D$8:$D$15,'採算表(VND)'!$B68,'内訳ﾘｽﾄ(4～3月)'!K$8:K$15)</f>
        <v>3928.5</v>
      </c>
      <c r="I68" s="162">
        <f>SUMIF('内訳ﾘｽﾄ(4～3月)'!$D$8:$D$15,'採算表(VND)'!$B68,'内訳ﾘｽﾄ(4～3月)'!L$8:L$15)</f>
        <v>4777.5</v>
      </c>
      <c r="J68" s="162">
        <f>SUMIF('内訳ﾘｽﾄ(4～3月)'!$D$8:$D$15,'採算表(VND)'!$B68,'内訳ﾘｽﾄ(4～3月)'!M$8:M$15)</f>
        <v>4455</v>
      </c>
      <c r="K68" s="162">
        <f>SUMIF('内訳ﾘｽﾄ(4～3月)'!$D$8:$D$15,'採算表(VND)'!$B68,'内訳ﾘｽﾄ(4～3月)'!N$8:N$15)</f>
        <v>5065</v>
      </c>
      <c r="L68" s="162">
        <f>SUMIF('内訳ﾘｽﾄ(4～3月)'!$D$8:$D$15,'採算表(VND)'!$B68,'内訳ﾘｽﾄ(4～3月)'!O$8:O$15)</f>
        <v>4605</v>
      </c>
      <c r="M68" s="162">
        <f>SUMIF('内訳ﾘｽﾄ(4～3月)'!$D$8:$D$15,'採算表(VND)'!$B68,'内訳ﾘｽﾄ(4～3月)'!P$8:P$15)</f>
        <v>3454</v>
      </c>
      <c r="N68" s="162">
        <f>SUMIF('内訳ﾘｽﾄ(4～3月)'!$D$8:$D$15,'採算表(VND)'!$B68,'内訳ﾘｽﾄ(4～3月)'!Q$8:Q$15)</f>
        <v>4605</v>
      </c>
      <c r="O68" s="162">
        <f>SUMIF('内訳ﾘｽﾄ(4～3月)'!$D$8:$D$15,'採算表(VND)'!$B68,'内訳ﾘｽﾄ(4～3月)'!$R$8:$R$15)</f>
        <v>52695.5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-4645</v>
      </c>
      <c r="D69" s="163">
        <f>IF('内訳ﾘｽﾄ(4～3月)'!$D$5="製造",SUMIF('内訳ﾘｽﾄ(4～3月)'!$D$8:$D$15,$B69,'内訳ﾘｽﾄ(4～3月)'!G$8:G$15),IF('内訳ﾘｽﾄ(4～3月)'!$D$5="部内間接",-D$68,0))</f>
        <v>-3928.5</v>
      </c>
      <c r="E69" s="163">
        <f>IF('内訳ﾘｽﾄ(4～3月)'!$D$5="製造",SUMIF('内訳ﾘｽﾄ(4～3月)'!$D$8:$D$15,$B69,'内訳ﾘｽﾄ(4～3月)'!H$8:H$15),IF('内訳ﾘｽﾄ(4～3月)'!$D$5="部内間接",-E$68,0))</f>
        <v>-4342.5</v>
      </c>
      <c r="F69" s="163">
        <f>IF('内訳ﾘｽﾄ(4～3月)'!$D$5="製造",SUMIF('内訳ﾘｽﾄ(4～3月)'!$D$8:$D$15,$B69,'内訳ﾘｽﾄ(4～3月)'!I$8:I$15),IF('内訳ﾘｽﾄ(4～3月)'!$D$5="部内間接",-F$68,0))</f>
        <v>-4754.5</v>
      </c>
      <c r="G69" s="163">
        <f>IF('内訳ﾘｽﾄ(4～3月)'!$D$5="製造",SUMIF('内訳ﾘｽﾄ(4～3月)'!$D$8:$D$15,$B69,'内訳ﾘｽﾄ(4～3月)'!J$8:J$15),IF('内訳ﾘｽﾄ(4～3月)'!$D$5="部内間接",-G$68,0))</f>
        <v>-4135</v>
      </c>
      <c r="H69" s="163">
        <f>IF('内訳ﾘｽﾄ(4～3月)'!$D$5="製造",SUMIF('内訳ﾘｽﾄ(4～3月)'!$D$8:$D$15,$B69,'内訳ﾘｽﾄ(4～3月)'!K$8:K$15),IF('内訳ﾘｽﾄ(4～3月)'!$D$5="部内間接",-H$68,0))</f>
        <v>-3928.5</v>
      </c>
      <c r="I69" s="163">
        <f>IF('内訳ﾘｽﾄ(4～3月)'!$D$5="製造",SUMIF('内訳ﾘｽﾄ(4～3月)'!$D$8:$D$15,$B69,'内訳ﾘｽﾄ(4～3月)'!L$8:L$15),IF('内訳ﾘｽﾄ(4～3月)'!$D$5="部内間接",-I$68,0))</f>
        <v>-4777.5</v>
      </c>
      <c r="J69" s="163">
        <f>IF('内訳ﾘｽﾄ(4～3月)'!$D$5="製造",SUMIF('内訳ﾘｽﾄ(4～3月)'!$D$8:$D$15,$B69,'内訳ﾘｽﾄ(4～3月)'!M$8:M$15),IF('内訳ﾘｽﾄ(4～3月)'!$D$5="部内間接",-J$68,0))</f>
        <v>-4455</v>
      </c>
      <c r="K69" s="163">
        <f>IF('内訳ﾘｽﾄ(4～3月)'!$D$5="製造",SUMIF('内訳ﾘｽﾄ(4～3月)'!$D$8:$D$15,$B69,'内訳ﾘｽﾄ(4～3月)'!N$8:N$15),IF('内訳ﾘｽﾄ(4～3月)'!$D$5="部内間接",-K$68,0))</f>
        <v>-5065</v>
      </c>
      <c r="L69" s="163">
        <f>IF('内訳ﾘｽﾄ(4～3月)'!$D$5="製造",SUMIF('内訳ﾘｽﾄ(4～3月)'!$D$8:$D$15,$B69,'内訳ﾘｽﾄ(4～3月)'!O$8:O$15),IF('内訳ﾘｽﾄ(4～3月)'!$D$5="部内間接",-L$68,0))</f>
        <v>-4605</v>
      </c>
      <c r="M69" s="163">
        <f>IF('内訳ﾘｽﾄ(4～3月)'!$D$5="製造",SUMIF('内訳ﾘｽﾄ(4～3月)'!$D$8:$D$15,$B69,'内訳ﾘｽﾄ(4～3月)'!P$8:P$15),IF('内訳ﾘｽﾄ(4～3月)'!$D$5="部内間接",-M$68,0))</f>
        <v>-3454</v>
      </c>
      <c r="N69" s="163">
        <f>IF('内訳ﾘｽﾄ(4～3月)'!$D$5="製造",SUMIF('内訳ﾘｽﾄ(4～3月)'!$D$8:$D$15,$B69,'内訳ﾘｽﾄ(4～3月)'!Q$8:Q$15),IF('内訳ﾘｽﾄ(4～3月)'!$D$5="部内間接",-N$68,0))</f>
        <v>-4605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-52695.5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300</v>
      </c>
      <c r="D74" s="162">
        <f>SUMIF('内訳ﾘｽﾄ(4～3月)'!$D$16:$D$23,'採算表(VND)'!$B74,'内訳ﾘｽﾄ(4～3月)'!G$16:G$23)</f>
        <v>300</v>
      </c>
      <c r="E74" s="162">
        <f>SUMIF('内訳ﾘｽﾄ(4～3月)'!$D$16:$D$23,'採算表(VND)'!$B74,'内訳ﾘｽﾄ(4～3月)'!H$16:H$23)</f>
        <v>300</v>
      </c>
      <c r="F74" s="162">
        <f>SUMIF('内訳ﾘｽﾄ(4～3月)'!$D$16:$D$23,'採算表(VND)'!$B74,'内訳ﾘｽﾄ(4～3月)'!I$16:I$23)</f>
        <v>300</v>
      </c>
      <c r="G74" s="162">
        <f>SUMIF('内訳ﾘｽﾄ(4～3月)'!$D$16:$D$23,'採算表(VND)'!$B74,'内訳ﾘｽﾄ(4～3月)'!J$16:J$23)</f>
        <v>300</v>
      </c>
      <c r="H74" s="162">
        <f>SUMIF('内訳ﾘｽﾄ(4～3月)'!$D$16:$D$23,'採算表(VND)'!$B74,'内訳ﾘｽﾄ(4～3月)'!K$16:K$23)</f>
        <v>300</v>
      </c>
      <c r="I74" s="162">
        <f>SUMIF('内訳ﾘｽﾄ(4～3月)'!$D$16:$D$23,'採算表(VND)'!$B74,'内訳ﾘｽﾄ(4～3月)'!L$16:L$23)</f>
        <v>300</v>
      </c>
      <c r="J74" s="162">
        <f>SUMIF('内訳ﾘｽﾄ(4～3月)'!$D$16:$D$23,'採算表(VND)'!$B74,'内訳ﾘｽﾄ(4～3月)'!M$16:M$23)</f>
        <v>300</v>
      </c>
      <c r="K74" s="162">
        <f>SUMIF('内訳ﾘｽﾄ(4～3月)'!$D$16:$D$23,'採算表(VND)'!$B74,'内訳ﾘｽﾄ(4～3月)'!N$16:N$23)</f>
        <v>300</v>
      </c>
      <c r="L74" s="162">
        <f>SUMIF('内訳ﾘｽﾄ(4～3月)'!$D$16:$D$23,'採算表(VND)'!$B74,'内訳ﾘｽﾄ(4～3月)'!O$16:O$23)</f>
        <v>300</v>
      </c>
      <c r="M74" s="162">
        <f>SUMIF('内訳ﾘｽﾄ(4～3月)'!$D$16:$D$23,'採算表(VND)'!$B74,'内訳ﾘｽﾄ(4～3月)'!P$16:P$23)</f>
        <v>180</v>
      </c>
      <c r="N74" s="162">
        <f>SUMIF('内訳ﾘｽﾄ(4～3月)'!$D$16:$D$23,'採算表(VND)'!$B74,'内訳ﾘｽﾄ(4～3月)'!Q$16:Q$23)</f>
        <v>300</v>
      </c>
      <c r="O74" s="162">
        <f>SUMIF('内訳ﾘｽﾄ(4～3月)'!$D$16:$D$23,'採算表(VND)'!$B74,'内訳ﾘｽﾄ(4～3月)'!$R$16:$R$23)</f>
        <v>3480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-300</v>
      </c>
      <c r="D75" s="163">
        <f>IF('内訳ﾘｽﾄ(4～3月)'!$D$5="製造",SUMIF('内訳ﾘｽﾄ(4～3月)'!$D$16:$D$23,$B75,'内訳ﾘｽﾄ(4～3月)'!G$16:G$23),IF('内訳ﾘｽﾄ(4～3月)'!$D$5="部内間接",-D$74,0))</f>
        <v>-300</v>
      </c>
      <c r="E75" s="163">
        <f>IF('内訳ﾘｽﾄ(4～3月)'!$D$5="製造",SUMIF('内訳ﾘｽﾄ(4～3月)'!$D$16:$D$23,$B75,'内訳ﾘｽﾄ(4～3月)'!H$16:H$23),IF('内訳ﾘｽﾄ(4～3月)'!$D$5="部内間接",-E$74,0))</f>
        <v>-300</v>
      </c>
      <c r="F75" s="163">
        <f>IF('内訳ﾘｽﾄ(4～3月)'!$D$5="製造",SUMIF('内訳ﾘｽﾄ(4～3月)'!$D$16:$D$23,$B75,'内訳ﾘｽﾄ(4～3月)'!I$16:I$23),IF('内訳ﾘｽﾄ(4～3月)'!$D$5="部内間接",-F$74,0))</f>
        <v>-300</v>
      </c>
      <c r="G75" s="163">
        <f>IF('内訳ﾘｽﾄ(4～3月)'!$D$5="製造",SUMIF('内訳ﾘｽﾄ(4～3月)'!$D$16:$D$23,$B75,'内訳ﾘｽﾄ(4～3月)'!J$16:J$23),IF('内訳ﾘｽﾄ(4～3月)'!$D$5="部内間接",-G$74,0))</f>
        <v>-300</v>
      </c>
      <c r="H75" s="163">
        <f>IF('内訳ﾘｽﾄ(4～3月)'!$D$5="製造",SUMIF('内訳ﾘｽﾄ(4～3月)'!$D$16:$D$23,$B75,'内訳ﾘｽﾄ(4～3月)'!K$16:K$23),IF('内訳ﾘｽﾄ(4～3月)'!$D$5="部内間接",-H$74,0))</f>
        <v>-300</v>
      </c>
      <c r="I75" s="163">
        <f>IF('内訳ﾘｽﾄ(4～3月)'!$D$5="製造",SUMIF('内訳ﾘｽﾄ(4～3月)'!$D$16:$D$23,$B75,'内訳ﾘｽﾄ(4～3月)'!L$16:L$23),IF('内訳ﾘｽﾄ(4～3月)'!$D$5="部内間接",-I$74,0))</f>
        <v>-300</v>
      </c>
      <c r="J75" s="163">
        <f>IF('内訳ﾘｽﾄ(4～3月)'!$D$5="製造",SUMIF('内訳ﾘｽﾄ(4～3月)'!$D$16:$D$23,$B75,'内訳ﾘｽﾄ(4～3月)'!M$16:M$23),IF('内訳ﾘｽﾄ(4～3月)'!$D$5="部内間接",-J$74,0))</f>
        <v>-300</v>
      </c>
      <c r="K75" s="163">
        <f>IF('内訳ﾘｽﾄ(4～3月)'!$D$5="製造",SUMIF('内訳ﾘｽﾄ(4～3月)'!$D$16:$D$23,$B75,'内訳ﾘｽﾄ(4～3月)'!N$16:N$23),IF('内訳ﾘｽﾄ(4～3月)'!$D$5="部内間接",-K$74,0))</f>
        <v>-300</v>
      </c>
      <c r="L75" s="163">
        <f>IF('内訳ﾘｽﾄ(4～3月)'!$D$5="製造",SUMIF('内訳ﾘｽﾄ(4～3月)'!$D$16:$D$23,$B75,'内訳ﾘｽﾄ(4～3月)'!O$16:O$23),IF('内訳ﾘｽﾄ(4～3月)'!$D$5="部内間接",-L$74,0))</f>
        <v>-300</v>
      </c>
      <c r="M75" s="163">
        <f>IF('内訳ﾘｽﾄ(4～3月)'!$D$5="製造",SUMIF('内訳ﾘｽﾄ(4～3月)'!$D$16:$D$23,$B75,'内訳ﾘｽﾄ(4～3月)'!P$16:P$23),IF('内訳ﾘｽﾄ(4～3月)'!$D$5="部内間接",-M$74,0))</f>
        <v>-180</v>
      </c>
      <c r="N75" s="163">
        <f>IF('内訳ﾘｽﾄ(4～3月)'!$D$5="製造",SUMIF('内訳ﾘｽﾄ(4～3月)'!$D$16:$D$23,$B75,'内訳ﾘｽﾄ(4～3月)'!Q$16:Q$23),IF('内訳ﾘｽﾄ(4～3月)'!$D$5="部内間接",-N$74,0))</f>
        <v>-300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-3480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28</v>
      </c>
      <c r="D88" s="150">
        <f>SUMIF('内訳ﾘｽﾄ(4～3月)'!$D$24:$D$25,'採算表(VND)'!$B88,'内訳ﾘｽﾄ(4～3月)'!G$24:G$25)</f>
        <v>28</v>
      </c>
      <c r="E88" s="150">
        <f>SUMIF('内訳ﾘｽﾄ(4～3月)'!$D$24:$D$25,'採算表(VND)'!$B88,'内訳ﾘｽﾄ(4～3月)'!H$24:H$25)</f>
        <v>28</v>
      </c>
      <c r="F88" s="150">
        <f>SUMIF('内訳ﾘｽﾄ(4～3月)'!$D$24:$D$25,'採算表(VND)'!$B88,'内訳ﾘｽﾄ(4～3月)'!I$24:I$25)</f>
        <v>28</v>
      </c>
      <c r="G88" s="150">
        <f>SUMIF('内訳ﾘｽﾄ(4～3月)'!$D$24:$D$25,'採算表(VND)'!$B88,'内訳ﾘｽﾄ(4～3月)'!J$24:J$25)</f>
        <v>28</v>
      </c>
      <c r="H88" s="150">
        <f>SUMIF('内訳ﾘｽﾄ(4～3月)'!$D$24:$D$25,'採算表(VND)'!$B88,'内訳ﾘｽﾄ(4～3月)'!K$24:K$25)</f>
        <v>28</v>
      </c>
      <c r="I88" s="150">
        <f>SUMIF('内訳ﾘｽﾄ(4～3月)'!$D$24:$D$25,'採算表(VND)'!$B88,'内訳ﾘｽﾄ(4～3月)'!L$24:L$25)</f>
        <v>28</v>
      </c>
      <c r="J88" s="150">
        <f>SUMIF('内訳ﾘｽﾄ(4～3月)'!$D$24:$D$25,'採算表(VND)'!$B88,'内訳ﾘｽﾄ(4～3月)'!M$24:M$25)</f>
        <v>28</v>
      </c>
      <c r="K88" s="150">
        <f>SUMIF('内訳ﾘｽﾄ(4～3月)'!$D$24:$D$25,'採算表(VND)'!$B88,'内訳ﾘｽﾄ(4～3月)'!N$24:N$25)</f>
        <v>28</v>
      </c>
      <c r="L88" s="150">
        <f>SUMIF('内訳ﾘｽﾄ(4～3月)'!$D$24:$D$25,'採算表(VND)'!$B88,'内訳ﾘｽﾄ(4～3月)'!O$24:O$25)</f>
        <v>28</v>
      </c>
      <c r="M88" s="150">
        <f>SUMIF('内訳ﾘｽﾄ(4～3月)'!$D$24:$D$25,'採算表(VND)'!$B88,'内訳ﾘｽﾄ(4～3月)'!P$24:P$25)</f>
        <v>28</v>
      </c>
      <c r="N88" s="150">
        <f>SUMIF('内訳ﾘｽﾄ(4～3月)'!$D$24:$D$25,'採算表(VND)'!$B88,'内訳ﾘｽﾄ(4～3月)'!Q$24:Q$25)</f>
        <v>28</v>
      </c>
      <c r="O88" s="150">
        <f>SUMIF('内訳ﾘｽﾄ(4～3月)'!$D$24:$D$25,'採算表(VND)'!$B88,'内訳ﾘｽﾄ(4～3月)'!R$24:R$25)</f>
        <v>28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28</v>
      </c>
      <c r="D89" s="151">
        <f t="shared" si="10"/>
        <v>28</v>
      </c>
      <c r="E89" s="151">
        <f t="shared" si="10"/>
        <v>28</v>
      </c>
      <c r="F89" s="151">
        <f t="shared" si="10"/>
        <v>28</v>
      </c>
      <c r="G89" s="151">
        <f t="shared" si="10"/>
        <v>28</v>
      </c>
      <c r="H89" s="151">
        <f t="shared" si="10"/>
        <v>28</v>
      </c>
      <c r="I89" s="151">
        <f t="shared" si="10"/>
        <v>28</v>
      </c>
      <c r="J89" s="151">
        <f t="shared" si="10"/>
        <v>28</v>
      </c>
      <c r="K89" s="151">
        <f t="shared" si="10"/>
        <v>28</v>
      </c>
      <c r="L89" s="151">
        <f t="shared" si="10"/>
        <v>28</v>
      </c>
      <c r="M89" s="151">
        <f t="shared" si="10"/>
        <v>28</v>
      </c>
      <c r="N89" s="151">
        <f t="shared" si="10"/>
        <v>28</v>
      </c>
      <c r="O89" s="151">
        <f>O87+O88</f>
        <v>28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4645</v>
      </c>
      <c r="D93" s="161">
        <f>SUMIF('内訳ﾘｽﾄ(4～3月)'!$B$8:$B$15,$B93,'内訳ﾘｽﾄ(4～3月)'!G$8:G$15)</f>
        <v>3928.5</v>
      </c>
      <c r="E93" s="161">
        <f>SUMIF('内訳ﾘｽﾄ(4～3月)'!$B$8:$B$15,$B93,'内訳ﾘｽﾄ(4～3月)'!H$8:H$15)</f>
        <v>4342.5</v>
      </c>
      <c r="F93" s="161">
        <f>SUMIF('内訳ﾘｽﾄ(4～3月)'!$B$8:$B$15,$B93,'内訳ﾘｽﾄ(4～3月)'!I$8:I$15)</f>
        <v>4754.5</v>
      </c>
      <c r="G93" s="161">
        <f>SUMIF('内訳ﾘｽﾄ(4～3月)'!$B$8:$B$15,$B93,'内訳ﾘｽﾄ(4～3月)'!J$8:J$15)</f>
        <v>4135</v>
      </c>
      <c r="H93" s="161">
        <f>SUMIF('内訳ﾘｽﾄ(4～3月)'!$B$8:$B$15,$B93,'内訳ﾘｽﾄ(4～3月)'!K$8:K$15)</f>
        <v>3928.5</v>
      </c>
      <c r="I93" s="161">
        <f>SUMIF('内訳ﾘｽﾄ(4～3月)'!$B$8:$B$15,$B93,'内訳ﾘｽﾄ(4～3月)'!L$8:L$15)</f>
        <v>4777.5</v>
      </c>
      <c r="J93" s="161">
        <f>SUMIF('内訳ﾘｽﾄ(4～3月)'!$B$8:$B$15,$B93,'内訳ﾘｽﾄ(4～3月)'!M$8:M$15)</f>
        <v>4455</v>
      </c>
      <c r="K93" s="161">
        <f>SUMIF('内訳ﾘｽﾄ(4～3月)'!$B$8:$B$15,$B93,'内訳ﾘｽﾄ(4～3月)'!N$8:N$15)</f>
        <v>5065</v>
      </c>
      <c r="L93" s="161">
        <f>SUMIF('内訳ﾘｽﾄ(4～3月)'!$B$8:$B$15,$B93,'内訳ﾘｽﾄ(4～3月)'!O$8:O$15)</f>
        <v>4605</v>
      </c>
      <c r="M93" s="161">
        <f>SUMIF('内訳ﾘｽﾄ(4～3月)'!$B$8:$B$15,$B93,'内訳ﾘｽﾄ(4～3月)'!P$8:P$15)</f>
        <v>3454</v>
      </c>
      <c r="N93" s="161">
        <f>SUMIF('内訳ﾘｽﾄ(4～3月)'!$B$8:$B$15,$B93,'内訳ﾘｽﾄ(4～3月)'!Q$8:Q$15)</f>
        <v>4605</v>
      </c>
      <c r="O93" s="161">
        <f>SUMIF('内訳ﾘｽﾄ(4～3月)'!$B$8:$B$15,$B93,'内訳ﾘｽﾄ(4～3月)'!R$8:R$15)</f>
        <v>52695.5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4645</v>
      </c>
      <c r="D94" s="169">
        <f t="shared" si="11"/>
        <v>3928.5</v>
      </c>
      <c r="E94" s="169">
        <f t="shared" si="11"/>
        <v>4342.5</v>
      </c>
      <c r="F94" s="169">
        <f t="shared" si="11"/>
        <v>4754.5</v>
      </c>
      <c r="G94" s="169">
        <f t="shared" si="11"/>
        <v>4135</v>
      </c>
      <c r="H94" s="169">
        <f t="shared" si="11"/>
        <v>3928.5</v>
      </c>
      <c r="I94" s="169">
        <f t="shared" si="11"/>
        <v>4777.5</v>
      </c>
      <c r="J94" s="169">
        <f t="shared" si="11"/>
        <v>4455</v>
      </c>
      <c r="K94" s="169">
        <f t="shared" si="11"/>
        <v>5065</v>
      </c>
      <c r="L94" s="169">
        <f t="shared" si="11"/>
        <v>4605</v>
      </c>
      <c r="M94" s="169">
        <f t="shared" si="11"/>
        <v>3454</v>
      </c>
      <c r="N94" s="169">
        <f t="shared" si="11"/>
        <v>4605</v>
      </c>
      <c r="O94" s="169">
        <f>O92+O93</f>
        <v>52695.5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300</v>
      </c>
      <c r="D98" s="161">
        <f>SUMIF('内訳ﾘｽﾄ(4～3月)'!$B$16:$B$23,$B98,'内訳ﾘｽﾄ(4～3月)'!G$16:G$23)</f>
        <v>300</v>
      </c>
      <c r="E98" s="161">
        <f>SUMIF('内訳ﾘｽﾄ(4～3月)'!$B$16:$B$23,$B98,'内訳ﾘｽﾄ(4～3月)'!H$16:H$23)</f>
        <v>300</v>
      </c>
      <c r="F98" s="161">
        <f>SUMIF('内訳ﾘｽﾄ(4～3月)'!$B$16:$B$23,$B98,'内訳ﾘｽﾄ(4～3月)'!I$16:I$23)</f>
        <v>300</v>
      </c>
      <c r="G98" s="161">
        <f>SUMIF('内訳ﾘｽﾄ(4～3月)'!$B$16:$B$23,$B98,'内訳ﾘｽﾄ(4～3月)'!J$16:J$23)</f>
        <v>300</v>
      </c>
      <c r="H98" s="161">
        <f>SUMIF('内訳ﾘｽﾄ(4～3月)'!$B$16:$B$23,$B98,'内訳ﾘｽﾄ(4～3月)'!K$16:K$23)</f>
        <v>300</v>
      </c>
      <c r="I98" s="161">
        <f>SUMIF('内訳ﾘｽﾄ(4～3月)'!$B$16:$B$23,$B98,'内訳ﾘｽﾄ(4～3月)'!L$16:L$23)</f>
        <v>300</v>
      </c>
      <c r="J98" s="161">
        <f>SUMIF('内訳ﾘｽﾄ(4～3月)'!$B$16:$B$23,$B98,'内訳ﾘｽﾄ(4～3月)'!M$16:M$23)</f>
        <v>300</v>
      </c>
      <c r="K98" s="161">
        <f>SUMIF('内訳ﾘｽﾄ(4～3月)'!$B$16:$B$23,$B98,'内訳ﾘｽﾄ(4～3月)'!N$16:N$23)</f>
        <v>300</v>
      </c>
      <c r="L98" s="161">
        <f>SUMIF('内訳ﾘｽﾄ(4～3月)'!$B$16:$B$23,$B98,'内訳ﾘｽﾄ(4～3月)'!O$16:O$23)</f>
        <v>300</v>
      </c>
      <c r="M98" s="161">
        <f>SUMIF('内訳ﾘｽﾄ(4～3月)'!$B$16:$B$23,$B98,'内訳ﾘｽﾄ(4～3月)'!P$16:P$23)</f>
        <v>180</v>
      </c>
      <c r="N98" s="161">
        <f>SUMIF('内訳ﾘｽﾄ(4～3月)'!$B$16:$B$23,$B98,'内訳ﾘｽﾄ(4～3月)'!Q$16:Q$23)</f>
        <v>300</v>
      </c>
      <c r="O98" s="161">
        <f>SUMIF('内訳ﾘｽﾄ(4～3月)'!$B$16:$B$23,$B98,'内訳ﾘｽﾄ(4～3月)'!R$16:R$23)</f>
        <v>3480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300</v>
      </c>
      <c r="D99" s="169">
        <f t="shared" si="12"/>
        <v>300</v>
      </c>
      <c r="E99" s="169">
        <f t="shared" si="12"/>
        <v>300</v>
      </c>
      <c r="F99" s="169">
        <f t="shared" si="12"/>
        <v>300</v>
      </c>
      <c r="G99" s="169">
        <f t="shared" si="12"/>
        <v>300</v>
      </c>
      <c r="H99" s="169">
        <f t="shared" si="12"/>
        <v>300</v>
      </c>
      <c r="I99" s="169">
        <f t="shared" si="12"/>
        <v>300</v>
      </c>
      <c r="J99" s="169">
        <f t="shared" si="12"/>
        <v>300</v>
      </c>
      <c r="K99" s="169">
        <f t="shared" si="12"/>
        <v>300</v>
      </c>
      <c r="L99" s="169">
        <f t="shared" si="12"/>
        <v>300</v>
      </c>
      <c r="M99" s="169">
        <f t="shared" si="12"/>
        <v>180</v>
      </c>
      <c r="N99" s="169">
        <f t="shared" si="12"/>
        <v>300</v>
      </c>
      <c r="O99" s="169">
        <f>O97+O98</f>
        <v>3480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DA60E4DE-AFE3-4F52-8AF2-EF24F4B495C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A802-6BFC-4D09-A088-2574F45562D0}">
  <sheetPr codeName="Sheet3">
    <tabColor indexed="13"/>
  </sheetPr>
  <dimension ref="A1:BC1000"/>
  <sheetViews>
    <sheetView tabSelected="1" zoomScaleNormal="100" workbookViewId="0">
      <pane xSplit="4" ySplit="7" topLeftCell="N67" activePane="bottomRight" state="frozen"/>
      <selection pane="topRight" activeCell="E1" sqref="E1"/>
      <selection pane="bottomLeft" activeCell="A8" sqref="A8"/>
      <selection pane="bottomRight" activeCell="R81" sqref="R81"/>
    </sheetView>
  </sheetViews>
  <sheetFormatPr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1412000062</v>
      </c>
      <c r="C5" s="7" t="str">
        <f>VLOOKUP($B$5,原価センタ!$A:$E,2,0)</f>
        <v>機器製造管理課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SUM(F29:F1000)</f>
        <v>61983185</v>
      </c>
      <c r="G5" s="252">
        <f t="shared" si="0"/>
        <v>91122053</v>
      </c>
      <c r="H5" s="252">
        <f t="shared" si="0"/>
        <v>53506587</v>
      </c>
      <c r="I5" s="252">
        <f t="shared" si="0"/>
        <v>46535996</v>
      </c>
      <c r="J5" s="252">
        <f t="shared" si="0"/>
        <v>44030215</v>
      </c>
      <c r="K5" s="252">
        <f t="shared" si="0"/>
        <v>69358405</v>
      </c>
      <c r="L5" s="252">
        <f t="shared" si="0"/>
        <v>24070495</v>
      </c>
      <c r="M5" s="252">
        <f t="shared" si="0"/>
        <v>25496437</v>
      </c>
      <c r="N5" s="252">
        <f t="shared" si="0"/>
        <v>27372697</v>
      </c>
      <c r="O5" s="252">
        <f t="shared" si="0"/>
        <v>20643879</v>
      </c>
      <c r="P5" s="252">
        <f t="shared" si="0"/>
        <v>22742744</v>
      </c>
      <c r="Q5" s="252">
        <f t="shared" si="0"/>
        <v>28938286</v>
      </c>
      <c r="R5" s="253">
        <f t="shared" si="0"/>
        <v>515800979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186">
        <v>0</v>
      </c>
      <c r="Q8" s="186">
        <v>0</v>
      </c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4645</v>
      </c>
      <c r="G9" s="194">
        <v>3928.5</v>
      </c>
      <c r="H9" s="194">
        <v>4342.5</v>
      </c>
      <c r="I9" s="194">
        <v>4754.5</v>
      </c>
      <c r="J9" s="194">
        <v>4135</v>
      </c>
      <c r="K9" s="194">
        <v>3928.5</v>
      </c>
      <c r="L9" s="194">
        <v>4777.5</v>
      </c>
      <c r="M9" s="194">
        <v>4455</v>
      </c>
      <c r="N9" s="194">
        <v>5065</v>
      </c>
      <c r="O9" s="194">
        <v>4605</v>
      </c>
      <c r="P9" s="194">
        <v>3454</v>
      </c>
      <c r="Q9" s="194">
        <v>4605</v>
      </c>
      <c r="R9" s="195">
        <f t="shared" ref="R9:R23" si="1">SUM(F9:Q9)</f>
        <v>52695.5</v>
      </c>
      <c r="S9" s="196" t="s">
        <v>701</v>
      </c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v>0</v>
      </c>
      <c r="G16" s="194">
        <v>0</v>
      </c>
      <c r="H16" s="194">
        <v>0</v>
      </c>
      <c r="I16" s="194">
        <v>0</v>
      </c>
      <c r="J16" s="194">
        <v>0</v>
      </c>
      <c r="K16" s="194">
        <v>0</v>
      </c>
      <c r="L16" s="194">
        <v>0</v>
      </c>
      <c r="M16" s="194">
        <v>0</v>
      </c>
      <c r="N16" s="194">
        <v>0</v>
      </c>
      <c r="O16" s="194">
        <v>0</v>
      </c>
      <c r="P16" s="194">
        <v>0</v>
      </c>
      <c r="Q16" s="194">
        <v>0</v>
      </c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300</v>
      </c>
      <c r="G17" s="194">
        <v>300</v>
      </c>
      <c r="H17" s="194">
        <v>300</v>
      </c>
      <c r="I17" s="194">
        <v>300</v>
      </c>
      <c r="J17" s="194">
        <v>300</v>
      </c>
      <c r="K17" s="194">
        <v>300</v>
      </c>
      <c r="L17" s="194">
        <v>300</v>
      </c>
      <c r="M17" s="194">
        <v>300</v>
      </c>
      <c r="N17" s="194">
        <v>300</v>
      </c>
      <c r="O17" s="194">
        <v>300</v>
      </c>
      <c r="P17" s="194">
        <v>180</v>
      </c>
      <c r="Q17" s="194">
        <v>300</v>
      </c>
      <c r="R17" s="205">
        <f t="shared" si="1"/>
        <v>3480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0</v>
      </c>
      <c r="G24" s="267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67">
        <v>0</v>
      </c>
      <c r="O24" s="267">
        <v>0</v>
      </c>
      <c r="P24" s="267">
        <v>0</v>
      </c>
      <c r="Q24" s="267">
        <v>0</v>
      </c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28</v>
      </c>
      <c r="G25" s="271">
        <v>28</v>
      </c>
      <c r="H25" s="271">
        <v>28</v>
      </c>
      <c r="I25" s="271">
        <v>28</v>
      </c>
      <c r="J25" s="271">
        <v>28</v>
      </c>
      <c r="K25" s="271">
        <v>28</v>
      </c>
      <c r="L25" s="271">
        <v>28</v>
      </c>
      <c r="M25" s="271">
        <v>28</v>
      </c>
      <c r="N25" s="271">
        <v>28</v>
      </c>
      <c r="O25" s="271">
        <v>28</v>
      </c>
      <c r="P25" s="271">
        <v>28</v>
      </c>
      <c r="Q25" s="271">
        <v>28</v>
      </c>
      <c r="R25" s="272">
        <f>Q25</f>
        <v>28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/>
      <c r="C38" s="183" t="str">
        <f>IFERROR(IF(VLOOKUP($B38,勘定科目!$A:$H,HLOOKUP($E$5,勘定科目!$F$1:$H$2,2,0),0)="","",VLOOKUP($B38,勘定科目!$A:$E,2,0)),"")</f>
        <v/>
      </c>
      <c r="D38" s="239" t="str">
        <f>IF(C38="","",VLOOKUP($B38,勘定科目!$A:$E,4,0))</f>
        <v/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5005246282</v>
      </c>
      <c r="C39" s="183" t="str">
        <f>IFERROR(IF(VLOOKUP($B39,勘定科目!$A:$H,HLOOKUP($E$5,勘定科目!$F$1:$H$2,2,0),0)="","",VLOOKUP($B39,勘定科目!$A:$E,2,0)),"")</f>
        <v>ＫＤＣシステム使用料（製）</v>
      </c>
      <c r="D39" s="239" t="str">
        <f>IF(C39="","",VLOOKUP($B39,勘定科目!$A:$E,4,0))</f>
        <v>図書及び事務費</v>
      </c>
      <c r="E39" s="245"/>
      <c r="F39" s="194">
        <v>4154312</v>
      </c>
      <c r="G39" s="194">
        <v>4154312</v>
      </c>
      <c r="H39" s="194">
        <v>4154312</v>
      </c>
      <c r="I39" s="194">
        <v>4154312</v>
      </c>
      <c r="J39" s="194">
        <v>4154312</v>
      </c>
      <c r="K39" s="194">
        <v>4154312</v>
      </c>
      <c r="L39" s="194">
        <v>4154312</v>
      </c>
      <c r="M39" s="194">
        <v>4154312</v>
      </c>
      <c r="N39" s="194">
        <v>4154312</v>
      </c>
      <c r="O39" s="194">
        <v>4154312</v>
      </c>
      <c r="P39" s="194">
        <v>4154312</v>
      </c>
      <c r="Q39" s="194">
        <v>4154312</v>
      </c>
      <c r="R39" s="200">
        <f t="shared" si="3"/>
        <v>49851744</v>
      </c>
      <c r="S39" s="201" t="s">
        <v>702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5006016260</v>
      </c>
      <c r="C40" s="183" t="str">
        <f>IFERROR(IF(VLOOKUP($B40,勘定科目!$A:$H,HLOOKUP($E$5,勘定科目!$F$1:$H$2,2,0),0)="","",VLOOKUP($B40,勘定科目!$A:$E,2,0)),"")</f>
        <v>減価償却費配賦（製）　建物</v>
      </c>
      <c r="D40" s="239" t="str">
        <f>IF(C40="","",VLOOKUP($B40,勘定科目!$A:$E,4,0))</f>
        <v>減価償却費</v>
      </c>
      <c r="E40" s="245"/>
      <c r="F40" s="194">
        <v>5232371</v>
      </c>
      <c r="G40" s="247">
        <v>5302448</v>
      </c>
      <c r="H40" s="247">
        <v>5425335</v>
      </c>
      <c r="I40" s="247">
        <v>5114816</v>
      </c>
      <c r="J40" s="247">
        <v>5035599</v>
      </c>
      <c r="K40" s="247">
        <v>5064543</v>
      </c>
      <c r="L40" s="247">
        <v>5027474</v>
      </c>
      <c r="M40" s="247">
        <v>4958413</v>
      </c>
      <c r="N40" s="247">
        <v>4994467</v>
      </c>
      <c r="O40" s="247">
        <v>4862693</v>
      </c>
      <c r="P40" s="247">
        <v>4731934</v>
      </c>
      <c r="Q40" s="247">
        <v>4898493</v>
      </c>
      <c r="R40" s="200">
        <f t="shared" si="3"/>
        <v>60648586</v>
      </c>
      <c r="S40" s="201" t="s">
        <v>697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5006016261</v>
      </c>
      <c r="C41" s="183" t="str">
        <f>IFERROR(IF(VLOOKUP($B41,勘定科目!$A:$H,HLOOKUP($E$5,勘定科目!$F$1:$H$2,2,0),0)="","",VLOOKUP($B41,勘定科目!$A:$E,2,0)),"")</f>
        <v>減価償却費配賦（製）　土地使用権</v>
      </c>
      <c r="D41" s="239" t="str">
        <f>IF(C41="","",VLOOKUP($B41,勘定科目!$A:$E,4,0))</f>
        <v>減価償却費</v>
      </c>
      <c r="E41" s="245"/>
      <c r="F41" s="194">
        <v>353175</v>
      </c>
      <c r="G41" s="247">
        <v>357999</v>
      </c>
      <c r="H41" s="247">
        <v>366124</v>
      </c>
      <c r="I41" s="247">
        <v>345304</v>
      </c>
      <c r="J41" s="247">
        <v>339972</v>
      </c>
      <c r="K41" s="247">
        <v>341749</v>
      </c>
      <c r="L41" s="247">
        <v>339210</v>
      </c>
      <c r="M41" s="247">
        <v>334640</v>
      </c>
      <c r="N41" s="247">
        <v>337179</v>
      </c>
      <c r="O41" s="247">
        <v>328293</v>
      </c>
      <c r="P41" s="247">
        <v>319406</v>
      </c>
      <c r="Q41" s="247">
        <v>330578</v>
      </c>
      <c r="R41" s="200">
        <f t="shared" si="3"/>
        <v>4093629</v>
      </c>
      <c r="S41" s="201" t="s">
        <v>698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9114120007</v>
      </c>
      <c r="C42" s="183" t="str">
        <f>IFERROR(IF(VLOOKUP($B42,勘定科目!$A:$H,HLOOKUP($E$5,勘定科目!$F$1:$H$2,2,0),0)="","",VLOOKUP($B42,勘定科目!$A:$E,2,0)),"")</f>
        <v>社内金利（固定資産）</v>
      </c>
      <c r="D42" s="239" t="str">
        <f>IF(C42="","",VLOOKUP($B42,勘定科目!$A:$E,4,0))</f>
        <v>固定資産金利</v>
      </c>
      <c r="E42" s="245"/>
      <c r="F42" s="194">
        <v>3551807</v>
      </c>
      <c r="G42" s="247">
        <v>3408354</v>
      </c>
      <c r="H42" s="247">
        <v>3487317</v>
      </c>
      <c r="I42" s="247">
        <v>3287751</v>
      </c>
      <c r="J42" s="247">
        <v>3236971</v>
      </c>
      <c r="K42" s="247">
        <v>3255252</v>
      </c>
      <c r="L42" s="247">
        <v>3231639</v>
      </c>
      <c r="M42" s="247">
        <v>3187207</v>
      </c>
      <c r="N42" s="247">
        <v>3210312</v>
      </c>
      <c r="O42" s="247">
        <v>3125509</v>
      </c>
      <c r="P42" s="247">
        <v>3041722</v>
      </c>
      <c r="Q42" s="247">
        <v>3148614</v>
      </c>
      <c r="R42" s="200">
        <f t="shared" si="3"/>
        <v>39172455</v>
      </c>
      <c r="S42" s="201" t="s">
        <v>730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39" t="str">
        <f>IF(C43="","",VLOOKUP($B43,勘定科目!$A:$E,4,0))</f>
        <v>固定資産金利</v>
      </c>
      <c r="E43" s="245"/>
      <c r="F43" s="194">
        <v>439247</v>
      </c>
      <c r="G43" s="247">
        <v>432138</v>
      </c>
      <c r="H43" s="247">
        <v>442040</v>
      </c>
      <c r="I43" s="247">
        <v>416904</v>
      </c>
      <c r="J43" s="247">
        <v>410302</v>
      </c>
      <c r="K43" s="247">
        <v>412841</v>
      </c>
      <c r="L43" s="247">
        <v>409795</v>
      </c>
      <c r="M43" s="247">
        <v>404209</v>
      </c>
      <c r="N43" s="247">
        <v>407002</v>
      </c>
      <c r="O43" s="247">
        <v>396338</v>
      </c>
      <c r="P43" s="247">
        <v>385674</v>
      </c>
      <c r="Q43" s="247">
        <v>399131</v>
      </c>
      <c r="R43" s="200">
        <f t="shared" si="3"/>
        <v>4955621</v>
      </c>
      <c r="S43" s="201" t="s">
        <v>731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5005066281</v>
      </c>
      <c r="C44" s="183" t="str">
        <f>IFERROR(IF(VLOOKUP($B44,勘定科目!$A:$H,HLOOKUP($E$5,勘定科目!$F$1:$H$2,2,0),0)="","",VLOOKUP($B44,勘定科目!$A:$E,2,0)),"")</f>
        <v>電気代（製）</v>
      </c>
      <c r="D44" s="239" t="str">
        <f>IF(C44="","",VLOOKUP($B44,勘定科目!$A:$E,4,0))</f>
        <v>水道光熱費</v>
      </c>
      <c r="E44" s="245"/>
      <c r="F44" s="194">
        <v>1146698</v>
      </c>
      <c r="G44" s="247">
        <v>1174671</v>
      </c>
      <c r="H44" s="247">
        <v>1472525</v>
      </c>
      <c r="I44" s="247">
        <v>1585796</v>
      </c>
      <c r="J44" s="247">
        <v>1642431</v>
      </c>
      <c r="K44" s="247">
        <v>1506506</v>
      </c>
      <c r="L44" s="247">
        <v>1529160</v>
      </c>
      <c r="M44" s="247">
        <v>1359253</v>
      </c>
      <c r="N44" s="247">
        <v>1302618</v>
      </c>
      <c r="O44" s="247">
        <v>1132711</v>
      </c>
      <c r="P44" s="247">
        <v>1132711</v>
      </c>
      <c r="Q44" s="247">
        <v>906169</v>
      </c>
      <c r="R44" s="200">
        <f t="shared" si="3"/>
        <v>15891249</v>
      </c>
      <c r="S44" s="201" t="s">
        <v>699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5005066282</v>
      </c>
      <c r="C45" s="183" t="str">
        <f>IFERROR(IF(VLOOKUP($B45,勘定科目!$A:$H,HLOOKUP($E$5,勘定科目!$F$1:$H$2,2,0),0)="","",VLOOKUP($B45,勘定科目!$A:$E,2,0)),"")</f>
        <v>水道代（製）</v>
      </c>
      <c r="D45" s="239" t="str">
        <f>IF(C45="","",VLOOKUP($B45,勘定科目!$A:$E,4,0))</f>
        <v>水道光熱費</v>
      </c>
      <c r="E45" s="245"/>
      <c r="F45" s="194">
        <v>813767</v>
      </c>
      <c r="G45" s="247">
        <v>899345</v>
      </c>
      <c r="H45" s="247">
        <v>1015760</v>
      </c>
      <c r="I45" s="247">
        <v>1450579</v>
      </c>
      <c r="J45" s="247">
        <v>1299196</v>
      </c>
      <c r="K45" s="247">
        <v>1127304</v>
      </c>
      <c r="L45" s="247">
        <v>772235</v>
      </c>
      <c r="M45" s="247">
        <v>1075629</v>
      </c>
      <c r="N45" s="247">
        <v>1074275</v>
      </c>
      <c r="O45" s="247">
        <v>728461</v>
      </c>
      <c r="P45" s="247">
        <v>546247</v>
      </c>
      <c r="Q45" s="247">
        <v>634677</v>
      </c>
      <c r="R45" s="200">
        <f t="shared" si="3"/>
        <v>11437475</v>
      </c>
      <c r="S45" s="201" t="s">
        <v>700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5005056281</v>
      </c>
      <c r="C46" s="183" t="str">
        <f>IFERROR(IF(VLOOKUP($B46,勘定科目!$A:$H,HLOOKUP($E$5,勘定科目!$F$1:$H$2,2,0),0)="","",VLOOKUP($B46,勘定科目!$A:$E,2,0)),"")</f>
        <v>ガス代（製）</v>
      </c>
      <c r="D46" s="239" t="str">
        <f>IF(C46="","",VLOOKUP($B46,勘定科目!$A:$E,4,0))</f>
        <v>水道光熱費</v>
      </c>
      <c r="E46" s="245"/>
      <c r="F46" s="194">
        <v>1130248</v>
      </c>
      <c r="G46" s="247">
        <v>1095108</v>
      </c>
      <c r="H46" s="247">
        <v>1255968</v>
      </c>
      <c r="I46" s="247">
        <v>1314012</v>
      </c>
      <c r="J46" s="247">
        <v>1195264</v>
      </c>
      <c r="K46" s="247">
        <v>1077748</v>
      </c>
      <c r="L46" s="247">
        <v>1315356</v>
      </c>
      <c r="M46" s="247">
        <v>1151528</v>
      </c>
      <c r="N46" s="247">
        <v>1234408</v>
      </c>
      <c r="O46" s="247">
        <v>1188852</v>
      </c>
      <c r="P46" s="247">
        <v>921032</v>
      </c>
      <c r="Q46" s="247">
        <v>1191176</v>
      </c>
      <c r="R46" s="200">
        <f t="shared" si="3"/>
        <v>14070700</v>
      </c>
      <c r="S46" s="201" t="s">
        <v>703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5005016372</v>
      </c>
      <c r="C47" s="183" t="str">
        <f>IFERROR(IF(VLOOKUP($B47,勘定科目!$A:$H,HLOOKUP($E$5,勘定科目!$F$1:$H$2,2,0),0)="","",VLOOKUP($B47,勘定科目!$A:$E,2,0)),"")</f>
        <v>その他消耗品（製）</v>
      </c>
      <c r="D47" s="239" t="str">
        <f>IF(C47="","",VLOOKUP($B47,勘定科目!$A:$E,4,0))</f>
        <v>消耗品費</v>
      </c>
      <c r="E47" s="245"/>
      <c r="F47" s="194">
        <v>31416</v>
      </c>
      <c r="G47" s="247">
        <v>31640</v>
      </c>
      <c r="H47" s="247">
        <v>32396</v>
      </c>
      <c r="I47" s="247">
        <v>31164</v>
      </c>
      <c r="J47" s="247">
        <v>30240</v>
      </c>
      <c r="K47" s="247">
        <v>30604</v>
      </c>
      <c r="L47" s="247">
        <v>31668</v>
      </c>
      <c r="M47" s="247">
        <v>31192</v>
      </c>
      <c r="N47" s="247">
        <v>31472</v>
      </c>
      <c r="O47" s="247">
        <v>31584</v>
      </c>
      <c r="P47" s="247">
        <v>32088</v>
      </c>
      <c r="Q47" s="247">
        <v>30380</v>
      </c>
      <c r="R47" s="200">
        <f t="shared" si="3"/>
        <v>375844</v>
      </c>
      <c r="S47" s="201" t="s">
        <v>693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5005016372</v>
      </c>
      <c r="C48" s="183" t="str">
        <f>IFERROR(IF(VLOOKUP($B48,勘定科目!$A:$H,HLOOKUP($E$5,勘定科目!$F$1:$H$2,2,0),0)="","",VLOOKUP($B48,勘定科目!$A:$E,2,0)),"")</f>
        <v>その他消耗品（製）</v>
      </c>
      <c r="D48" s="239" t="str">
        <f>IF(C48="","",VLOOKUP($B48,勘定科目!$A:$E,4,0))</f>
        <v>消耗品費</v>
      </c>
      <c r="E48" s="245"/>
      <c r="F48" s="194">
        <v>515872</v>
      </c>
      <c r="G48" s="247">
        <v>496608</v>
      </c>
      <c r="H48" s="247">
        <v>543228</v>
      </c>
      <c r="I48" s="247">
        <v>591864</v>
      </c>
      <c r="J48" s="247">
        <v>515312</v>
      </c>
      <c r="K48" s="247">
        <v>490000</v>
      </c>
      <c r="L48" s="247">
        <v>591080</v>
      </c>
      <c r="M48" s="247">
        <v>515788</v>
      </c>
      <c r="N48" s="247">
        <v>567112</v>
      </c>
      <c r="O48" s="247">
        <v>515172</v>
      </c>
      <c r="P48" s="247">
        <v>388164</v>
      </c>
      <c r="Q48" s="247">
        <v>516180</v>
      </c>
      <c r="R48" s="200">
        <f t="shared" si="3"/>
        <v>6246380</v>
      </c>
      <c r="S48" s="201" t="s">
        <v>694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5005246286</v>
      </c>
      <c r="C49" s="183" t="str">
        <f>IFERROR(IF(VLOOKUP($B49,勘定科目!$A:$H,HLOOKUP($E$5,勘定科目!$F$1:$H$2,2,0),0)="","",VLOOKUP($B49,勘定科目!$A:$E,2,0)),"")</f>
        <v>その他手数料（製）</v>
      </c>
      <c r="D49" s="239" t="str">
        <f>IF(C49="","",VLOOKUP($B49,勘定科目!$A:$E,4,0))</f>
        <v>手数料</v>
      </c>
      <c r="E49" s="245"/>
      <c r="F49" s="194">
        <v>1574916</v>
      </c>
      <c r="G49" s="247">
        <v>1580936</v>
      </c>
      <c r="H49" s="247">
        <v>1629628</v>
      </c>
      <c r="I49" s="247">
        <v>1492568</v>
      </c>
      <c r="J49" s="247">
        <v>1452948</v>
      </c>
      <c r="K49" s="247">
        <v>1388520</v>
      </c>
      <c r="L49" s="247">
        <v>1328096</v>
      </c>
      <c r="M49" s="247">
        <v>1311632</v>
      </c>
      <c r="N49" s="247">
        <v>1315356</v>
      </c>
      <c r="O49" s="247">
        <v>1259104</v>
      </c>
      <c r="P49" s="247">
        <v>1191736</v>
      </c>
      <c r="Q49" s="247">
        <v>1247120</v>
      </c>
      <c r="R49" s="200">
        <f t="shared" si="3"/>
        <v>16772560</v>
      </c>
      <c r="S49" s="201" t="s">
        <v>695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5004086291</v>
      </c>
      <c r="C50" s="183" t="str">
        <f>IFERROR(IF(VLOOKUP($B50,勘定科目!$A:$H,HLOOKUP($E$5,勘定科目!$F$1:$H$2,2,0),0)="","",VLOOKUP($B50,勘定科目!$A:$E,2,0)),"")</f>
        <v>福利厚生費（製）</v>
      </c>
      <c r="D50" s="239" t="str">
        <f>IF(C50="","",VLOOKUP($B50,勘定科目!$A:$E,4,0))</f>
        <v>福利厚生費</v>
      </c>
      <c r="E50" s="245"/>
      <c r="F50" s="194">
        <v>2749356</v>
      </c>
      <c r="G50" s="247">
        <v>3173494</v>
      </c>
      <c r="H50" s="247">
        <v>2836954</v>
      </c>
      <c r="I50" s="247">
        <v>2974926</v>
      </c>
      <c r="J50" s="247">
        <v>3176668</v>
      </c>
      <c r="K50" s="247">
        <v>3187026</v>
      </c>
      <c r="L50" s="247">
        <v>2389470</v>
      </c>
      <c r="M50" s="247">
        <v>2905234</v>
      </c>
      <c r="N50" s="247">
        <v>2931184</v>
      </c>
      <c r="O50" s="247">
        <v>2757850</v>
      </c>
      <c r="P50" s="247">
        <v>2506718</v>
      </c>
      <c r="Q50" s="247">
        <v>2592456</v>
      </c>
      <c r="R50" s="200">
        <f t="shared" si="3"/>
        <v>34181336</v>
      </c>
      <c r="S50" s="201" t="s">
        <v>704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3"/>
        <v>0</v>
      </c>
      <c r="S51" s="201" t="s">
        <v>696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5005246286</v>
      </c>
      <c r="C52" s="183" t="str">
        <f>IFERROR(IF(VLOOKUP($B52,勘定科目!$A:$H,HLOOKUP($E$5,勘定科目!$F$1:$H$2,2,0),0)="","",VLOOKUP($B52,勘定科目!$A:$E,2,0)),"")</f>
        <v>その他手数料（製）</v>
      </c>
      <c r="D52" s="239" t="str">
        <f>IF(C52="","",VLOOKUP($B52,勘定科目!$A:$E,4,0))</f>
        <v>手数料</v>
      </c>
      <c r="E52" s="245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3"/>
        <v>0</v>
      </c>
      <c r="S52" s="201" t="s">
        <v>706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5005246281</v>
      </c>
      <c r="C53" s="183" t="str">
        <f>IFERROR(IF(VLOOKUP($B53,勘定科目!$A:$H,HLOOKUP($E$5,勘定科目!$F$1:$H$2,2,0),0)="","",VLOOKUP($B53,勘定科目!$A:$E,2,0)),"")</f>
        <v>図書印刷費（製）</v>
      </c>
      <c r="D53" s="239" t="str">
        <f>IF(C53="","",VLOOKUP($B53,勘定科目!$A:$E,4,0))</f>
        <v>図書及び事務費</v>
      </c>
      <c r="E53" s="245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3"/>
        <v>0</v>
      </c>
      <c r="S53" s="201" t="s">
        <v>707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3"/>
        <v>0</v>
      </c>
      <c r="S54" s="201" t="s">
        <v>708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9" t="str">
        <f>IF(C55="","",VLOOKUP($B55,勘定科目!$A:$E,4,0))</f>
        <v>福利厚生費</v>
      </c>
      <c r="E55" s="245"/>
      <c r="F55" s="194">
        <v>300000</v>
      </c>
      <c r="G55" s="247"/>
      <c r="H55" s="247"/>
      <c r="I55" s="247"/>
      <c r="J55" s="247"/>
      <c r="K55" s="247"/>
      <c r="L55" s="247">
        <f>2*300000</f>
        <v>600000</v>
      </c>
      <c r="M55" s="247">
        <v>600000</v>
      </c>
      <c r="N55" s="247"/>
      <c r="O55" s="247"/>
      <c r="P55" s="247"/>
      <c r="Q55" s="247"/>
      <c r="R55" s="200">
        <f t="shared" si="3"/>
        <v>1500000</v>
      </c>
      <c r="S55" s="201" t="s">
        <v>709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194"/>
      <c r="G56" s="247">
        <f>25*1890000</f>
        <v>47250000</v>
      </c>
      <c r="H56" s="247">
        <f>3*1323000</f>
        <v>3969000</v>
      </c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3"/>
        <v>51219000</v>
      </c>
      <c r="S56" s="201" t="s">
        <v>729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194">
        <v>0</v>
      </c>
      <c r="G57" s="247">
        <f>5*163000</f>
        <v>815000</v>
      </c>
      <c r="H57" s="247">
        <f>2*163000</f>
        <v>326000</v>
      </c>
      <c r="I57" s="247">
        <f>2*163000</f>
        <v>326000</v>
      </c>
      <c r="J57" s="247">
        <f>3*163000</f>
        <v>489000</v>
      </c>
      <c r="K57" s="247">
        <f>2*163000</f>
        <v>326000</v>
      </c>
      <c r="L57" s="247">
        <f>3*163000</f>
        <v>489000</v>
      </c>
      <c r="M57" s="247">
        <f>3*163000</f>
        <v>489000</v>
      </c>
      <c r="N57" s="247">
        <f>2*163000</f>
        <v>326000</v>
      </c>
      <c r="O57" s="247">
        <v>163000</v>
      </c>
      <c r="P57" s="247">
        <f>3*163000</f>
        <v>489000</v>
      </c>
      <c r="Q57" s="247">
        <f>3*163000</f>
        <v>489000</v>
      </c>
      <c r="R57" s="200">
        <f t="shared" si="3"/>
        <v>4727000</v>
      </c>
      <c r="S57" s="201" t="s">
        <v>722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194"/>
      <c r="G58" s="247"/>
      <c r="H58" s="247">
        <f>28*200000</f>
        <v>5600000</v>
      </c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3"/>
        <v>5600000</v>
      </c>
      <c r="S58" s="201" t="s">
        <v>710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3"/>
        <v>0</v>
      </c>
      <c r="S59" s="201" t="s">
        <v>711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>
        <f>28*100000</f>
        <v>2800000</v>
      </c>
      <c r="Q60" s="247"/>
      <c r="R60" s="200">
        <f t="shared" si="3"/>
        <v>2800000</v>
      </c>
      <c r="S60" s="201" t="s">
        <v>712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>
        <f>15*189000+13*204000</f>
        <v>5487000</v>
      </c>
      <c r="O61" s="247"/>
      <c r="P61" s="247"/>
      <c r="Q61" s="247"/>
      <c r="R61" s="200">
        <f t="shared" si="3"/>
        <v>5487000</v>
      </c>
      <c r="S61" s="201" t="s">
        <v>713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>
        <f>28*300000</f>
        <v>8400000</v>
      </c>
      <c r="R62" s="200">
        <f t="shared" si="3"/>
        <v>8400000</v>
      </c>
      <c r="S62" s="201" t="s">
        <v>714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9" t="str">
        <f>IF(C63="","",VLOOKUP($B63,勘定科目!$A:$E,4,0))</f>
        <v>福利厚生費</v>
      </c>
      <c r="E63" s="245"/>
      <c r="F63" s="194"/>
      <c r="G63" s="247"/>
      <c r="H63" s="247"/>
      <c r="I63" s="247"/>
      <c r="J63" s="247">
        <f>15*6800</f>
        <v>102000</v>
      </c>
      <c r="K63" s="247"/>
      <c r="L63" s="247"/>
      <c r="M63" s="247"/>
      <c r="N63" s="247"/>
      <c r="O63" s="247"/>
      <c r="P63" s="247">
        <f>15*6800</f>
        <v>102000</v>
      </c>
      <c r="Q63" s="247"/>
      <c r="R63" s="200">
        <f t="shared" si="3"/>
        <v>204000</v>
      </c>
      <c r="S63" s="201" t="s">
        <v>723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194"/>
      <c r="G64" s="247"/>
      <c r="H64" s="247"/>
      <c r="I64" s="247"/>
      <c r="J64" s="247"/>
      <c r="K64" s="247">
        <f>28*56000</f>
        <v>1568000</v>
      </c>
      <c r="L64" s="247"/>
      <c r="M64" s="247"/>
      <c r="N64" s="247"/>
      <c r="O64" s="247"/>
      <c r="P64" s="247"/>
      <c r="Q64" s="247"/>
      <c r="R64" s="200">
        <f t="shared" si="3"/>
        <v>1568000</v>
      </c>
      <c r="S64" s="201" t="s">
        <v>724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194"/>
      <c r="G65" s="247"/>
      <c r="H65" s="247"/>
      <c r="I65" s="247"/>
      <c r="J65" s="247"/>
      <c r="K65" s="247">
        <f>28*126000</f>
        <v>3528000</v>
      </c>
      <c r="L65" s="247"/>
      <c r="M65" s="247"/>
      <c r="N65" s="247"/>
      <c r="O65" s="247"/>
      <c r="P65" s="247"/>
      <c r="Q65" s="247"/>
      <c r="R65" s="200">
        <f t="shared" si="3"/>
        <v>3528000</v>
      </c>
      <c r="S65" s="201" t="s">
        <v>725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>
        <f>28*2*165000+28*2*175000</f>
        <v>19040000</v>
      </c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00">
        <f t="shared" si="3"/>
        <v>19040000</v>
      </c>
      <c r="S66" s="201" t="s">
        <v>705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5005246281</v>
      </c>
      <c r="C67" s="183" t="str">
        <f>IFERROR(IF(VLOOKUP($B67,勘定科目!$A:$H,HLOOKUP($E$5,勘定科目!$F$1:$H$2,2,0),0)="","",VLOOKUP($B67,勘定科目!$A:$E,2,0)),"")</f>
        <v>図書印刷費（製）</v>
      </c>
      <c r="D67" s="239" t="str">
        <f>IF(C67="","",VLOOKUP($B67,勘定科目!$A:$E,4,0))</f>
        <v>図書及び事務費</v>
      </c>
      <c r="E67" s="245"/>
      <c r="F67" s="194"/>
      <c r="G67" s="247"/>
      <c r="H67" s="247"/>
      <c r="I67" s="247"/>
      <c r="J67" s="247"/>
      <c r="K67" s="247"/>
      <c r="L67" s="247"/>
      <c r="M67" s="247">
        <f>28*800</f>
        <v>22400</v>
      </c>
      <c r="N67" s="247"/>
      <c r="O67" s="247"/>
      <c r="P67" s="247"/>
      <c r="Q67" s="247"/>
      <c r="R67" s="200">
        <f t="shared" si="3"/>
        <v>22400</v>
      </c>
      <c r="S67" s="201" t="s">
        <v>715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247"/>
      <c r="H68" s="247"/>
      <c r="I68" s="247"/>
      <c r="J68" s="247"/>
      <c r="K68" s="247"/>
      <c r="L68" s="247">
        <f>2*382000</f>
        <v>764000</v>
      </c>
      <c r="M68" s="247"/>
      <c r="N68" s="247"/>
      <c r="O68" s="247"/>
      <c r="P68" s="247"/>
      <c r="Q68" s="247"/>
      <c r="R68" s="200">
        <f t="shared" si="3"/>
        <v>764000</v>
      </c>
      <c r="S68" s="201" t="s">
        <v>726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247"/>
      <c r="J69" s="247"/>
      <c r="K69" s="247"/>
      <c r="L69" s="247">
        <f>2*549000</f>
        <v>1098000</v>
      </c>
      <c r="M69" s="247"/>
      <c r="N69" s="247"/>
      <c r="O69" s="247"/>
      <c r="P69" s="247"/>
      <c r="Q69" s="247"/>
      <c r="R69" s="200">
        <f t="shared" si="3"/>
        <v>1098000</v>
      </c>
      <c r="S69" s="201" t="s">
        <v>727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194"/>
      <c r="G70" s="247"/>
      <c r="H70" s="247"/>
      <c r="I70" s="247"/>
      <c r="J70" s="247"/>
      <c r="K70" s="247"/>
      <c r="L70" s="247"/>
      <c r="M70" s="247">
        <f>28*107000</f>
        <v>2996000</v>
      </c>
      <c r="N70" s="247"/>
      <c r="O70" s="247"/>
      <c r="P70" s="247"/>
      <c r="Q70" s="247"/>
      <c r="R70" s="200">
        <f t="shared" si="3"/>
        <v>2996000</v>
      </c>
      <c r="S70" s="201" t="s">
        <v>728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1" t="s">
        <v>716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5005116291</v>
      </c>
      <c r="C72" s="183" t="str">
        <f>IFERROR(IF(VLOOKUP($B72,勘定科目!$A:$H,HLOOKUP($E$5,勘定科目!$F$1:$H$2,2,0),0)="","",VLOOKUP($B72,勘定科目!$A:$E,2,0)),"")</f>
        <v>ベトナム国内交通費（製）</v>
      </c>
      <c r="D72" s="239" t="str">
        <f>IF(C72="","",VLOOKUP($B72,勘定科目!$A:$E,4,0))</f>
        <v>旅費交通費</v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0</v>
      </c>
      <c r="S72" s="201" t="s">
        <v>717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5004086293</v>
      </c>
      <c r="C73" s="183" t="str">
        <f>IFERROR(IF(VLOOKUP($B73,勘定科目!$A:$H,HLOOKUP($E$5,勘定科目!$F$1:$H$2,2,0),0)="","",VLOOKUP($B73,勘定科目!$A:$E,2,0)),"")</f>
        <v>教育訓練費（製）</v>
      </c>
      <c r="D73" s="239" t="str">
        <f>IF(C73="","",VLOOKUP($B73,勘定科目!$A:$E,4,0))</f>
        <v>募集教育費</v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3"/>
        <v>0</v>
      </c>
      <c r="S73" s="201" t="s">
        <v>718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5005246283</v>
      </c>
      <c r="C74" s="183" t="str">
        <f>IFERROR(IF(VLOOKUP($B74,勘定科目!$A:$H,HLOOKUP($E$5,勘定科目!$F$1:$H$2,2,0),0)="","",VLOOKUP($B74,勘定科目!$A:$E,2,0)),"")</f>
        <v>ライセンス料（製）</v>
      </c>
      <c r="D74" s="239" t="str">
        <f>IF(C74="","",VLOOKUP($B74,勘定科目!$A:$E,4,0))</f>
        <v>図書及び事務費</v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3"/>
        <v>0</v>
      </c>
      <c r="S74" s="201" t="s">
        <v>719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5004086291</v>
      </c>
      <c r="C75" s="183" t="str">
        <f>IFERROR(IF(VLOOKUP($B75,勘定科目!$A:$H,HLOOKUP($E$5,勘定科目!$F$1:$H$2,2,0),0)="","",VLOOKUP($B75,勘定科目!$A:$E,2,0)),"")</f>
        <v>福利厚生費（製）</v>
      </c>
      <c r="D75" s="239" t="str">
        <f>IF(C75="","",VLOOKUP($B75,勘定科目!$A:$E,4,0))</f>
        <v>福利厚生費</v>
      </c>
      <c r="E75" s="245"/>
      <c r="F75" s="194"/>
      <c r="G75" s="247"/>
      <c r="H75" s="247"/>
      <c r="I75" s="247">
        <f>25*100000</f>
        <v>2500000</v>
      </c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2500000</v>
      </c>
      <c r="S75" s="201" t="s">
        <v>720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5005136281</v>
      </c>
      <c r="C76" s="183" t="str">
        <f>IFERROR(IF(VLOOKUP($B76,勘定科目!$A:$H,HLOOKUP($E$5,勘定科目!$F$1:$H$2,2,0),0)="","",VLOOKUP($B76,勘定科目!$A:$E,2,0)),"")</f>
        <v>通信費（製）</v>
      </c>
      <c r="D76" s="239" t="str">
        <f>IF(C76="","",VLOOKUP($B76,勘定科目!$A:$E,4,0))</f>
        <v>通信費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3"/>
        <v>0</v>
      </c>
      <c r="S76" s="201" t="s">
        <v>721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5005026371</v>
      </c>
      <c r="C77" s="183" t="str">
        <f>IFERROR(IF(VLOOKUP($B77,勘定科目!$A:$H,HLOOKUP($E$5,勘定科目!$F$1:$H$2,2,0),0)="","",VLOOKUP($B77,勘定科目!$A:$E,2,0)),"")</f>
        <v>消耗工具器具備品費（製）</v>
      </c>
      <c r="D77" s="239" t="str">
        <f>IF(C77="","",VLOOKUP($B77,勘定科目!$A:$E,4,0))</f>
        <v>消耗工具器具備品費</v>
      </c>
      <c r="E77" s="245"/>
      <c r="F77" s="194">
        <v>20950000</v>
      </c>
      <c r="G77" s="194">
        <v>20950000</v>
      </c>
      <c r="H77" s="194">
        <v>20950000</v>
      </c>
      <c r="I77" s="194">
        <v>20950000</v>
      </c>
      <c r="J77" s="194">
        <v>20950000</v>
      </c>
      <c r="K77" s="194">
        <f>2*20950000</f>
        <v>41900000</v>
      </c>
      <c r="L77" s="247"/>
      <c r="M77" s="247"/>
      <c r="N77" s="247"/>
      <c r="O77" s="247"/>
      <c r="P77" s="247"/>
      <c r="Q77" s="247"/>
      <c r="R77" s="200">
        <f t="shared" si="3"/>
        <v>146650000</v>
      </c>
      <c r="S77" s="201" t="s">
        <v>732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/>
      <c r="C78" s="183" t="str">
        <f>IFERROR(IF(VLOOKUP($B78,勘定科目!$A:$H,HLOOKUP($E$5,勘定科目!$F$1:$H$2,2,0),0)="","",VLOOKUP($B78,勘定科目!$A:$E,2,0)),"")</f>
        <v/>
      </c>
      <c r="D78" s="239" t="str">
        <f>IF(C78="","",VLOOKUP($B78,勘定科目!$A:$E,4,0))</f>
        <v/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3"/>
        <v>0</v>
      </c>
      <c r="S78" s="201"/>
      <c r="T78" s="202"/>
      <c r="U78" s="246"/>
      <c r="V78" s="246"/>
      <c r="W78" s="246"/>
      <c r="BA78"/>
      <c r="BB78"/>
    </row>
    <row r="79" spans="1:54" s="191" customFormat="1" ht="13.5">
      <c r="A79" s="226"/>
      <c r="B79" s="180"/>
      <c r="C79" s="183" t="str">
        <f>IFERROR(IF(VLOOKUP($B79,勘定科目!$A:$H,HLOOKUP($E$5,勘定科目!$F$1:$H$2,2,0),0)="","",VLOOKUP($B79,勘定科目!$A:$E,2,0)),"")</f>
        <v/>
      </c>
      <c r="D79" s="239" t="str">
        <f>IF(C79="","",VLOOKUP($B79,勘定科目!$A:$E,4,0))</f>
        <v/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3"/>
        <v>0</v>
      </c>
      <c r="S79" s="201"/>
      <c r="T79" s="202"/>
      <c r="U79" s="246"/>
      <c r="V79" s="246"/>
      <c r="W79" s="246"/>
      <c r="BA79"/>
      <c r="BB79"/>
    </row>
    <row r="80" spans="1:54" s="191" customFormat="1" ht="13.5">
      <c r="A80" s="226"/>
      <c r="B80" s="180"/>
      <c r="C80" s="183" t="str">
        <f>IFERROR(IF(VLOOKUP($B80,勘定科目!$A:$H,HLOOKUP($E$5,勘定科目!$F$1:$H$2,2,0),0)="","",VLOOKUP($B80,勘定科目!$A:$E,2,0)),"")</f>
        <v/>
      </c>
      <c r="D80" s="239" t="str">
        <f>IF(C80="","",VLOOKUP($B80,勘定科目!$A:$E,4,0))</f>
        <v/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201"/>
      <c r="T80" s="202"/>
      <c r="U80" s="246"/>
      <c r="V80" s="246"/>
      <c r="W80" s="246"/>
      <c r="BA80"/>
      <c r="BB80"/>
    </row>
    <row r="81" spans="1:54" s="191" customFormat="1" ht="13.5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0</v>
      </c>
      <c r="S81" s="201"/>
      <c r="T81" s="202"/>
      <c r="U81" s="246"/>
      <c r="V81" s="246"/>
      <c r="W81" s="246"/>
      <c r="BA81"/>
      <c r="BB81"/>
    </row>
    <row r="82" spans="1:54" s="191" customFormat="1" ht="13.5">
      <c r="A82" s="226"/>
      <c r="B82" s="180"/>
      <c r="C82" s="183" t="str">
        <f>IFERROR(IF(VLOOKUP($B82,勘定科目!$A:$H,HLOOKUP($E$5,勘定科目!$F$1:$H$2,2,0),0)="","",VLOOKUP($B82,勘定科目!$A:$E,2,0)),"")</f>
        <v/>
      </c>
      <c r="D82" s="239" t="str">
        <f>IF(C82="","",VLOOKUP($B82,勘定科目!$A:$E,4,0))</f>
        <v/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1"/>
      <c r="T82" s="202"/>
      <c r="U82" s="246"/>
      <c r="V82" s="246"/>
      <c r="W82" s="246"/>
      <c r="BA82"/>
      <c r="BB82"/>
    </row>
    <row r="83" spans="1:54" s="191" customFormat="1" ht="13.5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1"/>
      <c r="T83" s="202"/>
      <c r="U83" s="246"/>
      <c r="V83" s="246"/>
      <c r="W83" s="246"/>
      <c r="BA83"/>
      <c r="BB83"/>
    </row>
    <row r="84" spans="1:54" s="191" customFormat="1" ht="13.5">
      <c r="A84" s="226"/>
      <c r="B84" s="180"/>
      <c r="C84" s="183" t="str">
        <f>IFERROR(IF(VLOOKUP($B84,勘定科目!$A:$H,HLOOKUP($E$5,勘定科目!$F$1:$H$2,2,0),0)="","",VLOOKUP($B84,勘定科目!$A:$E,2,0)),"")</f>
        <v/>
      </c>
      <c r="D84" s="239" t="str">
        <f>IF(C84="","",VLOOKUP($B84,勘定科目!$A:$E,4,0))</f>
        <v/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0</v>
      </c>
      <c r="S84" s="201"/>
      <c r="T84" s="202"/>
      <c r="U84" s="246"/>
      <c r="V84" s="246"/>
      <c r="W84" s="246"/>
      <c r="BA84"/>
      <c r="BB84"/>
    </row>
    <row r="85" spans="1:54" s="191" customFormat="1" ht="13.5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0</v>
      </c>
      <c r="S85" s="201"/>
      <c r="T85" s="202"/>
      <c r="U85" s="246"/>
      <c r="V85" s="246"/>
      <c r="W85" s="246"/>
      <c r="BA85"/>
      <c r="BB85"/>
    </row>
    <row r="86" spans="1:54" s="191" customFormat="1" ht="13.5">
      <c r="A86" s="226"/>
      <c r="B86" s="180"/>
      <c r="C86" s="183" t="str">
        <f>IFERROR(IF(VLOOKUP($B86,勘定科目!$A:$H,HLOOKUP($E$5,勘定科目!$F$1:$H$2,2,0),0)="","",VLOOKUP($B86,勘定科目!$A:$E,2,0)),"")</f>
        <v/>
      </c>
      <c r="D86" s="239" t="str">
        <f>IF(C86="","",VLOOKUP($B86,勘定科目!$A:$E,4,0))</f>
        <v/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3"/>
        <v>0</v>
      </c>
      <c r="S86" s="201"/>
      <c r="T86" s="202"/>
      <c r="U86" s="246"/>
      <c r="V86" s="246"/>
      <c r="W86" s="246"/>
      <c r="BA86"/>
      <c r="BB86"/>
    </row>
    <row r="87" spans="1:54" s="191" customFormat="1" ht="13.5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1"/>
      <c r="T87" s="202"/>
      <c r="U87" s="246"/>
      <c r="V87" s="246"/>
      <c r="W87" s="246"/>
      <c r="BA87"/>
      <c r="BB87"/>
    </row>
    <row r="88" spans="1:54" s="191" customFormat="1" ht="13.5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3"/>
        <v>0</v>
      </c>
      <c r="S88" s="201"/>
      <c r="T88" s="202"/>
      <c r="U88" s="246"/>
      <c r="V88" s="246"/>
      <c r="W88" s="246"/>
      <c r="BA88"/>
      <c r="BB88"/>
    </row>
    <row r="89" spans="1:54" s="191" customFormat="1" ht="13.5">
      <c r="A89" s="226"/>
      <c r="B89" s="180"/>
      <c r="C89" s="183" t="str">
        <f>IFERROR(IF(VLOOKUP($B89,勘定科目!$A:$H,HLOOKUP($E$5,勘定科目!$F$1:$H$2,2,0),0)="","",VLOOKUP($B89,勘定科目!$A:$E,2,0)),"")</f>
        <v/>
      </c>
      <c r="D89" s="239" t="str">
        <f>IF(C89="","",VLOOKUP($B89,勘定科目!$A:$E,4,0))</f>
        <v/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3"/>
        <v>0</v>
      </c>
      <c r="S89" s="201"/>
      <c r="T89" s="202"/>
      <c r="U89" s="246"/>
      <c r="V89" s="246"/>
      <c r="W89" s="246"/>
      <c r="BA89"/>
      <c r="BB89"/>
    </row>
    <row r="90" spans="1:54" s="191" customFormat="1" ht="13.5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3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/>
      <c r="C93" s="183" t="str">
        <f>IFERROR(IF(VLOOKUP($B93,勘定科目!$A:$H,HLOOKUP($E$5,勘定科目!$F$1:$H$2,2,0),0)="","",VLOOKUP($B93,勘定科目!$A:$E,2,0)),"")</f>
        <v/>
      </c>
      <c r="D93" s="239" t="str">
        <f>IF(C93="","",VLOOKUP($B93,勘定科目!$A:$E,4,0))</f>
        <v/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3"/>
        <v>0</v>
      </c>
      <c r="S93" s="201"/>
      <c r="T93" s="202"/>
      <c r="U93" s="246"/>
      <c r="V93" s="246"/>
      <c r="W93" s="246"/>
      <c r="BA93"/>
      <c r="BB93"/>
    </row>
    <row r="94" spans="1:54" s="191" customFormat="1" ht="13.5">
      <c r="A94" s="226"/>
      <c r="B94" s="180"/>
      <c r="C94" s="183" t="str">
        <f>IFERROR(IF(VLOOKUP($B94,勘定科目!$A:$H,HLOOKUP($E$5,勘定科目!$F$1:$H$2,2,0),0)="","",VLOOKUP($B94,勘定科目!$A:$E,2,0)),"")</f>
        <v/>
      </c>
      <c r="D94" s="239" t="str">
        <f>IF(C94="","",VLOOKUP($B94,勘定科目!$A:$E,4,0))</f>
        <v/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3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3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3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3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5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5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6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6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6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6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6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6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6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6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6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6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6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6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6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6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7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7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7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7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7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7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7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7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7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7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7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7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7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7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7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7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7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7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7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7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7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7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7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7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7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7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7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7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7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7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7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7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7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7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7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7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7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7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7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7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7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7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7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7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7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7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7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7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7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7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7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7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7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7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7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7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7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7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7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7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7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7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7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7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8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8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8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8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8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8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8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8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8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8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8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8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8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8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8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8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8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8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8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8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8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8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8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8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8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8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8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8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8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8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8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8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8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8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8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8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8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8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8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8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8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8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8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8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8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8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8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8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8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8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8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8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8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8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8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8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8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8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8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8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8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8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8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9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9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9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9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9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9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9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9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9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9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9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9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9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9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9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9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9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9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9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9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9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9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9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9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9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9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9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9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9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9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9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9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9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9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9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9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9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9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9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9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9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9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9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9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9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9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9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9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9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9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9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9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9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9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9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9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9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9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9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9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9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9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9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0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0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0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0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0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0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0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0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0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0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0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0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0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0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0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0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0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0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0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0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0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0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0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0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0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0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0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0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0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0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0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0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0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0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0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0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0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0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0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0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0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0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0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0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0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0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0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0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0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0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0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0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0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0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0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0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0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0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0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0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0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0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0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1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1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1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1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1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1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1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1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1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1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1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1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1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1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1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1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1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1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1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1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1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1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1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1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1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1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1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1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1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1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1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1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1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1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1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1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1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1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1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1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1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1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1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1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1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1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1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1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1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1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1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1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1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1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1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1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1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1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1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1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1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1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1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2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2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2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2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2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2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2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2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2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2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2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2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2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2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2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2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2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2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2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2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2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2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2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2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2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2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2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2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2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2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2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2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2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2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2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2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2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2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2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2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2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2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2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2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2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2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2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2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2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2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2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2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2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2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2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2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2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2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2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2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2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2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2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3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3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3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3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3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3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3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3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3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3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3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3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3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3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3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3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3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3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3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3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3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3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3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3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3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3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3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3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3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3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3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3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3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3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3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3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3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3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3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3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3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3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3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3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3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3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3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3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3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3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3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3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3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3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3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3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3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3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3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3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3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3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3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4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4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4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4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4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4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4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4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4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4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4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4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4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4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4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4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4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4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4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4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4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4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4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4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4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4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4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4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4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4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4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4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4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4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4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4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4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4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4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4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4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4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4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4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4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4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4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4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4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4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4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4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4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4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4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4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4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4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4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4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4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4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4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5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5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5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5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5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5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5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5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5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5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5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5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5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5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5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5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5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5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5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5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5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5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5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5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5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5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5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5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5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5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5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5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5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5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5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5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5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5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5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5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5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64F4041A-5262-4634-B0E5-E5E2A404756C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2A27D41E-3720-4B0D-A27A-0C2F9705A876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8041-7105-41EA-91B5-E20DEBDF3D01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機器製造管理課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BFD2FE91-2C44-46A3-98AB-660A6DD7CB7F}"/>
  <phoneticPr fontId="3"/>
  <dataValidations count="1">
    <dataValidation type="list" allowBlank="1" showInputMessage="1" showErrorMessage="1" sqref="S4:S49" xr:uid="{E3C2EAAA-FA6F-4176-8FB5-5E02E5140F6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1451-6F1D-403C-B3C0-23BE56405019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2DA15F68-3D7B-45C8-A858-A88183F049D6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63F2-6B53-4463-9237-30F0698B632B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B8843719-64A8-4FB4-961D-08AE681FDA92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FD4F-0775-4E2B-BBBD-80DE4816702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Yến(Nguyen Thi Yen)</cp:lastModifiedBy>
  <cp:lastPrinted>2017-10-06T02:39:42Z</cp:lastPrinted>
  <dcterms:created xsi:type="dcterms:W3CDTF">2002-04-10T08:05:47Z</dcterms:created>
  <dcterms:modified xsi:type="dcterms:W3CDTF">2025-01-07T09:35:30Z</dcterms:modified>
</cp:coreProperties>
</file>